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filterPrivacy="1" codeName="ThisWorkbook" defaultThemeVersion="124226"/>
  <xr:revisionPtr revIDLastSave="0" documentId="13_ncr:1_{55438EA4-7AB6-40D4-AA10-88330C8C403A}" xr6:coauthVersionLast="45" xr6:coauthVersionMax="47" xr10:uidLastSave="{00000000-0000-0000-0000-000000000000}"/>
  <bookViews>
    <workbookView xWindow="-120" yWindow="-120" windowWidth="29040" windowHeight="15720" tabRatio="780" activeTab="7" xr2:uid="{00000000-000D-0000-FFFF-FFFF00000000}"/>
  </bookViews>
  <sheets>
    <sheet name="节奏总纲" sheetId="1" r:id="rId1"/>
    <sheet name="其他调用" sheetId="9" r:id="rId2"/>
    <sheet name="前期规划" sheetId="21" r:id="rId3"/>
    <sheet name="基础状态预估" sheetId="15" r:id="rId4"/>
    <sheet name="藏品币" sheetId="24" r:id="rId5"/>
    <sheet name="藏品属性" sheetId="25" r:id="rId6"/>
    <sheet name="活动投放" sheetId="27" r:id="rId7"/>
    <sheet name="丝绸之路" sheetId="30" r:id="rId8"/>
    <sheet name="付费投放" sheetId="26" r:id="rId9"/>
    <sheet name="真品获取算法" sheetId="28" r:id="rId10"/>
    <sheet name="实力" sheetId="29" r:id="rId11"/>
  </sheets>
  <functionGroups builtInGroupCount="19"/>
  <externalReferences>
    <externalReference r:id="rId12"/>
    <externalReference r:id="rId13"/>
    <externalReference r:id="rId14"/>
  </externalReferences>
  <calcPr calcId="191029" calcMode="manual"/>
</workbook>
</file>

<file path=xl/calcChain.xml><?xml version="1.0" encoding="utf-8"?>
<calcChain xmlns="http://schemas.openxmlformats.org/spreadsheetml/2006/main">
  <c r="AA187" i="30" l="1"/>
  <c r="AA188" i="30" s="1"/>
  <c r="AA189" i="30" s="1"/>
  <c r="AA190" i="30" s="1"/>
  <c r="AA191" i="30" s="1"/>
  <c r="AA192" i="30" s="1"/>
  <c r="AA193" i="30" s="1"/>
  <c r="AA194" i="30" s="1"/>
  <c r="AA195" i="30" s="1"/>
  <c r="AA196" i="30" s="1"/>
  <c r="AA197" i="30" s="1"/>
  <c r="AA198" i="30" s="1"/>
  <c r="AA199" i="30" s="1"/>
  <c r="AA200" i="30" s="1"/>
  <c r="AA201" i="30" s="1"/>
  <c r="AA202" i="30" s="1"/>
  <c r="AA203" i="30" s="1"/>
  <c r="AA204" i="30" s="1"/>
  <c r="AA205" i="30" s="1"/>
  <c r="AA206" i="30" s="1"/>
  <c r="AA207" i="30" s="1"/>
  <c r="AA208" i="30" s="1"/>
  <c r="AA209" i="30" s="1"/>
  <c r="AA210" i="30" s="1"/>
  <c r="AA211" i="30" s="1"/>
  <c r="AA212" i="30" s="1"/>
  <c r="AA213" i="30" s="1"/>
  <c r="AA214" i="30" s="1"/>
  <c r="AA215" i="30" s="1"/>
  <c r="AA216" i="30" s="1"/>
  <c r="AA217" i="30" s="1"/>
  <c r="AA218" i="30" s="1"/>
  <c r="AA219" i="30" s="1"/>
  <c r="AA220" i="30" s="1"/>
  <c r="AA221" i="30" s="1"/>
  <c r="AA222" i="30" s="1"/>
  <c r="AA223" i="30" s="1"/>
  <c r="AA224" i="30" s="1"/>
  <c r="AA225" i="30" s="1"/>
  <c r="AA226" i="30" s="1"/>
  <c r="AA227" i="30" s="1"/>
  <c r="AB187" i="30"/>
  <c r="AB188" i="30" s="1"/>
  <c r="AB189" i="30" s="1"/>
  <c r="AB190" i="30" s="1"/>
  <c r="AB191" i="30" s="1"/>
  <c r="AB192" i="30" s="1"/>
  <c r="AB193" i="30" s="1"/>
  <c r="AB194" i="30" s="1"/>
  <c r="AB195" i="30" s="1"/>
  <c r="AB196" i="30" s="1"/>
  <c r="AB197" i="30" s="1"/>
  <c r="AB198" i="30" s="1"/>
  <c r="AB199" i="30" s="1"/>
  <c r="AB200" i="30" s="1"/>
  <c r="AB201" i="30" s="1"/>
  <c r="AB202" i="30" s="1"/>
  <c r="AB203" i="30" s="1"/>
  <c r="AB204" i="30" s="1"/>
  <c r="AB205" i="30" s="1"/>
  <c r="AB206" i="30" s="1"/>
  <c r="AB207" i="30" s="1"/>
  <c r="AB208" i="30" s="1"/>
  <c r="AB209" i="30" s="1"/>
  <c r="AB210" i="30" s="1"/>
  <c r="AB211" i="30" s="1"/>
  <c r="AB212" i="30" s="1"/>
  <c r="AB213" i="30" s="1"/>
  <c r="AB214" i="30" s="1"/>
  <c r="AB215" i="30" s="1"/>
  <c r="AB216" i="30" s="1"/>
  <c r="AB217" i="30" s="1"/>
  <c r="AB218" i="30" s="1"/>
  <c r="AB219" i="30" s="1"/>
  <c r="AB220" i="30" s="1"/>
  <c r="AB221" i="30" s="1"/>
  <c r="AB222" i="30" s="1"/>
  <c r="AB223" i="30" s="1"/>
  <c r="AB224" i="30" s="1"/>
  <c r="AB225" i="30" s="1"/>
  <c r="AB226" i="30" s="1"/>
  <c r="AB227" i="30" s="1"/>
  <c r="AC187" i="30"/>
  <c r="AC188" i="30" s="1"/>
  <c r="AC189" i="30" s="1"/>
  <c r="AC190" i="30" s="1"/>
  <c r="AC191" i="30" s="1"/>
  <c r="AC192" i="30" s="1"/>
  <c r="AC193" i="30" s="1"/>
  <c r="AC194" i="30" s="1"/>
  <c r="AC195" i="30" s="1"/>
  <c r="AC196" i="30" s="1"/>
  <c r="AC197" i="30" s="1"/>
  <c r="AC198" i="30" s="1"/>
  <c r="AC199" i="30" s="1"/>
  <c r="AC200" i="30" s="1"/>
  <c r="AC201" i="30" s="1"/>
  <c r="AC202" i="30" s="1"/>
  <c r="AC203" i="30" s="1"/>
  <c r="AC204" i="30" s="1"/>
  <c r="AC205" i="30" s="1"/>
  <c r="AC206" i="30" s="1"/>
  <c r="AC207" i="30" s="1"/>
  <c r="AC208" i="30" s="1"/>
  <c r="AC209" i="30" s="1"/>
  <c r="AC210" i="30" s="1"/>
  <c r="AC211" i="30" s="1"/>
  <c r="AC212" i="30" s="1"/>
  <c r="AC213" i="30" s="1"/>
  <c r="AC214" i="30" s="1"/>
  <c r="AC215" i="30" s="1"/>
  <c r="AC216" i="30" s="1"/>
  <c r="AC217" i="30" s="1"/>
  <c r="AC218" i="30" s="1"/>
  <c r="AC219" i="30" s="1"/>
  <c r="AC220" i="30" s="1"/>
  <c r="AC221" i="30" s="1"/>
  <c r="AC222" i="30" s="1"/>
  <c r="AC223" i="30" s="1"/>
  <c r="AC224" i="30" s="1"/>
  <c r="AC225" i="30" s="1"/>
  <c r="AC226" i="30" s="1"/>
  <c r="AC227" i="30" s="1"/>
  <c r="AD187" i="30"/>
  <c r="AD188" i="30" s="1"/>
  <c r="AD189" i="30" s="1"/>
  <c r="AD190" i="30" s="1"/>
  <c r="AD191" i="30" s="1"/>
  <c r="AD192" i="30" s="1"/>
  <c r="AD193" i="30" s="1"/>
  <c r="AD194" i="30" s="1"/>
  <c r="AD195" i="30" s="1"/>
  <c r="AD196" i="30" s="1"/>
  <c r="AD197" i="30" s="1"/>
  <c r="AD198" i="30" s="1"/>
  <c r="AD199" i="30" s="1"/>
  <c r="AD200" i="30" s="1"/>
  <c r="AD201" i="30" s="1"/>
  <c r="AD202" i="30" s="1"/>
  <c r="AD203" i="30" s="1"/>
  <c r="AD204" i="30" s="1"/>
  <c r="AD205" i="30" s="1"/>
  <c r="AD206" i="30" s="1"/>
  <c r="AD207" i="30" s="1"/>
  <c r="AD208" i="30" s="1"/>
  <c r="AD209" i="30" s="1"/>
  <c r="AD210" i="30" s="1"/>
  <c r="AD211" i="30" s="1"/>
  <c r="AD212" i="30" s="1"/>
  <c r="AD213" i="30" s="1"/>
  <c r="AD214" i="30" s="1"/>
  <c r="AD215" i="30" s="1"/>
  <c r="AD216" i="30" s="1"/>
  <c r="AD217" i="30" s="1"/>
  <c r="AD218" i="30" s="1"/>
  <c r="AD219" i="30" s="1"/>
  <c r="AD220" i="30" s="1"/>
  <c r="AD221" i="30" s="1"/>
  <c r="AD222" i="30" s="1"/>
  <c r="AD223" i="30" s="1"/>
  <c r="AD224" i="30" s="1"/>
  <c r="AD225" i="30" s="1"/>
  <c r="AD226" i="30" s="1"/>
  <c r="AD227" i="30" s="1"/>
  <c r="AE187" i="30"/>
  <c r="AE188" i="30" s="1"/>
  <c r="AE189" i="30" s="1"/>
  <c r="AE190" i="30" s="1"/>
  <c r="AE191" i="30" s="1"/>
  <c r="AE192" i="30" s="1"/>
  <c r="AE193" i="30" s="1"/>
  <c r="AE194" i="30" s="1"/>
  <c r="AE195" i="30" s="1"/>
  <c r="AE196" i="30" s="1"/>
  <c r="AE197" i="30" s="1"/>
  <c r="AE198" i="30" s="1"/>
  <c r="AE199" i="30" s="1"/>
  <c r="AE200" i="30" s="1"/>
  <c r="AE201" i="30" s="1"/>
  <c r="AE202" i="30" s="1"/>
  <c r="AE203" i="30" s="1"/>
  <c r="AE204" i="30" s="1"/>
  <c r="AE205" i="30" s="1"/>
  <c r="AE206" i="30" s="1"/>
  <c r="AE207" i="30" s="1"/>
  <c r="AE208" i="30" s="1"/>
  <c r="AE209" i="30" s="1"/>
  <c r="AE210" i="30" s="1"/>
  <c r="AE211" i="30" s="1"/>
  <c r="AE212" i="30" s="1"/>
  <c r="AE213" i="30" s="1"/>
  <c r="AE214" i="30" s="1"/>
  <c r="AE215" i="30" s="1"/>
  <c r="AE216" i="30" s="1"/>
  <c r="AE217" i="30" s="1"/>
  <c r="AE218" i="30" s="1"/>
  <c r="AE219" i="30" s="1"/>
  <c r="AE220" i="30" s="1"/>
  <c r="AE221" i="30" s="1"/>
  <c r="AE222" i="30" s="1"/>
  <c r="AE223" i="30" s="1"/>
  <c r="AE224" i="30" s="1"/>
  <c r="AE225" i="30" s="1"/>
  <c r="AE226" i="30" s="1"/>
  <c r="AE227" i="30" s="1"/>
  <c r="AF187" i="30"/>
  <c r="AF188" i="30" s="1"/>
  <c r="AF189" i="30" s="1"/>
  <c r="AF190" i="30" s="1"/>
  <c r="AF191" i="30" s="1"/>
  <c r="AF192" i="30" s="1"/>
  <c r="AF193" i="30" s="1"/>
  <c r="AF194" i="30" s="1"/>
  <c r="AF195" i="30" s="1"/>
  <c r="AF196" i="30" s="1"/>
  <c r="AF197" i="30" s="1"/>
  <c r="AF198" i="30" s="1"/>
  <c r="AF199" i="30" s="1"/>
  <c r="AF200" i="30" s="1"/>
  <c r="AF201" i="30" s="1"/>
  <c r="AF202" i="30" s="1"/>
  <c r="AF203" i="30" s="1"/>
  <c r="AF204" i="30" s="1"/>
  <c r="AF205" i="30" s="1"/>
  <c r="AF206" i="30" s="1"/>
  <c r="AF207" i="30" s="1"/>
  <c r="AF208" i="30" s="1"/>
  <c r="AF209" i="30" s="1"/>
  <c r="AF210" i="30" s="1"/>
  <c r="AF211" i="30" s="1"/>
  <c r="AF212" i="30" s="1"/>
  <c r="AF213" i="30" s="1"/>
  <c r="AF214" i="30" s="1"/>
  <c r="AF215" i="30" s="1"/>
  <c r="AF216" i="30" s="1"/>
  <c r="AF217" i="30" s="1"/>
  <c r="AF218" i="30" s="1"/>
  <c r="AF219" i="30" s="1"/>
  <c r="AF220" i="30" s="1"/>
  <c r="AF221" i="30" s="1"/>
  <c r="AF222" i="30" s="1"/>
  <c r="AF223" i="30" s="1"/>
  <c r="AF224" i="30" s="1"/>
  <c r="AF225" i="30" s="1"/>
  <c r="AF226" i="30" s="1"/>
  <c r="AF227" i="30" s="1"/>
  <c r="Z187" i="30"/>
  <c r="Z188" i="30" s="1"/>
  <c r="Z189" i="30" s="1"/>
  <c r="Z190" i="30" s="1"/>
  <c r="Z191" i="30" s="1"/>
  <c r="Z192" i="30" s="1"/>
  <c r="Z193" i="30" s="1"/>
  <c r="Z194" i="30" s="1"/>
  <c r="Z195" i="30" s="1"/>
  <c r="Z196" i="30" s="1"/>
  <c r="Z197" i="30" s="1"/>
  <c r="Z198" i="30" s="1"/>
  <c r="Z199" i="30" s="1"/>
  <c r="Z200" i="30" s="1"/>
  <c r="Z201" i="30" s="1"/>
  <c r="Z202" i="30" s="1"/>
  <c r="Z203" i="30" s="1"/>
  <c r="Z204" i="30" s="1"/>
  <c r="Z205" i="30" s="1"/>
  <c r="Z206" i="30" s="1"/>
  <c r="Z207" i="30" s="1"/>
  <c r="Z208" i="30" s="1"/>
  <c r="Z209" i="30" s="1"/>
  <c r="Z210" i="30" s="1"/>
  <c r="Z211" i="30" s="1"/>
  <c r="Z212" i="30" s="1"/>
  <c r="Z213" i="30" s="1"/>
  <c r="Z214" i="30" s="1"/>
  <c r="Z215" i="30" s="1"/>
  <c r="Z216" i="30" s="1"/>
  <c r="Z217" i="30" s="1"/>
  <c r="Z218" i="30" s="1"/>
  <c r="Z219" i="30" s="1"/>
  <c r="Z220" i="30" s="1"/>
  <c r="Z221" i="30" s="1"/>
  <c r="Z222" i="30" s="1"/>
  <c r="Z223" i="30" s="1"/>
  <c r="Z224" i="30" s="1"/>
  <c r="Z225" i="30" s="1"/>
  <c r="Z226" i="30" s="1"/>
  <c r="Z227" i="30" s="1"/>
  <c r="AA143" i="30"/>
  <c r="AA144" i="30" s="1"/>
  <c r="AA145" i="30" s="1"/>
  <c r="AA146" i="30" s="1"/>
  <c r="AA147" i="30" s="1"/>
  <c r="AA148" i="30" s="1"/>
  <c r="AA149" i="30" s="1"/>
  <c r="AA150" i="30" s="1"/>
  <c r="AA151" i="30" s="1"/>
  <c r="AA152" i="30" s="1"/>
  <c r="AA153" i="30" s="1"/>
  <c r="AA154" i="30" s="1"/>
  <c r="AA155" i="30" s="1"/>
  <c r="AA156" i="30" s="1"/>
  <c r="AA157" i="30" s="1"/>
  <c r="AA158" i="30" s="1"/>
  <c r="AA159" i="30" s="1"/>
  <c r="AA160" i="30" s="1"/>
  <c r="AA161" i="30" s="1"/>
  <c r="AA162" i="30" s="1"/>
  <c r="AA163" i="30" s="1"/>
  <c r="AA164" i="30" s="1"/>
  <c r="AA165" i="30" s="1"/>
  <c r="AA166" i="30" s="1"/>
  <c r="AA167" i="30" s="1"/>
  <c r="AA168" i="30" s="1"/>
  <c r="AA169" i="30" s="1"/>
  <c r="AA170" i="30" s="1"/>
  <c r="AA171" i="30" s="1"/>
  <c r="AA172" i="30" s="1"/>
  <c r="AA173" i="30" s="1"/>
  <c r="AA174" i="30" s="1"/>
  <c r="AA175" i="30" s="1"/>
  <c r="AA176" i="30" s="1"/>
  <c r="AA177" i="30" s="1"/>
  <c r="AA178" i="30" s="1"/>
  <c r="AA179" i="30" s="1"/>
  <c r="AA180" i="30" s="1"/>
  <c r="AA181" i="30" s="1"/>
  <c r="AA182" i="30" s="1"/>
  <c r="AA183" i="30" s="1"/>
  <c r="AB143" i="30"/>
  <c r="AB144" i="30" s="1"/>
  <c r="AB145" i="30" s="1"/>
  <c r="AB146" i="30" s="1"/>
  <c r="AB147" i="30" s="1"/>
  <c r="AB148" i="30" s="1"/>
  <c r="AB149" i="30" s="1"/>
  <c r="AB150" i="30" s="1"/>
  <c r="AB151" i="30" s="1"/>
  <c r="AB152" i="30" s="1"/>
  <c r="AB153" i="30" s="1"/>
  <c r="AB154" i="30" s="1"/>
  <c r="AB155" i="30" s="1"/>
  <c r="AB156" i="30" s="1"/>
  <c r="AB157" i="30" s="1"/>
  <c r="AB158" i="30" s="1"/>
  <c r="AB159" i="30" s="1"/>
  <c r="AB160" i="30" s="1"/>
  <c r="AB161" i="30" s="1"/>
  <c r="AB162" i="30" s="1"/>
  <c r="AB163" i="30" s="1"/>
  <c r="AB164" i="30" s="1"/>
  <c r="AB165" i="30" s="1"/>
  <c r="AB166" i="30" s="1"/>
  <c r="AB167" i="30" s="1"/>
  <c r="AB168" i="30" s="1"/>
  <c r="AB169" i="30" s="1"/>
  <c r="AB170" i="30" s="1"/>
  <c r="AB171" i="30" s="1"/>
  <c r="AB172" i="30" s="1"/>
  <c r="AB173" i="30" s="1"/>
  <c r="AB174" i="30" s="1"/>
  <c r="AB175" i="30" s="1"/>
  <c r="AB176" i="30" s="1"/>
  <c r="AB177" i="30" s="1"/>
  <c r="AB178" i="30" s="1"/>
  <c r="AB179" i="30" s="1"/>
  <c r="AB180" i="30" s="1"/>
  <c r="AB181" i="30" s="1"/>
  <c r="AB182" i="30" s="1"/>
  <c r="AB183" i="30" s="1"/>
  <c r="AC143" i="30"/>
  <c r="AC144" i="30" s="1"/>
  <c r="AC145" i="30" s="1"/>
  <c r="AC146" i="30" s="1"/>
  <c r="AC147" i="30" s="1"/>
  <c r="AC148" i="30" s="1"/>
  <c r="AC149" i="30" s="1"/>
  <c r="AC150" i="30" s="1"/>
  <c r="AC151" i="30" s="1"/>
  <c r="AC152" i="30" s="1"/>
  <c r="AC153" i="30" s="1"/>
  <c r="AC154" i="30" s="1"/>
  <c r="AC155" i="30" s="1"/>
  <c r="AC156" i="30" s="1"/>
  <c r="AC157" i="30" s="1"/>
  <c r="AC158" i="30" s="1"/>
  <c r="AC159" i="30" s="1"/>
  <c r="AC160" i="30" s="1"/>
  <c r="AC161" i="30" s="1"/>
  <c r="AC162" i="30" s="1"/>
  <c r="AC163" i="30" s="1"/>
  <c r="AC164" i="30" s="1"/>
  <c r="AC165" i="30" s="1"/>
  <c r="AC166" i="30" s="1"/>
  <c r="AC167" i="30" s="1"/>
  <c r="AC168" i="30" s="1"/>
  <c r="AC169" i="30" s="1"/>
  <c r="AC170" i="30" s="1"/>
  <c r="AC171" i="30" s="1"/>
  <c r="AC172" i="30" s="1"/>
  <c r="AC173" i="30" s="1"/>
  <c r="AC174" i="30" s="1"/>
  <c r="AC175" i="30" s="1"/>
  <c r="AC176" i="30" s="1"/>
  <c r="AC177" i="30" s="1"/>
  <c r="AC178" i="30" s="1"/>
  <c r="AC179" i="30" s="1"/>
  <c r="AC180" i="30" s="1"/>
  <c r="AC181" i="30" s="1"/>
  <c r="AC182" i="30" s="1"/>
  <c r="AC183" i="30" s="1"/>
  <c r="AD143" i="30"/>
  <c r="AD144" i="30" s="1"/>
  <c r="AD145" i="30" s="1"/>
  <c r="AD146" i="30" s="1"/>
  <c r="AD147" i="30" s="1"/>
  <c r="AD148" i="30" s="1"/>
  <c r="AD149" i="30" s="1"/>
  <c r="AD150" i="30" s="1"/>
  <c r="AD151" i="30" s="1"/>
  <c r="AD152" i="30" s="1"/>
  <c r="AD153" i="30" s="1"/>
  <c r="AD154" i="30" s="1"/>
  <c r="AD155" i="30" s="1"/>
  <c r="AD156" i="30" s="1"/>
  <c r="AD157" i="30" s="1"/>
  <c r="AD158" i="30" s="1"/>
  <c r="AD159" i="30" s="1"/>
  <c r="AD160" i="30" s="1"/>
  <c r="AD161" i="30" s="1"/>
  <c r="AD162" i="30" s="1"/>
  <c r="AD163" i="30" s="1"/>
  <c r="AD164" i="30" s="1"/>
  <c r="AD165" i="30" s="1"/>
  <c r="AD166" i="30" s="1"/>
  <c r="AD167" i="30" s="1"/>
  <c r="AD168" i="30" s="1"/>
  <c r="AD169" i="30" s="1"/>
  <c r="AD170" i="30" s="1"/>
  <c r="AD171" i="30" s="1"/>
  <c r="AD172" i="30" s="1"/>
  <c r="AD173" i="30" s="1"/>
  <c r="AD174" i="30" s="1"/>
  <c r="AD175" i="30" s="1"/>
  <c r="AD176" i="30" s="1"/>
  <c r="AD177" i="30" s="1"/>
  <c r="AD178" i="30" s="1"/>
  <c r="AD179" i="30" s="1"/>
  <c r="AD180" i="30" s="1"/>
  <c r="AD181" i="30" s="1"/>
  <c r="AD182" i="30" s="1"/>
  <c r="AD183" i="30" s="1"/>
  <c r="AE143" i="30"/>
  <c r="AE144" i="30" s="1"/>
  <c r="AE145" i="30" s="1"/>
  <c r="AE146" i="30" s="1"/>
  <c r="AE147" i="30" s="1"/>
  <c r="AE148" i="30" s="1"/>
  <c r="AE149" i="30" s="1"/>
  <c r="AE150" i="30" s="1"/>
  <c r="AE151" i="30" s="1"/>
  <c r="AE152" i="30" s="1"/>
  <c r="AE153" i="30" s="1"/>
  <c r="AE154" i="30" s="1"/>
  <c r="AE155" i="30" s="1"/>
  <c r="AE156" i="30" s="1"/>
  <c r="AE157" i="30" s="1"/>
  <c r="AE158" i="30" s="1"/>
  <c r="AE159" i="30" s="1"/>
  <c r="AE160" i="30" s="1"/>
  <c r="AE161" i="30" s="1"/>
  <c r="AE162" i="30" s="1"/>
  <c r="AE163" i="30" s="1"/>
  <c r="AE164" i="30" s="1"/>
  <c r="AE165" i="30" s="1"/>
  <c r="AE166" i="30" s="1"/>
  <c r="AE167" i="30" s="1"/>
  <c r="AE168" i="30" s="1"/>
  <c r="AE169" i="30" s="1"/>
  <c r="AE170" i="30" s="1"/>
  <c r="AE171" i="30" s="1"/>
  <c r="AE172" i="30" s="1"/>
  <c r="AE173" i="30" s="1"/>
  <c r="AE174" i="30" s="1"/>
  <c r="AE175" i="30" s="1"/>
  <c r="AE176" i="30" s="1"/>
  <c r="AE177" i="30" s="1"/>
  <c r="AE178" i="30" s="1"/>
  <c r="AE179" i="30" s="1"/>
  <c r="AE180" i="30" s="1"/>
  <c r="AE181" i="30" s="1"/>
  <c r="AE182" i="30" s="1"/>
  <c r="AE183" i="30" s="1"/>
  <c r="AF143" i="30"/>
  <c r="AF144" i="30" s="1"/>
  <c r="AF145" i="30" s="1"/>
  <c r="AF146" i="30" s="1"/>
  <c r="AF147" i="30" s="1"/>
  <c r="AF148" i="30" s="1"/>
  <c r="AF149" i="30" s="1"/>
  <c r="AF150" i="30" s="1"/>
  <c r="AF151" i="30" s="1"/>
  <c r="AF152" i="30" s="1"/>
  <c r="AF153" i="30" s="1"/>
  <c r="AF154" i="30" s="1"/>
  <c r="AF155" i="30" s="1"/>
  <c r="AF156" i="30" s="1"/>
  <c r="AF157" i="30" s="1"/>
  <c r="AF158" i="30" s="1"/>
  <c r="AF159" i="30" s="1"/>
  <c r="AF160" i="30" s="1"/>
  <c r="AF161" i="30" s="1"/>
  <c r="AF162" i="30" s="1"/>
  <c r="AF163" i="30" s="1"/>
  <c r="AF164" i="30" s="1"/>
  <c r="AF165" i="30" s="1"/>
  <c r="AF166" i="30" s="1"/>
  <c r="AF167" i="30" s="1"/>
  <c r="AF168" i="30" s="1"/>
  <c r="AF169" i="30" s="1"/>
  <c r="AF170" i="30" s="1"/>
  <c r="AF171" i="30" s="1"/>
  <c r="AF172" i="30" s="1"/>
  <c r="AF173" i="30" s="1"/>
  <c r="AF174" i="30" s="1"/>
  <c r="AF175" i="30" s="1"/>
  <c r="AF176" i="30" s="1"/>
  <c r="AF177" i="30" s="1"/>
  <c r="AF178" i="30" s="1"/>
  <c r="AF179" i="30" s="1"/>
  <c r="AF180" i="30" s="1"/>
  <c r="AF181" i="30" s="1"/>
  <c r="AF182" i="30" s="1"/>
  <c r="AF183" i="30" s="1"/>
  <c r="Z143" i="30"/>
  <c r="Z144" i="30" s="1"/>
  <c r="Z145" i="30" s="1"/>
  <c r="Z146" i="30" s="1"/>
  <c r="Z147" i="30" s="1"/>
  <c r="Z148" i="30" s="1"/>
  <c r="Z149" i="30" s="1"/>
  <c r="Z150" i="30" s="1"/>
  <c r="Z151" i="30" s="1"/>
  <c r="Z152" i="30" s="1"/>
  <c r="Z153" i="30" s="1"/>
  <c r="Z154" i="30" s="1"/>
  <c r="Z155" i="30" s="1"/>
  <c r="Z156" i="30" s="1"/>
  <c r="Z157" i="30" s="1"/>
  <c r="Z158" i="30" s="1"/>
  <c r="Z159" i="30" s="1"/>
  <c r="Z160" i="30" s="1"/>
  <c r="Z161" i="30" s="1"/>
  <c r="Z162" i="30" s="1"/>
  <c r="Z163" i="30" s="1"/>
  <c r="Z164" i="30" s="1"/>
  <c r="Z165" i="30" s="1"/>
  <c r="Z166" i="30" s="1"/>
  <c r="Z167" i="30" s="1"/>
  <c r="Z168" i="30" s="1"/>
  <c r="Z169" i="30" s="1"/>
  <c r="Z170" i="30" s="1"/>
  <c r="Z171" i="30" s="1"/>
  <c r="Z172" i="30" s="1"/>
  <c r="Z173" i="30" s="1"/>
  <c r="Z174" i="30" s="1"/>
  <c r="Z175" i="30" s="1"/>
  <c r="Z176" i="30" s="1"/>
  <c r="Z177" i="30" s="1"/>
  <c r="Z178" i="30" s="1"/>
  <c r="Z179" i="30" s="1"/>
  <c r="Z180" i="30" s="1"/>
  <c r="Z181" i="30" s="1"/>
  <c r="Z182" i="30" s="1"/>
  <c r="Z183" i="30" s="1"/>
  <c r="AA99" i="30"/>
  <c r="AA100" i="30" s="1"/>
  <c r="AA101" i="30" s="1"/>
  <c r="AA102" i="30" s="1"/>
  <c r="AA103" i="30" s="1"/>
  <c r="AA104" i="30" s="1"/>
  <c r="AA105" i="30" s="1"/>
  <c r="AA106" i="30" s="1"/>
  <c r="AA107" i="30" s="1"/>
  <c r="AA108" i="30" s="1"/>
  <c r="AA109" i="30" s="1"/>
  <c r="AA110" i="30" s="1"/>
  <c r="AA111" i="30" s="1"/>
  <c r="AA112" i="30" s="1"/>
  <c r="AA113" i="30" s="1"/>
  <c r="AA114" i="30" s="1"/>
  <c r="AA115" i="30" s="1"/>
  <c r="AA116" i="30" s="1"/>
  <c r="AA117" i="30" s="1"/>
  <c r="AA118" i="30" s="1"/>
  <c r="AA119" i="30" s="1"/>
  <c r="AA120" i="30" s="1"/>
  <c r="AA121" i="30" s="1"/>
  <c r="AA122" i="30" s="1"/>
  <c r="AA123" i="30" s="1"/>
  <c r="AA124" i="30" s="1"/>
  <c r="AA125" i="30" s="1"/>
  <c r="AA126" i="30" s="1"/>
  <c r="AA127" i="30" s="1"/>
  <c r="AA128" i="30" s="1"/>
  <c r="AA129" i="30" s="1"/>
  <c r="AA130" i="30" s="1"/>
  <c r="AA131" i="30" s="1"/>
  <c r="AA132" i="30" s="1"/>
  <c r="AA133" i="30" s="1"/>
  <c r="AA134" i="30" s="1"/>
  <c r="AA135" i="30" s="1"/>
  <c r="AA136" i="30" s="1"/>
  <c r="AA137" i="30" s="1"/>
  <c r="AA138" i="30" s="1"/>
  <c r="AA139" i="30" s="1"/>
  <c r="AB99" i="30"/>
  <c r="AB100" i="30" s="1"/>
  <c r="AB101" i="30" s="1"/>
  <c r="AB102" i="30" s="1"/>
  <c r="AB103" i="30" s="1"/>
  <c r="AB104" i="30" s="1"/>
  <c r="AB105" i="30" s="1"/>
  <c r="AB106" i="30" s="1"/>
  <c r="AB107" i="30" s="1"/>
  <c r="AB108" i="30" s="1"/>
  <c r="AB109" i="30" s="1"/>
  <c r="AB110" i="30" s="1"/>
  <c r="AB111" i="30" s="1"/>
  <c r="AB112" i="30" s="1"/>
  <c r="AB113" i="30" s="1"/>
  <c r="AB114" i="30" s="1"/>
  <c r="AB115" i="30" s="1"/>
  <c r="AB116" i="30" s="1"/>
  <c r="AB117" i="30" s="1"/>
  <c r="AB118" i="30" s="1"/>
  <c r="AB119" i="30" s="1"/>
  <c r="AB120" i="30" s="1"/>
  <c r="AB121" i="30" s="1"/>
  <c r="AB122" i="30" s="1"/>
  <c r="AB123" i="30" s="1"/>
  <c r="AB124" i="30" s="1"/>
  <c r="AB125" i="30" s="1"/>
  <c r="AB126" i="30" s="1"/>
  <c r="AB127" i="30" s="1"/>
  <c r="AB128" i="30" s="1"/>
  <c r="AB129" i="30" s="1"/>
  <c r="AB130" i="30" s="1"/>
  <c r="AB131" i="30" s="1"/>
  <c r="AB132" i="30" s="1"/>
  <c r="AB133" i="30" s="1"/>
  <c r="AB134" i="30" s="1"/>
  <c r="AB135" i="30" s="1"/>
  <c r="AB136" i="30" s="1"/>
  <c r="AB137" i="30" s="1"/>
  <c r="AB138" i="30" s="1"/>
  <c r="AB139" i="30" s="1"/>
  <c r="AC99" i="30"/>
  <c r="AC100" i="30" s="1"/>
  <c r="AC101" i="30" s="1"/>
  <c r="AC102" i="30" s="1"/>
  <c r="AC103" i="30" s="1"/>
  <c r="AC104" i="30" s="1"/>
  <c r="AC105" i="30" s="1"/>
  <c r="AC106" i="30" s="1"/>
  <c r="AC107" i="30" s="1"/>
  <c r="AC108" i="30" s="1"/>
  <c r="AC109" i="30" s="1"/>
  <c r="AC110" i="30" s="1"/>
  <c r="AC111" i="30" s="1"/>
  <c r="AC112" i="30" s="1"/>
  <c r="AC113" i="30" s="1"/>
  <c r="AC114" i="30" s="1"/>
  <c r="AC115" i="30" s="1"/>
  <c r="AC116" i="30" s="1"/>
  <c r="AC117" i="30" s="1"/>
  <c r="AC118" i="30" s="1"/>
  <c r="AC119" i="30" s="1"/>
  <c r="AC120" i="30" s="1"/>
  <c r="AC121" i="30" s="1"/>
  <c r="AC122" i="30" s="1"/>
  <c r="AC123" i="30" s="1"/>
  <c r="AC124" i="30" s="1"/>
  <c r="AC125" i="30" s="1"/>
  <c r="AC126" i="30" s="1"/>
  <c r="AC127" i="30" s="1"/>
  <c r="AC128" i="30" s="1"/>
  <c r="AC129" i="30" s="1"/>
  <c r="AC130" i="30" s="1"/>
  <c r="AC131" i="30" s="1"/>
  <c r="AC132" i="30" s="1"/>
  <c r="AC133" i="30" s="1"/>
  <c r="AC134" i="30" s="1"/>
  <c r="AC135" i="30" s="1"/>
  <c r="AC136" i="30" s="1"/>
  <c r="AC137" i="30" s="1"/>
  <c r="AC138" i="30" s="1"/>
  <c r="AC139" i="30" s="1"/>
  <c r="AD99" i="30"/>
  <c r="AD100" i="30" s="1"/>
  <c r="AD101" i="30" s="1"/>
  <c r="AD102" i="30" s="1"/>
  <c r="AD103" i="30" s="1"/>
  <c r="AD104" i="30" s="1"/>
  <c r="AD105" i="30" s="1"/>
  <c r="AD106" i="30" s="1"/>
  <c r="AD107" i="30" s="1"/>
  <c r="AD108" i="30" s="1"/>
  <c r="AD109" i="30" s="1"/>
  <c r="AD110" i="30" s="1"/>
  <c r="AD111" i="30" s="1"/>
  <c r="AD112" i="30" s="1"/>
  <c r="AD113" i="30" s="1"/>
  <c r="AD114" i="30" s="1"/>
  <c r="AD115" i="30" s="1"/>
  <c r="AD116" i="30" s="1"/>
  <c r="AD117" i="30" s="1"/>
  <c r="AD118" i="30" s="1"/>
  <c r="AD119" i="30" s="1"/>
  <c r="AD120" i="30" s="1"/>
  <c r="AD121" i="30" s="1"/>
  <c r="AD122" i="30" s="1"/>
  <c r="AD123" i="30" s="1"/>
  <c r="AD124" i="30" s="1"/>
  <c r="AD125" i="30" s="1"/>
  <c r="AD126" i="30" s="1"/>
  <c r="AD127" i="30" s="1"/>
  <c r="AD128" i="30" s="1"/>
  <c r="AD129" i="30" s="1"/>
  <c r="AD130" i="30" s="1"/>
  <c r="AD131" i="30" s="1"/>
  <c r="AD132" i="30" s="1"/>
  <c r="AD133" i="30" s="1"/>
  <c r="AD134" i="30" s="1"/>
  <c r="AD135" i="30" s="1"/>
  <c r="AD136" i="30" s="1"/>
  <c r="AD137" i="30" s="1"/>
  <c r="AD138" i="30" s="1"/>
  <c r="AD139" i="30" s="1"/>
  <c r="AE99" i="30"/>
  <c r="AE100" i="30" s="1"/>
  <c r="AE101" i="30" s="1"/>
  <c r="AE102" i="30" s="1"/>
  <c r="AE103" i="30" s="1"/>
  <c r="AE104" i="30" s="1"/>
  <c r="AE105" i="30" s="1"/>
  <c r="AE106" i="30" s="1"/>
  <c r="AE107" i="30" s="1"/>
  <c r="AE108" i="30" s="1"/>
  <c r="AE109" i="30" s="1"/>
  <c r="AE110" i="30" s="1"/>
  <c r="AE111" i="30" s="1"/>
  <c r="AE112" i="30" s="1"/>
  <c r="AE113" i="30" s="1"/>
  <c r="AE114" i="30" s="1"/>
  <c r="AE115" i="30" s="1"/>
  <c r="AE116" i="30" s="1"/>
  <c r="AE117" i="30" s="1"/>
  <c r="AE118" i="30" s="1"/>
  <c r="AE119" i="30" s="1"/>
  <c r="AE120" i="30" s="1"/>
  <c r="AE121" i="30" s="1"/>
  <c r="AE122" i="30" s="1"/>
  <c r="AE123" i="30" s="1"/>
  <c r="AE124" i="30" s="1"/>
  <c r="AE125" i="30" s="1"/>
  <c r="AE126" i="30" s="1"/>
  <c r="AE127" i="30" s="1"/>
  <c r="AE128" i="30" s="1"/>
  <c r="AE129" i="30" s="1"/>
  <c r="AE130" i="30" s="1"/>
  <c r="AE131" i="30" s="1"/>
  <c r="AE132" i="30" s="1"/>
  <c r="AE133" i="30" s="1"/>
  <c r="AE134" i="30" s="1"/>
  <c r="AE135" i="30" s="1"/>
  <c r="AE136" i="30" s="1"/>
  <c r="AE137" i="30" s="1"/>
  <c r="AE138" i="30" s="1"/>
  <c r="AE139" i="30" s="1"/>
  <c r="AF99" i="30"/>
  <c r="AF100" i="30" s="1"/>
  <c r="AF101" i="30" s="1"/>
  <c r="AF102" i="30" s="1"/>
  <c r="AF103" i="30" s="1"/>
  <c r="AF104" i="30" s="1"/>
  <c r="AF105" i="30" s="1"/>
  <c r="AF106" i="30" s="1"/>
  <c r="AF107" i="30" s="1"/>
  <c r="AF108" i="30" s="1"/>
  <c r="AF109" i="30" s="1"/>
  <c r="AF110" i="30" s="1"/>
  <c r="AF111" i="30" s="1"/>
  <c r="AF112" i="30" s="1"/>
  <c r="AF113" i="30" s="1"/>
  <c r="AF114" i="30" s="1"/>
  <c r="AF115" i="30" s="1"/>
  <c r="AF116" i="30" s="1"/>
  <c r="AF117" i="30" s="1"/>
  <c r="AF118" i="30" s="1"/>
  <c r="AF119" i="30" s="1"/>
  <c r="AF120" i="30" s="1"/>
  <c r="AF121" i="30" s="1"/>
  <c r="AF122" i="30" s="1"/>
  <c r="AF123" i="30" s="1"/>
  <c r="AF124" i="30" s="1"/>
  <c r="AF125" i="30" s="1"/>
  <c r="AF126" i="30" s="1"/>
  <c r="AF127" i="30" s="1"/>
  <c r="AF128" i="30" s="1"/>
  <c r="AF129" i="30" s="1"/>
  <c r="AF130" i="30" s="1"/>
  <c r="AF131" i="30" s="1"/>
  <c r="AF132" i="30" s="1"/>
  <c r="AF133" i="30" s="1"/>
  <c r="AF134" i="30" s="1"/>
  <c r="AF135" i="30" s="1"/>
  <c r="AF136" i="30" s="1"/>
  <c r="AF137" i="30" s="1"/>
  <c r="AF138" i="30" s="1"/>
  <c r="AF139" i="30" s="1"/>
  <c r="Z99" i="30"/>
  <c r="Z100" i="30" s="1"/>
  <c r="Z101" i="30" s="1"/>
  <c r="Z102" i="30" s="1"/>
  <c r="Z103" i="30" s="1"/>
  <c r="Z104" i="30" s="1"/>
  <c r="Z105" i="30" s="1"/>
  <c r="Z106" i="30" s="1"/>
  <c r="Z107" i="30" s="1"/>
  <c r="Z108" i="30" s="1"/>
  <c r="Z109" i="30" s="1"/>
  <c r="Z110" i="30" s="1"/>
  <c r="Z111" i="30" s="1"/>
  <c r="Z112" i="30" s="1"/>
  <c r="Z113" i="30" s="1"/>
  <c r="Z114" i="30" s="1"/>
  <c r="Z115" i="30" s="1"/>
  <c r="Z116" i="30" s="1"/>
  <c r="Z117" i="30" s="1"/>
  <c r="Z118" i="30" s="1"/>
  <c r="Z119" i="30" s="1"/>
  <c r="Z120" i="30" s="1"/>
  <c r="Z121" i="30" s="1"/>
  <c r="Z122" i="30" s="1"/>
  <c r="Z123" i="30" s="1"/>
  <c r="Z124" i="30" s="1"/>
  <c r="Z125" i="30" s="1"/>
  <c r="Z126" i="30" s="1"/>
  <c r="Z127" i="30" s="1"/>
  <c r="Z128" i="30" s="1"/>
  <c r="Z129" i="30" s="1"/>
  <c r="Z130" i="30" s="1"/>
  <c r="Z131" i="30" s="1"/>
  <c r="Z132" i="30" s="1"/>
  <c r="Z133" i="30" s="1"/>
  <c r="Z134" i="30" s="1"/>
  <c r="Z135" i="30" s="1"/>
  <c r="Z136" i="30" s="1"/>
  <c r="Z137" i="30" s="1"/>
  <c r="Z138" i="30" s="1"/>
  <c r="Z139" i="30" s="1"/>
  <c r="AA56" i="30"/>
  <c r="AA57" i="30" s="1"/>
  <c r="AA58" i="30" s="1"/>
  <c r="AA59" i="30" s="1"/>
  <c r="AA60" i="30" s="1"/>
  <c r="AA61" i="30" s="1"/>
  <c r="AA62" i="30" s="1"/>
  <c r="AA63" i="30" s="1"/>
  <c r="AA64" i="30" s="1"/>
  <c r="AA65" i="30" s="1"/>
  <c r="AA66" i="30" s="1"/>
  <c r="AA67" i="30" s="1"/>
  <c r="AA68" i="30" s="1"/>
  <c r="AA69" i="30" s="1"/>
  <c r="AA70" i="30" s="1"/>
  <c r="AA71" i="30" s="1"/>
  <c r="AA72" i="30" s="1"/>
  <c r="AA73" i="30" s="1"/>
  <c r="AA74" i="30" s="1"/>
  <c r="AA75" i="30" s="1"/>
  <c r="AA76" i="30" s="1"/>
  <c r="AA77" i="30" s="1"/>
  <c r="AA78" i="30" s="1"/>
  <c r="AA79" i="30" s="1"/>
  <c r="AA80" i="30" s="1"/>
  <c r="AA81" i="30" s="1"/>
  <c r="AA82" i="30" s="1"/>
  <c r="AA83" i="30" s="1"/>
  <c r="AA84" i="30" s="1"/>
  <c r="AA85" i="30" s="1"/>
  <c r="AA86" i="30" s="1"/>
  <c r="AA87" i="30" s="1"/>
  <c r="AA88" i="30" s="1"/>
  <c r="AA89" i="30" s="1"/>
  <c r="AA90" i="30" s="1"/>
  <c r="AA91" i="30" s="1"/>
  <c r="AA92" i="30" s="1"/>
  <c r="AA93" i="30" s="1"/>
  <c r="AA94" i="30" s="1"/>
  <c r="AA95" i="30" s="1"/>
  <c r="AB56" i="30"/>
  <c r="AB57" i="30" s="1"/>
  <c r="AB58" i="30" s="1"/>
  <c r="AB59" i="30" s="1"/>
  <c r="AB60" i="30" s="1"/>
  <c r="AB61" i="30" s="1"/>
  <c r="AB62" i="30" s="1"/>
  <c r="AB63" i="30" s="1"/>
  <c r="AB64" i="30" s="1"/>
  <c r="AB65" i="30" s="1"/>
  <c r="AB66" i="30" s="1"/>
  <c r="AB67" i="30" s="1"/>
  <c r="AB68" i="30" s="1"/>
  <c r="AB69" i="30" s="1"/>
  <c r="AB70" i="30" s="1"/>
  <c r="AB71" i="30" s="1"/>
  <c r="AB72" i="30" s="1"/>
  <c r="AB73" i="30" s="1"/>
  <c r="AB74" i="30" s="1"/>
  <c r="AB75" i="30" s="1"/>
  <c r="AB76" i="30" s="1"/>
  <c r="AB77" i="30" s="1"/>
  <c r="AB78" i="30" s="1"/>
  <c r="AB79" i="30" s="1"/>
  <c r="AB80" i="30" s="1"/>
  <c r="AB81" i="30" s="1"/>
  <c r="AB82" i="30" s="1"/>
  <c r="AB83" i="30" s="1"/>
  <c r="AB84" i="30" s="1"/>
  <c r="AB85" i="30" s="1"/>
  <c r="AB86" i="30" s="1"/>
  <c r="AB87" i="30" s="1"/>
  <c r="AB88" i="30" s="1"/>
  <c r="AB89" i="30" s="1"/>
  <c r="AB90" i="30" s="1"/>
  <c r="AB91" i="30" s="1"/>
  <c r="AB92" i="30" s="1"/>
  <c r="AB93" i="30" s="1"/>
  <c r="AB94" i="30" s="1"/>
  <c r="AB95" i="30" s="1"/>
  <c r="AC56" i="30"/>
  <c r="AC57" i="30" s="1"/>
  <c r="AC58" i="30" s="1"/>
  <c r="AC59" i="30" s="1"/>
  <c r="AC60" i="30" s="1"/>
  <c r="AC61" i="30" s="1"/>
  <c r="AC62" i="30" s="1"/>
  <c r="AC63" i="30" s="1"/>
  <c r="AC64" i="30" s="1"/>
  <c r="AC65" i="30" s="1"/>
  <c r="AC66" i="30" s="1"/>
  <c r="AC67" i="30" s="1"/>
  <c r="AC68" i="30" s="1"/>
  <c r="AC69" i="30" s="1"/>
  <c r="AC70" i="30" s="1"/>
  <c r="AC71" i="30" s="1"/>
  <c r="AC72" i="30" s="1"/>
  <c r="AC73" i="30" s="1"/>
  <c r="AC74" i="30" s="1"/>
  <c r="AC75" i="30" s="1"/>
  <c r="AC76" i="30" s="1"/>
  <c r="AC77" i="30" s="1"/>
  <c r="AC78" i="30" s="1"/>
  <c r="AC79" i="30" s="1"/>
  <c r="AC80" i="30" s="1"/>
  <c r="AC81" i="30" s="1"/>
  <c r="AC82" i="30" s="1"/>
  <c r="AC83" i="30" s="1"/>
  <c r="AC84" i="30" s="1"/>
  <c r="AC85" i="30" s="1"/>
  <c r="AC86" i="30" s="1"/>
  <c r="AC87" i="30" s="1"/>
  <c r="AC88" i="30" s="1"/>
  <c r="AC89" i="30" s="1"/>
  <c r="AC90" i="30" s="1"/>
  <c r="AC91" i="30" s="1"/>
  <c r="AC92" i="30" s="1"/>
  <c r="AC93" i="30" s="1"/>
  <c r="AC94" i="30" s="1"/>
  <c r="AC95" i="30" s="1"/>
  <c r="AD56" i="30"/>
  <c r="AD57" i="30" s="1"/>
  <c r="AD58" i="30" s="1"/>
  <c r="AD59" i="30" s="1"/>
  <c r="AD60" i="30" s="1"/>
  <c r="AD61" i="30" s="1"/>
  <c r="AD62" i="30" s="1"/>
  <c r="AD63" i="30" s="1"/>
  <c r="AD64" i="30" s="1"/>
  <c r="AD65" i="30" s="1"/>
  <c r="AD66" i="30" s="1"/>
  <c r="AD67" i="30" s="1"/>
  <c r="AD68" i="30" s="1"/>
  <c r="AD69" i="30" s="1"/>
  <c r="AD70" i="30" s="1"/>
  <c r="AD71" i="30" s="1"/>
  <c r="AD72" i="30" s="1"/>
  <c r="AD73" i="30" s="1"/>
  <c r="AD74" i="30" s="1"/>
  <c r="AD75" i="30" s="1"/>
  <c r="AD76" i="30" s="1"/>
  <c r="AD77" i="30" s="1"/>
  <c r="AD78" i="30" s="1"/>
  <c r="AD79" i="30" s="1"/>
  <c r="AD80" i="30" s="1"/>
  <c r="AD81" i="30" s="1"/>
  <c r="AD82" i="30" s="1"/>
  <c r="AD83" i="30" s="1"/>
  <c r="AD84" i="30" s="1"/>
  <c r="AD85" i="30" s="1"/>
  <c r="AD86" i="30" s="1"/>
  <c r="AD87" i="30" s="1"/>
  <c r="AD88" i="30" s="1"/>
  <c r="AD89" i="30" s="1"/>
  <c r="AD90" i="30" s="1"/>
  <c r="AD91" i="30" s="1"/>
  <c r="AD92" i="30" s="1"/>
  <c r="AD93" i="30" s="1"/>
  <c r="AD94" i="30" s="1"/>
  <c r="AD95" i="30" s="1"/>
  <c r="AE56" i="30"/>
  <c r="AE57" i="30" s="1"/>
  <c r="AE58" i="30" s="1"/>
  <c r="AE59" i="30" s="1"/>
  <c r="AE60" i="30" s="1"/>
  <c r="AE61" i="30" s="1"/>
  <c r="AE62" i="30" s="1"/>
  <c r="AE63" i="30" s="1"/>
  <c r="AE64" i="30" s="1"/>
  <c r="AE65" i="30" s="1"/>
  <c r="AE66" i="30" s="1"/>
  <c r="AE67" i="30" s="1"/>
  <c r="AE68" i="30" s="1"/>
  <c r="AE69" i="30" s="1"/>
  <c r="AE70" i="30" s="1"/>
  <c r="AE71" i="30" s="1"/>
  <c r="AE72" i="30" s="1"/>
  <c r="AE73" i="30" s="1"/>
  <c r="AE74" i="30" s="1"/>
  <c r="AE75" i="30" s="1"/>
  <c r="AE76" i="30" s="1"/>
  <c r="AE77" i="30" s="1"/>
  <c r="AE78" i="30" s="1"/>
  <c r="AE79" i="30" s="1"/>
  <c r="AE80" i="30" s="1"/>
  <c r="AE81" i="30" s="1"/>
  <c r="AE82" i="30" s="1"/>
  <c r="AE83" i="30" s="1"/>
  <c r="AE84" i="30" s="1"/>
  <c r="AE85" i="30" s="1"/>
  <c r="AE86" i="30" s="1"/>
  <c r="AE87" i="30" s="1"/>
  <c r="AE88" i="30" s="1"/>
  <c r="AE89" i="30" s="1"/>
  <c r="AE90" i="30" s="1"/>
  <c r="AE91" i="30" s="1"/>
  <c r="AE92" i="30" s="1"/>
  <c r="AE93" i="30" s="1"/>
  <c r="AE94" i="30" s="1"/>
  <c r="AE95" i="30" s="1"/>
  <c r="AF56" i="30"/>
  <c r="AF57" i="30" s="1"/>
  <c r="AF58" i="30" s="1"/>
  <c r="AF59" i="30" s="1"/>
  <c r="AF60" i="30" s="1"/>
  <c r="AF61" i="30" s="1"/>
  <c r="AF62" i="30" s="1"/>
  <c r="AF63" i="30" s="1"/>
  <c r="AF64" i="30" s="1"/>
  <c r="AF65" i="30" s="1"/>
  <c r="AF66" i="30" s="1"/>
  <c r="AF67" i="30" s="1"/>
  <c r="AF68" i="30" s="1"/>
  <c r="AF69" i="30" s="1"/>
  <c r="AF70" i="30" s="1"/>
  <c r="AF71" i="30" s="1"/>
  <c r="AF72" i="30" s="1"/>
  <c r="AF73" i="30" s="1"/>
  <c r="AF74" i="30" s="1"/>
  <c r="AF75" i="30" s="1"/>
  <c r="AF76" i="30" s="1"/>
  <c r="AF77" i="30" s="1"/>
  <c r="AF78" i="30" s="1"/>
  <c r="AF79" i="30" s="1"/>
  <c r="AF80" i="30" s="1"/>
  <c r="AF81" i="30" s="1"/>
  <c r="AF82" i="30" s="1"/>
  <c r="AF83" i="30" s="1"/>
  <c r="AF84" i="30" s="1"/>
  <c r="AF85" i="30" s="1"/>
  <c r="AF86" i="30" s="1"/>
  <c r="AF87" i="30" s="1"/>
  <c r="AF88" i="30" s="1"/>
  <c r="AF89" i="30" s="1"/>
  <c r="AF90" i="30" s="1"/>
  <c r="AF91" i="30" s="1"/>
  <c r="AF92" i="30" s="1"/>
  <c r="AF93" i="30" s="1"/>
  <c r="AF94" i="30" s="1"/>
  <c r="AF95" i="30" s="1"/>
  <c r="Z56" i="30"/>
  <c r="Z57" i="30" s="1"/>
  <c r="Z58" i="30" s="1"/>
  <c r="Z59" i="30" s="1"/>
  <c r="Z60" i="30" s="1"/>
  <c r="Z61" i="30" s="1"/>
  <c r="Z62" i="30" s="1"/>
  <c r="Z63" i="30" s="1"/>
  <c r="Z64" i="30" s="1"/>
  <c r="Z65" i="30" s="1"/>
  <c r="Z66" i="30" s="1"/>
  <c r="Z67" i="30" s="1"/>
  <c r="Z68" i="30" s="1"/>
  <c r="Z69" i="30" s="1"/>
  <c r="Z70" i="30" s="1"/>
  <c r="Z71" i="30" s="1"/>
  <c r="Z72" i="30" s="1"/>
  <c r="Z73" i="30" s="1"/>
  <c r="Z74" i="30" s="1"/>
  <c r="Z75" i="30" s="1"/>
  <c r="Z76" i="30" s="1"/>
  <c r="Z77" i="30" s="1"/>
  <c r="Z78" i="30" s="1"/>
  <c r="Z79" i="30" s="1"/>
  <c r="Z80" i="30" s="1"/>
  <c r="Z81" i="30" s="1"/>
  <c r="Z82" i="30" s="1"/>
  <c r="Z83" i="30" s="1"/>
  <c r="Z84" i="30" s="1"/>
  <c r="Z85" i="30" s="1"/>
  <c r="Z86" i="30" s="1"/>
  <c r="Z87" i="30" s="1"/>
  <c r="Z88" i="30" s="1"/>
  <c r="Z89" i="30" s="1"/>
  <c r="Z90" i="30" s="1"/>
  <c r="Z91" i="30" s="1"/>
  <c r="Z92" i="30" s="1"/>
  <c r="Z93" i="30" s="1"/>
  <c r="Z94" i="30" s="1"/>
  <c r="Z95" i="30" s="1"/>
  <c r="AA55" i="30"/>
  <c r="AB55" i="30"/>
  <c r="AC55" i="30"/>
  <c r="AD55" i="30"/>
  <c r="AE55" i="30"/>
  <c r="AF55" i="30"/>
  <c r="Z55" i="30"/>
  <c r="AA12" i="30"/>
  <c r="AA13" i="30" s="1"/>
  <c r="AA14" i="30" s="1"/>
  <c r="AA15" i="30" s="1"/>
  <c r="AA16" i="30" s="1"/>
  <c r="AA17" i="30" s="1"/>
  <c r="AA18" i="30" s="1"/>
  <c r="AA19" i="30" s="1"/>
  <c r="AA20" i="30" s="1"/>
  <c r="AA21" i="30" s="1"/>
  <c r="AA22" i="30" s="1"/>
  <c r="AA23" i="30" s="1"/>
  <c r="AA24" i="30" s="1"/>
  <c r="AA25" i="30" s="1"/>
  <c r="AA26" i="30" s="1"/>
  <c r="AA27" i="30" s="1"/>
  <c r="AA28" i="30" s="1"/>
  <c r="AA29" i="30" s="1"/>
  <c r="AA30" i="30" s="1"/>
  <c r="AA31" i="30" s="1"/>
  <c r="AA32" i="30" s="1"/>
  <c r="AA33" i="30" s="1"/>
  <c r="AA34" i="30" s="1"/>
  <c r="AA35" i="30" s="1"/>
  <c r="AA36" i="30" s="1"/>
  <c r="AA37" i="30" s="1"/>
  <c r="AA38" i="30" s="1"/>
  <c r="AA39" i="30" s="1"/>
  <c r="AA40" i="30" s="1"/>
  <c r="AA41" i="30" s="1"/>
  <c r="AA42" i="30" s="1"/>
  <c r="AA43" i="30" s="1"/>
  <c r="AA44" i="30" s="1"/>
  <c r="AA45" i="30" s="1"/>
  <c r="AA46" i="30" s="1"/>
  <c r="AA47" i="30" s="1"/>
  <c r="AA48" i="30" s="1"/>
  <c r="AA49" i="30" s="1"/>
  <c r="AA50" i="30" s="1"/>
  <c r="AA51" i="30" s="1"/>
  <c r="AB12" i="30"/>
  <c r="AB13" i="30" s="1"/>
  <c r="AB14" i="30" s="1"/>
  <c r="AB15" i="30" s="1"/>
  <c r="AB16" i="30" s="1"/>
  <c r="AB17" i="30" s="1"/>
  <c r="AB18" i="30" s="1"/>
  <c r="AB19" i="30" s="1"/>
  <c r="AB20" i="30" s="1"/>
  <c r="AB21" i="30" s="1"/>
  <c r="AB22" i="30" s="1"/>
  <c r="AB23" i="30" s="1"/>
  <c r="AB24" i="30" s="1"/>
  <c r="AB25" i="30" s="1"/>
  <c r="AB26" i="30" s="1"/>
  <c r="AB27" i="30" s="1"/>
  <c r="AB28" i="30" s="1"/>
  <c r="AB29" i="30" s="1"/>
  <c r="AB30" i="30" s="1"/>
  <c r="AB31" i="30" s="1"/>
  <c r="AB32" i="30" s="1"/>
  <c r="AB33" i="30" s="1"/>
  <c r="AB34" i="30" s="1"/>
  <c r="AB35" i="30" s="1"/>
  <c r="AB36" i="30" s="1"/>
  <c r="AB37" i="30" s="1"/>
  <c r="AB38" i="30" s="1"/>
  <c r="AB39" i="30" s="1"/>
  <c r="AB40" i="30" s="1"/>
  <c r="AB41" i="30" s="1"/>
  <c r="AB42" i="30" s="1"/>
  <c r="AB43" i="30" s="1"/>
  <c r="AB44" i="30" s="1"/>
  <c r="AB45" i="30" s="1"/>
  <c r="AB46" i="30" s="1"/>
  <c r="AB47" i="30" s="1"/>
  <c r="AB48" i="30" s="1"/>
  <c r="AB49" i="30" s="1"/>
  <c r="AB50" i="30" s="1"/>
  <c r="AB51" i="30" s="1"/>
  <c r="AC12" i="30"/>
  <c r="AC13" i="30" s="1"/>
  <c r="AC14" i="30" s="1"/>
  <c r="AC15" i="30" s="1"/>
  <c r="AC16" i="30" s="1"/>
  <c r="AC17" i="30" s="1"/>
  <c r="AC18" i="30" s="1"/>
  <c r="AC19" i="30" s="1"/>
  <c r="AC20" i="30" s="1"/>
  <c r="AC21" i="30" s="1"/>
  <c r="AC22" i="30" s="1"/>
  <c r="AC23" i="30" s="1"/>
  <c r="AC24" i="30" s="1"/>
  <c r="AC25" i="30" s="1"/>
  <c r="AC26" i="30" s="1"/>
  <c r="AC27" i="30" s="1"/>
  <c r="AC28" i="30" s="1"/>
  <c r="AC29" i="30" s="1"/>
  <c r="AC30" i="30" s="1"/>
  <c r="AC31" i="30" s="1"/>
  <c r="AC32" i="30" s="1"/>
  <c r="AC33" i="30" s="1"/>
  <c r="AC34" i="30" s="1"/>
  <c r="AC35" i="30" s="1"/>
  <c r="AC36" i="30" s="1"/>
  <c r="AC37" i="30" s="1"/>
  <c r="AC38" i="30" s="1"/>
  <c r="AC39" i="30" s="1"/>
  <c r="AC40" i="30" s="1"/>
  <c r="AC41" i="30" s="1"/>
  <c r="AC42" i="30" s="1"/>
  <c r="AC43" i="30" s="1"/>
  <c r="AC44" i="30" s="1"/>
  <c r="AC45" i="30" s="1"/>
  <c r="AC46" i="30" s="1"/>
  <c r="AC47" i="30" s="1"/>
  <c r="AC48" i="30" s="1"/>
  <c r="AC49" i="30" s="1"/>
  <c r="AC50" i="30" s="1"/>
  <c r="AC51" i="30" s="1"/>
  <c r="AD12" i="30"/>
  <c r="AD13" i="30" s="1"/>
  <c r="AD14" i="30" s="1"/>
  <c r="AD15" i="30" s="1"/>
  <c r="AD16" i="30" s="1"/>
  <c r="AD17" i="30" s="1"/>
  <c r="AD18" i="30" s="1"/>
  <c r="AD19" i="30" s="1"/>
  <c r="AD20" i="30" s="1"/>
  <c r="AD21" i="30" s="1"/>
  <c r="AD22" i="30" s="1"/>
  <c r="AD23" i="30" s="1"/>
  <c r="AD24" i="30" s="1"/>
  <c r="AD25" i="30" s="1"/>
  <c r="AD26" i="30" s="1"/>
  <c r="AD27" i="30" s="1"/>
  <c r="AD28" i="30" s="1"/>
  <c r="AD29" i="30" s="1"/>
  <c r="AD30" i="30" s="1"/>
  <c r="AD31" i="30" s="1"/>
  <c r="AD32" i="30" s="1"/>
  <c r="AD33" i="30" s="1"/>
  <c r="AD34" i="30" s="1"/>
  <c r="AD35" i="30" s="1"/>
  <c r="AD36" i="30" s="1"/>
  <c r="AD37" i="30" s="1"/>
  <c r="AD38" i="30" s="1"/>
  <c r="AD39" i="30" s="1"/>
  <c r="AD40" i="30" s="1"/>
  <c r="AD41" i="30" s="1"/>
  <c r="AD42" i="30" s="1"/>
  <c r="AD43" i="30" s="1"/>
  <c r="AD44" i="30" s="1"/>
  <c r="AD45" i="30" s="1"/>
  <c r="AD46" i="30" s="1"/>
  <c r="AD47" i="30" s="1"/>
  <c r="AD48" i="30" s="1"/>
  <c r="AD49" i="30" s="1"/>
  <c r="AD50" i="30" s="1"/>
  <c r="AD51" i="30" s="1"/>
  <c r="AE12" i="30"/>
  <c r="AE13" i="30" s="1"/>
  <c r="AE14" i="30" s="1"/>
  <c r="AE15" i="30" s="1"/>
  <c r="AE16" i="30" s="1"/>
  <c r="AE17" i="30" s="1"/>
  <c r="AE18" i="30" s="1"/>
  <c r="AE19" i="30" s="1"/>
  <c r="AE20" i="30" s="1"/>
  <c r="AE21" i="30" s="1"/>
  <c r="AE22" i="30" s="1"/>
  <c r="AE23" i="30" s="1"/>
  <c r="AE24" i="30" s="1"/>
  <c r="AE25" i="30" s="1"/>
  <c r="AE26" i="30" s="1"/>
  <c r="AE27" i="30" s="1"/>
  <c r="AE28" i="30" s="1"/>
  <c r="AE29" i="30" s="1"/>
  <c r="AE30" i="30" s="1"/>
  <c r="AE31" i="30" s="1"/>
  <c r="AE32" i="30" s="1"/>
  <c r="AE33" i="30" s="1"/>
  <c r="AE34" i="30" s="1"/>
  <c r="AE35" i="30" s="1"/>
  <c r="AE36" i="30" s="1"/>
  <c r="AE37" i="30" s="1"/>
  <c r="AE38" i="30" s="1"/>
  <c r="AE39" i="30" s="1"/>
  <c r="AE40" i="30" s="1"/>
  <c r="AE41" i="30" s="1"/>
  <c r="AE42" i="30" s="1"/>
  <c r="AE43" i="30" s="1"/>
  <c r="AE44" i="30" s="1"/>
  <c r="AE45" i="30" s="1"/>
  <c r="AE46" i="30" s="1"/>
  <c r="AE47" i="30" s="1"/>
  <c r="AE48" i="30" s="1"/>
  <c r="AE49" i="30" s="1"/>
  <c r="AE50" i="30" s="1"/>
  <c r="AE51" i="30" s="1"/>
  <c r="AF12" i="30"/>
  <c r="AF13" i="30" s="1"/>
  <c r="AF14" i="30" s="1"/>
  <c r="AF15" i="30" s="1"/>
  <c r="AF16" i="30" s="1"/>
  <c r="AF17" i="30" s="1"/>
  <c r="AF18" i="30" s="1"/>
  <c r="AF19" i="30" s="1"/>
  <c r="AF20" i="30" s="1"/>
  <c r="AF21" i="30" s="1"/>
  <c r="AF22" i="30" s="1"/>
  <c r="AF23" i="30" s="1"/>
  <c r="AF24" i="30" s="1"/>
  <c r="AF25" i="30" s="1"/>
  <c r="AF26" i="30" s="1"/>
  <c r="AF27" i="30" s="1"/>
  <c r="AF28" i="30" s="1"/>
  <c r="AF29" i="30" s="1"/>
  <c r="AF30" i="30" s="1"/>
  <c r="AF31" i="30" s="1"/>
  <c r="AF32" i="30" s="1"/>
  <c r="AF33" i="30" s="1"/>
  <c r="AF34" i="30" s="1"/>
  <c r="AF35" i="30" s="1"/>
  <c r="AF36" i="30" s="1"/>
  <c r="AF37" i="30" s="1"/>
  <c r="AF38" i="30" s="1"/>
  <c r="AF39" i="30" s="1"/>
  <c r="AF40" i="30" s="1"/>
  <c r="AF41" i="30" s="1"/>
  <c r="AF42" i="30" s="1"/>
  <c r="AF43" i="30" s="1"/>
  <c r="AF44" i="30" s="1"/>
  <c r="AF45" i="30" s="1"/>
  <c r="AF46" i="30" s="1"/>
  <c r="AF47" i="30" s="1"/>
  <c r="AF48" i="30" s="1"/>
  <c r="AF49" i="30" s="1"/>
  <c r="AF50" i="30" s="1"/>
  <c r="AF51" i="30" s="1"/>
  <c r="Z12" i="30"/>
  <c r="Z13" i="30" s="1"/>
  <c r="Z14" i="30" s="1"/>
  <c r="Z15" i="30" s="1"/>
  <c r="Z16" i="30" s="1"/>
  <c r="Z17" i="30" s="1"/>
  <c r="Z18" i="30" s="1"/>
  <c r="Z19" i="30" s="1"/>
  <c r="Z20" i="30" s="1"/>
  <c r="Z21" i="30" s="1"/>
  <c r="Z22" i="30" s="1"/>
  <c r="Z23" i="30" s="1"/>
  <c r="Z24" i="30" s="1"/>
  <c r="Z25" i="30" s="1"/>
  <c r="Z26" i="30" s="1"/>
  <c r="Z27" i="30" s="1"/>
  <c r="Z28" i="30" s="1"/>
  <c r="Z29" i="30" s="1"/>
  <c r="Z30" i="30" s="1"/>
  <c r="Z31" i="30" s="1"/>
  <c r="Z32" i="30" s="1"/>
  <c r="Z33" i="30" s="1"/>
  <c r="Z34" i="30" s="1"/>
  <c r="Z35" i="30" s="1"/>
  <c r="Z36" i="30" s="1"/>
  <c r="Z37" i="30" s="1"/>
  <c r="Z38" i="30" s="1"/>
  <c r="Z39" i="30" s="1"/>
  <c r="Z40" i="30" s="1"/>
  <c r="Z41" i="30" s="1"/>
  <c r="Z42" i="30" s="1"/>
  <c r="Z43" i="30" s="1"/>
  <c r="Z44" i="30" s="1"/>
  <c r="Z45" i="30" s="1"/>
  <c r="Z46" i="30" s="1"/>
  <c r="Z47" i="30" s="1"/>
  <c r="Z48" i="30" s="1"/>
  <c r="Z49" i="30" s="1"/>
  <c r="Z50" i="30" s="1"/>
  <c r="Z51" i="30" s="1"/>
  <c r="AA11" i="30"/>
  <c r="AB11" i="30"/>
  <c r="AC11" i="30"/>
  <c r="AD11" i="30"/>
  <c r="AE11" i="30"/>
  <c r="AF11" i="30"/>
  <c r="Z11" i="30"/>
  <c r="AN227" i="30"/>
  <c r="AN226" i="30"/>
  <c r="AN225" i="30"/>
  <c r="AN224" i="30"/>
  <c r="AN223" i="30"/>
  <c r="AN222" i="30"/>
  <c r="AN221" i="30"/>
  <c r="AN220" i="30"/>
  <c r="AN219" i="30"/>
  <c r="AN218" i="30"/>
  <c r="AN217" i="30"/>
  <c r="AN216" i="30"/>
  <c r="AN215" i="30"/>
  <c r="AN214" i="30"/>
  <c r="AN213" i="30"/>
  <c r="AN212" i="30"/>
  <c r="AN211" i="30"/>
  <c r="AN210" i="30"/>
  <c r="AN209" i="30"/>
  <c r="AN208" i="30"/>
  <c r="AN207" i="30"/>
  <c r="AN206" i="30"/>
  <c r="AN205" i="30"/>
  <c r="AN204" i="30"/>
  <c r="AN203" i="30"/>
  <c r="AN202" i="30"/>
  <c r="AN201" i="30"/>
  <c r="AN200" i="30"/>
  <c r="AN199" i="30"/>
  <c r="AN198" i="30"/>
  <c r="AN197" i="30"/>
  <c r="AN196" i="30"/>
  <c r="AN195" i="30"/>
  <c r="AN194" i="30"/>
  <c r="AN193" i="30"/>
  <c r="AN192" i="30"/>
  <c r="AN191" i="30"/>
  <c r="AN190" i="30"/>
  <c r="AN189" i="30"/>
  <c r="AN188" i="30"/>
  <c r="AN187" i="30"/>
  <c r="AN186" i="30"/>
  <c r="AN185" i="30"/>
  <c r="AN183" i="30"/>
  <c r="AN182" i="30"/>
  <c r="AN181" i="30"/>
  <c r="AN180" i="30"/>
  <c r="AN179" i="30"/>
  <c r="AN178" i="30"/>
  <c r="AN177" i="30"/>
  <c r="AN176" i="30"/>
  <c r="AN175" i="30"/>
  <c r="AN174" i="30"/>
  <c r="AN173" i="30"/>
  <c r="AN172" i="30"/>
  <c r="AN171" i="30"/>
  <c r="AN170" i="30"/>
  <c r="AN169" i="30"/>
  <c r="AN168" i="30"/>
  <c r="AN167" i="30"/>
  <c r="AN166" i="30"/>
  <c r="AN165" i="30"/>
  <c r="AN164" i="30"/>
  <c r="AN163" i="30"/>
  <c r="AN162" i="30"/>
  <c r="AN161" i="30"/>
  <c r="AN160" i="30"/>
  <c r="AN159" i="30"/>
  <c r="AN158" i="30"/>
  <c r="AN157" i="30"/>
  <c r="AN156" i="30"/>
  <c r="AN155" i="30"/>
  <c r="AN154" i="30"/>
  <c r="AN153" i="30"/>
  <c r="AN152" i="30"/>
  <c r="AN151" i="30"/>
  <c r="AN150" i="30"/>
  <c r="AN149" i="30"/>
  <c r="AN148" i="30"/>
  <c r="AN147" i="30"/>
  <c r="AN146" i="30"/>
  <c r="AN145" i="30"/>
  <c r="AN144" i="30"/>
  <c r="AN143" i="30"/>
  <c r="AN142" i="30"/>
  <c r="AN141" i="30"/>
  <c r="AN139" i="30"/>
  <c r="AN138" i="30"/>
  <c r="AN137" i="30"/>
  <c r="AN136" i="30"/>
  <c r="AN135" i="30"/>
  <c r="AN134" i="30"/>
  <c r="AN133" i="30"/>
  <c r="AN132" i="30"/>
  <c r="AN131" i="30"/>
  <c r="AN130" i="30"/>
  <c r="AN129" i="30"/>
  <c r="AN128" i="30"/>
  <c r="AN127" i="30"/>
  <c r="AN126" i="30"/>
  <c r="AN125" i="30"/>
  <c r="AN124" i="30"/>
  <c r="AN123" i="30"/>
  <c r="AN122" i="30"/>
  <c r="AN121" i="30"/>
  <c r="AN120" i="30"/>
  <c r="AN119" i="30"/>
  <c r="AN118" i="30"/>
  <c r="AN117" i="30"/>
  <c r="AN116" i="30"/>
  <c r="AN115" i="30"/>
  <c r="AN114" i="30"/>
  <c r="AN113" i="30"/>
  <c r="AN112" i="30"/>
  <c r="AN111" i="30"/>
  <c r="AN110" i="30"/>
  <c r="AN109" i="30"/>
  <c r="AN108" i="30"/>
  <c r="AN107" i="30"/>
  <c r="AN106" i="30"/>
  <c r="AN105" i="30"/>
  <c r="AN104" i="30"/>
  <c r="AN103" i="30"/>
  <c r="AN102" i="30"/>
  <c r="AN101" i="30"/>
  <c r="AN100" i="30"/>
  <c r="AN99" i="30"/>
  <c r="AN98" i="30"/>
  <c r="AN97" i="30"/>
  <c r="AN95" i="30"/>
  <c r="AN94" i="30"/>
  <c r="AN93" i="30"/>
  <c r="AN92" i="30"/>
  <c r="AN91" i="30"/>
  <c r="AN90" i="30"/>
  <c r="AN89" i="30"/>
  <c r="AN88" i="30"/>
  <c r="AN87" i="30"/>
  <c r="AN86" i="30"/>
  <c r="AN85" i="30"/>
  <c r="AN84" i="30"/>
  <c r="AN83" i="30"/>
  <c r="AN82" i="30"/>
  <c r="AN81" i="30"/>
  <c r="AN80" i="30"/>
  <c r="AN79" i="30"/>
  <c r="AN78" i="30"/>
  <c r="AN77" i="30"/>
  <c r="AN76" i="30"/>
  <c r="AN75" i="30"/>
  <c r="AN74" i="30"/>
  <c r="AN73" i="30"/>
  <c r="AN72" i="30"/>
  <c r="AN71" i="30"/>
  <c r="AN70" i="30"/>
  <c r="AN69" i="30"/>
  <c r="AN68" i="30"/>
  <c r="AN67" i="30"/>
  <c r="AN66" i="30"/>
  <c r="AN65" i="30"/>
  <c r="AN64" i="30"/>
  <c r="AN63" i="30"/>
  <c r="AN62" i="30"/>
  <c r="AN61" i="30"/>
  <c r="AN60" i="30"/>
  <c r="AN59" i="30"/>
  <c r="AN58" i="30"/>
  <c r="AN57" i="30"/>
  <c r="AN56" i="30"/>
  <c r="AN55" i="30"/>
  <c r="AN54" i="30"/>
  <c r="AN53" i="30"/>
  <c r="AN9" i="30"/>
  <c r="AN10" i="30"/>
  <c r="AN12" i="30"/>
  <c r="AN13" i="30"/>
  <c r="AN14" i="30"/>
  <c r="AN15" i="30"/>
  <c r="AN16" i="30"/>
  <c r="AN17" i="30"/>
  <c r="AN18" i="30"/>
  <c r="AN19" i="30"/>
  <c r="AN20" i="30"/>
  <c r="AN21" i="30"/>
  <c r="AN22" i="30"/>
  <c r="AN23" i="30"/>
  <c r="AN24" i="30"/>
  <c r="AN25" i="30"/>
  <c r="AN26" i="30"/>
  <c r="AN27" i="30"/>
  <c r="AN28" i="30"/>
  <c r="AN29" i="30"/>
  <c r="AN30" i="30"/>
  <c r="AN31" i="30"/>
  <c r="AN32" i="30"/>
  <c r="AN33" i="30"/>
  <c r="AN34" i="30"/>
  <c r="AN35" i="30"/>
  <c r="AN36" i="30"/>
  <c r="AN37" i="30"/>
  <c r="AN38" i="30"/>
  <c r="AN39" i="30"/>
  <c r="AN40" i="30"/>
  <c r="AN41" i="30"/>
  <c r="AN42" i="30"/>
  <c r="AN43" i="30"/>
  <c r="AN44" i="30"/>
  <c r="AN45" i="30"/>
  <c r="AN46" i="30"/>
  <c r="AN47" i="30"/>
  <c r="AN48" i="30"/>
  <c r="AN49" i="30"/>
  <c r="AN50" i="30"/>
  <c r="AN51" i="30"/>
  <c r="AN11" i="30"/>
  <c r="Y227" i="30" l="1"/>
  <c r="X227" i="30"/>
  <c r="X226" i="30"/>
  <c r="X225" i="30"/>
  <c r="X224" i="30"/>
  <c r="X223" i="30"/>
  <c r="X222" i="30"/>
  <c r="X221" i="30"/>
  <c r="X220" i="30"/>
  <c r="X219" i="30"/>
  <c r="X218" i="30"/>
  <c r="X217" i="30"/>
  <c r="X216" i="30"/>
  <c r="X215" i="30"/>
  <c r="X214" i="30"/>
  <c r="X213" i="30"/>
  <c r="X212" i="30"/>
  <c r="X211" i="30"/>
  <c r="X210" i="30"/>
  <c r="X209" i="30"/>
  <c r="X208" i="30"/>
  <c r="X207" i="30"/>
  <c r="X206" i="30"/>
  <c r="X205" i="30"/>
  <c r="X204" i="30"/>
  <c r="X203" i="30"/>
  <c r="X202" i="30"/>
  <c r="X201" i="30"/>
  <c r="X200" i="30"/>
  <c r="X199" i="30"/>
  <c r="X198" i="30"/>
  <c r="X197" i="30"/>
  <c r="X196" i="30"/>
  <c r="X195" i="30"/>
  <c r="X194" i="30"/>
  <c r="X193" i="30"/>
  <c r="X192" i="30"/>
  <c r="X191" i="30"/>
  <c r="X190" i="30"/>
  <c r="X189" i="30"/>
  <c r="X188" i="30"/>
  <c r="X187" i="30"/>
  <c r="Y183" i="30"/>
  <c r="X183" i="30"/>
  <c r="X182" i="30"/>
  <c r="X181" i="30"/>
  <c r="X180" i="30"/>
  <c r="X179" i="30"/>
  <c r="X178" i="30"/>
  <c r="X177" i="30"/>
  <c r="X176" i="30"/>
  <c r="X175" i="30"/>
  <c r="X174" i="30"/>
  <c r="X173" i="30"/>
  <c r="X172" i="30"/>
  <c r="X171" i="30"/>
  <c r="X170" i="30"/>
  <c r="X169" i="30"/>
  <c r="X168" i="30"/>
  <c r="X167" i="30"/>
  <c r="X166" i="30"/>
  <c r="X165" i="30"/>
  <c r="X164" i="30"/>
  <c r="X163" i="30"/>
  <c r="X162" i="30"/>
  <c r="X161" i="30"/>
  <c r="X160" i="30"/>
  <c r="X159" i="30"/>
  <c r="X158" i="30"/>
  <c r="X157" i="30"/>
  <c r="X156" i="30"/>
  <c r="X155" i="30"/>
  <c r="X154" i="30"/>
  <c r="X153" i="30"/>
  <c r="X152" i="30"/>
  <c r="X151" i="30"/>
  <c r="X150" i="30"/>
  <c r="X149" i="30"/>
  <c r="X148" i="30"/>
  <c r="X147" i="30"/>
  <c r="X146" i="30"/>
  <c r="X145" i="30"/>
  <c r="X144" i="30"/>
  <c r="X143" i="30"/>
  <c r="Y139" i="30"/>
  <c r="X139" i="30"/>
  <c r="X138" i="30"/>
  <c r="X137" i="30"/>
  <c r="X136" i="30"/>
  <c r="X135" i="30"/>
  <c r="X134" i="30"/>
  <c r="X133" i="30"/>
  <c r="X132" i="30"/>
  <c r="X131" i="30"/>
  <c r="X130" i="30"/>
  <c r="X129" i="30"/>
  <c r="X128" i="30"/>
  <c r="X127" i="30"/>
  <c r="X126" i="30"/>
  <c r="X125" i="30"/>
  <c r="X124" i="30"/>
  <c r="X123" i="30"/>
  <c r="X122" i="30"/>
  <c r="X121" i="30"/>
  <c r="X120" i="30"/>
  <c r="X119" i="30"/>
  <c r="X118" i="30"/>
  <c r="X117" i="30"/>
  <c r="X116" i="30"/>
  <c r="X115" i="30"/>
  <c r="X114" i="30"/>
  <c r="X113" i="30"/>
  <c r="X112" i="30"/>
  <c r="X111" i="30"/>
  <c r="X110" i="30"/>
  <c r="X109" i="30"/>
  <c r="X108" i="30"/>
  <c r="X107" i="30"/>
  <c r="X106" i="30"/>
  <c r="X105" i="30"/>
  <c r="X104" i="30"/>
  <c r="X103" i="30"/>
  <c r="X102" i="30"/>
  <c r="X101" i="30"/>
  <c r="X100" i="30"/>
  <c r="X99" i="30"/>
  <c r="Y95" i="30"/>
  <c r="X95" i="30"/>
  <c r="X94" i="30"/>
  <c r="X93" i="30"/>
  <c r="X92" i="30"/>
  <c r="X91" i="30"/>
  <c r="X90" i="30"/>
  <c r="X89" i="30"/>
  <c r="X88" i="30"/>
  <c r="X87" i="30"/>
  <c r="X86" i="30"/>
  <c r="X85" i="30"/>
  <c r="X84" i="30"/>
  <c r="X83" i="30"/>
  <c r="X82" i="30"/>
  <c r="X81" i="30"/>
  <c r="X80" i="30"/>
  <c r="X79" i="30"/>
  <c r="X78" i="30"/>
  <c r="X77" i="30"/>
  <c r="X76" i="30"/>
  <c r="X75" i="30"/>
  <c r="X74" i="30"/>
  <c r="X73" i="30"/>
  <c r="X72" i="30"/>
  <c r="X71" i="30"/>
  <c r="X70" i="30"/>
  <c r="X69" i="30"/>
  <c r="X68" i="30"/>
  <c r="X67" i="30"/>
  <c r="X66" i="30"/>
  <c r="X65" i="30"/>
  <c r="X64" i="30"/>
  <c r="X63" i="30"/>
  <c r="X62" i="30"/>
  <c r="X61" i="30"/>
  <c r="X60" i="30"/>
  <c r="X59" i="30"/>
  <c r="X58" i="30"/>
  <c r="X57" i="30"/>
  <c r="X56" i="30"/>
  <c r="X55" i="30"/>
  <c r="Y51" i="30"/>
  <c r="X51" i="30"/>
  <c r="X50" i="30"/>
  <c r="X49" i="30"/>
  <c r="X48" i="30"/>
  <c r="X47" i="30"/>
  <c r="X46" i="30"/>
  <c r="X45" i="30"/>
  <c r="X44" i="30"/>
  <c r="X43" i="30"/>
  <c r="X42" i="30"/>
  <c r="X41" i="30"/>
  <c r="X40" i="30"/>
  <c r="X39" i="30"/>
  <c r="X38" i="30"/>
  <c r="X37" i="30"/>
  <c r="X36" i="30"/>
  <c r="X35" i="30"/>
  <c r="X34" i="30"/>
  <c r="X33" i="30"/>
  <c r="X32" i="30"/>
  <c r="X31" i="30"/>
  <c r="X30" i="30"/>
  <c r="X29" i="30"/>
  <c r="X28" i="30"/>
  <c r="X27" i="30"/>
  <c r="X26" i="30"/>
  <c r="X25" i="30"/>
  <c r="X24" i="30"/>
  <c r="X23" i="30"/>
  <c r="X22" i="30"/>
  <c r="X21" i="30"/>
  <c r="X20" i="30"/>
  <c r="X19" i="30"/>
  <c r="X18" i="30"/>
  <c r="X17" i="30"/>
  <c r="X16" i="30"/>
  <c r="X15" i="30"/>
  <c r="X14" i="30"/>
  <c r="X13" i="30"/>
  <c r="X12" i="30"/>
  <c r="X11" i="30"/>
  <c r="G8" i="29" l="1"/>
  <c r="H7" i="29"/>
  <c r="G9" i="29" l="1"/>
  <c r="H9" i="29"/>
  <c r="C9" i="29"/>
  <c r="D8" i="29"/>
  <c r="E8" i="29"/>
  <c r="F8" i="29"/>
  <c r="H8" i="29"/>
  <c r="C8" i="29"/>
  <c r="G7" i="29"/>
  <c r="F9" i="29" l="1"/>
  <c r="E9" i="29"/>
  <c r="D9" i="29"/>
  <c r="D7" i="29"/>
  <c r="E7" i="29"/>
  <c r="C7" i="29"/>
  <c r="F7" i="29" l="1"/>
  <c r="M221" i="29"/>
  <c r="L221" i="29"/>
  <c r="K179" i="29"/>
  <c r="M177" i="29"/>
  <c r="L177" i="29"/>
  <c r="K135" i="29"/>
  <c r="M133" i="29"/>
  <c r="L133" i="29"/>
  <c r="K91" i="29"/>
  <c r="M89" i="29"/>
  <c r="L89" i="29"/>
  <c r="K47" i="29"/>
  <c r="M45" i="29"/>
  <c r="K3" i="29"/>
  <c r="L45" i="29"/>
  <c r="N177" i="29"/>
  <c r="N45" i="29" l="1"/>
  <c r="N133" i="29"/>
  <c r="N89" i="29"/>
  <c r="N221" i="29"/>
  <c r="D8" i="25"/>
  <c r="O133" i="29" l="1"/>
  <c r="O89" i="29"/>
  <c r="O221" i="29"/>
  <c r="O177" i="29"/>
  <c r="O45" i="29"/>
  <c r="D15" i="28"/>
  <c r="D6" i="28"/>
  <c r="P177" i="29" l="1"/>
  <c r="P133" i="29"/>
  <c r="P221" i="29"/>
  <c r="P89" i="29"/>
  <c r="P45" i="29"/>
  <c r="M6" i="28"/>
  <c r="M7" i="28"/>
  <c r="Q221" i="29" l="1"/>
  <c r="Q89" i="29"/>
  <c r="Q45" i="29"/>
  <c r="Q177" i="29"/>
  <c r="Q133" i="29"/>
  <c r="E30" i="26"/>
  <c r="D29" i="26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25" i="25"/>
  <c r="R177" i="29" l="1"/>
  <c r="S177" i="29" s="1"/>
  <c r="R45" i="29"/>
  <c r="S45" i="29" s="1"/>
  <c r="R133" i="29"/>
  <c r="S133" i="29" s="1"/>
  <c r="R221" i="29"/>
  <c r="S221" i="29" s="1"/>
  <c r="R89" i="29"/>
  <c r="S89" i="29" s="1"/>
  <c r="E15" i="21"/>
  <c r="F15" i="21" s="1"/>
  <c r="G15" i="21" s="1"/>
  <c r="E16" i="21"/>
  <c r="F16" i="21"/>
  <c r="G16" i="21" s="1"/>
  <c r="E21" i="21"/>
  <c r="F21" i="21" s="1"/>
  <c r="G21" i="21" s="1"/>
  <c r="E22" i="21"/>
  <c r="F22" i="21"/>
  <c r="G22" i="21" s="1"/>
  <c r="D15" i="21"/>
  <c r="D16" i="21"/>
  <c r="D17" i="21"/>
  <c r="E17" i="21" s="1"/>
  <c r="F17" i="21" s="1"/>
  <c r="G17" i="21" s="1"/>
  <c r="D18" i="21"/>
  <c r="E18" i="21" s="1"/>
  <c r="F18" i="21" s="1"/>
  <c r="G18" i="21" s="1"/>
  <c r="D19" i="21"/>
  <c r="E19" i="21" s="1"/>
  <c r="F19" i="21" s="1"/>
  <c r="G19" i="21" s="1"/>
  <c r="D20" i="21"/>
  <c r="E20" i="21" s="1"/>
  <c r="F20" i="21" s="1"/>
  <c r="G20" i="21" s="1"/>
  <c r="D21" i="21"/>
  <c r="D22" i="21"/>
  <c r="D14" i="21"/>
  <c r="E14" i="21" s="1"/>
  <c r="F14" i="21" s="1"/>
  <c r="G14" i="21" s="1"/>
  <c r="O227" i="24"/>
  <c r="O183" i="24"/>
  <c r="O139" i="24"/>
  <c r="O95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0" i="24"/>
  <c r="N51" i="24"/>
  <c r="O51" i="24"/>
  <c r="N11" i="24"/>
  <c r="G12" i="24"/>
  <c r="H13" i="24"/>
  <c r="F17" i="24"/>
  <c r="F13" i="24"/>
  <c r="F24" i="24"/>
  <c r="G13" i="24"/>
  <c r="F28" i="24"/>
  <c r="J15" i="24"/>
  <c r="F29" i="24"/>
  <c r="G14" i="24"/>
  <c r="F23" i="24"/>
  <c r="F30" i="24"/>
  <c r="H12" i="24"/>
  <c r="H14" i="24"/>
  <c r="F18" i="24"/>
  <c r="F26" i="24"/>
  <c r="F25" i="24"/>
  <c r="J13" i="24"/>
  <c r="F20" i="24"/>
  <c r="I13" i="24"/>
  <c r="F21" i="24"/>
  <c r="J14" i="24"/>
  <c r="F22" i="24"/>
  <c r="J12" i="24"/>
  <c r="I12" i="24"/>
  <c r="I14" i="24"/>
  <c r="F19" i="24"/>
  <c r="F15" i="24"/>
  <c r="F14" i="24"/>
  <c r="G15" i="24"/>
  <c r="F27" i="24"/>
  <c r="H15" i="24"/>
  <c r="F16" i="24"/>
  <c r="I15" i="24"/>
  <c r="F12" i="24"/>
  <c r="J11" i="24" l="1"/>
  <c r="I11" i="24"/>
  <c r="H11" i="24"/>
  <c r="G11" i="24"/>
  <c r="J13" i="26"/>
  <c r="K13" i="26"/>
  <c r="J14" i="26"/>
  <c r="K14" i="26"/>
  <c r="D13" i="26"/>
  <c r="E13" i="26"/>
  <c r="D14" i="26"/>
  <c r="E14" i="26"/>
  <c r="O14" i="26"/>
  <c r="G16" i="24"/>
  <c r="G17" i="24"/>
  <c r="D44" i="26" l="1"/>
  <c r="E44" i="26"/>
  <c r="F44" i="26"/>
  <c r="G44" i="26"/>
  <c r="H44" i="26"/>
  <c r="D45" i="26"/>
  <c r="E45" i="26"/>
  <c r="F45" i="26"/>
  <c r="G45" i="26"/>
  <c r="H45" i="26"/>
  <c r="D46" i="26"/>
  <c r="E46" i="26"/>
  <c r="F46" i="26"/>
  <c r="G46" i="26"/>
  <c r="H46" i="26"/>
  <c r="D47" i="26"/>
  <c r="E47" i="26"/>
  <c r="F47" i="26"/>
  <c r="G47" i="26"/>
  <c r="H47" i="26"/>
  <c r="D48" i="26"/>
  <c r="E48" i="26"/>
  <c r="F48" i="26"/>
  <c r="G48" i="26"/>
  <c r="H48" i="26"/>
  <c r="D49" i="26"/>
  <c r="U12" i="26" s="1"/>
  <c r="E49" i="26"/>
  <c r="U67" i="26" s="1"/>
  <c r="F49" i="26"/>
  <c r="U104" i="26" s="1"/>
  <c r="G49" i="26"/>
  <c r="U153" i="26" s="1"/>
  <c r="H49" i="26"/>
  <c r="U190" i="26" s="1"/>
  <c r="E43" i="26"/>
  <c r="F43" i="26"/>
  <c r="G43" i="26"/>
  <c r="H43" i="26"/>
  <c r="D43" i="26"/>
  <c r="G19" i="24"/>
  <c r="G18" i="24"/>
  <c r="H16" i="24"/>
  <c r="H17" i="24"/>
  <c r="U222" i="26" l="1"/>
  <c r="U210" i="26"/>
  <c r="U213" i="26"/>
  <c r="U212" i="26"/>
  <c r="U211" i="26"/>
  <c r="U209" i="26"/>
  <c r="U206" i="26"/>
  <c r="U189" i="26"/>
  <c r="U63" i="26"/>
  <c r="U84" i="26"/>
  <c r="U200" i="26"/>
  <c r="U62" i="26"/>
  <c r="U126" i="26"/>
  <c r="U199" i="26"/>
  <c r="U108" i="26"/>
  <c r="U195" i="26"/>
  <c r="U83" i="26"/>
  <c r="U224" i="26"/>
  <c r="U194" i="26"/>
  <c r="U221" i="26"/>
  <c r="U188" i="26"/>
  <c r="U125" i="26"/>
  <c r="U102" i="26"/>
  <c r="U148" i="26"/>
  <c r="U77" i="26"/>
  <c r="U59" i="26"/>
  <c r="U123" i="26"/>
  <c r="U101" i="26"/>
  <c r="U164" i="26"/>
  <c r="U76" i="26"/>
  <c r="U139" i="26"/>
  <c r="U121" i="26"/>
  <c r="U100" i="26"/>
  <c r="U163" i="26"/>
  <c r="U145" i="26"/>
  <c r="U55" i="26"/>
  <c r="U75" i="26"/>
  <c r="U138" i="26"/>
  <c r="U120" i="26"/>
  <c r="U143" i="26"/>
  <c r="U162" i="26"/>
  <c r="U225" i="26"/>
  <c r="U207" i="26"/>
  <c r="U170" i="26"/>
  <c r="U95" i="26"/>
  <c r="U137" i="26"/>
  <c r="U115" i="26"/>
  <c r="U182" i="26"/>
  <c r="U161" i="26"/>
  <c r="U90" i="26"/>
  <c r="U72" i="26"/>
  <c r="U136" i="26"/>
  <c r="U114" i="26"/>
  <c r="U181" i="26"/>
  <c r="U160" i="26"/>
  <c r="U223" i="26"/>
  <c r="U201" i="26"/>
  <c r="U172" i="26"/>
  <c r="U149" i="26"/>
  <c r="U78" i="26"/>
  <c r="U135" i="26"/>
  <c r="U66" i="26"/>
  <c r="U112" i="26"/>
  <c r="U157" i="26"/>
  <c r="U87" i="26"/>
  <c r="U65" i="26"/>
  <c r="U132" i="26"/>
  <c r="U111" i="26"/>
  <c r="U174" i="26"/>
  <c r="U152" i="26"/>
  <c r="U219" i="26"/>
  <c r="U198" i="26"/>
  <c r="U60" i="26"/>
  <c r="U169" i="26"/>
  <c r="U74" i="26"/>
  <c r="U89" i="26"/>
  <c r="U71" i="26"/>
  <c r="U113" i="26"/>
  <c r="U176" i="26"/>
  <c r="U158" i="26"/>
  <c r="U88" i="26"/>
  <c r="U133" i="26"/>
  <c r="U175" i="26"/>
  <c r="U86" i="26"/>
  <c r="U64" i="26"/>
  <c r="U127" i="26"/>
  <c r="U109" i="26"/>
  <c r="U173" i="26"/>
  <c r="U151" i="26"/>
  <c r="U218" i="26"/>
  <c r="U197" i="26"/>
  <c r="U150" i="26"/>
  <c r="U103" i="26"/>
  <c r="U124" i="26"/>
  <c r="U146" i="26"/>
  <c r="U42" i="26"/>
  <c r="U11" i="26"/>
  <c r="U51" i="26"/>
  <c r="U38" i="26"/>
  <c r="U49" i="26"/>
  <c r="U37" i="26"/>
  <c r="U25" i="26"/>
  <c r="U13" i="26"/>
  <c r="U85" i="26"/>
  <c r="U73" i="26"/>
  <c r="U61" i="26"/>
  <c r="U134" i="26"/>
  <c r="U122" i="26"/>
  <c r="U110" i="26"/>
  <c r="U183" i="26"/>
  <c r="U171" i="26"/>
  <c r="U159" i="26"/>
  <c r="U147" i="26"/>
  <c r="U220" i="26"/>
  <c r="U208" i="26"/>
  <c r="U196" i="26"/>
  <c r="U39" i="26"/>
  <c r="U26" i="26"/>
  <c r="U36" i="26"/>
  <c r="U35" i="26"/>
  <c r="U46" i="26"/>
  <c r="U34" i="26"/>
  <c r="U22" i="26"/>
  <c r="U94" i="26"/>
  <c r="U82" i="26"/>
  <c r="U70" i="26"/>
  <c r="U58" i="26"/>
  <c r="U131" i="26"/>
  <c r="U119" i="26"/>
  <c r="U107" i="26"/>
  <c r="U180" i="26"/>
  <c r="U168" i="26"/>
  <c r="U156" i="26"/>
  <c r="U144" i="26"/>
  <c r="U217" i="26"/>
  <c r="U205" i="26"/>
  <c r="U193" i="26"/>
  <c r="U29" i="26"/>
  <c r="U16" i="26"/>
  <c r="U48" i="26"/>
  <c r="U45" i="26"/>
  <c r="U33" i="26"/>
  <c r="U21" i="26"/>
  <c r="U93" i="26"/>
  <c r="U81" i="26"/>
  <c r="U69" i="26"/>
  <c r="U57" i="26"/>
  <c r="U130" i="26"/>
  <c r="U118" i="26"/>
  <c r="U106" i="26"/>
  <c r="U179" i="26"/>
  <c r="U167" i="26"/>
  <c r="U155" i="26"/>
  <c r="U187" i="26"/>
  <c r="U216" i="26"/>
  <c r="U204" i="26"/>
  <c r="U192" i="26"/>
  <c r="U40" i="26"/>
  <c r="U15" i="26"/>
  <c r="U14" i="26"/>
  <c r="U24" i="26"/>
  <c r="U47" i="26"/>
  <c r="U44" i="26"/>
  <c r="U32" i="26"/>
  <c r="U20" i="26"/>
  <c r="U92" i="26"/>
  <c r="U80" i="26"/>
  <c r="U68" i="26"/>
  <c r="U56" i="26"/>
  <c r="U129" i="26"/>
  <c r="U117" i="26"/>
  <c r="U105" i="26"/>
  <c r="U178" i="26"/>
  <c r="U166" i="26"/>
  <c r="U154" i="26"/>
  <c r="U227" i="26"/>
  <c r="U215" i="26"/>
  <c r="U203" i="26"/>
  <c r="U191" i="26"/>
  <c r="U30" i="26"/>
  <c r="U41" i="26"/>
  <c r="U17" i="26"/>
  <c r="U28" i="26"/>
  <c r="U27" i="26"/>
  <c r="U50" i="26"/>
  <c r="U23" i="26"/>
  <c r="U43" i="26"/>
  <c r="U31" i="26"/>
  <c r="U19" i="26"/>
  <c r="U91" i="26"/>
  <c r="U79" i="26"/>
  <c r="U99" i="26"/>
  <c r="U128" i="26"/>
  <c r="U116" i="26"/>
  <c r="U177" i="26"/>
  <c r="U165" i="26"/>
  <c r="U226" i="26"/>
  <c r="U214" i="26"/>
  <c r="U202" i="26"/>
  <c r="U18" i="26"/>
  <c r="T227" i="26"/>
  <c r="T183" i="26"/>
  <c r="T139" i="26"/>
  <c r="T95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S42" i="26"/>
  <c r="S43" i="26"/>
  <c r="S44" i="26"/>
  <c r="S45" i="26"/>
  <c r="S46" i="26"/>
  <c r="S47" i="26"/>
  <c r="S48" i="26"/>
  <c r="S49" i="26"/>
  <c r="S50" i="26"/>
  <c r="S51" i="26"/>
  <c r="T51" i="26"/>
  <c r="S11" i="26"/>
  <c r="P14" i="26"/>
  <c r="P13" i="26"/>
  <c r="L14" i="26"/>
  <c r="L13" i="26"/>
  <c r="G14" i="26"/>
  <c r="H14" i="26"/>
  <c r="I14" i="26"/>
  <c r="F14" i="26"/>
  <c r="G13" i="26"/>
  <c r="H13" i="26"/>
  <c r="I13" i="26"/>
  <c r="F13" i="26"/>
  <c r="M13" i="26"/>
  <c r="N14" i="26"/>
  <c r="I16" i="24"/>
  <c r="G20" i="24"/>
  <c r="G21" i="24"/>
  <c r="H18" i="24"/>
  <c r="H19" i="24"/>
  <c r="I17" i="24"/>
  <c r="Y31" i="26" l="1"/>
  <c r="X31" i="26"/>
  <c r="X40" i="26"/>
  <c r="Y40" i="26"/>
  <c r="Y51" i="26"/>
  <c r="X51" i="26"/>
  <c r="Y39" i="26"/>
  <c r="X39" i="26"/>
  <c r="Y27" i="26"/>
  <c r="X27" i="26"/>
  <c r="Y15" i="26"/>
  <c r="X15" i="26"/>
  <c r="Y26" i="26"/>
  <c r="X26" i="26"/>
  <c r="X37" i="26"/>
  <c r="Y37" i="26"/>
  <c r="Y13" i="26"/>
  <c r="X13" i="26"/>
  <c r="Y48" i="26"/>
  <c r="X48" i="26"/>
  <c r="Y36" i="26"/>
  <c r="X36" i="26"/>
  <c r="Y24" i="26"/>
  <c r="X24" i="26"/>
  <c r="Y12" i="26"/>
  <c r="X12" i="26"/>
  <c r="X28" i="26"/>
  <c r="Y28" i="26"/>
  <c r="X50" i="26"/>
  <c r="Y50" i="26"/>
  <c r="X49" i="26"/>
  <c r="Y49" i="26"/>
  <c r="Y25" i="26"/>
  <c r="X25" i="26"/>
  <c r="X47" i="26"/>
  <c r="Y47" i="26"/>
  <c r="Y35" i="26"/>
  <c r="X35" i="26"/>
  <c r="X23" i="26"/>
  <c r="Y23" i="26"/>
  <c r="X43" i="26"/>
  <c r="Y43" i="26"/>
  <c r="Y16" i="26"/>
  <c r="X16" i="26"/>
  <c r="X38" i="26"/>
  <c r="Y38" i="26"/>
  <c r="X22" i="26"/>
  <c r="Y22" i="26"/>
  <c r="Y45" i="26"/>
  <c r="X45" i="26"/>
  <c r="Y21" i="26"/>
  <c r="X21" i="26"/>
  <c r="Y19" i="26"/>
  <c r="X19" i="26"/>
  <c r="Y14" i="26"/>
  <c r="X14" i="26"/>
  <c r="X46" i="26"/>
  <c r="Y46" i="26"/>
  <c r="Y34" i="26"/>
  <c r="X34" i="26"/>
  <c r="Y33" i="26"/>
  <c r="X33" i="26"/>
  <c r="X44" i="26"/>
  <c r="Y44" i="26"/>
  <c r="X32" i="26"/>
  <c r="Y32" i="26"/>
  <c r="Y20" i="26"/>
  <c r="X20" i="26"/>
  <c r="Y42" i="26"/>
  <c r="X42" i="26"/>
  <c r="Y30" i="26"/>
  <c r="X30" i="26"/>
  <c r="Y18" i="26"/>
  <c r="X18" i="26"/>
  <c r="X11" i="26"/>
  <c r="Y11" i="26"/>
  <c r="X41" i="26"/>
  <c r="Y41" i="26"/>
  <c r="X29" i="26"/>
  <c r="Y29" i="26"/>
  <c r="X17" i="26"/>
  <c r="Y17" i="26"/>
  <c r="W38" i="26"/>
  <c r="V38" i="26" s="1"/>
  <c r="W28" i="26"/>
  <c r="V28" i="26" s="1"/>
  <c r="W36" i="26"/>
  <c r="V36" i="26" s="1"/>
  <c r="W14" i="26"/>
  <c r="V14" i="26" s="1"/>
  <c r="W26" i="26"/>
  <c r="V26" i="26" s="1"/>
  <c r="W50" i="26"/>
  <c r="V50" i="26" s="1"/>
  <c r="W20" i="26"/>
  <c r="V20" i="26" s="1"/>
  <c r="W32" i="26"/>
  <c r="V32" i="26" s="1"/>
  <c r="W29" i="26"/>
  <c r="V29" i="26" s="1"/>
  <c r="W30" i="26"/>
  <c r="V30" i="26" s="1"/>
  <c r="W21" i="26"/>
  <c r="V21" i="26" s="1"/>
  <c r="W19" i="26"/>
  <c r="V19" i="26" s="1"/>
  <c r="W33" i="26"/>
  <c r="V33" i="26" s="1"/>
  <c r="W49" i="26"/>
  <c r="V49" i="26" s="1"/>
  <c r="W18" i="26"/>
  <c r="V18" i="26" s="1"/>
  <c r="W31" i="26"/>
  <c r="V31" i="26" s="1"/>
  <c r="W44" i="26"/>
  <c r="V44" i="26" s="1"/>
  <c r="W15" i="26"/>
  <c r="V15" i="26" s="1"/>
  <c r="W45" i="26"/>
  <c r="V45" i="26" s="1"/>
  <c r="W22" i="26"/>
  <c r="V22" i="26" s="1"/>
  <c r="W34" i="26"/>
  <c r="V34" i="26" s="1"/>
  <c r="W17" i="26"/>
  <c r="V17" i="26" s="1"/>
  <c r="W46" i="26"/>
  <c r="V46" i="26" s="1"/>
  <c r="W39" i="26"/>
  <c r="V39" i="26" s="1"/>
  <c r="W25" i="26"/>
  <c r="V25" i="26" s="1"/>
  <c r="W43" i="26"/>
  <c r="V43" i="26" s="1"/>
  <c r="W41" i="26"/>
  <c r="V41" i="26" s="1"/>
  <c r="W40" i="26"/>
  <c r="V40" i="26" s="1"/>
  <c r="W16" i="26"/>
  <c r="V16" i="26" s="1"/>
  <c r="W51" i="26"/>
  <c r="V51" i="26" s="1"/>
  <c r="W47" i="26"/>
  <c r="V47" i="26" s="1"/>
  <c r="W42" i="26"/>
  <c r="V42" i="26" s="1"/>
  <c r="W37" i="26"/>
  <c r="V37" i="26" s="1"/>
  <c r="W27" i="26"/>
  <c r="V27" i="26" s="1"/>
  <c r="W23" i="26"/>
  <c r="V23" i="26" s="1"/>
  <c r="W35" i="26"/>
  <c r="V35" i="26" s="1"/>
  <c r="W12" i="26"/>
  <c r="V12" i="26" s="1"/>
  <c r="W24" i="26"/>
  <c r="V24" i="26" s="1"/>
  <c r="W48" i="26"/>
  <c r="V48" i="26" s="1"/>
  <c r="W13" i="26"/>
  <c r="V13" i="26" s="1"/>
  <c r="W11" i="26"/>
  <c r="V11" i="26" s="1"/>
  <c r="M14" i="26"/>
  <c r="N13" i="26"/>
  <c r="O13" i="26"/>
  <c r="I9" i="26"/>
  <c r="I8" i="26"/>
  <c r="L5" i="9"/>
  <c r="M5" i="9"/>
  <c r="N5" i="9"/>
  <c r="O5" i="9"/>
  <c r="P5" i="9"/>
  <c r="L6" i="9"/>
  <c r="M6" i="9"/>
  <c r="N6" i="9"/>
  <c r="O6" i="9"/>
  <c r="P6" i="9"/>
  <c r="L7" i="9"/>
  <c r="M7" i="9"/>
  <c r="N7" i="9"/>
  <c r="O7" i="9"/>
  <c r="P7" i="9"/>
  <c r="L8" i="9"/>
  <c r="M8" i="9"/>
  <c r="N8" i="9"/>
  <c r="O8" i="9"/>
  <c r="P8" i="9"/>
  <c r="L9" i="9"/>
  <c r="M9" i="9"/>
  <c r="N9" i="9"/>
  <c r="O9" i="9"/>
  <c r="P9" i="9"/>
  <c r="L10" i="9"/>
  <c r="M10" i="9"/>
  <c r="N10" i="9"/>
  <c r="O10" i="9"/>
  <c r="P10" i="9"/>
  <c r="L11" i="9"/>
  <c r="M11" i="9"/>
  <c r="N11" i="9"/>
  <c r="O11" i="9"/>
  <c r="P11" i="9"/>
  <c r="L12" i="9"/>
  <c r="M12" i="9"/>
  <c r="N12" i="9"/>
  <c r="O12" i="9"/>
  <c r="P12" i="9"/>
  <c r="L13" i="9"/>
  <c r="M13" i="9"/>
  <c r="N13" i="9"/>
  <c r="O13" i="9"/>
  <c r="P13" i="9"/>
  <c r="L14" i="9"/>
  <c r="M14" i="9"/>
  <c r="N14" i="9"/>
  <c r="O14" i="9"/>
  <c r="P14" i="9"/>
  <c r="L15" i="9"/>
  <c r="M15" i="9"/>
  <c r="N15" i="9"/>
  <c r="O15" i="9"/>
  <c r="P15" i="9"/>
  <c r="M4" i="9"/>
  <c r="N4" i="9"/>
  <c r="O4" i="9"/>
  <c r="P4" i="9"/>
  <c r="L4" i="9"/>
  <c r="H20" i="24"/>
  <c r="G22" i="24"/>
  <c r="I18" i="24"/>
  <c r="H21" i="24"/>
  <c r="J17" i="24"/>
  <c r="I19" i="24"/>
  <c r="G23" i="24"/>
  <c r="J16" i="24"/>
  <c r="AH11" i="26" l="1"/>
  <c r="AH12" i="26" s="1"/>
  <c r="AH13" i="26" s="1"/>
  <c r="AH14" i="26" s="1"/>
  <c r="AH15" i="26" s="1"/>
  <c r="AH16" i="26" s="1"/>
  <c r="AH17" i="26" s="1"/>
  <c r="AH18" i="26" s="1"/>
  <c r="AH19" i="26" s="1"/>
  <c r="AH20" i="26" s="1"/>
  <c r="AH21" i="26" s="1"/>
  <c r="AH22" i="26" s="1"/>
  <c r="AH23" i="26" s="1"/>
  <c r="AH24" i="26" s="1"/>
  <c r="AH25" i="26" s="1"/>
  <c r="AH26" i="26" s="1"/>
  <c r="AH27" i="26" s="1"/>
  <c r="AH28" i="26" s="1"/>
  <c r="AH29" i="26" s="1"/>
  <c r="AH30" i="26" s="1"/>
  <c r="AH31" i="26" s="1"/>
  <c r="AH32" i="26" s="1"/>
  <c r="AH33" i="26" s="1"/>
  <c r="AH34" i="26" s="1"/>
  <c r="AH35" i="26" s="1"/>
  <c r="AH36" i="26" s="1"/>
  <c r="AH37" i="26" s="1"/>
  <c r="AH38" i="26" s="1"/>
  <c r="AH39" i="26" s="1"/>
  <c r="AH40" i="26" s="1"/>
  <c r="AH41" i="26" s="1"/>
  <c r="AH42" i="26" s="1"/>
  <c r="AH43" i="26" s="1"/>
  <c r="AH44" i="26" s="1"/>
  <c r="AH45" i="26" s="1"/>
  <c r="AH46" i="26" s="1"/>
  <c r="AH47" i="26" s="1"/>
  <c r="AH48" i="26" s="1"/>
  <c r="AH49" i="26" s="1"/>
  <c r="AH50" i="26" s="1"/>
  <c r="AH51" i="26" s="1"/>
  <c r="AI11" i="26"/>
  <c r="AI12" i="26" s="1"/>
  <c r="AI13" i="26" s="1"/>
  <c r="AI14" i="26" s="1"/>
  <c r="AI15" i="26" s="1"/>
  <c r="AI16" i="26" s="1"/>
  <c r="AI17" i="26" s="1"/>
  <c r="AI18" i="26" s="1"/>
  <c r="AI19" i="26" s="1"/>
  <c r="AI20" i="26" s="1"/>
  <c r="AI21" i="26" s="1"/>
  <c r="AI22" i="26" s="1"/>
  <c r="AI23" i="26" s="1"/>
  <c r="AI24" i="26" s="1"/>
  <c r="AI25" i="26" s="1"/>
  <c r="AI26" i="26" s="1"/>
  <c r="AI27" i="26" s="1"/>
  <c r="AI28" i="26" s="1"/>
  <c r="AI29" i="26" s="1"/>
  <c r="AI30" i="26" s="1"/>
  <c r="AI31" i="26" s="1"/>
  <c r="AI32" i="26" s="1"/>
  <c r="AI33" i="26" s="1"/>
  <c r="AI34" i="26" s="1"/>
  <c r="AI35" i="26" s="1"/>
  <c r="AI36" i="26" s="1"/>
  <c r="AI37" i="26" s="1"/>
  <c r="AI38" i="26" s="1"/>
  <c r="AI39" i="26" s="1"/>
  <c r="AI40" i="26" s="1"/>
  <c r="AI41" i="26" s="1"/>
  <c r="AI42" i="26" s="1"/>
  <c r="AI43" i="26" s="1"/>
  <c r="AI44" i="26" s="1"/>
  <c r="AI45" i="26" s="1"/>
  <c r="AI46" i="26" s="1"/>
  <c r="AI47" i="26" s="1"/>
  <c r="AI48" i="26" s="1"/>
  <c r="AI49" i="26" s="1"/>
  <c r="AI50" i="26" s="1"/>
  <c r="AI51" i="26" s="1"/>
  <c r="AJ11" i="26"/>
  <c r="AJ12" i="26" s="1"/>
  <c r="AJ13" i="26" s="1"/>
  <c r="AJ14" i="26" s="1"/>
  <c r="AJ15" i="26" s="1"/>
  <c r="AJ16" i="26" s="1"/>
  <c r="AJ17" i="26" s="1"/>
  <c r="AJ18" i="26" s="1"/>
  <c r="AJ19" i="26" s="1"/>
  <c r="AJ20" i="26" s="1"/>
  <c r="AJ21" i="26" s="1"/>
  <c r="AJ22" i="26" s="1"/>
  <c r="AJ23" i="26" s="1"/>
  <c r="AJ24" i="26" s="1"/>
  <c r="AJ25" i="26" s="1"/>
  <c r="AJ26" i="26" s="1"/>
  <c r="AJ27" i="26" s="1"/>
  <c r="AJ28" i="26" s="1"/>
  <c r="AJ29" i="26" s="1"/>
  <c r="AJ30" i="26" s="1"/>
  <c r="AJ31" i="26" s="1"/>
  <c r="AJ32" i="26" s="1"/>
  <c r="AJ33" i="26" s="1"/>
  <c r="AJ34" i="26" s="1"/>
  <c r="AJ35" i="26" s="1"/>
  <c r="AJ36" i="26" s="1"/>
  <c r="AJ37" i="26" s="1"/>
  <c r="AJ38" i="26" s="1"/>
  <c r="AJ39" i="26" s="1"/>
  <c r="AJ40" i="26" s="1"/>
  <c r="AJ41" i="26" s="1"/>
  <c r="AJ42" i="26" s="1"/>
  <c r="AJ43" i="26" s="1"/>
  <c r="AJ44" i="26" s="1"/>
  <c r="AJ45" i="26" s="1"/>
  <c r="AJ46" i="26" s="1"/>
  <c r="AJ47" i="26" s="1"/>
  <c r="AJ48" i="26" s="1"/>
  <c r="AJ49" i="26" s="1"/>
  <c r="AJ50" i="26" s="1"/>
  <c r="AJ51" i="26" s="1"/>
  <c r="AK11" i="26"/>
  <c r="AK12" i="26" s="1"/>
  <c r="AK13" i="26" s="1"/>
  <c r="AK14" i="26" s="1"/>
  <c r="AK15" i="26" s="1"/>
  <c r="AK16" i="26" s="1"/>
  <c r="AK17" i="26" s="1"/>
  <c r="AK18" i="26" s="1"/>
  <c r="AK19" i="26" s="1"/>
  <c r="AK20" i="26" s="1"/>
  <c r="AK21" i="26" s="1"/>
  <c r="AK22" i="26" s="1"/>
  <c r="AK23" i="26" s="1"/>
  <c r="AK24" i="26" s="1"/>
  <c r="AK25" i="26" s="1"/>
  <c r="AK26" i="26" s="1"/>
  <c r="AK27" i="26" s="1"/>
  <c r="AK28" i="26" s="1"/>
  <c r="AK29" i="26" s="1"/>
  <c r="AK30" i="26" s="1"/>
  <c r="AK31" i="26" s="1"/>
  <c r="AK32" i="26" s="1"/>
  <c r="AK33" i="26" s="1"/>
  <c r="AK34" i="26" s="1"/>
  <c r="AK35" i="26" s="1"/>
  <c r="AK36" i="26" s="1"/>
  <c r="AK37" i="26" s="1"/>
  <c r="AK38" i="26" s="1"/>
  <c r="AK39" i="26" s="1"/>
  <c r="AK40" i="26" s="1"/>
  <c r="AK41" i="26" s="1"/>
  <c r="AK42" i="26" s="1"/>
  <c r="AK43" i="26" s="1"/>
  <c r="AK44" i="26" s="1"/>
  <c r="AK45" i="26" s="1"/>
  <c r="AK46" i="26" s="1"/>
  <c r="AK47" i="26" s="1"/>
  <c r="AK48" i="26" s="1"/>
  <c r="AK49" i="26" s="1"/>
  <c r="AK50" i="26" s="1"/>
  <c r="AK51" i="26" s="1"/>
  <c r="AB11" i="26"/>
  <c r="AG11" i="26"/>
  <c r="AG12" i="26" s="1"/>
  <c r="AG13" i="26" s="1"/>
  <c r="AG14" i="26" s="1"/>
  <c r="AG15" i="26" s="1"/>
  <c r="AG16" i="26" s="1"/>
  <c r="AG17" i="26" s="1"/>
  <c r="AG18" i="26" s="1"/>
  <c r="AG19" i="26" s="1"/>
  <c r="AG20" i="26" s="1"/>
  <c r="AG21" i="26" s="1"/>
  <c r="AG22" i="26" s="1"/>
  <c r="AG23" i="26" s="1"/>
  <c r="AG24" i="26" s="1"/>
  <c r="AG25" i="26" s="1"/>
  <c r="AG26" i="26" s="1"/>
  <c r="AG27" i="26" s="1"/>
  <c r="AG28" i="26" s="1"/>
  <c r="AG29" i="26" s="1"/>
  <c r="AG30" i="26" s="1"/>
  <c r="AG31" i="26" s="1"/>
  <c r="AG32" i="26" s="1"/>
  <c r="AG33" i="26" s="1"/>
  <c r="AG34" i="26" s="1"/>
  <c r="AG35" i="26" s="1"/>
  <c r="AG36" i="26" s="1"/>
  <c r="AG37" i="26" s="1"/>
  <c r="AG38" i="26" s="1"/>
  <c r="AG39" i="26" s="1"/>
  <c r="AG40" i="26" s="1"/>
  <c r="AG41" i="26" s="1"/>
  <c r="AG42" i="26" s="1"/>
  <c r="AG43" i="26" s="1"/>
  <c r="AG44" i="26" s="1"/>
  <c r="AG45" i="26" s="1"/>
  <c r="AG46" i="26" s="1"/>
  <c r="AG47" i="26" s="1"/>
  <c r="AG48" i="26" s="1"/>
  <c r="AG49" i="26" s="1"/>
  <c r="AG50" i="26" s="1"/>
  <c r="AG51" i="26" s="1"/>
  <c r="AM11" i="26"/>
  <c r="AM12" i="26" s="1"/>
  <c r="AM13" i="26" s="1"/>
  <c r="AM14" i="26" s="1"/>
  <c r="AM15" i="26" s="1"/>
  <c r="AM16" i="26" s="1"/>
  <c r="AM17" i="26" s="1"/>
  <c r="AM18" i="26" s="1"/>
  <c r="AM19" i="26" s="1"/>
  <c r="AM20" i="26" s="1"/>
  <c r="AM21" i="26" s="1"/>
  <c r="AM22" i="26" s="1"/>
  <c r="AM23" i="26" s="1"/>
  <c r="AM24" i="26" s="1"/>
  <c r="AM25" i="26" s="1"/>
  <c r="AM26" i="26" s="1"/>
  <c r="AM27" i="26" s="1"/>
  <c r="AM28" i="26" s="1"/>
  <c r="AM29" i="26" s="1"/>
  <c r="AM30" i="26" s="1"/>
  <c r="AM31" i="26" s="1"/>
  <c r="AM32" i="26" s="1"/>
  <c r="AM33" i="26" s="1"/>
  <c r="AM34" i="26" s="1"/>
  <c r="AM35" i="26" s="1"/>
  <c r="AM36" i="26" s="1"/>
  <c r="AM37" i="26" s="1"/>
  <c r="AM38" i="26" s="1"/>
  <c r="AM39" i="26" s="1"/>
  <c r="AM40" i="26" s="1"/>
  <c r="AM41" i="26" s="1"/>
  <c r="AM42" i="26" s="1"/>
  <c r="AM43" i="26" s="1"/>
  <c r="AM44" i="26" s="1"/>
  <c r="AM45" i="26" s="1"/>
  <c r="AM46" i="26" s="1"/>
  <c r="AM47" i="26" s="1"/>
  <c r="AM48" i="26" s="1"/>
  <c r="AM49" i="26" s="1"/>
  <c r="AM50" i="26" s="1"/>
  <c r="AM51" i="26" s="1"/>
  <c r="AL11" i="26"/>
  <c r="AL12" i="26" s="1"/>
  <c r="AL13" i="26" s="1"/>
  <c r="AL14" i="26" s="1"/>
  <c r="AL15" i="26" s="1"/>
  <c r="AL16" i="26" s="1"/>
  <c r="AL17" i="26" s="1"/>
  <c r="AL18" i="26" s="1"/>
  <c r="AL19" i="26" s="1"/>
  <c r="AL20" i="26" s="1"/>
  <c r="AL21" i="26" s="1"/>
  <c r="AL22" i="26" s="1"/>
  <c r="AL23" i="26" s="1"/>
  <c r="AL24" i="26" s="1"/>
  <c r="AL25" i="26" s="1"/>
  <c r="AL26" i="26" s="1"/>
  <c r="AL27" i="26" s="1"/>
  <c r="AL28" i="26" s="1"/>
  <c r="AL29" i="26" s="1"/>
  <c r="AL30" i="26" s="1"/>
  <c r="AL31" i="26" s="1"/>
  <c r="AL32" i="26" s="1"/>
  <c r="AL33" i="26" s="1"/>
  <c r="AL34" i="26" s="1"/>
  <c r="AL35" i="26" s="1"/>
  <c r="AL36" i="26" s="1"/>
  <c r="AL37" i="26" s="1"/>
  <c r="AL38" i="26" s="1"/>
  <c r="AL39" i="26" s="1"/>
  <c r="AL40" i="26" s="1"/>
  <c r="AL41" i="26" s="1"/>
  <c r="AL42" i="26" s="1"/>
  <c r="AL43" i="26" s="1"/>
  <c r="AL44" i="26" s="1"/>
  <c r="AL45" i="26" s="1"/>
  <c r="AL46" i="26" s="1"/>
  <c r="AL47" i="26" s="1"/>
  <c r="AL48" i="26" s="1"/>
  <c r="AL49" i="26" s="1"/>
  <c r="AL50" i="26" s="1"/>
  <c r="AL51" i="26" s="1"/>
  <c r="AA11" i="26"/>
  <c r="AE11" i="26"/>
  <c r="AD11" i="26"/>
  <c r="AC11" i="26"/>
  <c r="AF11" i="26"/>
  <c r="G8" i="26"/>
  <c r="G9" i="26"/>
  <c r="E8" i="25"/>
  <c r="F8" i="25"/>
  <c r="G8" i="25"/>
  <c r="H8" i="25"/>
  <c r="I8" i="25"/>
  <c r="E19" i="25"/>
  <c r="G19" i="25"/>
  <c r="H19" i="25"/>
  <c r="H20" i="25" s="1"/>
  <c r="D19" i="25"/>
  <c r="D20" i="25" s="1"/>
  <c r="F19" i="25"/>
  <c r="F20" i="25" s="1"/>
  <c r="I19" i="25"/>
  <c r="I21" i="24"/>
  <c r="G24" i="24"/>
  <c r="G25" i="24"/>
  <c r="I20" i="24"/>
  <c r="J19" i="24"/>
  <c r="H22" i="24"/>
  <c r="H23" i="24"/>
  <c r="J18" i="24"/>
  <c r="J33" i="27" l="1"/>
  <c r="J32" i="27"/>
  <c r="J34" i="27"/>
  <c r="AD12" i="26"/>
  <c r="AA12" i="26"/>
  <c r="AB12" i="26"/>
  <c r="AE12" i="26"/>
  <c r="AC12" i="26"/>
  <c r="AF12" i="26"/>
  <c r="AD6" i="28"/>
  <c r="I6" i="28" s="1"/>
  <c r="D66" i="28"/>
  <c r="E66" i="28"/>
  <c r="F66" i="28"/>
  <c r="G66" i="28"/>
  <c r="H66" i="28"/>
  <c r="I66" i="28"/>
  <c r="F33" i="28"/>
  <c r="G33" i="28"/>
  <c r="F34" i="28"/>
  <c r="G34" i="28"/>
  <c r="F35" i="28"/>
  <c r="G35" i="28"/>
  <c r="F36" i="28"/>
  <c r="G36" i="28"/>
  <c r="F37" i="28"/>
  <c r="G37" i="28"/>
  <c r="F38" i="28"/>
  <c r="G38" i="28"/>
  <c r="F39" i="28"/>
  <c r="G39" i="28"/>
  <c r="F40" i="28"/>
  <c r="G40" i="28"/>
  <c r="F41" i="28"/>
  <c r="G41" i="28"/>
  <c r="F42" i="28"/>
  <c r="G42" i="28"/>
  <c r="F43" i="28"/>
  <c r="G43" i="28"/>
  <c r="F44" i="28"/>
  <c r="G44" i="28"/>
  <c r="F45" i="28"/>
  <c r="G45" i="28"/>
  <c r="F46" i="28"/>
  <c r="G46" i="28"/>
  <c r="F47" i="28"/>
  <c r="G47" i="28"/>
  <c r="F48" i="28"/>
  <c r="G48" i="28"/>
  <c r="F49" i="28"/>
  <c r="G49" i="28"/>
  <c r="F50" i="28"/>
  <c r="G50" i="28"/>
  <c r="F51" i="28"/>
  <c r="G51" i="28"/>
  <c r="F52" i="28"/>
  <c r="G52" i="28"/>
  <c r="F53" i="28"/>
  <c r="G53" i="28"/>
  <c r="F54" i="28"/>
  <c r="G54" i="28"/>
  <c r="F55" i="28"/>
  <c r="G55" i="28"/>
  <c r="F56" i="28"/>
  <c r="G56" i="28"/>
  <c r="F57" i="28"/>
  <c r="G57" i="28"/>
  <c r="F58" i="28"/>
  <c r="G58" i="28"/>
  <c r="F59" i="28"/>
  <c r="G59" i="28"/>
  <c r="F60" i="28"/>
  <c r="G60" i="28"/>
  <c r="F61" i="28"/>
  <c r="G61" i="28"/>
  <c r="F62" i="28"/>
  <c r="G62" i="28"/>
  <c r="F63" i="28"/>
  <c r="G63" i="28"/>
  <c r="F64" i="28"/>
  <c r="G64" i="28"/>
  <c r="F65" i="28"/>
  <c r="G65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AB40" i="28"/>
  <c r="AC40" i="28" s="1"/>
  <c r="AA7" i="28"/>
  <c r="AA8" i="28"/>
  <c r="AB8" i="28" s="1"/>
  <c r="AC8" i="28" s="1"/>
  <c r="AA9" i="28"/>
  <c r="AA10" i="28"/>
  <c r="AA11" i="28"/>
  <c r="AA12" i="28"/>
  <c r="AA13" i="28"/>
  <c r="AA14" i="28"/>
  <c r="AB14" i="28" s="1"/>
  <c r="AC14" i="28" s="1"/>
  <c r="AA15" i="28"/>
  <c r="AA16" i="28"/>
  <c r="AB16" i="28" s="1"/>
  <c r="AC16" i="28" s="1"/>
  <c r="AA17" i="28"/>
  <c r="AA18" i="28"/>
  <c r="AA19" i="28"/>
  <c r="AA20" i="28"/>
  <c r="AB20" i="28" s="1"/>
  <c r="AC20" i="28" s="1"/>
  <c r="AA21" i="28"/>
  <c r="AA22" i="28"/>
  <c r="AA23" i="28"/>
  <c r="AA24" i="28"/>
  <c r="AA25" i="28"/>
  <c r="AA26" i="28"/>
  <c r="AB26" i="28" s="1"/>
  <c r="AC26" i="28" s="1"/>
  <c r="AA27" i="28"/>
  <c r="AA28" i="28"/>
  <c r="AB28" i="28" s="1"/>
  <c r="AC28" i="28" s="1"/>
  <c r="AA29" i="28"/>
  <c r="AA30" i="28"/>
  <c r="AA31" i="28"/>
  <c r="AA32" i="28"/>
  <c r="AB32" i="28" s="1"/>
  <c r="AC32" i="28" s="1"/>
  <c r="AA33" i="28"/>
  <c r="AA34" i="28"/>
  <c r="AA35" i="28"/>
  <c r="AA36" i="28"/>
  <c r="AA37" i="28"/>
  <c r="AA38" i="28"/>
  <c r="AB38" i="28" s="1"/>
  <c r="AC38" i="28" s="1"/>
  <c r="AA39" i="28"/>
  <c r="AA40" i="28"/>
  <c r="AA41" i="28"/>
  <c r="AA42" i="28"/>
  <c r="AA43" i="28"/>
  <c r="AA44" i="28"/>
  <c r="AB44" i="28" s="1"/>
  <c r="AC44" i="28" s="1"/>
  <c r="AA45" i="28"/>
  <c r="AA46" i="28"/>
  <c r="AA47" i="28"/>
  <c r="AB47" i="28" s="1"/>
  <c r="AC47" i="28" s="1"/>
  <c r="AA48" i="28"/>
  <c r="AA49" i="28"/>
  <c r="AA50" i="28"/>
  <c r="AB50" i="28" s="1"/>
  <c r="AC50" i="28" s="1"/>
  <c r="AA51" i="28"/>
  <c r="AB51" i="28" s="1"/>
  <c r="AC51" i="28" s="1"/>
  <c r="AA52" i="28"/>
  <c r="AB52" i="28" s="1"/>
  <c r="AC52" i="28" s="1"/>
  <c r="AA53" i="28"/>
  <c r="AB53" i="28" s="1"/>
  <c r="AC53" i="28" s="1"/>
  <c r="AA54" i="28"/>
  <c r="AA55" i="28"/>
  <c r="AA56" i="28"/>
  <c r="AB56" i="28" s="1"/>
  <c r="AC56" i="28" s="1"/>
  <c r="AA57" i="28"/>
  <c r="AB57" i="28" s="1"/>
  <c r="AC57" i="28" s="1"/>
  <c r="AA58" i="28"/>
  <c r="AB58" i="28" s="1"/>
  <c r="AC58" i="28" s="1"/>
  <c r="AA59" i="28"/>
  <c r="AB59" i="28" s="1"/>
  <c r="AC59" i="28" s="1"/>
  <c r="AA60" i="28"/>
  <c r="AA61" i="28"/>
  <c r="AA62" i="28"/>
  <c r="AB62" i="28" s="1"/>
  <c r="AC62" i="28" s="1"/>
  <c r="AA63" i="28"/>
  <c r="AB63" i="28" s="1"/>
  <c r="AC63" i="28" s="1"/>
  <c r="AA64" i="28"/>
  <c r="AB64" i="28" s="1"/>
  <c r="AC64" i="28" s="1"/>
  <c r="AA65" i="28"/>
  <c r="AB65" i="28" s="1"/>
  <c r="AC65" i="28" s="1"/>
  <c r="AA6" i="28"/>
  <c r="AB6" i="28" s="1"/>
  <c r="AC6" i="28" s="1"/>
  <c r="T7" i="28"/>
  <c r="T8" i="28"/>
  <c r="U8" i="28" s="1"/>
  <c r="V8" i="28" s="1"/>
  <c r="T9" i="28"/>
  <c r="T10" i="28"/>
  <c r="T11" i="28"/>
  <c r="T12" i="28"/>
  <c r="T13" i="28"/>
  <c r="T14" i="28"/>
  <c r="U14" i="28" s="1"/>
  <c r="V14" i="28" s="1"/>
  <c r="T15" i="28"/>
  <c r="T16" i="28"/>
  <c r="T17" i="28"/>
  <c r="T18" i="28"/>
  <c r="T19" i="28"/>
  <c r="T20" i="28"/>
  <c r="U20" i="28" s="1"/>
  <c r="V20" i="28" s="1"/>
  <c r="T21" i="28"/>
  <c r="T22" i="28"/>
  <c r="T23" i="28"/>
  <c r="T24" i="28"/>
  <c r="T25" i="28"/>
  <c r="T26" i="28"/>
  <c r="U26" i="28" s="1"/>
  <c r="V26" i="28" s="1"/>
  <c r="T27" i="28"/>
  <c r="T28" i="28"/>
  <c r="T29" i="28"/>
  <c r="T30" i="28"/>
  <c r="T31" i="28"/>
  <c r="T32" i="28"/>
  <c r="U32" i="28" s="1"/>
  <c r="V32" i="28" s="1"/>
  <c r="T6" i="28"/>
  <c r="U6" i="28" s="1"/>
  <c r="V6" i="28" s="1"/>
  <c r="N7" i="28"/>
  <c r="O7" i="28" s="1"/>
  <c r="M8" i="28"/>
  <c r="N8" i="28" s="1"/>
  <c r="O8" i="28" s="1"/>
  <c r="M9" i="28"/>
  <c r="M10" i="28"/>
  <c r="M11" i="28"/>
  <c r="N11" i="28" s="1"/>
  <c r="O11" i="28" s="1"/>
  <c r="M12" i="28"/>
  <c r="N12" i="28" s="1"/>
  <c r="O12" i="28" s="1"/>
  <c r="M13" i="28"/>
  <c r="N13" i="28" s="1"/>
  <c r="O13" i="28" s="1"/>
  <c r="M14" i="28"/>
  <c r="N14" i="28" s="1"/>
  <c r="O14" i="28" s="1"/>
  <c r="N6" i="28"/>
  <c r="O6" i="28" s="1"/>
  <c r="P6" i="28" s="1"/>
  <c r="E6" i="28" s="1"/>
  <c r="I22" i="24"/>
  <c r="G27" i="24"/>
  <c r="H25" i="24"/>
  <c r="I23" i="24"/>
  <c r="G26" i="24"/>
  <c r="H24" i="24"/>
  <c r="J20" i="24"/>
  <c r="J21" i="24"/>
  <c r="X10" i="28" l="1"/>
  <c r="F10" i="28" s="1"/>
  <c r="X9" i="28"/>
  <c r="F9" i="28" s="1"/>
  <c r="X6" i="28"/>
  <c r="F6" i="28" s="1"/>
  <c r="W6" i="28"/>
  <c r="G6" i="28" s="1"/>
  <c r="W9" i="28"/>
  <c r="G9" i="28" s="1"/>
  <c r="N10" i="28"/>
  <c r="O10" i="28" s="1"/>
  <c r="Q11" i="28" s="1"/>
  <c r="D11" i="28" s="1"/>
  <c r="U31" i="28"/>
  <c r="V31" i="28" s="1"/>
  <c r="U25" i="28"/>
  <c r="V25" i="28" s="1"/>
  <c r="U19" i="28"/>
  <c r="V19" i="28" s="1"/>
  <c r="U13" i="28"/>
  <c r="V13" i="28" s="1"/>
  <c r="U7" i="28"/>
  <c r="V7" i="28" s="1"/>
  <c r="AB61" i="28"/>
  <c r="AC61" i="28" s="1"/>
  <c r="AB55" i="28"/>
  <c r="AC55" i="28" s="1"/>
  <c r="AB49" i="28"/>
  <c r="AC49" i="28" s="1"/>
  <c r="AB43" i="28"/>
  <c r="AC43" i="28" s="1"/>
  <c r="AB37" i="28"/>
  <c r="AC37" i="28" s="1"/>
  <c r="AB31" i="28"/>
  <c r="AC31" i="28" s="1"/>
  <c r="AB25" i="28"/>
  <c r="AC25" i="28" s="1"/>
  <c r="AB19" i="28"/>
  <c r="AC19" i="28" s="1"/>
  <c r="AB13" i="28"/>
  <c r="AC13" i="28" s="1"/>
  <c r="AB7" i="28"/>
  <c r="AC7" i="28" s="1"/>
  <c r="Q6" i="28"/>
  <c r="AE6" i="28"/>
  <c r="H6" i="28" s="1"/>
  <c r="N9" i="28"/>
  <c r="O9" i="28" s="1"/>
  <c r="U30" i="28"/>
  <c r="V30" i="28" s="1"/>
  <c r="U24" i="28"/>
  <c r="V24" i="28" s="1"/>
  <c r="U18" i="28"/>
  <c r="V18" i="28" s="1"/>
  <c r="U12" i="28"/>
  <c r="V12" i="28" s="1"/>
  <c r="AB60" i="28"/>
  <c r="AC60" i="28" s="1"/>
  <c r="AB54" i="28"/>
  <c r="AC54" i="28" s="1"/>
  <c r="AB48" i="28"/>
  <c r="AC48" i="28" s="1"/>
  <c r="AB42" i="28"/>
  <c r="AC42" i="28" s="1"/>
  <c r="AB36" i="28"/>
  <c r="AC36" i="28" s="1"/>
  <c r="AB30" i="28"/>
  <c r="AC30" i="28" s="1"/>
  <c r="AB24" i="28"/>
  <c r="AC24" i="28" s="1"/>
  <c r="AB18" i="28"/>
  <c r="AC18" i="28" s="1"/>
  <c r="AB12" i="28"/>
  <c r="AC12" i="28" s="1"/>
  <c r="P7" i="28"/>
  <c r="E7" i="28" s="1"/>
  <c r="U29" i="28"/>
  <c r="V29" i="28" s="1"/>
  <c r="U23" i="28"/>
  <c r="V23" i="28" s="1"/>
  <c r="U17" i="28"/>
  <c r="V17" i="28" s="1"/>
  <c r="U11" i="28"/>
  <c r="V11" i="28" s="1"/>
  <c r="X29" i="28" s="1"/>
  <c r="F29" i="28" s="1"/>
  <c r="AB41" i="28"/>
  <c r="AC41" i="28" s="1"/>
  <c r="AB35" i="28"/>
  <c r="AC35" i="28" s="1"/>
  <c r="AB29" i="28"/>
  <c r="AC29" i="28" s="1"/>
  <c r="AB23" i="28"/>
  <c r="AC23" i="28" s="1"/>
  <c r="AB17" i="28"/>
  <c r="AC17" i="28" s="1"/>
  <c r="AB11" i="28"/>
  <c r="AC11" i="28" s="1"/>
  <c r="AE17" i="28" s="1"/>
  <c r="H17" i="28" s="1"/>
  <c r="Q7" i="28"/>
  <c r="D7" i="28" s="1"/>
  <c r="AE7" i="28"/>
  <c r="H7" i="28" s="1"/>
  <c r="U28" i="28"/>
  <c r="V28" i="28" s="1"/>
  <c r="U22" i="28"/>
  <c r="V22" i="28" s="1"/>
  <c r="U16" i="28"/>
  <c r="V16" i="28" s="1"/>
  <c r="U10" i="28"/>
  <c r="V10" i="28" s="1"/>
  <c r="X20" i="28" s="1"/>
  <c r="F20" i="28" s="1"/>
  <c r="AB46" i="28"/>
  <c r="AC46" i="28" s="1"/>
  <c r="AB34" i="28"/>
  <c r="AC34" i="28" s="1"/>
  <c r="AB22" i="28"/>
  <c r="AC22" i="28" s="1"/>
  <c r="AE49" i="28" s="1"/>
  <c r="H49" i="28" s="1"/>
  <c r="AB10" i="28"/>
  <c r="AC10" i="28" s="1"/>
  <c r="P8" i="28"/>
  <c r="E8" i="28" s="1"/>
  <c r="AD8" i="28"/>
  <c r="I8" i="28" s="1"/>
  <c r="AD11" i="28"/>
  <c r="I11" i="28" s="1"/>
  <c r="AD29" i="28"/>
  <c r="I29" i="28" s="1"/>
  <c r="U27" i="28"/>
  <c r="V27" i="28" s="1"/>
  <c r="U21" i="28"/>
  <c r="V21" i="28" s="1"/>
  <c r="U15" i="28"/>
  <c r="V15" i="28" s="1"/>
  <c r="U9" i="28"/>
  <c r="V9" i="28" s="1"/>
  <c r="AB45" i="28"/>
  <c r="AC45" i="28" s="1"/>
  <c r="AB39" i="28"/>
  <c r="AC39" i="28" s="1"/>
  <c r="AD65" i="28" s="1"/>
  <c r="I65" i="28" s="1"/>
  <c r="AB33" i="28"/>
  <c r="AC33" i="28" s="1"/>
  <c r="AB27" i="28"/>
  <c r="AC27" i="28" s="1"/>
  <c r="AB21" i="28"/>
  <c r="AC21" i="28" s="1"/>
  <c r="AB15" i="28"/>
  <c r="AC15" i="28" s="1"/>
  <c r="AB9" i="28"/>
  <c r="AC9" i="28" s="1"/>
  <c r="AE52" i="28" s="1"/>
  <c r="H52" i="28" s="1"/>
  <c r="Q8" i="28"/>
  <c r="D8" i="28" s="1"/>
  <c r="AE8" i="28"/>
  <c r="H8" i="28" s="1"/>
  <c r="AE20" i="28"/>
  <c r="H20" i="28" s="1"/>
  <c r="AE38" i="28"/>
  <c r="H38" i="28" s="1"/>
  <c r="AE56" i="28"/>
  <c r="H56" i="28" s="1"/>
  <c r="AD13" i="26"/>
  <c r="AD14" i="26" s="1"/>
  <c r="AB13" i="26"/>
  <c r="AB14" i="26" s="1"/>
  <c r="AA13" i="26"/>
  <c r="AE13" i="26"/>
  <c r="AE14" i="26" s="1"/>
  <c r="AF13" i="26"/>
  <c r="AC13" i="26"/>
  <c r="W227" i="27"/>
  <c r="W183" i="27"/>
  <c r="W139" i="27"/>
  <c r="W95" i="27"/>
  <c r="V12" i="27"/>
  <c r="V13" i="27"/>
  <c r="V14" i="27"/>
  <c r="V15" i="27"/>
  <c r="V16" i="27"/>
  <c r="V17" i="27"/>
  <c r="V18" i="27"/>
  <c r="V19" i="27"/>
  <c r="V20" i="27"/>
  <c r="V21" i="27"/>
  <c r="V22" i="27"/>
  <c r="V23" i="27"/>
  <c r="V24" i="27"/>
  <c r="V25" i="27"/>
  <c r="V26" i="27"/>
  <c r="V27" i="27"/>
  <c r="V28" i="27"/>
  <c r="V29" i="27"/>
  <c r="V30" i="27"/>
  <c r="V31" i="27"/>
  <c r="V32" i="27"/>
  <c r="V33" i="27"/>
  <c r="V34" i="27"/>
  <c r="V35" i="27"/>
  <c r="V36" i="27"/>
  <c r="V37" i="27"/>
  <c r="V38" i="27"/>
  <c r="V39" i="27"/>
  <c r="V40" i="27"/>
  <c r="V41" i="27"/>
  <c r="V42" i="27"/>
  <c r="V43" i="27"/>
  <c r="V44" i="27"/>
  <c r="V45" i="27"/>
  <c r="V46" i="27"/>
  <c r="V47" i="27"/>
  <c r="V48" i="27"/>
  <c r="V49" i="27"/>
  <c r="V50" i="27"/>
  <c r="V51" i="27"/>
  <c r="W51" i="27"/>
  <c r="V11" i="27"/>
  <c r="R20" i="27"/>
  <c r="R18" i="27"/>
  <c r="P14" i="27"/>
  <c r="O8" i="27"/>
  <c r="P8" i="27"/>
  <c r="Q8" i="27"/>
  <c r="R8" i="27"/>
  <c r="S8" i="27"/>
  <c r="O9" i="27"/>
  <c r="P9" i="27"/>
  <c r="Q9" i="27"/>
  <c r="R9" i="27"/>
  <c r="S9" i="27"/>
  <c r="O10" i="27"/>
  <c r="P10" i="27"/>
  <c r="Q10" i="27"/>
  <c r="R10" i="27"/>
  <c r="S10" i="27"/>
  <c r="O11" i="27"/>
  <c r="P11" i="27"/>
  <c r="Q11" i="27"/>
  <c r="R11" i="27"/>
  <c r="S11" i="27"/>
  <c r="O12" i="27"/>
  <c r="P12" i="27"/>
  <c r="Q12" i="27"/>
  <c r="R12" i="27"/>
  <c r="S12" i="27"/>
  <c r="O13" i="27"/>
  <c r="P13" i="27"/>
  <c r="Q13" i="27"/>
  <c r="R13" i="27"/>
  <c r="S13" i="27"/>
  <c r="O14" i="27"/>
  <c r="Q14" i="27"/>
  <c r="R14" i="27"/>
  <c r="S14" i="27"/>
  <c r="O15" i="27"/>
  <c r="P15" i="27"/>
  <c r="Q15" i="27"/>
  <c r="R15" i="27"/>
  <c r="S15" i="27"/>
  <c r="O16" i="27"/>
  <c r="P16" i="27"/>
  <c r="Q16" i="27"/>
  <c r="R16" i="27"/>
  <c r="S16" i="27"/>
  <c r="O17" i="27"/>
  <c r="P17" i="27"/>
  <c r="Q17" i="27"/>
  <c r="R17" i="27"/>
  <c r="S17" i="27"/>
  <c r="O18" i="27"/>
  <c r="P18" i="27"/>
  <c r="Q18" i="27"/>
  <c r="S18" i="27"/>
  <c r="O19" i="27"/>
  <c r="P19" i="27"/>
  <c r="Q19" i="27"/>
  <c r="R19" i="27"/>
  <c r="S19" i="27"/>
  <c r="O20" i="27"/>
  <c r="P20" i="27"/>
  <c r="Q20" i="27"/>
  <c r="S20" i="27"/>
  <c r="O21" i="27"/>
  <c r="P21" i="27"/>
  <c r="Q21" i="27"/>
  <c r="R21" i="27"/>
  <c r="S21" i="27"/>
  <c r="O22" i="27"/>
  <c r="P22" i="27"/>
  <c r="Q22" i="27"/>
  <c r="R22" i="27"/>
  <c r="S22" i="27"/>
  <c r="O23" i="27"/>
  <c r="P23" i="27"/>
  <c r="Q23" i="27"/>
  <c r="R23" i="27"/>
  <c r="S23" i="27"/>
  <c r="O24" i="27"/>
  <c r="P24" i="27"/>
  <c r="Q24" i="27"/>
  <c r="R24" i="27"/>
  <c r="S24" i="27"/>
  <c r="O25" i="27"/>
  <c r="P25" i="27"/>
  <c r="Q25" i="27"/>
  <c r="R25" i="27"/>
  <c r="S25" i="27"/>
  <c r="O26" i="27"/>
  <c r="P26" i="27"/>
  <c r="Q26" i="27"/>
  <c r="R26" i="27"/>
  <c r="S26" i="27"/>
  <c r="O27" i="27"/>
  <c r="P27" i="27"/>
  <c r="Q27" i="27"/>
  <c r="R27" i="27"/>
  <c r="S27" i="27"/>
  <c r="P7" i="27"/>
  <c r="Q7" i="27"/>
  <c r="R7" i="27"/>
  <c r="S7" i="27"/>
  <c r="O7" i="27"/>
  <c r="H26" i="24"/>
  <c r="I24" i="24"/>
  <c r="E95" i="15"/>
  <c r="H27" i="24"/>
  <c r="I25" i="24"/>
  <c r="G30" i="24"/>
  <c r="J22" i="24"/>
  <c r="G28" i="24"/>
  <c r="J23" i="24"/>
  <c r="G29" i="24"/>
  <c r="P13" i="28" l="1"/>
  <c r="E13" i="28" s="1"/>
  <c r="Q12" i="28"/>
  <c r="D12" i="28" s="1"/>
  <c r="P10" i="28"/>
  <c r="E10" i="28" s="1"/>
  <c r="P12" i="28"/>
  <c r="E12" i="28" s="1"/>
  <c r="AE31" i="28"/>
  <c r="H31" i="28" s="1"/>
  <c r="AE60" i="28"/>
  <c r="H60" i="28" s="1"/>
  <c r="AE24" i="28"/>
  <c r="H24" i="28" s="1"/>
  <c r="W19" i="28"/>
  <c r="G19" i="28" s="1"/>
  <c r="W20" i="28"/>
  <c r="G20" i="28" s="1"/>
  <c r="AE53" i="28"/>
  <c r="H53" i="28" s="1"/>
  <c r="AD44" i="28"/>
  <c r="I44" i="28" s="1"/>
  <c r="AE28" i="28"/>
  <c r="H28" i="28" s="1"/>
  <c r="AE10" i="28"/>
  <c r="H10" i="28" s="1"/>
  <c r="AD55" i="28"/>
  <c r="I55" i="28" s="1"/>
  <c r="AE39" i="28"/>
  <c r="H39" i="28" s="1"/>
  <c r="X12" i="28"/>
  <c r="F12" i="28" s="1"/>
  <c r="X30" i="28"/>
  <c r="F30" i="28" s="1"/>
  <c r="W22" i="28"/>
  <c r="G22" i="28" s="1"/>
  <c r="X13" i="28"/>
  <c r="F13" i="28" s="1"/>
  <c r="X31" i="28"/>
  <c r="F31" i="28" s="1"/>
  <c r="X32" i="28"/>
  <c r="F32" i="28" s="1"/>
  <c r="AE50" i="28"/>
  <c r="H50" i="28" s="1"/>
  <c r="AE32" i="28"/>
  <c r="H32" i="28" s="1"/>
  <c r="AE14" i="28"/>
  <c r="H14" i="28" s="1"/>
  <c r="AD59" i="28"/>
  <c r="I59" i="28" s="1"/>
  <c r="AD41" i="28"/>
  <c r="I41" i="28" s="1"/>
  <c r="AD23" i="28"/>
  <c r="I23" i="28" s="1"/>
  <c r="P14" i="28"/>
  <c r="E14" i="28" s="1"/>
  <c r="E20" i="25" s="1"/>
  <c r="AE61" i="28"/>
  <c r="H61" i="28" s="1"/>
  <c r="AE43" i="28"/>
  <c r="H43" i="28" s="1"/>
  <c r="AE25" i="28"/>
  <c r="H25" i="28" s="1"/>
  <c r="AD52" i="28"/>
  <c r="I52" i="28" s="1"/>
  <c r="AD34" i="28"/>
  <c r="I34" i="28" s="1"/>
  <c r="AD16" i="28"/>
  <c r="I16" i="28" s="1"/>
  <c r="AE54" i="28"/>
  <c r="H54" i="28" s="1"/>
  <c r="AE36" i="28"/>
  <c r="H36" i="28" s="1"/>
  <c r="AE18" i="28"/>
  <c r="H18" i="28" s="1"/>
  <c r="Q9" i="28"/>
  <c r="D9" i="28" s="1"/>
  <c r="W18" i="28"/>
  <c r="G18" i="28" s="1"/>
  <c r="W15" i="28"/>
  <c r="G15" i="28" s="1"/>
  <c r="W30" i="28"/>
  <c r="G30" i="28" s="1"/>
  <c r="W24" i="28"/>
  <c r="G24" i="28" s="1"/>
  <c r="X15" i="28"/>
  <c r="F15" i="28" s="1"/>
  <c r="W7" i="28"/>
  <c r="G7" i="28" s="1"/>
  <c r="W25" i="28"/>
  <c r="G25" i="28" s="1"/>
  <c r="X16" i="28"/>
  <c r="F16" i="28" s="1"/>
  <c r="W8" i="28"/>
  <c r="G8" i="28" s="1"/>
  <c r="W26" i="28"/>
  <c r="G26" i="28" s="1"/>
  <c r="X17" i="28"/>
  <c r="F17" i="28" s="1"/>
  <c r="P9" i="28"/>
  <c r="E9" i="28" s="1"/>
  <c r="AD47" i="28"/>
  <c r="I47" i="28" s="1"/>
  <c r="AE13" i="28"/>
  <c r="H13" i="28" s="1"/>
  <c r="AD40" i="28"/>
  <c r="I40" i="28" s="1"/>
  <c r="X27" i="28"/>
  <c r="F27" i="28" s="1"/>
  <c r="X28" i="28"/>
  <c r="F28" i="28" s="1"/>
  <c r="AD62" i="28"/>
  <c r="I62" i="28" s="1"/>
  <c r="AD26" i="28"/>
  <c r="I26" i="28" s="1"/>
  <c r="AE64" i="28"/>
  <c r="H64" i="28" s="1"/>
  <c r="AD19" i="28"/>
  <c r="I19" i="28" s="1"/>
  <c r="W23" i="28"/>
  <c r="G23" i="28" s="1"/>
  <c r="AE47" i="28"/>
  <c r="H47" i="28" s="1"/>
  <c r="AE29" i="28"/>
  <c r="H29" i="28" s="1"/>
  <c r="AE11" i="28"/>
  <c r="H11" i="28" s="1"/>
  <c r="AD56" i="28"/>
  <c r="I56" i="28" s="1"/>
  <c r="AD38" i="28"/>
  <c r="I38" i="28" s="1"/>
  <c r="AD20" i="28"/>
  <c r="I20" i="28" s="1"/>
  <c r="P11" i="28"/>
  <c r="E11" i="28" s="1"/>
  <c r="AE58" i="28"/>
  <c r="H58" i="28" s="1"/>
  <c r="AE40" i="28"/>
  <c r="H40" i="28" s="1"/>
  <c r="AE22" i="28"/>
  <c r="H22" i="28" s="1"/>
  <c r="Q13" i="28"/>
  <c r="D13" i="28" s="1"/>
  <c r="AD49" i="28"/>
  <c r="I49" i="28" s="1"/>
  <c r="AD31" i="28"/>
  <c r="I31" i="28" s="1"/>
  <c r="AD13" i="28"/>
  <c r="I13" i="28" s="1"/>
  <c r="AE51" i="28"/>
  <c r="H51" i="28" s="1"/>
  <c r="AE33" i="28"/>
  <c r="H33" i="28" s="1"/>
  <c r="AE15" i="28"/>
  <c r="H15" i="28" s="1"/>
  <c r="W12" i="28"/>
  <c r="G12" i="28" s="1"/>
  <c r="X18" i="28"/>
  <c r="F18" i="28" s="1"/>
  <c r="W10" i="28"/>
  <c r="G10" i="28" s="1"/>
  <c r="G20" i="25" s="1"/>
  <c r="W28" i="28"/>
  <c r="G28" i="28" s="1"/>
  <c r="X19" i="28"/>
  <c r="F19" i="28" s="1"/>
  <c r="W11" i="28"/>
  <c r="G11" i="28" s="1"/>
  <c r="W29" i="28"/>
  <c r="G29" i="28" s="1"/>
  <c r="AD58" i="28"/>
  <c r="I58" i="28" s="1"/>
  <c r="AE42" i="28"/>
  <c r="H42" i="28" s="1"/>
  <c r="X11" i="28"/>
  <c r="F11" i="28" s="1"/>
  <c r="AE35" i="28"/>
  <c r="H35" i="28" s="1"/>
  <c r="AE46" i="28"/>
  <c r="H46" i="28" s="1"/>
  <c r="AD37" i="28"/>
  <c r="I37" i="28" s="1"/>
  <c r="AE57" i="28"/>
  <c r="H57" i="28" s="1"/>
  <c r="AE21" i="28"/>
  <c r="H21" i="28" s="1"/>
  <c r="X14" i="28"/>
  <c r="F14" i="28" s="1"/>
  <c r="AE62" i="28"/>
  <c r="H62" i="28" s="1"/>
  <c r="AE44" i="28"/>
  <c r="H44" i="28" s="1"/>
  <c r="AE26" i="28"/>
  <c r="H26" i="28" s="1"/>
  <c r="AD53" i="28"/>
  <c r="I53" i="28" s="1"/>
  <c r="AD35" i="28"/>
  <c r="I35" i="28" s="1"/>
  <c r="AD17" i="28"/>
  <c r="I17" i="28" s="1"/>
  <c r="AE55" i="28"/>
  <c r="H55" i="28" s="1"/>
  <c r="AE37" i="28"/>
  <c r="H37" i="28" s="1"/>
  <c r="AE19" i="28"/>
  <c r="H19" i="28" s="1"/>
  <c r="Q10" i="28"/>
  <c r="D10" i="28" s="1"/>
  <c r="AD64" i="28"/>
  <c r="I64" i="28" s="1"/>
  <c r="AD46" i="28"/>
  <c r="I46" i="28" s="1"/>
  <c r="AD28" i="28"/>
  <c r="I28" i="28" s="1"/>
  <c r="AD10" i="28"/>
  <c r="I10" i="28" s="1"/>
  <c r="AE48" i="28"/>
  <c r="H48" i="28" s="1"/>
  <c r="AE30" i="28"/>
  <c r="H30" i="28" s="1"/>
  <c r="AE12" i="28"/>
  <c r="H12" i="28" s="1"/>
  <c r="AD63" i="28"/>
  <c r="I63" i="28" s="1"/>
  <c r="AD60" i="28"/>
  <c r="I60" i="28" s="1"/>
  <c r="AD57" i="28"/>
  <c r="I57" i="28" s="1"/>
  <c r="AD51" i="28"/>
  <c r="I51" i="28" s="1"/>
  <c r="AD54" i="28"/>
  <c r="I54" i="28" s="1"/>
  <c r="AD39" i="28"/>
  <c r="I39" i="28" s="1"/>
  <c r="AD21" i="28"/>
  <c r="I21" i="28" s="1"/>
  <c r="AD36" i="28"/>
  <c r="I36" i="28" s="1"/>
  <c r="AD18" i="28"/>
  <c r="I18" i="28" s="1"/>
  <c r="AD33" i="28"/>
  <c r="I33" i="28" s="1"/>
  <c r="AD15" i="28"/>
  <c r="I15" i="28" s="1"/>
  <c r="AD48" i="28"/>
  <c r="I48" i="28" s="1"/>
  <c r="AD30" i="28"/>
  <c r="I30" i="28" s="1"/>
  <c r="AD12" i="28"/>
  <c r="I12" i="28" s="1"/>
  <c r="AD45" i="28"/>
  <c r="I45" i="28" s="1"/>
  <c r="AD27" i="28"/>
  <c r="I27" i="28" s="1"/>
  <c r="AD9" i="28"/>
  <c r="I9" i="28" s="1"/>
  <c r="AD42" i="28"/>
  <c r="I42" i="28" s="1"/>
  <c r="AD24" i="28"/>
  <c r="I24" i="28" s="1"/>
  <c r="AE65" i="28"/>
  <c r="H65" i="28" s="1"/>
  <c r="W21" i="28"/>
  <c r="G21" i="28" s="1"/>
  <c r="X21" i="28"/>
  <c r="F21" i="28" s="1"/>
  <c r="W13" i="28"/>
  <c r="G13" i="28" s="1"/>
  <c r="W31" i="28"/>
  <c r="G31" i="28" s="1"/>
  <c r="X22" i="28"/>
  <c r="F22" i="28" s="1"/>
  <c r="W14" i="28"/>
  <c r="G14" i="28" s="1"/>
  <c r="W32" i="28"/>
  <c r="G32" i="28" s="1"/>
  <c r="X23" i="28"/>
  <c r="F23" i="28" s="1"/>
  <c r="AD22" i="28"/>
  <c r="I22" i="28" s="1"/>
  <c r="W27" i="28"/>
  <c r="G27" i="28" s="1"/>
  <c r="AE59" i="28"/>
  <c r="H59" i="28" s="1"/>
  <c r="AE41" i="28"/>
  <c r="H41" i="28" s="1"/>
  <c r="AE23" i="28"/>
  <c r="H23" i="28" s="1"/>
  <c r="AD50" i="28"/>
  <c r="I50" i="28" s="1"/>
  <c r="AD32" i="28"/>
  <c r="I32" i="28" s="1"/>
  <c r="AD14" i="28"/>
  <c r="I14" i="28" s="1"/>
  <c r="AE34" i="28"/>
  <c r="H34" i="28" s="1"/>
  <c r="AE16" i="28"/>
  <c r="H16" i="28" s="1"/>
  <c r="AD61" i="28"/>
  <c r="I61" i="28" s="1"/>
  <c r="AD43" i="28"/>
  <c r="I43" i="28" s="1"/>
  <c r="AD25" i="28"/>
  <c r="I25" i="28" s="1"/>
  <c r="AD7" i="28"/>
  <c r="I7" i="28" s="1"/>
  <c r="I20" i="25" s="1"/>
  <c r="AE63" i="28"/>
  <c r="H63" i="28" s="1"/>
  <c r="AE45" i="28"/>
  <c r="H45" i="28" s="1"/>
  <c r="AE27" i="28"/>
  <c r="H27" i="28" s="1"/>
  <c r="AE9" i="28"/>
  <c r="H9" i="28" s="1"/>
  <c r="Q14" i="28"/>
  <c r="D14" i="28" s="1"/>
  <c r="X24" i="28"/>
  <c r="F24" i="28" s="1"/>
  <c r="W16" i="28"/>
  <c r="G16" i="28" s="1"/>
  <c r="X7" i="28"/>
  <c r="F7" i="28" s="1"/>
  <c r="X25" i="28"/>
  <c r="F25" i="28" s="1"/>
  <c r="W17" i="28"/>
  <c r="G17" i="28" s="1"/>
  <c r="X8" i="28"/>
  <c r="F8" i="28" s="1"/>
  <c r="X26" i="28"/>
  <c r="F26" i="28" s="1"/>
  <c r="AA14" i="26"/>
  <c r="AE15" i="26"/>
  <c r="AD15" i="26"/>
  <c r="AB15" i="26"/>
  <c r="AC14" i="26"/>
  <c r="AF14" i="26"/>
  <c r="M227" i="25"/>
  <c r="J25" i="24"/>
  <c r="I27" i="24"/>
  <c r="H30" i="24"/>
  <c r="H29" i="24"/>
  <c r="J24" i="24"/>
  <c r="I26" i="24"/>
  <c r="H28" i="24"/>
  <c r="E139" i="15"/>
  <c r="J36" i="27" l="1"/>
  <c r="J38" i="27"/>
  <c r="J37" i="27"/>
  <c r="AA15" i="26"/>
  <c r="AF15" i="26"/>
  <c r="AC15" i="26"/>
  <c r="AB16" i="26"/>
  <c r="AD16" i="26"/>
  <c r="AE16" i="26"/>
  <c r="M183" i="25"/>
  <c r="M139" i="25"/>
  <c r="M95" i="25"/>
  <c r="L51" i="25"/>
  <c r="M51" i="25"/>
  <c r="J27" i="24"/>
  <c r="J227" i="15"/>
  <c r="F227" i="15"/>
  <c r="H227" i="15"/>
  <c r="I227" i="15"/>
  <c r="J26" i="24"/>
  <c r="K227" i="15"/>
  <c r="I30" i="24"/>
  <c r="G227" i="15"/>
  <c r="I28" i="24"/>
  <c r="I29" i="24"/>
  <c r="E183" i="15"/>
  <c r="E51" i="15"/>
  <c r="E36" i="26" l="1"/>
  <c r="D36" i="26"/>
  <c r="AA16" i="26"/>
  <c r="AA17" i="26" s="1"/>
  <c r="AE17" i="26"/>
  <c r="AB17" i="26"/>
  <c r="AD17" i="26"/>
  <c r="AC16" i="26"/>
  <c r="AF16" i="26"/>
  <c r="C95" i="15"/>
  <c r="C139" i="15" s="1"/>
  <c r="E227" i="15"/>
  <c r="F139" i="15"/>
  <c r="H183" i="15"/>
  <c r="J139" i="15"/>
  <c r="K51" i="15"/>
  <c r="G95" i="15"/>
  <c r="H51" i="15"/>
  <c r="J183" i="15"/>
  <c r="I51" i="15"/>
  <c r="H139" i="15"/>
  <c r="I139" i="15"/>
  <c r="J30" i="24"/>
  <c r="H95" i="15"/>
  <c r="I95" i="15"/>
  <c r="F51" i="15"/>
  <c r="K95" i="15"/>
  <c r="J29" i="24"/>
  <c r="G183" i="15"/>
  <c r="I183" i="15"/>
  <c r="J28" i="24"/>
  <c r="G139" i="15"/>
  <c r="G51" i="15"/>
  <c r="J51" i="15"/>
  <c r="K139" i="15"/>
  <c r="J95" i="15"/>
  <c r="F95" i="15"/>
  <c r="K183" i="15"/>
  <c r="F183" i="15"/>
  <c r="J8" i="26" l="1"/>
  <c r="O8" i="26"/>
  <c r="O9" i="26"/>
  <c r="J9" i="26"/>
  <c r="Q227" i="15"/>
  <c r="S227" i="25" s="1"/>
  <c r="N139" i="24"/>
  <c r="S139" i="26"/>
  <c r="V139" i="27"/>
  <c r="L139" i="25"/>
  <c r="C183" i="15"/>
  <c r="N95" i="24"/>
  <c r="S95" i="26"/>
  <c r="V95" i="27"/>
  <c r="L95" i="25"/>
  <c r="AD18" i="26"/>
  <c r="AF17" i="26"/>
  <c r="AC17" i="26"/>
  <c r="AB18" i="26"/>
  <c r="AA18" i="26"/>
  <c r="AE18" i="26"/>
  <c r="Q183" i="15"/>
  <c r="Q139" i="15"/>
  <c r="Q95" i="15"/>
  <c r="Q51" i="15"/>
  <c r="L9" i="26" l="1"/>
  <c r="M9" i="26"/>
  <c r="Z11" i="26"/>
  <c r="Z12" i="26" s="1"/>
  <c r="Z13" i="26" s="1"/>
  <c r="Z14" i="26" s="1"/>
  <c r="Z15" i="26" s="1"/>
  <c r="Z16" i="26" s="1"/>
  <c r="Z17" i="26" s="1"/>
  <c r="Z18" i="26" s="1"/>
  <c r="Z19" i="26" s="1"/>
  <c r="M8" i="26"/>
  <c r="L8" i="26"/>
  <c r="P227" i="15"/>
  <c r="O227" i="15" s="1"/>
  <c r="N183" i="24"/>
  <c r="S183" i="26"/>
  <c r="V183" i="27"/>
  <c r="L183" i="25"/>
  <c r="C227" i="15"/>
  <c r="Y95" i="26"/>
  <c r="X95" i="26"/>
  <c r="W95" i="26"/>
  <c r="V95" i="26" s="1"/>
  <c r="W139" i="26"/>
  <c r="V139" i="26" s="1"/>
  <c r="X139" i="26"/>
  <c r="Y139" i="26"/>
  <c r="AA19" i="26"/>
  <c r="AB19" i="26"/>
  <c r="AE19" i="26"/>
  <c r="AC18" i="26"/>
  <c r="AF18" i="26"/>
  <c r="AD19" i="26"/>
  <c r="P51" i="15"/>
  <c r="S51" i="25"/>
  <c r="P183" i="15"/>
  <c r="S183" i="25"/>
  <c r="P139" i="15"/>
  <c r="S139" i="25"/>
  <c r="P95" i="15"/>
  <c r="S95" i="25"/>
  <c r="R227" i="25" l="1"/>
  <c r="N227" i="24"/>
  <c r="S227" i="26"/>
  <c r="V227" i="27"/>
  <c r="L227" i="25"/>
  <c r="X183" i="26"/>
  <c r="W183" i="26"/>
  <c r="V183" i="26" s="1"/>
  <c r="Y183" i="26"/>
  <c r="Z20" i="26"/>
  <c r="Z21" i="26" s="1"/>
  <c r="Z22" i="26" s="1"/>
  <c r="AF19" i="26"/>
  <c r="AD20" i="26"/>
  <c r="AC19" i="26"/>
  <c r="AE20" i="26"/>
  <c r="AA20" i="26"/>
  <c r="AB20" i="26"/>
  <c r="O51" i="15"/>
  <c r="R51" i="25"/>
  <c r="N227" i="15"/>
  <c r="Q227" i="25"/>
  <c r="O139" i="15"/>
  <c r="R139" i="25"/>
  <c r="O183" i="15"/>
  <c r="R183" i="25"/>
  <c r="O95" i="15"/>
  <c r="R95" i="25"/>
  <c r="W227" i="26" l="1"/>
  <c r="V227" i="26" s="1"/>
  <c r="Y227" i="26"/>
  <c r="X227" i="26"/>
  <c r="Z23" i="26"/>
  <c r="AE21" i="26"/>
  <c r="AD21" i="26"/>
  <c r="AB21" i="26"/>
  <c r="AA21" i="26"/>
  <c r="AC20" i="26"/>
  <c r="AF20" i="26"/>
  <c r="N51" i="15"/>
  <c r="Q51" i="25"/>
  <c r="M227" i="15"/>
  <c r="P227" i="25"/>
  <c r="N139" i="15"/>
  <c r="Q139" i="25"/>
  <c r="N183" i="15"/>
  <c r="Q183" i="25"/>
  <c r="N95" i="15"/>
  <c r="Q95" i="25"/>
  <c r="Z24" i="26" l="1"/>
  <c r="Z25" i="26" s="1"/>
  <c r="Z26" i="26" s="1"/>
  <c r="Z27" i="26" s="1"/>
  <c r="AE22" i="26"/>
  <c r="AC21" i="26"/>
  <c r="AB22" i="26"/>
  <c r="AD22" i="26"/>
  <c r="AF21" i="26"/>
  <c r="AA22" i="26"/>
  <c r="M51" i="15"/>
  <c r="P51" i="25"/>
  <c r="M139" i="15"/>
  <c r="P139" i="25"/>
  <c r="M183" i="15"/>
  <c r="P183" i="25"/>
  <c r="L227" i="15"/>
  <c r="O227" i="25"/>
  <c r="M95" i="15"/>
  <c r="P95" i="25"/>
  <c r="Z28" i="26" l="1"/>
  <c r="AA23" i="26"/>
  <c r="AF22" i="26"/>
  <c r="AD23" i="26"/>
  <c r="AC22" i="26"/>
  <c r="AB23" i="26"/>
  <c r="AE23" i="26"/>
  <c r="L51" i="15"/>
  <c r="O51" i="25"/>
  <c r="N227" i="25"/>
  <c r="T227" i="25" s="1"/>
  <c r="L183" i="15"/>
  <c r="O183" i="25"/>
  <c r="L139" i="15"/>
  <c r="O139" i="25"/>
  <c r="L95" i="15"/>
  <c r="O95" i="25"/>
  <c r="Z29" i="26" l="1"/>
  <c r="Z30" i="26" s="1"/>
  <c r="Z31" i="26" s="1"/>
  <c r="Z32" i="26" s="1"/>
  <c r="Z33" i="26" s="1"/>
  <c r="Z34" i="26" s="1"/>
  <c r="Z35" i="26" s="1"/>
  <c r="AA24" i="26"/>
  <c r="AB24" i="26"/>
  <c r="AD24" i="26"/>
  <c r="AC23" i="26"/>
  <c r="AE24" i="26"/>
  <c r="AF23" i="26"/>
  <c r="N51" i="25"/>
  <c r="T51" i="25" s="1"/>
  <c r="N183" i="25"/>
  <c r="T183" i="25" s="1"/>
  <c r="N139" i="25"/>
  <c r="T139" i="25" s="1"/>
  <c r="N95" i="25"/>
  <c r="T95" i="25" s="1"/>
  <c r="Z36" i="26" l="1"/>
  <c r="AF24" i="26"/>
  <c r="AD25" i="26"/>
  <c r="AE25" i="26"/>
  <c r="AC24" i="26"/>
  <c r="AB25" i="26"/>
  <c r="AA25" i="26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29" i="25"/>
  <c r="L30" i="25"/>
  <c r="L31" i="25"/>
  <c r="L32" i="25"/>
  <c r="L33" i="25"/>
  <c r="L34" i="25"/>
  <c r="L35" i="25"/>
  <c r="L36" i="25"/>
  <c r="L37" i="25"/>
  <c r="L38" i="25"/>
  <c r="L39" i="25"/>
  <c r="L40" i="25"/>
  <c r="L41" i="25"/>
  <c r="L42" i="25"/>
  <c r="L43" i="25"/>
  <c r="L44" i="25"/>
  <c r="L45" i="25"/>
  <c r="L46" i="25"/>
  <c r="L47" i="25"/>
  <c r="L48" i="25"/>
  <c r="L49" i="25"/>
  <c r="L50" i="25"/>
  <c r="L11" i="25"/>
  <c r="Z37" i="26" l="1"/>
  <c r="Z38" i="26" s="1"/>
  <c r="Z39" i="26" s="1"/>
  <c r="Z40" i="26" s="1"/>
  <c r="AE26" i="26"/>
  <c r="AB26" i="26"/>
  <c r="AD26" i="26"/>
  <c r="AA26" i="26"/>
  <c r="AC25" i="26"/>
  <c r="AF25" i="26"/>
  <c r="D16" i="25"/>
  <c r="E16" i="25"/>
  <c r="F16" i="25"/>
  <c r="G16" i="25"/>
  <c r="H16" i="25"/>
  <c r="I16" i="25"/>
  <c r="E15" i="25"/>
  <c r="F15" i="25"/>
  <c r="G15" i="25"/>
  <c r="H15" i="25"/>
  <c r="I15" i="25"/>
  <c r="D15" i="25"/>
  <c r="Z41" i="26" l="1"/>
  <c r="AF26" i="26"/>
  <c r="AA27" i="26"/>
  <c r="AD27" i="26"/>
  <c r="AC26" i="26"/>
  <c r="AB27" i="26"/>
  <c r="AE27" i="26"/>
  <c r="Z227" i="25"/>
  <c r="Z51" i="25"/>
  <c r="Z95" i="25"/>
  <c r="Z183" i="25"/>
  <c r="Z139" i="25"/>
  <c r="U227" i="25"/>
  <c r="U51" i="25"/>
  <c r="U95" i="25"/>
  <c r="U183" i="25"/>
  <c r="U139" i="25"/>
  <c r="Y227" i="25"/>
  <c r="Y51" i="25"/>
  <c r="Y95" i="25"/>
  <c r="Y139" i="25"/>
  <c r="Y183" i="25"/>
  <c r="V227" i="25"/>
  <c r="V95" i="25"/>
  <c r="V183" i="25"/>
  <c r="V139" i="25"/>
  <c r="V51" i="25"/>
  <c r="X227" i="25"/>
  <c r="X139" i="25"/>
  <c r="X183" i="25"/>
  <c r="X51" i="25"/>
  <c r="X95" i="25"/>
  <c r="W227" i="25"/>
  <c r="W139" i="25"/>
  <c r="W183" i="25"/>
  <c r="W51" i="25"/>
  <c r="W95" i="25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11" i="24"/>
  <c r="E30" i="24"/>
  <c r="E31" i="24" l="1"/>
  <c r="AA95" i="25"/>
  <c r="Z42" i="26"/>
  <c r="Z43" i="26" s="1"/>
  <c r="Z44" i="26" s="1"/>
  <c r="Z45" i="26" s="1"/>
  <c r="Z46" i="26" s="1"/>
  <c r="Z47" i="26" s="1"/>
  <c r="AE28" i="26"/>
  <c r="AB28" i="26"/>
  <c r="AC27" i="26"/>
  <c r="AD28" i="26"/>
  <c r="AA28" i="26"/>
  <c r="AF27" i="26"/>
  <c r="AA139" i="25"/>
  <c r="AA183" i="25"/>
  <c r="AA51" i="25"/>
  <c r="AA227" i="25"/>
  <c r="F11" i="24"/>
  <c r="P51" i="24"/>
  <c r="P139" i="24"/>
  <c r="P95" i="24"/>
  <c r="P183" i="24"/>
  <c r="P227" i="24"/>
  <c r="Z48" i="26" l="1"/>
  <c r="AE29" i="26"/>
  <c r="AA29" i="26"/>
  <c r="AD29" i="26"/>
  <c r="AF28" i="26"/>
  <c r="AC28" i="26"/>
  <c r="AB29" i="26"/>
  <c r="C93" i="15"/>
  <c r="C94" i="15"/>
  <c r="L93" i="25" l="1"/>
  <c r="N93" i="24"/>
  <c r="S93" i="26"/>
  <c r="V93" i="27"/>
  <c r="N94" i="24"/>
  <c r="S94" i="26"/>
  <c r="V94" i="27"/>
  <c r="Z49" i="26"/>
  <c r="Z50" i="26" s="1"/>
  <c r="AB30" i="26"/>
  <c r="AF29" i="26"/>
  <c r="AD30" i="26"/>
  <c r="AC29" i="26"/>
  <c r="AA30" i="26"/>
  <c r="AE30" i="26"/>
  <c r="C138" i="15"/>
  <c r="L94" i="25"/>
  <c r="C137" i="15"/>
  <c r="N137" i="24" l="1"/>
  <c r="S137" i="26"/>
  <c r="V137" i="27"/>
  <c r="N138" i="24"/>
  <c r="S138" i="26"/>
  <c r="V138" i="27"/>
  <c r="Y93" i="26"/>
  <c r="X93" i="26"/>
  <c r="W93" i="26"/>
  <c r="V93" i="26" s="1"/>
  <c r="W94" i="26"/>
  <c r="V94" i="26" s="1"/>
  <c r="X94" i="26"/>
  <c r="Y94" i="26"/>
  <c r="Z51" i="26"/>
  <c r="AE31" i="26"/>
  <c r="AC30" i="26"/>
  <c r="AA31" i="26"/>
  <c r="AD31" i="26"/>
  <c r="AF30" i="26"/>
  <c r="AB31" i="26"/>
  <c r="C181" i="15"/>
  <c r="L137" i="25"/>
  <c r="C182" i="15"/>
  <c r="L138" i="25"/>
  <c r="N181" i="24" l="1"/>
  <c r="S181" i="26"/>
  <c r="V181" i="27"/>
  <c r="Y138" i="26"/>
  <c r="X138" i="26"/>
  <c r="W138" i="26"/>
  <c r="V138" i="26" s="1"/>
  <c r="X137" i="26"/>
  <c r="W137" i="26"/>
  <c r="V137" i="26" s="1"/>
  <c r="Y137" i="26"/>
  <c r="N182" i="24"/>
  <c r="S182" i="26"/>
  <c r="V182" i="27"/>
  <c r="AF31" i="26"/>
  <c r="AA32" i="26"/>
  <c r="AB32" i="26"/>
  <c r="AD32" i="26"/>
  <c r="AC31" i="26"/>
  <c r="AE32" i="26"/>
  <c r="C226" i="15"/>
  <c r="L182" i="25"/>
  <c r="C225" i="15"/>
  <c r="L181" i="25"/>
  <c r="L226" i="25" l="1"/>
  <c r="N226" i="24"/>
  <c r="S226" i="26"/>
  <c r="V226" i="27"/>
  <c r="X182" i="26"/>
  <c r="Y182" i="26"/>
  <c r="W182" i="26"/>
  <c r="V182" i="26" s="1"/>
  <c r="L225" i="25"/>
  <c r="N225" i="24"/>
  <c r="S225" i="26"/>
  <c r="V225" i="27"/>
  <c r="W181" i="26"/>
  <c r="V181" i="26" s="1"/>
  <c r="X181" i="26"/>
  <c r="Y181" i="26"/>
  <c r="AD33" i="26"/>
  <c r="AC32" i="26"/>
  <c r="AB33" i="26"/>
  <c r="AE33" i="26"/>
  <c r="AA33" i="26"/>
  <c r="AF32" i="26"/>
  <c r="C55" i="15"/>
  <c r="N55" i="24" l="1"/>
  <c r="S55" i="26"/>
  <c r="V55" i="27"/>
  <c r="L55" i="25"/>
  <c r="W225" i="26"/>
  <c r="V225" i="26" s="1"/>
  <c r="Y225" i="26"/>
  <c r="X225" i="26"/>
  <c r="X226" i="26"/>
  <c r="Y226" i="26"/>
  <c r="W226" i="26"/>
  <c r="V226" i="26" s="1"/>
  <c r="AA34" i="26"/>
  <c r="AC33" i="26"/>
  <c r="AE34" i="26"/>
  <c r="AF33" i="26"/>
  <c r="AB34" i="26"/>
  <c r="AD34" i="26"/>
  <c r="C99" i="15"/>
  <c r="N99" i="24" l="1"/>
  <c r="S99" i="26"/>
  <c r="V99" i="27"/>
  <c r="L99" i="25"/>
  <c r="X55" i="26"/>
  <c r="Y55" i="26"/>
  <c r="W55" i="26"/>
  <c r="V55" i="26" s="1"/>
  <c r="AD35" i="26"/>
  <c r="AB35" i="26"/>
  <c r="AF34" i="26"/>
  <c r="AE35" i="26"/>
  <c r="AC34" i="26"/>
  <c r="AA35" i="26"/>
  <c r="C143" i="15"/>
  <c r="AI55" i="26" l="1"/>
  <c r="AD55" i="26"/>
  <c r="AK55" i="26"/>
  <c r="AH55" i="26"/>
  <c r="AJ55" i="26"/>
  <c r="AA55" i="26"/>
  <c r="AM55" i="26"/>
  <c r="AG55" i="26"/>
  <c r="AC55" i="26"/>
  <c r="AL55" i="26"/>
  <c r="Z55" i="26"/>
  <c r="N143" i="24"/>
  <c r="S143" i="26"/>
  <c r="V143" i="27"/>
  <c r="L143" i="25"/>
  <c r="AE55" i="26"/>
  <c r="AF55" i="26"/>
  <c r="Y99" i="26"/>
  <c r="W99" i="26"/>
  <c r="V99" i="26" s="1"/>
  <c r="X99" i="26"/>
  <c r="AB55" i="26"/>
  <c r="AA36" i="26"/>
  <c r="AC35" i="26"/>
  <c r="AE36" i="26"/>
  <c r="AF35" i="26"/>
  <c r="AB36" i="26"/>
  <c r="AD36" i="26"/>
  <c r="C187" i="15"/>
  <c r="AH99" i="26" l="1"/>
  <c r="AK99" i="26"/>
  <c r="AD99" i="26"/>
  <c r="W143" i="26"/>
  <c r="V143" i="26" s="1"/>
  <c r="Y143" i="26"/>
  <c r="X143" i="26"/>
  <c r="AC99" i="26"/>
  <c r="AM99" i="26"/>
  <c r="AL99" i="26"/>
  <c r="N187" i="24"/>
  <c r="S187" i="26"/>
  <c r="V187" i="27"/>
  <c r="L187" i="25"/>
  <c r="Z99" i="26"/>
  <c r="AF99" i="26"/>
  <c r="AB99" i="26"/>
  <c r="AJ99" i="26"/>
  <c r="AG99" i="26"/>
  <c r="AE99" i="26"/>
  <c r="AA99" i="26"/>
  <c r="AI99" i="26"/>
  <c r="AD37" i="26"/>
  <c r="AB37" i="26"/>
  <c r="AF36" i="26"/>
  <c r="AE37" i="26"/>
  <c r="AC36" i="26"/>
  <c r="AA37" i="26"/>
  <c r="C56" i="15"/>
  <c r="AC143" i="26" l="1"/>
  <c r="AA143" i="26"/>
  <c r="AJ143" i="26"/>
  <c r="AD143" i="26"/>
  <c r="AG143" i="26"/>
  <c r="AF143" i="26"/>
  <c r="AH143" i="26"/>
  <c r="AM143" i="26"/>
  <c r="AE143" i="26"/>
  <c r="Z143" i="26"/>
  <c r="N56" i="24"/>
  <c r="S56" i="26"/>
  <c r="V56" i="27"/>
  <c r="L56" i="25"/>
  <c r="C100" i="15"/>
  <c r="AB143" i="26"/>
  <c r="AL143" i="26"/>
  <c r="W187" i="26"/>
  <c r="V187" i="26" s="1"/>
  <c r="AI187" i="26" s="1"/>
  <c r="Y187" i="26"/>
  <c r="X187" i="26"/>
  <c r="AK143" i="26"/>
  <c r="AI143" i="26"/>
  <c r="AA38" i="26"/>
  <c r="AE38" i="26"/>
  <c r="AC37" i="26"/>
  <c r="AF37" i="26"/>
  <c r="AB38" i="26"/>
  <c r="AD38" i="26"/>
  <c r="C57" i="15"/>
  <c r="AE187" i="26" l="1"/>
  <c r="AA187" i="26"/>
  <c r="AK187" i="26"/>
  <c r="AD187" i="26"/>
  <c r="Z187" i="26"/>
  <c r="AM187" i="26"/>
  <c r="AL187" i="26"/>
  <c r="AF187" i="26"/>
  <c r="N100" i="24"/>
  <c r="S100" i="26"/>
  <c r="V100" i="27"/>
  <c r="L100" i="25"/>
  <c r="AC187" i="26"/>
  <c r="C144" i="15"/>
  <c r="N57" i="24"/>
  <c r="S57" i="26"/>
  <c r="V57" i="27"/>
  <c r="L57" i="25"/>
  <c r="AB187" i="26"/>
  <c r="X56" i="26"/>
  <c r="W56" i="26"/>
  <c r="V56" i="26" s="1"/>
  <c r="AI56" i="26" s="1"/>
  <c r="Y56" i="26"/>
  <c r="AH187" i="26"/>
  <c r="AG187" i="26"/>
  <c r="AJ187" i="26"/>
  <c r="AC38" i="26"/>
  <c r="AB39" i="26"/>
  <c r="AD39" i="26"/>
  <c r="AF38" i="26"/>
  <c r="AE39" i="26"/>
  <c r="AA39" i="26"/>
  <c r="C101" i="15"/>
  <c r="C58" i="15"/>
  <c r="C188" i="15"/>
  <c r="AA56" i="26" l="1"/>
  <c r="AB56" i="26"/>
  <c r="AD56" i="26"/>
  <c r="AM56" i="26"/>
  <c r="Z56" i="26"/>
  <c r="AF56" i="26"/>
  <c r="AE56" i="26"/>
  <c r="AJ56" i="26"/>
  <c r="AC56" i="26"/>
  <c r="N58" i="24"/>
  <c r="S58" i="26"/>
  <c r="V58" i="27"/>
  <c r="L58" i="25"/>
  <c r="N101" i="24"/>
  <c r="S101" i="26"/>
  <c r="V101" i="27"/>
  <c r="L101" i="25"/>
  <c r="AH56" i="26"/>
  <c r="N188" i="24"/>
  <c r="S188" i="26"/>
  <c r="V188" i="27"/>
  <c r="L188" i="25"/>
  <c r="W57" i="26"/>
  <c r="V57" i="26" s="1"/>
  <c r="AJ57" i="26" s="1"/>
  <c r="Y57" i="26"/>
  <c r="X57" i="26"/>
  <c r="N144" i="24"/>
  <c r="S144" i="26"/>
  <c r="V144" i="27"/>
  <c r="L144" i="25"/>
  <c r="Y100" i="26"/>
  <c r="X100" i="26"/>
  <c r="W100" i="26"/>
  <c r="V100" i="26" s="1"/>
  <c r="AL56" i="26"/>
  <c r="AK56" i="26"/>
  <c r="AG56" i="26"/>
  <c r="AE40" i="26"/>
  <c r="AA40" i="26"/>
  <c r="AB40" i="26"/>
  <c r="AF39" i="26"/>
  <c r="AD40" i="26"/>
  <c r="AC39" i="26"/>
  <c r="C145" i="15"/>
  <c r="C59" i="15"/>
  <c r="C102" i="15"/>
  <c r="AF100" i="26" l="1"/>
  <c r="AA57" i="26"/>
  <c r="AA100" i="26"/>
  <c r="AI57" i="26"/>
  <c r="AB57" i="26"/>
  <c r="AF57" i="26"/>
  <c r="AH57" i="26"/>
  <c r="AD57" i="26"/>
  <c r="AE100" i="26"/>
  <c r="AE57" i="26"/>
  <c r="AL57" i="26"/>
  <c r="AM100" i="26"/>
  <c r="AC100" i="26"/>
  <c r="AC57" i="26"/>
  <c r="AJ100" i="26"/>
  <c r="N145" i="24"/>
  <c r="S145" i="26"/>
  <c r="V145" i="27"/>
  <c r="L145" i="25"/>
  <c r="AB100" i="26"/>
  <c r="AI100" i="26"/>
  <c r="X101" i="26"/>
  <c r="Y101" i="26"/>
  <c r="W101" i="26"/>
  <c r="V101" i="26" s="1"/>
  <c r="AF101" i="26" s="1"/>
  <c r="W58" i="26"/>
  <c r="V58" i="26" s="1"/>
  <c r="X58" i="26"/>
  <c r="Y58" i="26"/>
  <c r="AG100" i="26"/>
  <c r="AK100" i="26"/>
  <c r="Z57" i="26"/>
  <c r="AH100" i="26"/>
  <c r="AL100" i="26"/>
  <c r="AG57" i="26"/>
  <c r="AK57" i="26"/>
  <c r="Z100" i="26"/>
  <c r="AD100" i="26"/>
  <c r="AM57" i="26"/>
  <c r="N102" i="24"/>
  <c r="S102" i="26"/>
  <c r="V102" i="27"/>
  <c r="L102" i="25"/>
  <c r="N59" i="24"/>
  <c r="S59" i="26"/>
  <c r="V59" i="27"/>
  <c r="L59" i="25"/>
  <c r="W144" i="26"/>
  <c r="V144" i="26" s="1"/>
  <c r="Y144" i="26"/>
  <c r="X144" i="26"/>
  <c r="Y188" i="26"/>
  <c r="W188" i="26"/>
  <c r="V188" i="26" s="1"/>
  <c r="AM188" i="26" s="1"/>
  <c r="X188" i="26"/>
  <c r="AC40" i="26"/>
  <c r="AB41" i="26"/>
  <c r="AD41" i="26"/>
  <c r="AF40" i="26"/>
  <c r="AA41" i="26"/>
  <c r="AE41" i="26"/>
  <c r="C103" i="15"/>
  <c r="C189" i="15"/>
  <c r="C146" i="15"/>
  <c r="C60" i="15"/>
  <c r="AJ144" i="26" l="1"/>
  <c r="AI58" i="26"/>
  <c r="AB144" i="26"/>
  <c r="AF188" i="26"/>
  <c r="AD144" i="26"/>
  <c r="AB101" i="26"/>
  <c r="AK144" i="26"/>
  <c r="AM144" i="26"/>
  <c r="AG58" i="26"/>
  <c r="AC144" i="26"/>
  <c r="Z144" i="26"/>
  <c r="AE144" i="26"/>
  <c r="AF144" i="26"/>
  <c r="AI144" i="26"/>
  <c r="AA188" i="26"/>
  <c r="AD188" i="26"/>
  <c r="AA144" i="26"/>
  <c r="AI101" i="26"/>
  <c r="Z101" i="26"/>
  <c r="AK101" i="26"/>
  <c r="AD101" i="26"/>
  <c r="AL101" i="26"/>
  <c r="AG101" i="26"/>
  <c r="AE101" i="26"/>
  <c r="X145" i="26"/>
  <c r="Y145" i="26"/>
  <c r="W145" i="26"/>
  <c r="V145" i="26" s="1"/>
  <c r="AJ145" i="26" s="1"/>
  <c r="AJ188" i="26"/>
  <c r="AH188" i="26"/>
  <c r="AG188" i="26"/>
  <c r="AF58" i="26"/>
  <c r="AC101" i="26"/>
  <c r="W59" i="26"/>
  <c r="V59" i="26" s="1"/>
  <c r="X59" i="26"/>
  <c r="Y59" i="26"/>
  <c r="AK188" i="26"/>
  <c r="AM58" i="26"/>
  <c r="AE58" i="26"/>
  <c r="AJ101" i="26"/>
  <c r="Y102" i="26"/>
  <c r="X102" i="26"/>
  <c r="W102" i="26"/>
  <c r="V102" i="26" s="1"/>
  <c r="AB102" i="26" s="1"/>
  <c r="N189" i="24"/>
  <c r="S189" i="26"/>
  <c r="V189" i="27"/>
  <c r="L189" i="25"/>
  <c r="Z188" i="26"/>
  <c r="AL144" i="26"/>
  <c r="AD58" i="26"/>
  <c r="AA101" i="26"/>
  <c r="AM101" i="26"/>
  <c r="AH101" i="26"/>
  <c r="N146" i="24"/>
  <c r="S146" i="26"/>
  <c r="V146" i="27"/>
  <c r="L146" i="25"/>
  <c r="N103" i="24"/>
  <c r="S103" i="26"/>
  <c r="V103" i="27"/>
  <c r="L103" i="25"/>
  <c r="AC188" i="26"/>
  <c r="AG144" i="26"/>
  <c r="AH58" i="26"/>
  <c r="AA58" i="26"/>
  <c r="AL58" i="26"/>
  <c r="N60" i="24"/>
  <c r="S60" i="26"/>
  <c r="V60" i="27"/>
  <c r="L60" i="25"/>
  <c r="AB188" i="26"/>
  <c r="AH144" i="26"/>
  <c r="AJ58" i="26"/>
  <c r="Z58" i="26"/>
  <c r="AL188" i="26"/>
  <c r="AI188" i="26"/>
  <c r="AC58" i="26"/>
  <c r="AE188" i="26"/>
  <c r="AK58" i="26"/>
  <c r="AB58" i="26"/>
  <c r="AA42" i="26"/>
  <c r="AF41" i="26"/>
  <c r="AE42" i="26"/>
  <c r="AD42" i="26"/>
  <c r="AB42" i="26"/>
  <c r="AC41" i="26"/>
  <c r="C147" i="15"/>
  <c r="C190" i="15"/>
  <c r="C61" i="15"/>
  <c r="C104" i="15"/>
  <c r="C191" i="15"/>
  <c r="AG59" i="26" l="1"/>
  <c r="AA59" i="26"/>
  <c r="AE59" i="26"/>
  <c r="AC59" i="26"/>
  <c r="AB59" i="26"/>
  <c r="AK59" i="26"/>
  <c r="AI145" i="26"/>
  <c r="AD102" i="26"/>
  <c r="AI59" i="26"/>
  <c r="AG145" i="26"/>
  <c r="AA102" i="26"/>
  <c r="Z59" i="26"/>
  <c r="AD59" i="26"/>
  <c r="AJ59" i="26"/>
  <c r="AG102" i="26"/>
  <c r="AH145" i="26"/>
  <c r="Z145" i="26"/>
  <c r="AL102" i="26"/>
  <c r="AA145" i="26"/>
  <c r="AL145" i="26"/>
  <c r="AE145" i="26"/>
  <c r="AK102" i="26"/>
  <c r="AE102" i="26"/>
  <c r="W189" i="26"/>
  <c r="V189" i="26" s="1"/>
  <c r="AA189" i="26" s="1"/>
  <c r="X189" i="26"/>
  <c r="Y189" i="26"/>
  <c r="AJ102" i="26"/>
  <c r="AC145" i="26"/>
  <c r="X103" i="26"/>
  <c r="W103" i="26"/>
  <c r="V103" i="26" s="1"/>
  <c r="AB103" i="26" s="1"/>
  <c r="Y103" i="26"/>
  <c r="N191" i="24"/>
  <c r="S191" i="26"/>
  <c r="V191" i="27"/>
  <c r="L191" i="25"/>
  <c r="AD145" i="26"/>
  <c r="AM145" i="26"/>
  <c r="Y146" i="26"/>
  <c r="X146" i="26"/>
  <c r="W146" i="26"/>
  <c r="V146" i="26" s="1"/>
  <c r="Z102" i="26"/>
  <c r="AM59" i="26"/>
  <c r="AF145" i="26"/>
  <c r="AI102" i="26"/>
  <c r="W60" i="26"/>
  <c r="V60" i="26" s="1"/>
  <c r="X60" i="26"/>
  <c r="Y60" i="26"/>
  <c r="N104" i="24"/>
  <c r="S104" i="26"/>
  <c r="V104" i="27"/>
  <c r="L104" i="25"/>
  <c r="AL59" i="26"/>
  <c r="AC102" i="26"/>
  <c r="AK145" i="26"/>
  <c r="AB145" i="26"/>
  <c r="N61" i="24"/>
  <c r="S61" i="26"/>
  <c r="V61" i="27"/>
  <c r="L61" i="25"/>
  <c r="AH102" i="26"/>
  <c r="AF102" i="26"/>
  <c r="N190" i="24"/>
  <c r="S190" i="26"/>
  <c r="V190" i="27"/>
  <c r="L190" i="25"/>
  <c r="N147" i="24"/>
  <c r="S147" i="26"/>
  <c r="V147" i="27"/>
  <c r="L147" i="25"/>
  <c r="AH59" i="26"/>
  <c r="AM102" i="26"/>
  <c r="AF59" i="26"/>
  <c r="AC42" i="26"/>
  <c r="AB43" i="26"/>
  <c r="AD43" i="26"/>
  <c r="AE43" i="26"/>
  <c r="AF42" i="26"/>
  <c r="AA43" i="26"/>
  <c r="C105" i="15"/>
  <c r="C148" i="15"/>
  <c r="C62" i="15"/>
  <c r="AE103" i="26" l="1"/>
  <c r="AB60" i="26"/>
  <c r="AI103" i="26"/>
  <c r="AH60" i="26"/>
  <c r="AD103" i="26"/>
  <c r="AC103" i="26"/>
  <c r="Z103" i="26"/>
  <c r="AI146" i="26"/>
  <c r="AL103" i="26"/>
  <c r="AC189" i="26"/>
  <c r="AD189" i="26"/>
  <c r="AB189" i="26"/>
  <c r="AF189" i="26"/>
  <c r="AF103" i="26"/>
  <c r="AL60" i="26"/>
  <c r="AH103" i="26"/>
  <c r="AI189" i="26"/>
  <c r="AH146" i="26"/>
  <c r="W104" i="26"/>
  <c r="V104" i="26" s="1"/>
  <c r="Y104" i="26"/>
  <c r="X104" i="26"/>
  <c r="AG146" i="26"/>
  <c r="AM146" i="26"/>
  <c r="AG103" i="26"/>
  <c r="N148" i="24"/>
  <c r="S148" i="26"/>
  <c r="V148" i="27"/>
  <c r="L148" i="25"/>
  <c r="AA60" i="26"/>
  <c r="AG60" i="26"/>
  <c r="AH189" i="26"/>
  <c r="AB146" i="26"/>
  <c r="N105" i="24"/>
  <c r="S105" i="26"/>
  <c r="V105" i="27"/>
  <c r="L105" i="25"/>
  <c r="Z146" i="26"/>
  <c r="W190" i="26"/>
  <c r="V190" i="26" s="1"/>
  <c r="Y190" i="26"/>
  <c r="X190" i="26"/>
  <c r="AE189" i="26"/>
  <c r="AD60" i="26"/>
  <c r="AD146" i="26"/>
  <c r="AL189" i="26"/>
  <c r="AJ189" i="26"/>
  <c r="Y61" i="26"/>
  <c r="W61" i="26"/>
  <c r="V61" i="26" s="1"/>
  <c r="AB61" i="26" s="1"/>
  <c r="X61" i="26"/>
  <c r="AM189" i="26"/>
  <c r="AC60" i="26"/>
  <c r="AC146" i="26"/>
  <c r="W191" i="26"/>
  <c r="V191" i="26" s="1"/>
  <c r="X191" i="26"/>
  <c r="Y191" i="26"/>
  <c r="AK103" i="26"/>
  <c r="Z60" i="26"/>
  <c r="AF60" i="26"/>
  <c r="AG189" i="26"/>
  <c r="AK60" i="26"/>
  <c r="AE60" i="26"/>
  <c r="AE146" i="26"/>
  <c r="AJ103" i="26"/>
  <c r="AI60" i="26"/>
  <c r="W147" i="26"/>
  <c r="V147" i="26" s="1"/>
  <c r="Y147" i="26"/>
  <c r="X147" i="26"/>
  <c r="AK146" i="26"/>
  <c r="AL146" i="26"/>
  <c r="AJ146" i="26"/>
  <c r="N62" i="24"/>
  <c r="S62" i="26"/>
  <c r="V62" i="27"/>
  <c r="L62" i="25"/>
  <c r="AM60" i="26"/>
  <c r="AJ60" i="26"/>
  <c r="AA146" i="26"/>
  <c r="AA103" i="26"/>
  <c r="Z189" i="26"/>
  <c r="AM103" i="26"/>
  <c r="AK189" i="26"/>
  <c r="AF146" i="26"/>
  <c r="AA44" i="26"/>
  <c r="AB44" i="26"/>
  <c r="AF43" i="26"/>
  <c r="AE44" i="26"/>
  <c r="AD44" i="26"/>
  <c r="AC43" i="26"/>
  <c r="C192" i="15"/>
  <c r="C149" i="15"/>
  <c r="C63" i="15"/>
  <c r="C106" i="15"/>
  <c r="AE61" i="26" l="1"/>
  <c r="AF61" i="26"/>
  <c r="AB190" i="26"/>
  <c r="AB191" i="26" s="1"/>
  <c r="AK61" i="26"/>
  <c r="AC104" i="26"/>
  <c r="AJ61" i="26"/>
  <c r="AI61" i="26"/>
  <c r="AA61" i="26"/>
  <c r="AM61" i="26"/>
  <c r="AC61" i="26"/>
  <c r="AD61" i="26"/>
  <c r="AG61" i="26"/>
  <c r="Z61" i="26"/>
  <c r="AJ104" i="26"/>
  <c r="AE104" i="26"/>
  <c r="AB147" i="26"/>
  <c r="AA104" i="26"/>
  <c r="AE190" i="26"/>
  <c r="AE191" i="26" s="1"/>
  <c r="AD104" i="26"/>
  <c r="AH61" i="26"/>
  <c r="AK104" i="26"/>
  <c r="AI147" i="26"/>
  <c r="AI104" i="26"/>
  <c r="AM104" i="26"/>
  <c r="AH104" i="26"/>
  <c r="AJ190" i="26"/>
  <c r="AJ191" i="26" s="1"/>
  <c r="AB104" i="26"/>
  <c r="AH190" i="26"/>
  <c r="AH191" i="26" s="1"/>
  <c r="AM190" i="26"/>
  <c r="AM191" i="26" s="1"/>
  <c r="AJ147" i="26"/>
  <c r="AK190" i="26"/>
  <c r="AK191" i="26" s="1"/>
  <c r="Z104" i="26"/>
  <c r="Y148" i="26"/>
  <c r="X148" i="26"/>
  <c r="W148" i="26"/>
  <c r="V148" i="26" s="1"/>
  <c r="Y62" i="26"/>
  <c r="X62" i="26"/>
  <c r="W62" i="26"/>
  <c r="V62" i="26" s="1"/>
  <c r="Z190" i="26"/>
  <c r="Z191" i="26" s="1"/>
  <c r="N149" i="24"/>
  <c r="S149" i="26"/>
  <c r="V149" i="27"/>
  <c r="L149" i="25"/>
  <c r="AE147" i="26"/>
  <c r="AA190" i="26"/>
  <c r="AA191" i="26" s="1"/>
  <c r="AG104" i="26"/>
  <c r="AI190" i="26"/>
  <c r="AI191" i="26" s="1"/>
  <c r="Z147" i="26"/>
  <c r="N192" i="24"/>
  <c r="S192" i="26"/>
  <c r="V192" i="27"/>
  <c r="L192" i="25"/>
  <c r="AC147" i="26"/>
  <c r="AD190" i="26"/>
  <c r="AD191" i="26" s="1"/>
  <c r="Y105" i="26"/>
  <c r="X105" i="26"/>
  <c r="W105" i="26"/>
  <c r="V105" i="26" s="1"/>
  <c r="AM147" i="26"/>
  <c r="AL61" i="26"/>
  <c r="N106" i="24"/>
  <c r="S106" i="26"/>
  <c r="V106" i="27"/>
  <c r="L106" i="25"/>
  <c r="L63" i="25"/>
  <c r="N63" i="24"/>
  <c r="S63" i="26"/>
  <c r="V63" i="27"/>
  <c r="AA147" i="26"/>
  <c r="AC190" i="26"/>
  <c r="AC191" i="26" s="1"/>
  <c r="AG147" i="26"/>
  <c r="AH147" i="26"/>
  <c r="AL190" i="26"/>
  <c r="AL191" i="26" s="1"/>
  <c r="AL147" i="26"/>
  <c r="AD147" i="26"/>
  <c r="AG190" i="26"/>
  <c r="AG191" i="26" s="1"/>
  <c r="AF190" i="26"/>
  <c r="AF191" i="26" s="1"/>
  <c r="AF104" i="26"/>
  <c r="AL104" i="26"/>
  <c r="AK147" i="26"/>
  <c r="AF147" i="26"/>
  <c r="AC44" i="26"/>
  <c r="AE45" i="26"/>
  <c r="AB45" i="26"/>
  <c r="AD45" i="26"/>
  <c r="AF44" i="26"/>
  <c r="AA45" i="26"/>
  <c r="C193" i="15"/>
  <c r="C107" i="15"/>
  <c r="C150" i="15"/>
  <c r="C64" i="15"/>
  <c r="AI148" i="26" l="1"/>
  <c r="AL148" i="26"/>
  <c r="AD148" i="26"/>
  <c r="Z148" i="26"/>
  <c r="AJ62" i="26"/>
  <c r="AH148" i="26"/>
  <c r="AE148" i="26"/>
  <c r="AG148" i="26"/>
  <c r="AM148" i="26"/>
  <c r="AC148" i="26"/>
  <c r="AF148" i="26"/>
  <c r="AI105" i="26"/>
  <c r="AB148" i="26"/>
  <c r="AJ105" i="26"/>
  <c r="AK105" i="26"/>
  <c r="AA148" i="26"/>
  <c r="Z105" i="26"/>
  <c r="AA105" i="26"/>
  <c r="AK148" i="26"/>
  <c r="AE105" i="26"/>
  <c r="AF105" i="26"/>
  <c r="AB105" i="26"/>
  <c r="AC105" i="26"/>
  <c r="AH62" i="26"/>
  <c r="AH105" i="26"/>
  <c r="AD105" i="26"/>
  <c r="AM105" i="26"/>
  <c r="AK62" i="26"/>
  <c r="AJ148" i="26"/>
  <c r="L107" i="25"/>
  <c r="N107" i="24"/>
  <c r="S107" i="26"/>
  <c r="V107" i="27"/>
  <c r="X149" i="26"/>
  <c r="W149" i="26"/>
  <c r="V149" i="26" s="1"/>
  <c r="Y149" i="26"/>
  <c r="AI62" i="26"/>
  <c r="AM62" i="26"/>
  <c r="AA62" i="26"/>
  <c r="AD62" i="26"/>
  <c r="N150" i="24"/>
  <c r="S150" i="26"/>
  <c r="V150" i="27"/>
  <c r="L150" i="25"/>
  <c r="AF62" i="26"/>
  <c r="AG62" i="26"/>
  <c r="W63" i="26"/>
  <c r="V63" i="26" s="1"/>
  <c r="AD63" i="26" s="1"/>
  <c r="Y63" i="26"/>
  <c r="X63" i="26"/>
  <c r="X106" i="26"/>
  <c r="W106" i="26"/>
  <c r="V106" i="26" s="1"/>
  <c r="AK106" i="26" s="1"/>
  <c r="Y106" i="26"/>
  <c r="AG105" i="26"/>
  <c r="AC62" i="26"/>
  <c r="AB62" i="26"/>
  <c r="N193" i="24"/>
  <c r="S193" i="26"/>
  <c r="V193" i="27"/>
  <c r="L193" i="25"/>
  <c r="AL62" i="26"/>
  <c r="Z62" i="26"/>
  <c r="W192" i="26"/>
  <c r="V192" i="26" s="1"/>
  <c r="X192" i="26"/>
  <c r="Y192" i="26"/>
  <c r="AE62" i="26"/>
  <c r="L64" i="25"/>
  <c r="N64" i="24"/>
  <c r="S64" i="26"/>
  <c r="V64" i="27"/>
  <c r="AL105" i="26"/>
  <c r="AA46" i="26"/>
  <c r="AD46" i="26"/>
  <c r="AE46" i="26"/>
  <c r="AF45" i="26"/>
  <c r="AB46" i="26"/>
  <c r="AC45" i="26"/>
  <c r="C151" i="15"/>
  <c r="C65" i="15"/>
  <c r="C108" i="15"/>
  <c r="C194" i="15"/>
  <c r="AG192" i="26" l="1"/>
  <c r="AF106" i="26"/>
  <c r="AI149" i="26"/>
  <c r="AB106" i="26"/>
  <c r="AE106" i="26"/>
  <c r="AC106" i="26"/>
  <c r="AG106" i="26"/>
  <c r="Z106" i="26"/>
  <c r="AA106" i="26"/>
  <c r="AI63" i="26"/>
  <c r="AC63" i="26"/>
  <c r="AM106" i="26"/>
  <c r="Z63" i="26"/>
  <c r="AL63" i="26"/>
  <c r="AE63" i="26"/>
  <c r="AA63" i="26"/>
  <c r="AB63" i="26"/>
  <c r="AD106" i="26"/>
  <c r="AJ106" i="26"/>
  <c r="Z192" i="26"/>
  <c r="AH63" i="26"/>
  <c r="AM63" i="26"/>
  <c r="AG63" i="26"/>
  <c r="Z149" i="26"/>
  <c r="AF192" i="26"/>
  <c r="AF63" i="26"/>
  <c r="AH106" i="26"/>
  <c r="AK149" i="26"/>
  <c r="AB192" i="26"/>
  <c r="AA192" i="26"/>
  <c r="AD192" i="26"/>
  <c r="AL106" i="26"/>
  <c r="AE192" i="26"/>
  <c r="AI192" i="26"/>
  <c r="AH192" i="26"/>
  <c r="AC192" i="26"/>
  <c r="AL192" i="26"/>
  <c r="AM192" i="26"/>
  <c r="AK192" i="26"/>
  <c r="W107" i="26"/>
  <c r="V107" i="26" s="1"/>
  <c r="Y107" i="26"/>
  <c r="X107" i="26"/>
  <c r="X150" i="26"/>
  <c r="Y150" i="26"/>
  <c r="W150" i="26"/>
  <c r="V150" i="26" s="1"/>
  <c r="AE149" i="26"/>
  <c r="Y193" i="26"/>
  <c r="X193" i="26"/>
  <c r="W193" i="26"/>
  <c r="V193" i="26" s="1"/>
  <c r="N194" i="24"/>
  <c r="S194" i="26"/>
  <c r="V194" i="27"/>
  <c r="L194" i="25"/>
  <c r="AG149" i="26"/>
  <c r="AC149" i="26"/>
  <c r="AJ192" i="26"/>
  <c r="Y64" i="26"/>
  <c r="W64" i="26"/>
  <c r="V64" i="26" s="1"/>
  <c r="X64" i="26"/>
  <c r="AL149" i="26"/>
  <c r="AJ149" i="26"/>
  <c r="AA149" i="26"/>
  <c r="AK63" i="26"/>
  <c r="L108" i="25"/>
  <c r="N108" i="24"/>
  <c r="S108" i="26"/>
  <c r="V108" i="27"/>
  <c r="AD149" i="26"/>
  <c r="AI106" i="26"/>
  <c r="AM149" i="26"/>
  <c r="L65" i="25"/>
  <c r="N65" i="24"/>
  <c r="S65" i="26"/>
  <c r="V65" i="27"/>
  <c r="L151" i="25"/>
  <c r="N151" i="24"/>
  <c r="S151" i="26"/>
  <c r="V151" i="27"/>
  <c r="AH149" i="26"/>
  <c r="AJ63" i="26"/>
  <c r="AF149" i="26"/>
  <c r="AB149" i="26"/>
  <c r="AF46" i="26"/>
  <c r="AD47" i="26"/>
  <c r="AC46" i="26"/>
  <c r="AB47" i="26"/>
  <c r="AE47" i="26"/>
  <c r="AA47" i="26"/>
  <c r="C195" i="15"/>
  <c r="C66" i="15"/>
  <c r="C152" i="15"/>
  <c r="C109" i="15"/>
  <c r="AI150" i="26" l="1"/>
  <c r="AH64" i="26"/>
  <c r="Z64" i="26"/>
  <c r="AL64" i="26"/>
  <c r="AE64" i="26"/>
  <c r="AL150" i="26"/>
  <c r="AD64" i="26"/>
  <c r="AF64" i="26"/>
  <c r="AC64" i="26"/>
  <c r="AA64" i="26"/>
  <c r="AE193" i="26"/>
  <c r="AG64" i="26"/>
  <c r="AI64" i="26"/>
  <c r="AJ64" i="26"/>
  <c r="AB64" i="26"/>
  <c r="AI107" i="26"/>
  <c r="AM107" i="26"/>
  <c r="AC150" i="26"/>
  <c r="AK193" i="26"/>
  <c r="AG193" i="26"/>
  <c r="AG150" i="26"/>
  <c r="Z193" i="26"/>
  <c r="AK107" i="26"/>
  <c r="X151" i="26"/>
  <c r="Y151" i="26"/>
  <c r="W151" i="26"/>
  <c r="V151" i="26" s="1"/>
  <c r="AD150" i="26"/>
  <c r="AC107" i="26"/>
  <c r="AI193" i="26"/>
  <c r="Z150" i="26"/>
  <c r="AA150" i="26"/>
  <c r="AB107" i="26"/>
  <c r="AH107" i="26"/>
  <c r="AM193" i="26"/>
  <c r="AF150" i="26"/>
  <c r="AE107" i="26"/>
  <c r="AJ107" i="26"/>
  <c r="W194" i="26"/>
  <c r="V194" i="26" s="1"/>
  <c r="X194" i="26"/>
  <c r="Y194" i="26"/>
  <c r="Y65" i="26"/>
  <c r="W65" i="26"/>
  <c r="V65" i="26" s="1"/>
  <c r="X65" i="26"/>
  <c r="AA193" i="26"/>
  <c r="AE150" i="26"/>
  <c r="AA107" i="26"/>
  <c r="AM64" i="26"/>
  <c r="AD193" i="26"/>
  <c r="L109" i="25"/>
  <c r="N109" i="24"/>
  <c r="S109" i="26"/>
  <c r="V109" i="27"/>
  <c r="AL193" i="26"/>
  <c r="AK150" i="26"/>
  <c r="AC193" i="26"/>
  <c r="AF107" i="26"/>
  <c r="X108" i="26"/>
  <c r="Y108" i="26"/>
  <c r="W108" i="26"/>
  <c r="V108" i="26" s="1"/>
  <c r="L152" i="25"/>
  <c r="N152" i="24"/>
  <c r="S152" i="26"/>
  <c r="V152" i="27"/>
  <c r="AG107" i="26"/>
  <c r="AK64" i="26"/>
  <c r="AB193" i="26"/>
  <c r="AB150" i="26"/>
  <c r="AD107" i="26"/>
  <c r="L66" i="25"/>
  <c r="N66" i="24"/>
  <c r="S66" i="26"/>
  <c r="V66" i="27"/>
  <c r="AM150" i="26"/>
  <c r="AL107" i="26"/>
  <c r="AF193" i="26"/>
  <c r="AH193" i="26"/>
  <c r="AH150" i="26"/>
  <c r="L195" i="25"/>
  <c r="N195" i="24"/>
  <c r="S195" i="26"/>
  <c r="V195" i="27"/>
  <c r="Z107" i="26"/>
  <c r="AJ150" i="26"/>
  <c r="AJ193" i="26"/>
  <c r="AE48" i="26"/>
  <c r="AD48" i="26"/>
  <c r="AA48" i="26"/>
  <c r="AB48" i="26"/>
  <c r="AC47" i="26"/>
  <c r="AF47" i="26"/>
  <c r="C153" i="15"/>
  <c r="C110" i="15"/>
  <c r="C196" i="15"/>
  <c r="C67" i="15"/>
  <c r="AF65" i="26" l="1"/>
  <c r="AK65" i="26"/>
  <c r="AB108" i="26"/>
  <c r="AA65" i="26"/>
  <c r="AD65" i="26"/>
  <c r="AB65" i="26"/>
  <c r="AL108" i="26"/>
  <c r="AA194" i="26"/>
  <c r="AA151" i="26"/>
  <c r="AH194" i="26"/>
  <c r="AF108" i="26"/>
  <c r="AH65" i="26"/>
  <c r="AL151" i="26"/>
  <c r="AC108" i="26"/>
  <c r="AA108" i="26"/>
  <c r="AD194" i="26"/>
  <c r="AE108" i="26"/>
  <c r="AE194" i="26"/>
  <c r="AH151" i="26"/>
  <c r="AB151" i="26"/>
  <c r="Y109" i="26"/>
  <c r="W109" i="26"/>
  <c r="V109" i="26" s="1"/>
  <c r="X109" i="26"/>
  <c r="AI194" i="26"/>
  <c r="AK108" i="26"/>
  <c r="AI65" i="26"/>
  <c r="Z194" i="26"/>
  <c r="AD151" i="26"/>
  <c r="AG151" i="26"/>
  <c r="AM65" i="26"/>
  <c r="X152" i="26"/>
  <c r="Y152" i="26"/>
  <c r="W152" i="26"/>
  <c r="V152" i="26" s="1"/>
  <c r="AI108" i="26"/>
  <c r="AG65" i="26"/>
  <c r="AJ108" i="26"/>
  <c r="AC151" i="26"/>
  <c r="AG194" i="26"/>
  <c r="AM151" i="26"/>
  <c r="AC194" i="26"/>
  <c r="Z151" i="26"/>
  <c r="AK194" i="26"/>
  <c r="AJ194" i="26"/>
  <c r="L67" i="25"/>
  <c r="N67" i="24"/>
  <c r="S67" i="26"/>
  <c r="V67" i="27"/>
  <c r="Z108" i="26"/>
  <c r="X66" i="26"/>
  <c r="Y66" i="26"/>
  <c r="W66" i="26"/>
  <c r="V66" i="26" s="1"/>
  <c r="Z65" i="26"/>
  <c r="AB194" i="26"/>
  <c r="AE151" i="26"/>
  <c r="AM108" i="26"/>
  <c r="L153" i="25"/>
  <c r="N153" i="24"/>
  <c r="S153" i="26"/>
  <c r="V153" i="27"/>
  <c r="AJ151" i="26"/>
  <c r="L196" i="25"/>
  <c r="N196" i="24"/>
  <c r="S196" i="26"/>
  <c r="V196" i="27"/>
  <c r="AD108" i="26"/>
  <c r="AK151" i="26"/>
  <c r="AC65" i="26"/>
  <c r="AF194" i="26"/>
  <c r="AM194" i="26"/>
  <c r="AF151" i="26"/>
  <c r="AI151" i="26"/>
  <c r="AG108" i="26"/>
  <c r="AJ65" i="26"/>
  <c r="AL65" i="26"/>
  <c r="L110" i="25"/>
  <c r="N110" i="24"/>
  <c r="S110" i="26"/>
  <c r="V110" i="27"/>
  <c r="Y195" i="26"/>
  <c r="X195" i="26"/>
  <c r="W195" i="26"/>
  <c r="V195" i="26" s="1"/>
  <c r="AL194" i="26"/>
  <c r="AE65" i="26"/>
  <c r="AH108" i="26"/>
  <c r="AF48" i="26"/>
  <c r="AD49" i="26"/>
  <c r="AC48" i="26"/>
  <c r="AB49" i="26"/>
  <c r="AA49" i="26"/>
  <c r="AE49" i="26"/>
  <c r="C154" i="15"/>
  <c r="C111" i="15"/>
  <c r="C68" i="15"/>
  <c r="C197" i="15"/>
  <c r="AH66" i="26" l="1"/>
  <c r="AH195" i="26"/>
  <c r="AA109" i="26"/>
  <c r="Z66" i="26"/>
  <c r="AJ109" i="26"/>
  <c r="AI195" i="26"/>
  <c r="AB109" i="26"/>
  <c r="AE195" i="26"/>
  <c r="AH109" i="26"/>
  <c r="AI109" i="26"/>
  <c r="AE109" i="26"/>
  <c r="AA66" i="26"/>
  <c r="Z109" i="26"/>
  <c r="AG66" i="26"/>
  <c r="AD195" i="26"/>
  <c r="AE66" i="26"/>
  <c r="AB152" i="26"/>
  <c r="AC109" i="26"/>
  <c r="AG195" i="26"/>
  <c r="AL66" i="26"/>
  <c r="AA195" i="26"/>
  <c r="AC66" i="26"/>
  <c r="AJ195" i="26"/>
  <c r="AD109" i="26"/>
  <c r="AB195" i="26"/>
  <c r="AJ66" i="26"/>
  <c r="AC195" i="26"/>
  <c r="AG109" i="26"/>
  <c r="AF66" i="26"/>
  <c r="AL109" i="26"/>
  <c r="AF109" i="26"/>
  <c r="AM109" i="26"/>
  <c r="AF195" i="26"/>
  <c r="Z195" i="26"/>
  <c r="AK66" i="26"/>
  <c r="AD66" i="26"/>
  <c r="AM66" i="26"/>
  <c r="W67" i="26"/>
  <c r="V67" i="26" s="1"/>
  <c r="Y67" i="26"/>
  <c r="X67" i="26"/>
  <c r="Y196" i="26"/>
  <c r="W196" i="26"/>
  <c r="V196" i="26" s="1"/>
  <c r="AH196" i="26" s="1"/>
  <c r="X196" i="26"/>
  <c r="L68" i="25"/>
  <c r="N68" i="24"/>
  <c r="S68" i="26"/>
  <c r="V68" i="27"/>
  <c r="AG152" i="26"/>
  <c r="Z152" i="26"/>
  <c r="AE152" i="26"/>
  <c r="L111" i="25"/>
  <c r="N111" i="24"/>
  <c r="S111" i="26"/>
  <c r="V111" i="27"/>
  <c r="L154" i="25"/>
  <c r="N154" i="24"/>
  <c r="S154" i="26"/>
  <c r="V154" i="27"/>
  <c r="AM195" i="26"/>
  <c r="Y153" i="26"/>
  <c r="W153" i="26"/>
  <c r="V153" i="26" s="1"/>
  <c r="X153" i="26"/>
  <c r="AB66" i="26"/>
  <c r="AH152" i="26"/>
  <c r="AD152" i="26"/>
  <c r="AI152" i="26"/>
  <c r="AK195" i="26"/>
  <c r="AA152" i="26"/>
  <c r="AI66" i="26"/>
  <c r="AC152" i="26"/>
  <c r="AK109" i="26"/>
  <c r="AL152" i="26"/>
  <c r="AK152" i="26"/>
  <c r="AF152" i="26"/>
  <c r="AJ152" i="26"/>
  <c r="L197" i="25"/>
  <c r="N197" i="24"/>
  <c r="S197" i="26"/>
  <c r="V197" i="27"/>
  <c r="AL195" i="26"/>
  <c r="Y110" i="26"/>
  <c r="W110" i="26"/>
  <c r="V110" i="26" s="1"/>
  <c r="X110" i="26"/>
  <c r="AM152" i="26"/>
  <c r="AA50" i="26"/>
  <c r="AE50" i="26"/>
  <c r="AD50" i="26"/>
  <c r="AB50" i="26"/>
  <c r="AC49" i="26"/>
  <c r="AF49" i="26"/>
  <c r="C112" i="15"/>
  <c r="C69" i="15"/>
  <c r="C155" i="15"/>
  <c r="C198" i="15"/>
  <c r="AM196" i="26" l="1"/>
  <c r="AM110" i="26"/>
  <c r="AL196" i="26"/>
  <c r="AJ196" i="26"/>
  <c r="AB196" i="26"/>
  <c r="AD67" i="26"/>
  <c r="AK196" i="26"/>
  <c r="AE196" i="26"/>
  <c r="AC196" i="26"/>
  <c r="AC153" i="26"/>
  <c r="AG153" i="26"/>
  <c r="AJ67" i="26"/>
  <c r="AA67" i="26"/>
  <c r="AH153" i="26"/>
  <c r="AC67" i="26"/>
  <c r="AJ153" i="26"/>
  <c r="AB67" i="26"/>
  <c r="AG67" i="26"/>
  <c r="AE67" i="26"/>
  <c r="AK67" i="26"/>
  <c r="AI196" i="26"/>
  <c r="AM153" i="26"/>
  <c r="AA110" i="26"/>
  <c r="AF153" i="26"/>
  <c r="AF196" i="26"/>
  <c r="AF67" i="26"/>
  <c r="Z110" i="26"/>
  <c r="AK153" i="26"/>
  <c r="Z196" i="26"/>
  <c r="Z67" i="26"/>
  <c r="AL153" i="26"/>
  <c r="AB153" i="26"/>
  <c r="AA196" i="26"/>
  <c r="AH67" i="26"/>
  <c r="AD153" i="26"/>
  <c r="AK110" i="26"/>
  <c r="AA153" i="26"/>
  <c r="X68" i="26"/>
  <c r="Y68" i="26"/>
  <c r="W68" i="26"/>
  <c r="V68" i="26" s="1"/>
  <c r="X197" i="26"/>
  <c r="W197" i="26"/>
  <c r="V197" i="26" s="1"/>
  <c r="Y197" i="26"/>
  <c r="AG110" i="26"/>
  <c r="AE153" i="26"/>
  <c r="AI110" i="26"/>
  <c r="AH110" i="26"/>
  <c r="L198" i="25"/>
  <c r="N198" i="24"/>
  <c r="S198" i="26"/>
  <c r="V198" i="27"/>
  <c r="AB110" i="26"/>
  <c r="AI67" i="26"/>
  <c r="AL67" i="26"/>
  <c r="X111" i="26"/>
  <c r="Y111" i="26"/>
  <c r="W111" i="26"/>
  <c r="V111" i="26" s="1"/>
  <c r="AC110" i="26"/>
  <c r="L155" i="25"/>
  <c r="N155" i="24"/>
  <c r="S155" i="26"/>
  <c r="V155" i="27"/>
  <c r="AE110" i="26"/>
  <c r="AM67" i="26"/>
  <c r="AJ110" i="26"/>
  <c r="AG196" i="26"/>
  <c r="AF110" i="26"/>
  <c r="Y154" i="26"/>
  <c r="W154" i="26"/>
  <c r="V154" i="26" s="1"/>
  <c r="X154" i="26"/>
  <c r="L69" i="25"/>
  <c r="N69" i="24"/>
  <c r="S69" i="26"/>
  <c r="V69" i="27"/>
  <c r="AL110" i="26"/>
  <c r="L112" i="25"/>
  <c r="N112" i="24"/>
  <c r="S112" i="26"/>
  <c r="V112" i="27"/>
  <c r="AD110" i="26"/>
  <c r="AI153" i="26"/>
  <c r="Z153" i="26"/>
  <c r="AD196" i="26"/>
  <c r="AF50" i="26"/>
  <c r="AC50" i="26"/>
  <c r="AE51" i="26"/>
  <c r="AB51" i="26"/>
  <c r="AD51" i="26"/>
  <c r="AA51" i="26"/>
  <c r="C156" i="15"/>
  <c r="C199" i="15"/>
  <c r="C113" i="15"/>
  <c r="C70" i="15"/>
  <c r="AJ68" i="26" l="1"/>
  <c r="AE197" i="26"/>
  <c r="AG154" i="26"/>
  <c r="AF68" i="26"/>
  <c r="AK68" i="26"/>
  <c r="AE68" i="26"/>
  <c r="AC68" i="26"/>
  <c r="Z111" i="26"/>
  <c r="AF197" i="26"/>
  <c r="AC197" i="26"/>
  <c r="AB197" i="26"/>
  <c r="AG197" i="26"/>
  <c r="AD197" i="26"/>
  <c r="AA197" i="26"/>
  <c r="AI197" i="26"/>
  <c r="AA111" i="26"/>
  <c r="AG111" i="26"/>
  <c r="AI68" i="26"/>
  <c r="AH197" i="26"/>
  <c r="AD111" i="26"/>
  <c r="Z68" i="26"/>
  <c r="AF111" i="26"/>
  <c r="AL68" i="26"/>
  <c r="AG68" i="26"/>
  <c r="AL197" i="26"/>
  <c r="AH68" i="26"/>
  <c r="AK197" i="26"/>
  <c r="AE111" i="26"/>
  <c r="AI111" i="26"/>
  <c r="AA68" i="26"/>
  <c r="AM197" i="26"/>
  <c r="AH154" i="26"/>
  <c r="Z154" i="26"/>
  <c r="AD68" i="26"/>
  <c r="AL154" i="26"/>
  <c r="AI154" i="26"/>
  <c r="AE154" i="26"/>
  <c r="AC111" i="26"/>
  <c r="Y198" i="26"/>
  <c r="X198" i="26"/>
  <c r="W198" i="26"/>
  <c r="V198" i="26" s="1"/>
  <c r="AB68" i="26"/>
  <c r="AK154" i="26"/>
  <c r="AJ154" i="26"/>
  <c r="L199" i="25"/>
  <c r="N199" i="24"/>
  <c r="S199" i="26"/>
  <c r="V199" i="27"/>
  <c r="AA154" i="26"/>
  <c r="AJ111" i="26"/>
  <c r="AB111" i="26"/>
  <c r="Z197" i="26"/>
  <c r="W69" i="26"/>
  <c r="V69" i="26" s="1"/>
  <c r="Y69" i="26"/>
  <c r="X69" i="26"/>
  <c r="L156" i="25"/>
  <c r="N156" i="24"/>
  <c r="S156" i="26"/>
  <c r="V156" i="27"/>
  <c r="Y112" i="26"/>
  <c r="W112" i="26"/>
  <c r="V112" i="26" s="1"/>
  <c r="X112" i="26"/>
  <c r="AC154" i="26"/>
  <c r="AM68" i="26"/>
  <c r="AH111" i="26"/>
  <c r="AJ197" i="26"/>
  <c r="L113" i="25"/>
  <c r="N113" i="24"/>
  <c r="S113" i="26"/>
  <c r="V113" i="27"/>
  <c r="AF154" i="26"/>
  <c r="AD154" i="26"/>
  <c r="AM154" i="26"/>
  <c r="AM111" i="26"/>
  <c r="AK111" i="26"/>
  <c r="L70" i="25"/>
  <c r="N70" i="24"/>
  <c r="S70" i="26"/>
  <c r="V70" i="27"/>
  <c r="AB154" i="26"/>
  <c r="AL111" i="26"/>
  <c r="Y155" i="26"/>
  <c r="X155" i="26"/>
  <c r="W155" i="26"/>
  <c r="V155" i="26" s="1"/>
  <c r="AG155" i="26" s="1"/>
  <c r="AC51" i="26"/>
  <c r="AF51" i="26"/>
  <c r="C71" i="15"/>
  <c r="C157" i="15"/>
  <c r="C114" i="15"/>
  <c r="C200" i="15"/>
  <c r="Z112" i="26" l="1"/>
  <c r="AB69" i="26"/>
  <c r="AA198" i="26"/>
  <c r="AD155" i="26"/>
  <c r="AB198" i="26"/>
  <c r="AF198" i="26"/>
  <c r="AE198" i="26"/>
  <c r="AI198" i="26"/>
  <c r="AE155" i="26"/>
  <c r="AB155" i="26"/>
  <c r="AI69" i="26"/>
  <c r="AJ155" i="26"/>
  <c r="AC112" i="26"/>
  <c r="AA155" i="26"/>
  <c r="AL198" i="26"/>
  <c r="AC155" i="26"/>
  <c r="AC198" i="26"/>
  <c r="Z155" i="26"/>
  <c r="AG69" i="26"/>
  <c r="AD69" i="26"/>
  <c r="AJ69" i="26"/>
  <c r="Z69" i="26"/>
  <c r="AE69" i="26"/>
  <c r="AA112" i="26"/>
  <c r="AF69" i="26"/>
  <c r="AD112" i="26"/>
  <c r="AA69" i="26"/>
  <c r="AF155" i="26"/>
  <c r="AB112" i="26"/>
  <c r="AC69" i="26"/>
  <c r="Y199" i="26"/>
  <c r="W199" i="26"/>
  <c r="V199" i="26" s="1"/>
  <c r="X199" i="26"/>
  <c r="AH155" i="26"/>
  <c r="AK198" i="26"/>
  <c r="AG198" i="26"/>
  <c r="AL69" i="26"/>
  <c r="L157" i="25"/>
  <c r="N157" i="24"/>
  <c r="S157" i="26"/>
  <c r="V157" i="27"/>
  <c r="L71" i="25"/>
  <c r="N71" i="24"/>
  <c r="S71" i="26"/>
  <c r="V71" i="27"/>
  <c r="AH112" i="26"/>
  <c r="AK155" i="26"/>
  <c r="AG112" i="26"/>
  <c r="AK112" i="26"/>
  <c r="AI112" i="26"/>
  <c r="AM69" i="26"/>
  <c r="W156" i="26"/>
  <c r="V156" i="26" s="1"/>
  <c r="Y156" i="26"/>
  <c r="X156" i="26"/>
  <c r="Z198" i="26"/>
  <c r="AM198" i="26"/>
  <c r="AK69" i="26"/>
  <c r="AH198" i="26"/>
  <c r="AM112" i="26"/>
  <c r="AM155" i="26"/>
  <c r="AF112" i="26"/>
  <c r="AJ112" i="26"/>
  <c r="AD198" i="26"/>
  <c r="AI155" i="26"/>
  <c r="AH69" i="26"/>
  <c r="W113" i="26"/>
  <c r="V113" i="26" s="1"/>
  <c r="Y113" i="26"/>
  <c r="X113" i="26"/>
  <c r="Y70" i="26"/>
  <c r="X70" i="26"/>
  <c r="W70" i="26"/>
  <c r="V70" i="26" s="1"/>
  <c r="AJ198" i="26"/>
  <c r="L200" i="25"/>
  <c r="N200" i="24"/>
  <c r="S200" i="26"/>
  <c r="V200" i="27"/>
  <c r="L114" i="25"/>
  <c r="N114" i="24"/>
  <c r="S114" i="26"/>
  <c r="V114" i="27"/>
  <c r="AL112" i="26"/>
  <c r="AE112" i="26"/>
  <c r="AL155" i="26"/>
  <c r="C72" i="15"/>
  <c r="C158" i="15"/>
  <c r="C115" i="15"/>
  <c r="C201" i="15"/>
  <c r="Z70" i="26" l="1"/>
  <c r="AG199" i="26"/>
  <c r="Z113" i="26"/>
  <c r="AE199" i="26"/>
  <c r="AK199" i="26"/>
  <c r="AM199" i="26"/>
  <c r="AC199" i="26"/>
  <c r="AJ70" i="26"/>
  <c r="AD199" i="26"/>
  <c r="AH199" i="26"/>
  <c r="Z199" i="26"/>
  <c r="AA199" i="26"/>
  <c r="AF199" i="26"/>
  <c r="AG156" i="26"/>
  <c r="AB199" i="26"/>
  <c r="AM70" i="26"/>
  <c r="AJ199" i="26"/>
  <c r="AF70" i="26"/>
  <c r="AK70" i="26"/>
  <c r="AA113" i="26"/>
  <c r="AE70" i="26"/>
  <c r="AI199" i="26"/>
  <c r="Y114" i="26"/>
  <c r="W114" i="26"/>
  <c r="V114" i="26" s="1"/>
  <c r="X114" i="26"/>
  <c r="X157" i="26"/>
  <c r="Y157" i="26"/>
  <c r="W157" i="26"/>
  <c r="V157" i="26" s="1"/>
  <c r="AL70" i="26"/>
  <c r="AB70" i="26"/>
  <c r="AI113" i="26"/>
  <c r="AC113" i="26"/>
  <c r="AI156" i="26"/>
  <c r="AF156" i="26"/>
  <c r="AJ113" i="26"/>
  <c r="AH113" i="26"/>
  <c r="AH156" i="26"/>
  <c r="AC156" i="26"/>
  <c r="L158" i="25"/>
  <c r="N158" i="24"/>
  <c r="S158" i="26"/>
  <c r="V158" i="27"/>
  <c r="AD113" i="26"/>
  <c r="AB113" i="26"/>
  <c r="AA156" i="26"/>
  <c r="AJ156" i="26"/>
  <c r="AG113" i="26"/>
  <c r="AK156" i="26"/>
  <c r="AD156" i="26"/>
  <c r="AD70" i="26"/>
  <c r="AM156" i="26"/>
  <c r="AB156" i="26"/>
  <c r="Y71" i="26"/>
  <c r="W71" i="26"/>
  <c r="V71" i="26" s="1"/>
  <c r="X71" i="26"/>
  <c r="AL199" i="26"/>
  <c r="AK113" i="26"/>
  <c r="X200" i="26"/>
  <c r="W200" i="26"/>
  <c r="V200" i="26" s="1"/>
  <c r="Y200" i="26"/>
  <c r="L72" i="25"/>
  <c r="N72" i="24"/>
  <c r="S72" i="26"/>
  <c r="V72" i="27"/>
  <c r="AL156" i="26"/>
  <c r="AF113" i="26"/>
  <c r="AA70" i="26"/>
  <c r="AE113" i="26"/>
  <c r="AG70" i="26"/>
  <c r="Z156" i="26"/>
  <c r="Z157" i="26" s="1"/>
  <c r="AI70" i="26"/>
  <c r="AH70" i="26"/>
  <c r="L201" i="25"/>
  <c r="N201" i="24"/>
  <c r="S201" i="26"/>
  <c r="V201" i="27"/>
  <c r="AE156" i="26"/>
  <c r="L115" i="25"/>
  <c r="N115" i="24"/>
  <c r="S115" i="26"/>
  <c r="V115" i="27"/>
  <c r="AL113" i="26"/>
  <c r="AC70" i="26"/>
  <c r="AM113" i="26"/>
  <c r="C159" i="15"/>
  <c r="C202" i="15"/>
  <c r="C116" i="15"/>
  <c r="C73" i="15"/>
  <c r="AB114" i="26" l="1"/>
  <c r="AK157" i="26"/>
  <c r="Z114" i="26"/>
  <c r="AF157" i="26"/>
  <c r="AJ157" i="26"/>
  <c r="AA114" i="26"/>
  <c r="AI157" i="26"/>
  <c r="AD71" i="26"/>
  <c r="AE157" i="26"/>
  <c r="AL157" i="26"/>
  <c r="AB157" i="26"/>
  <c r="AI114" i="26"/>
  <c r="AF114" i="26"/>
  <c r="AM157" i="26"/>
  <c r="AC157" i="26"/>
  <c r="AB200" i="26"/>
  <c r="AD157" i="26"/>
  <c r="AH157" i="26"/>
  <c r="AC114" i="26"/>
  <c r="AK200" i="26"/>
  <c r="AA71" i="26"/>
  <c r="AH71" i="26"/>
  <c r="AF200" i="26"/>
  <c r="AC71" i="26"/>
  <c r="AG114" i="26"/>
  <c r="AH200" i="26"/>
  <c r="AD200" i="26"/>
  <c r="AM200" i="26"/>
  <c r="AG157" i="26"/>
  <c r="AA200" i="26"/>
  <c r="AB71" i="26"/>
  <c r="AH114" i="26"/>
  <c r="AL71" i="26"/>
  <c r="AJ200" i="26"/>
  <c r="AG71" i="26"/>
  <c r="AE200" i="26"/>
  <c r="Z71" i="26"/>
  <c r="AA157" i="26"/>
  <c r="AJ114" i="26"/>
  <c r="AE71" i="26"/>
  <c r="AL114" i="26"/>
  <c r="AF71" i="26"/>
  <c r="AE114" i="26"/>
  <c r="Z200" i="26"/>
  <c r="AD114" i="26"/>
  <c r="Y115" i="26"/>
  <c r="W115" i="26"/>
  <c r="V115" i="26" s="1"/>
  <c r="X115" i="26"/>
  <c r="X201" i="26"/>
  <c r="Y201" i="26"/>
  <c r="W201" i="26"/>
  <c r="V201" i="26" s="1"/>
  <c r="L116" i="25"/>
  <c r="N116" i="24"/>
  <c r="S116" i="26"/>
  <c r="V116" i="27"/>
  <c r="L202" i="25"/>
  <c r="N202" i="24"/>
  <c r="S202" i="26"/>
  <c r="V202" i="27"/>
  <c r="W72" i="26"/>
  <c r="V72" i="26" s="1"/>
  <c r="X72" i="26"/>
  <c r="Y72" i="26"/>
  <c r="AK114" i="26"/>
  <c r="L73" i="25"/>
  <c r="N73" i="24"/>
  <c r="S73" i="26"/>
  <c r="V73" i="27"/>
  <c r="L159" i="25"/>
  <c r="N159" i="24"/>
  <c r="S159" i="26"/>
  <c r="V159" i="27"/>
  <c r="AM114" i="26"/>
  <c r="AK71" i="26"/>
  <c r="W158" i="26"/>
  <c r="V158" i="26" s="1"/>
  <c r="Y158" i="26"/>
  <c r="X158" i="26"/>
  <c r="AG200" i="26"/>
  <c r="AJ71" i="26"/>
  <c r="AL200" i="26"/>
  <c r="AM71" i="26"/>
  <c r="AI200" i="26"/>
  <c r="AC200" i="26"/>
  <c r="AI71" i="26"/>
  <c r="C160" i="15"/>
  <c r="C74" i="15"/>
  <c r="C117" i="15"/>
  <c r="C203" i="15"/>
  <c r="AF158" i="26" l="1"/>
  <c r="AK158" i="26"/>
  <c r="AC158" i="26"/>
  <c r="AE158" i="26"/>
  <c r="AC72" i="26"/>
  <c r="AM158" i="26"/>
  <c r="AB158" i="26"/>
  <c r="AD158" i="26"/>
  <c r="AH158" i="26"/>
  <c r="AK201" i="26"/>
  <c r="AA158" i="26"/>
  <c r="AL158" i="26"/>
  <c r="AL115" i="26"/>
  <c r="AJ158" i="26"/>
  <c r="AH72" i="26"/>
  <c r="AG158" i="26"/>
  <c r="AD72" i="26"/>
  <c r="AB72" i="26"/>
  <c r="AJ201" i="26"/>
  <c r="AB115" i="26"/>
  <c r="Z72" i="26"/>
  <c r="AI158" i="26"/>
  <c r="AJ115" i="26"/>
  <c r="AC201" i="26"/>
  <c r="Z115" i="26"/>
  <c r="AB201" i="26"/>
  <c r="AA115" i="26"/>
  <c r="AD115" i="26"/>
  <c r="AG72" i="26"/>
  <c r="AM72" i="26"/>
  <c r="L203" i="25"/>
  <c r="N203" i="24"/>
  <c r="S203" i="26"/>
  <c r="V203" i="27"/>
  <c r="AK115" i="26"/>
  <c r="W202" i="26"/>
  <c r="V202" i="26" s="1"/>
  <c r="Y202" i="26"/>
  <c r="X202" i="26"/>
  <c r="AD201" i="26"/>
  <c r="AE115" i="26"/>
  <c r="AH201" i="26"/>
  <c r="AF115" i="26"/>
  <c r="AL201" i="26"/>
  <c r="AF72" i="26"/>
  <c r="AE201" i="26"/>
  <c r="AC115" i="26"/>
  <c r="Z158" i="26"/>
  <c r="W159" i="26"/>
  <c r="V159" i="26" s="1"/>
  <c r="Y159" i="26"/>
  <c r="X159" i="26"/>
  <c r="AH115" i="26"/>
  <c r="AM201" i="26"/>
  <c r="AA201" i="26"/>
  <c r="AI115" i="26"/>
  <c r="L117" i="25"/>
  <c r="N117" i="24"/>
  <c r="S117" i="26"/>
  <c r="V117" i="27"/>
  <c r="L74" i="25"/>
  <c r="N74" i="24"/>
  <c r="S74" i="26"/>
  <c r="V74" i="27"/>
  <c r="AG115" i="26"/>
  <c r="AK72" i="26"/>
  <c r="AA72" i="26"/>
  <c r="Z201" i="26"/>
  <c r="AL72" i="26"/>
  <c r="AF201" i="26"/>
  <c r="Y73" i="26"/>
  <c r="X73" i="26"/>
  <c r="W73" i="26"/>
  <c r="V73" i="26" s="1"/>
  <c r="AJ72" i="26"/>
  <c r="AM115" i="26"/>
  <c r="AE72" i="26"/>
  <c r="AI201" i="26"/>
  <c r="L160" i="25"/>
  <c r="N160" i="24"/>
  <c r="S160" i="26"/>
  <c r="V160" i="27"/>
  <c r="AI72" i="26"/>
  <c r="AG201" i="26"/>
  <c r="X116" i="26"/>
  <c r="W116" i="26"/>
  <c r="V116" i="26" s="1"/>
  <c r="Y116" i="26"/>
  <c r="C118" i="15"/>
  <c r="C161" i="15"/>
  <c r="C204" i="15"/>
  <c r="C75" i="15"/>
  <c r="AD116" i="26" l="1"/>
  <c r="AF159" i="26"/>
  <c r="AM116" i="26"/>
  <c r="AJ202" i="26"/>
  <c r="AH73" i="26"/>
  <c r="AK116" i="26"/>
  <c r="AB116" i="26"/>
  <c r="AC116" i="26"/>
  <c r="AK159" i="26"/>
  <c r="AJ159" i="26"/>
  <c r="AA159" i="26"/>
  <c r="AE159" i="26"/>
  <c r="AE116" i="26"/>
  <c r="AD159" i="26"/>
  <c r="AB159" i="26"/>
  <c r="AC159" i="26"/>
  <c r="AI159" i="26"/>
  <c r="AF116" i="26"/>
  <c r="AM159" i="26"/>
  <c r="Z116" i="26"/>
  <c r="AI202" i="26"/>
  <c r="Y203" i="26"/>
  <c r="X203" i="26"/>
  <c r="W203" i="26"/>
  <c r="V203" i="26" s="1"/>
  <c r="AC202" i="26"/>
  <c r="AJ116" i="26"/>
  <c r="AC73" i="26"/>
  <c r="AL159" i="26"/>
  <c r="Y117" i="26"/>
  <c r="X117" i="26"/>
  <c r="W117" i="26"/>
  <c r="V117" i="26" s="1"/>
  <c r="Z202" i="26"/>
  <c r="AA202" i="26"/>
  <c r="AM73" i="26"/>
  <c r="AH159" i="26"/>
  <c r="AJ73" i="26"/>
  <c r="AG202" i="26"/>
  <c r="AI73" i="26"/>
  <c r="AD73" i="26"/>
  <c r="Z159" i="26"/>
  <c r="AB202" i="26"/>
  <c r="AL116" i="26"/>
  <c r="AG159" i="26"/>
  <c r="AL73" i="26"/>
  <c r="AI116" i="26"/>
  <c r="L118" i="25"/>
  <c r="N118" i="24"/>
  <c r="S118" i="26"/>
  <c r="V118" i="27"/>
  <c r="AK73" i="26"/>
  <c r="AM202" i="26"/>
  <c r="AF202" i="26"/>
  <c r="AG73" i="26"/>
  <c r="AK202" i="26"/>
  <c r="W74" i="26"/>
  <c r="V74" i="26" s="1"/>
  <c r="Y74" i="26"/>
  <c r="X74" i="26"/>
  <c r="AH202" i="26"/>
  <c r="AD202" i="26"/>
  <c r="AF73" i="26"/>
  <c r="AG116" i="26"/>
  <c r="AH116" i="26"/>
  <c r="AE202" i="26"/>
  <c r="AL202" i="26"/>
  <c r="L75" i="25"/>
  <c r="N75" i="24"/>
  <c r="S75" i="26"/>
  <c r="V75" i="27"/>
  <c r="L204" i="25"/>
  <c r="N204" i="24"/>
  <c r="S204" i="26"/>
  <c r="V204" i="27"/>
  <c r="AA73" i="26"/>
  <c r="L161" i="25"/>
  <c r="N161" i="24"/>
  <c r="S161" i="26"/>
  <c r="V161" i="27"/>
  <c r="AA116" i="26"/>
  <c r="W160" i="26"/>
  <c r="V160" i="26" s="1"/>
  <c r="AF160" i="26" s="1"/>
  <c r="Y160" i="26"/>
  <c r="X160" i="26"/>
  <c r="AE73" i="26"/>
  <c r="AB73" i="26"/>
  <c r="Z73" i="26"/>
  <c r="C205" i="15"/>
  <c r="C76" i="15"/>
  <c r="C119" i="15"/>
  <c r="C162" i="15"/>
  <c r="AC160" i="26" l="1"/>
  <c r="AE160" i="26"/>
  <c r="AA160" i="26"/>
  <c r="AD160" i="26"/>
  <c r="AH74" i="26"/>
  <c r="AJ160" i="26"/>
  <c r="AL203" i="26"/>
  <c r="AL160" i="26"/>
  <c r="AB160" i="26"/>
  <c r="AJ74" i="26"/>
  <c r="AD203" i="26"/>
  <c r="Z160" i="26"/>
  <c r="AF74" i="26"/>
  <c r="AH160" i="26"/>
  <c r="AB74" i="26"/>
  <c r="AM74" i="26"/>
  <c r="AE117" i="26"/>
  <c r="AC74" i="26"/>
  <c r="AC203" i="26"/>
  <c r="AE203" i="26"/>
  <c r="Y118" i="26"/>
  <c r="X118" i="26"/>
  <c r="W118" i="26"/>
  <c r="V118" i="26" s="1"/>
  <c r="Z203" i="26"/>
  <c r="AM117" i="26"/>
  <c r="AG117" i="26"/>
  <c r="AG160" i="26"/>
  <c r="AC117" i="26"/>
  <c r="AJ117" i="26"/>
  <c r="AI160" i="26"/>
  <c r="Y161" i="26"/>
  <c r="W161" i="26"/>
  <c r="V161" i="26" s="1"/>
  <c r="X161" i="26"/>
  <c r="L162" i="25"/>
  <c r="N162" i="24"/>
  <c r="S162" i="26"/>
  <c r="V162" i="27"/>
  <c r="AK117" i="26"/>
  <c r="AI117" i="26"/>
  <c r="AK203" i="26"/>
  <c r="AG74" i="26"/>
  <c r="AB117" i="26"/>
  <c r="AM160" i="26"/>
  <c r="AK160" i="26"/>
  <c r="W204" i="26"/>
  <c r="V204" i="26" s="1"/>
  <c r="X204" i="26"/>
  <c r="Y204" i="26"/>
  <c r="AL117" i="26"/>
  <c r="L119" i="25"/>
  <c r="N119" i="24"/>
  <c r="S119" i="26"/>
  <c r="V119" i="27"/>
  <c r="AH203" i="26"/>
  <c r="AD117" i="26"/>
  <c r="AB203" i="26"/>
  <c r="AI203" i="26"/>
  <c r="AF117" i="26"/>
  <c r="L76" i="25"/>
  <c r="N76" i="24"/>
  <c r="S76" i="26"/>
  <c r="V76" i="27"/>
  <c r="L205" i="25"/>
  <c r="N205" i="24"/>
  <c r="S205" i="26"/>
  <c r="V205" i="27"/>
  <c r="AD74" i="26"/>
  <c r="AM203" i="26"/>
  <c r="AA117" i="26"/>
  <c r="AF203" i="26"/>
  <c r="Z117" i="26"/>
  <c r="AH117" i="26"/>
  <c r="Z74" i="26"/>
  <c r="AI74" i="26"/>
  <c r="AA203" i="26"/>
  <c r="AJ203" i="26"/>
  <c r="AL74" i="26"/>
  <c r="W75" i="26"/>
  <c r="V75" i="26" s="1"/>
  <c r="X75" i="26"/>
  <c r="Y75" i="26"/>
  <c r="AE74" i="26"/>
  <c r="AK74" i="26"/>
  <c r="AA74" i="26"/>
  <c r="AG203" i="26"/>
  <c r="C163" i="15"/>
  <c r="C77" i="15"/>
  <c r="C206" i="15"/>
  <c r="C120" i="15"/>
  <c r="AJ204" i="26" l="1"/>
  <c r="AJ118" i="26"/>
  <c r="AH75" i="26"/>
  <c r="AA118" i="26"/>
  <c r="AA75" i="26"/>
  <c r="AK75" i="26"/>
  <c r="AL75" i="26"/>
  <c r="AD118" i="26"/>
  <c r="AI75" i="26"/>
  <c r="AE75" i="26"/>
  <c r="AD75" i="26"/>
  <c r="AC118" i="26"/>
  <c r="AH118" i="26"/>
  <c r="AC75" i="26"/>
  <c r="AE204" i="26"/>
  <c r="AE118" i="26"/>
  <c r="AG75" i="26"/>
  <c r="AL118" i="26"/>
  <c r="Z161" i="26"/>
  <c r="AF118" i="26"/>
  <c r="Z75" i="26"/>
  <c r="AF75" i="26"/>
  <c r="AI161" i="26"/>
  <c r="W162" i="26"/>
  <c r="V162" i="26" s="1"/>
  <c r="X162" i="26"/>
  <c r="Y162" i="26"/>
  <c r="W119" i="26"/>
  <c r="V119" i="26" s="1"/>
  <c r="X119" i="26"/>
  <c r="Y119" i="26"/>
  <c r="W205" i="26"/>
  <c r="V205" i="26" s="1"/>
  <c r="X205" i="26"/>
  <c r="Y205" i="26"/>
  <c r="AK161" i="26"/>
  <c r="AL204" i="26"/>
  <c r="AC161" i="26"/>
  <c r="AA161" i="26"/>
  <c r="AG118" i="26"/>
  <c r="AF161" i="26"/>
  <c r="AL161" i="26"/>
  <c r="AE161" i="26"/>
  <c r="AF204" i="26"/>
  <c r="AA204" i="26"/>
  <c r="AK204" i="26"/>
  <c r="AD161" i="26"/>
  <c r="AM118" i="26"/>
  <c r="AG161" i="26"/>
  <c r="L120" i="25"/>
  <c r="N120" i="24"/>
  <c r="S120" i="26"/>
  <c r="V120" i="27"/>
  <c r="AI204" i="26"/>
  <c r="AB204" i="26"/>
  <c r="AI118" i="26"/>
  <c r="AB161" i="26"/>
  <c r="Z204" i="26"/>
  <c r="AH161" i="26"/>
  <c r="AM161" i="26"/>
  <c r="AD204" i="26"/>
  <c r="AM204" i="26"/>
  <c r="AC204" i="26"/>
  <c r="AJ161" i="26"/>
  <c r="AM75" i="26"/>
  <c r="L206" i="25"/>
  <c r="N206" i="24"/>
  <c r="S206" i="26"/>
  <c r="V206" i="27"/>
  <c r="AB75" i="26"/>
  <c r="L77" i="25"/>
  <c r="N77" i="24"/>
  <c r="S77" i="26"/>
  <c r="V77" i="27"/>
  <c r="L163" i="25"/>
  <c r="N163" i="24"/>
  <c r="S163" i="26"/>
  <c r="V163" i="27"/>
  <c r="AK118" i="26"/>
  <c r="AB118" i="26"/>
  <c r="AJ75" i="26"/>
  <c r="W76" i="26"/>
  <c r="V76" i="26" s="1"/>
  <c r="Y76" i="26"/>
  <c r="X76" i="26"/>
  <c r="Z118" i="26"/>
  <c r="AG204" i="26"/>
  <c r="AH204" i="26"/>
  <c r="C78" i="15"/>
  <c r="C207" i="15"/>
  <c r="C121" i="15"/>
  <c r="C164" i="15"/>
  <c r="AL205" i="26" l="1"/>
  <c r="AC162" i="26"/>
  <c r="AI162" i="26"/>
  <c r="AD76" i="26"/>
  <c r="AA162" i="26"/>
  <c r="AB76" i="26"/>
  <c r="AM162" i="26"/>
  <c r="AL76" i="26"/>
  <c r="Z162" i="26"/>
  <c r="AK162" i="26"/>
  <c r="Z205" i="26"/>
  <c r="AH162" i="26"/>
  <c r="AG76" i="26"/>
  <c r="AL162" i="26"/>
  <c r="AK76" i="26"/>
  <c r="AA76" i="26"/>
  <c r="AM76" i="26"/>
  <c r="AF162" i="26"/>
  <c r="AB162" i="26"/>
  <c r="AF76" i="26"/>
  <c r="AJ162" i="26"/>
  <c r="AL119" i="26"/>
  <c r="AD162" i="26"/>
  <c r="AE76" i="26"/>
  <c r="AC76" i="26"/>
  <c r="AE162" i="26"/>
  <c r="Y163" i="26"/>
  <c r="W163" i="26"/>
  <c r="V163" i="26" s="1"/>
  <c r="X163" i="26"/>
  <c r="AD119" i="26"/>
  <c r="AB205" i="26"/>
  <c r="AB119" i="26"/>
  <c r="AC119" i="26"/>
  <c r="AF205" i="26"/>
  <c r="L121" i="25"/>
  <c r="N121" i="24"/>
  <c r="S121" i="26"/>
  <c r="V121" i="27"/>
  <c r="Y77" i="26"/>
  <c r="W77" i="26"/>
  <c r="V77" i="26" s="1"/>
  <c r="X77" i="26"/>
  <c r="AM205" i="26"/>
  <c r="X120" i="26"/>
  <c r="Y120" i="26"/>
  <c r="W120" i="26"/>
  <c r="V120" i="26" s="1"/>
  <c r="AH119" i="26"/>
  <c r="AD205" i="26"/>
  <c r="AE119" i="26"/>
  <c r="AK205" i="26"/>
  <c r="AA119" i="26"/>
  <c r="AJ119" i="26"/>
  <c r="AC205" i="26"/>
  <c r="AF119" i="26"/>
  <c r="W206" i="26"/>
  <c r="V206" i="26" s="1"/>
  <c r="Y206" i="26"/>
  <c r="X206" i="26"/>
  <c r="AI119" i="26"/>
  <c r="AI205" i="26"/>
  <c r="L207" i="25"/>
  <c r="N207" i="24"/>
  <c r="S207" i="26"/>
  <c r="V207" i="27"/>
  <c r="Z76" i="26"/>
  <c r="AG119" i="26"/>
  <c r="AA205" i="26"/>
  <c r="Z119" i="26"/>
  <c r="AK119" i="26"/>
  <c r="L164" i="25"/>
  <c r="N164" i="24"/>
  <c r="S164" i="26"/>
  <c r="V164" i="27"/>
  <c r="AH205" i="26"/>
  <c r="AG205" i="26"/>
  <c r="AJ205" i="26"/>
  <c r="AI76" i="26"/>
  <c r="AG162" i="26"/>
  <c r="AE205" i="26"/>
  <c r="AH76" i="26"/>
  <c r="L78" i="25"/>
  <c r="N78" i="24"/>
  <c r="S78" i="26"/>
  <c r="V78" i="27"/>
  <c r="AJ76" i="26"/>
  <c r="AM119" i="26"/>
  <c r="C122" i="15"/>
  <c r="C165" i="15"/>
  <c r="C79" i="15"/>
  <c r="C208" i="15"/>
  <c r="AJ77" i="26" l="1"/>
  <c r="AE206" i="26"/>
  <c r="Z206" i="26"/>
  <c r="AA163" i="26"/>
  <c r="AB77" i="26"/>
  <c r="AK77" i="26"/>
  <c r="AE77" i="26"/>
  <c r="AD120" i="26"/>
  <c r="AH77" i="26"/>
  <c r="AM206" i="26"/>
  <c r="Z77" i="26"/>
  <c r="AD77" i="26"/>
  <c r="AM77" i="26"/>
  <c r="AF77" i="26"/>
  <c r="AB163" i="26"/>
  <c r="AA77" i="26"/>
  <c r="AC77" i="26"/>
  <c r="AI77" i="26"/>
  <c r="AE163" i="26"/>
  <c r="AJ163" i="26"/>
  <c r="AB120" i="26"/>
  <c r="Z120" i="26"/>
  <c r="AC120" i="26"/>
  <c r="AF120" i="26"/>
  <c r="AG120" i="26"/>
  <c r="AF206" i="26"/>
  <c r="AE120" i="26"/>
  <c r="AI120" i="26"/>
  <c r="AM120" i="26"/>
  <c r="AA120" i="26"/>
  <c r="AH120" i="26"/>
  <c r="AG206" i="26"/>
  <c r="AL77" i="26"/>
  <c r="AF163" i="26"/>
  <c r="AI163" i="26"/>
  <c r="AK120" i="26"/>
  <c r="AH206" i="26"/>
  <c r="AJ120" i="26"/>
  <c r="AL120" i="26"/>
  <c r="AC163" i="26"/>
  <c r="W207" i="26"/>
  <c r="V207" i="26" s="1"/>
  <c r="X207" i="26"/>
  <c r="Y207" i="26"/>
  <c r="Y78" i="26"/>
  <c r="X78" i="26"/>
  <c r="W78" i="26"/>
  <c r="V78" i="26" s="1"/>
  <c r="Y164" i="26"/>
  <c r="X164" i="26"/>
  <c r="W164" i="26"/>
  <c r="V164" i="26" s="1"/>
  <c r="AL206" i="26"/>
  <c r="AI206" i="26"/>
  <c r="AC206" i="26"/>
  <c r="AK163" i="26"/>
  <c r="L79" i="25"/>
  <c r="N79" i="24"/>
  <c r="S79" i="26"/>
  <c r="V79" i="27"/>
  <c r="AA206" i="26"/>
  <c r="AL163" i="26"/>
  <c r="AH163" i="26"/>
  <c r="L165" i="25"/>
  <c r="N165" i="24"/>
  <c r="S165" i="26"/>
  <c r="V165" i="27"/>
  <c r="AG163" i="26"/>
  <c r="AD206" i="26"/>
  <c r="AG77" i="26"/>
  <c r="Z163" i="26"/>
  <c r="AB206" i="26"/>
  <c r="AK206" i="26"/>
  <c r="AD163" i="26"/>
  <c r="L208" i="25"/>
  <c r="N208" i="24"/>
  <c r="S208" i="26"/>
  <c r="V208" i="27"/>
  <c r="L122" i="25"/>
  <c r="N122" i="24"/>
  <c r="S122" i="26"/>
  <c r="V122" i="27"/>
  <c r="AJ206" i="26"/>
  <c r="AM163" i="26"/>
  <c r="X121" i="26"/>
  <c r="W121" i="26"/>
  <c r="V121" i="26" s="1"/>
  <c r="Y121" i="26"/>
  <c r="C209" i="15"/>
  <c r="C80" i="15"/>
  <c r="C166" i="15"/>
  <c r="C123" i="15"/>
  <c r="AH78" i="26" l="1"/>
  <c r="AF78" i="26"/>
  <c r="AM78" i="26"/>
  <c r="AC121" i="26"/>
  <c r="AL78" i="26"/>
  <c r="AB78" i="26"/>
  <c r="AH207" i="26"/>
  <c r="AL164" i="26"/>
  <c r="Z78" i="26"/>
  <c r="AI207" i="26"/>
  <c r="AK207" i="26"/>
  <c r="AJ207" i="26"/>
  <c r="AL207" i="26"/>
  <c r="AI78" i="26"/>
  <c r="AG78" i="26"/>
  <c r="AF207" i="26"/>
  <c r="AG207" i="26"/>
  <c r="AD207" i="26"/>
  <c r="AE78" i="26"/>
  <c r="AB207" i="26"/>
  <c r="AM207" i="26"/>
  <c r="Z207" i="26"/>
  <c r="AA207" i="26"/>
  <c r="AA164" i="26"/>
  <c r="AD78" i="26"/>
  <c r="AC207" i="26"/>
  <c r="AA121" i="26"/>
  <c r="AJ78" i="26"/>
  <c r="AA78" i="26"/>
  <c r="AE207" i="26"/>
  <c r="Z164" i="26"/>
  <c r="AC78" i="26"/>
  <c r="X79" i="26"/>
  <c r="Y79" i="26"/>
  <c r="W79" i="26"/>
  <c r="V79" i="26" s="1"/>
  <c r="AH79" i="26" s="1"/>
  <c r="Y208" i="26"/>
  <c r="X208" i="26"/>
  <c r="W208" i="26"/>
  <c r="V208" i="26" s="1"/>
  <c r="AH121" i="26"/>
  <c r="AM164" i="26"/>
  <c r="L209" i="25"/>
  <c r="N209" i="24"/>
  <c r="S209" i="26"/>
  <c r="V209" i="27"/>
  <c r="AK164" i="26"/>
  <c r="AC164" i="26"/>
  <c r="AF164" i="26"/>
  <c r="AF121" i="26"/>
  <c r="X122" i="26"/>
  <c r="Y122" i="26"/>
  <c r="W122" i="26"/>
  <c r="V122" i="26" s="1"/>
  <c r="AJ121" i="26"/>
  <c r="AE164" i="26"/>
  <c r="L123" i="25"/>
  <c r="N123" i="24"/>
  <c r="S123" i="26"/>
  <c r="V123" i="27"/>
  <c r="L166" i="25"/>
  <c r="N166" i="24"/>
  <c r="S166" i="26"/>
  <c r="V166" i="27"/>
  <c r="L80" i="25"/>
  <c r="N80" i="24"/>
  <c r="S80" i="26"/>
  <c r="V80" i="27"/>
  <c r="Y165" i="26"/>
  <c r="W165" i="26"/>
  <c r="V165" i="26" s="1"/>
  <c r="X165" i="26"/>
  <c r="AB121" i="26"/>
  <c r="AG121" i="26"/>
  <c r="AD164" i="26"/>
  <c r="AL121" i="26"/>
  <c r="AG164" i="26"/>
  <c r="AD121" i="26"/>
  <c r="AI164" i="26"/>
  <c r="AE121" i="26"/>
  <c r="AI121" i="26"/>
  <c r="AJ164" i="26"/>
  <c r="AK121" i="26"/>
  <c r="AB164" i="26"/>
  <c r="Z121" i="26"/>
  <c r="AM121" i="26"/>
  <c r="AH164" i="26"/>
  <c r="AK78" i="26"/>
  <c r="C81" i="15"/>
  <c r="C124" i="15"/>
  <c r="C167" i="15"/>
  <c r="C210" i="15"/>
  <c r="AC122" i="26" l="1"/>
  <c r="AH208" i="26"/>
  <c r="AF165" i="26"/>
  <c r="AG165" i="26"/>
  <c r="AH165" i="26"/>
  <c r="Z79" i="26"/>
  <c r="AD165" i="26"/>
  <c r="AB165" i="26"/>
  <c r="AE208" i="26"/>
  <c r="AM122" i="26"/>
  <c r="AM208" i="26"/>
  <c r="AJ208" i="26"/>
  <c r="AI79" i="26"/>
  <c r="AI208" i="26"/>
  <c r="AK208" i="26"/>
  <c r="Z165" i="26"/>
  <c r="AA79" i="26"/>
  <c r="AL165" i="26"/>
  <c r="AF79" i="26"/>
  <c r="AJ122" i="26"/>
  <c r="AC165" i="26"/>
  <c r="AC208" i="26"/>
  <c r="AC79" i="26"/>
  <c r="AK122" i="26"/>
  <c r="Z208" i="26"/>
  <c r="AF122" i="26"/>
  <c r="AK165" i="26"/>
  <c r="AD208" i="26"/>
  <c r="AD79" i="26"/>
  <c r="AG79" i="26"/>
  <c r="AI122" i="26"/>
  <c r="AE122" i="26"/>
  <c r="AA165" i="26"/>
  <c r="AB122" i="26"/>
  <c r="AF208" i="26"/>
  <c r="AB79" i="26"/>
  <c r="AG208" i="26"/>
  <c r="AL208" i="26"/>
  <c r="Z122" i="26"/>
  <c r="AE79" i="26"/>
  <c r="AJ79" i="26"/>
  <c r="AI165" i="26"/>
  <c r="AE165" i="26"/>
  <c r="AA122" i="26"/>
  <c r="AA208" i="26"/>
  <c r="AL122" i="26"/>
  <c r="AH122" i="26"/>
  <c r="AK79" i="26"/>
  <c r="AD122" i="26"/>
  <c r="AB208" i="26"/>
  <c r="AL79" i="26"/>
  <c r="L81" i="25"/>
  <c r="N81" i="24"/>
  <c r="S81" i="26"/>
  <c r="V81" i="27"/>
  <c r="W209" i="26"/>
  <c r="V209" i="26" s="1"/>
  <c r="X209" i="26"/>
  <c r="Y209" i="26"/>
  <c r="L167" i="25"/>
  <c r="N167" i="24"/>
  <c r="S167" i="26"/>
  <c r="V167" i="27"/>
  <c r="W123" i="26"/>
  <c r="V123" i="26" s="1"/>
  <c r="X123" i="26"/>
  <c r="Y123" i="26"/>
  <c r="L124" i="25"/>
  <c r="N124" i="24"/>
  <c r="S124" i="26"/>
  <c r="V124" i="27"/>
  <c r="W166" i="26"/>
  <c r="V166" i="26" s="1"/>
  <c r="AD166" i="26" s="1"/>
  <c r="Y166" i="26"/>
  <c r="X166" i="26"/>
  <c r="AG122" i="26"/>
  <c r="AM165" i="26"/>
  <c r="L210" i="25"/>
  <c r="N210" i="24"/>
  <c r="S210" i="26"/>
  <c r="V210" i="27"/>
  <c r="AJ165" i="26"/>
  <c r="W80" i="26"/>
  <c r="V80" i="26" s="1"/>
  <c r="Y80" i="26"/>
  <c r="X80" i="26"/>
  <c r="AM79" i="26"/>
  <c r="C168" i="15"/>
  <c r="C82" i="15"/>
  <c r="C125" i="15"/>
  <c r="C211" i="15"/>
  <c r="AE209" i="26" l="1"/>
  <c r="AF209" i="26"/>
  <c r="AC209" i="26"/>
  <c r="AB209" i="26"/>
  <c r="AA166" i="26"/>
  <c r="AC166" i="26"/>
  <c r="AK209" i="26"/>
  <c r="AF166" i="26"/>
  <c r="AB166" i="26"/>
  <c r="AB80" i="26"/>
  <c r="AA123" i="26"/>
  <c r="AE166" i="26"/>
  <c r="AM209" i="26"/>
  <c r="AG209" i="26"/>
  <c r="AI209" i="26"/>
  <c r="AI166" i="26"/>
  <c r="AJ209" i="26"/>
  <c r="AL209" i="26"/>
  <c r="AH166" i="26"/>
  <c r="AA209" i="26"/>
  <c r="AD209" i="26"/>
  <c r="Z166" i="26"/>
  <c r="AL80" i="26"/>
  <c r="AE123" i="26"/>
  <c r="AG80" i="26"/>
  <c r="AM80" i="26"/>
  <c r="AH209" i="26"/>
  <c r="AA80" i="26"/>
  <c r="AH80" i="26"/>
  <c r="AM123" i="26"/>
  <c r="AL123" i="26"/>
  <c r="AF80" i="26"/>
  <c r="AD80" i="26"/>
  <c r="AG166" i="26"/>
  <c r="AC80" i="26"/>
  <c r="AK166" i="26"/>
  <c r="AC123" i="26"/>
  <c r="AK80" i="26"/>
  <c r="Z209" i="26"/>
  <c r="AE80" i="26"/>
  <c r="AB123" i="26"/>
  <c r="AI123" i="26"/>
  <c r="AJ123" i="26"/>
  <c r="X81" i="26"/>
  <c r="Y81" i="26"/>
  <c r="W81" i="26"/>
  <c r="V81" i="26" s="1"/>
  <c r="AL166" i="26"/>
  <c r="X124" i="26"/>
  <c r="Y124" i="26"/>
  <c r="W124" i="26"/>
  <c r="V124" i="26" s="1"/>
  <c r="AJ80" i="26"/>
  <c r="W167" i="26"/>
  <c r="V167" i="26" s="1"/>
  <c r="Y167" i="26"/>
  <c r="X167" i="26"/>
  <c r="W210" i="26"/>
  <c r="V210" i="26" s="1"/>
  <c r="Y210" i="26"/>
  <c r="X210" i="26"/>
  <c r="AM166" i="26"/>
  <c r="L211" i="25"/>
  <c r="N211" i="24"/>
  <c r="S211" i="26"/>
  <c r="V211" i="27"/>
  <c r="AK123" i="26"/>
  <c r="AI80" i="26"/>
  <c r="AD123" i="26"/>
  <c r="AH123" i="26"/>
  <c r="AG123" i="26"/>
  <c r="L82" i="25"/>
  <c r="N82" i="24"/>
  <c r="S82" i="26"/>
  <c r="V82" i="27"/>
  <c r="AJ166" i="26"/>
  <c r="Z123" i="26"/>
  <c r="AF123" i="26"/>
  <c r="L125" i="25"/>
  <c r="N125" i="24"/>
  <c r="S125" i="26"/>
  <c r="V125" i="27"/>
  <c r="L168" i="25"/>
  <c r="N168" i="24"/>
  <c r="S168" i="26"/>
  <c r="V168" i="27"/>
  <c r="Z80" i="26"/>
  <c r="C126" i="15"/>
  <c r="C169" i="15"/>
  <c r="C212" i="15"/>
  <c r="C83" i="15"/>
  <c r="AK124" i="26" l="1"/>
  <c r="AE210" i="26"/>
  <c r="AD81" i="26"/>
  <c r="AH210" i="26"/>
  <c r="Z167" i="26"/>
  <c r="AB124" i="26"/>
  <c r="AE124" i="26"/>
  <c r="AJ167" i="26"/>
  <c r="AB81" i="26"/>
  <c r="AM210" i="26"/>
  <c r="AD167" i="26"/>
  <c r="AH81" i="26"/>
  <c r="Y168" i="26"/>
  <c r="W168" i="26"/>
  <c r="V168" i="26" s="1"/>
  <c r="X168" i="26"/>
  <c r="AK167" i="26"/>
  <c r="AH167" i="26"/>
  <c r="AI124" i="26"/>
  <c r="AK210" i="26"/>
  <c r="AL124" i="26"/>
  <c r="W125" i="26"/>
  <c r="V125" i="26" s="1"/>
  <c r="Y125" i="26"/>
  <c r="X125" i="26"/>
  <c r="AJ124" i="26"/>
  <c r="AG167" i="26"/>
  <c r="AC167" i="26"/>
  <c r="AF124" i="26"/>
  <c r="AE81" i="26"/>
  <c r="AJ210" i="26"/>
  <c r="Y82" i="26"/>
  <c r="X82" i="26"/>
  <c r="W82" i="26"/>
  <c r="V82" i="26" s="1"/>
  <c r="AG124" i="26"/>
  <c r="L83" i="25"/>
  <c r="N83" i="24"/>
  <c r="S83" i="26"/>
  <c r="V83" i="27"/>
  <c r="AA167" i="26"/>
  <c r="L169" i="25"/>
  <c r="N169" i="24"/>
  <c r="S169" i="26"/>
  <c r="V169" i="27"/>
  <c r="AK81" i="26"/>
  <c r="Z210" i="26"/>
  <c r="AA210" i="26"/>
  <c r="AE167" i="26"/>
  <c r="AD124" i="26"/>
  <c r="AC81" i="26"/>
  <c r="AI167" i="26"/>
  <c r="AL167" i="26"/>
  <c r="AI210" i="26"/>
  <c r="AG81" i="26"/>
  <c r="L212" i="25"/>
  <c r="N212" i="24"/>
  <c r="S212" i="26"/>
  <c r="V212" i="27"/>
  <c r="AF210" i="26"/>
  <c r="AH124" i="26"/>
  <c r="AD210" i="26"/>
  <c r="AF167" i="26"/>
  <c r="AA124" i="26"/>
  <c r="AF81" i="26"/>
  <c r="AM124" i="26"/>
  <c r="AC124" i="26"/>
  <c r="L126" i="25"/>
  <c r="N126" i="24"/>
  <c r="S126" i="26"/>
  <c r="V126" i="27"/>
  <c r="Z81" i="26"/>
  <c r="Z124" i="26"/>
  <c r="AC210" i="26"/>
  <c r="AB167" i="26"/>
  <c r="AA81" i="26"/>
  <c r="AL81" i="26"/>
  <c r="Y211" i="26"/>
  <c r="W211" i="26"/>
  <c r="V211" i="26" s="1"/>
  <c r="X211" i="26"/>
  <c r="AJ81" i="26"/>
  <c r="AM167" i="26"/>
  <c r="AM81" i="26"/>
  <c r="AG210" i="26"/>
  <c r="AL210" i="26"/>
  <c r="AI81" i="26"/>
  <c r="AB210" i="26"/>
  <c r="C127" i="15"/>
  <c r="C170" i="15"/>
  <c r="C84" i="15"/>
  <c r="C213" i="15"/>
  <c r="AH82" i="26" l="1"/>
  <c r="AH211" i="26"/>
  <c r="Z82" i="26"/>
  <c r="AF211" i="26"/>
  <c r="AA211" i="26"/>
  <c r="Z211" i="26"/>
  <c r="AB82" i="26"/>
  <c r="AA168" i="26"/>
  <c r="AK82" i="26"/>
  <c r="AF82" i="26"/>
  <c r="AJ82" i="26"/>
  <c r="AA82" i="26"/>
  <c r="AC82" i="26"/>
  <c r="AG82" i="26"/>
  <c r="AD82" i="26"/>
  <c r="AB211" i="26"/>
  <c r="AD211" i="26"/>
  <c r="AG168" i="26"/>
  <c r="AA125" i="26"/>
  <c r="AK211" i="26"/>
  <c r="AL82" i="26"/>
  <c r="AI82" i="26"/>
  <c r="AE82" i="26"/>
  <c r="AB168" i="26"/>
  <c r="AM82" i="26"/>
  <c r="Z125" i="26"/>
  <c r="AH125" i="26"/>
  <c r="Z168" i="26"/>
  <c r="AL125" i="26"/>
  <c r="L213" i="25"/>
  <c r="N213" i="24"/>
  <c r="S213" i="26"/>
  <c r="V213" i="27"/>
  <c r="X212" i="26"/>
  <c r="Y212" i="26"/>
  <c r="W212" i="26"/>
  <c r="V212" i="26" s="1"/>
  <c r="AH212" i="26" s="1"/>
  <c r="AE211" i="26"/>
  <c r="AI125" i="26"/>
  <c r="AJ125" i="26"/>
  <c r="W169" i="26"/>
  <c r="V169" i="26" s="1"/>
  <c r="X169" i="26"/>
  <c r="Y169" i="26"/>
  <c r="AF125" i="26"/>
  <c r="AH168" i="26"/>
  <c r="AK125" i="26"/>
  <c r="AG125" i="26"/>
  <c r="AG211" i="26"/>
  <c r="AM125" i="26"/>
  <c r="AI211" i="26"/>
  <c r="AC125" i="26"/>
  <c r="AF168" i="26"/>
  <c r="L84" i="25"/>
  <c r="N84" i="24"/>
  <c r="S84" i="26"/>
  <c r="V84" i="27"/>
  <c r="AL168" i="26"/>
  <c r="AE125" i="26"/>
  <c r="AD168" i="26"/>
  <c r="AM211" i="26"/>
  <c r="L170" i="25"/>
  <c r="N170" i="24"/>
  <c r="S170" i="26"/>
  <c r="V170" i="27"/>
  <c r="AM168" i="26"/>
  <c r="AI168" i="26"/>
  <c r="AB125" i="26"/>
  <c r="AC168" i="26"/>
  <c r="AJ168" i="26"/>
  <c r="AL211" i="26"/>
  <c r="AK168" i="26"/>
  <c r="X83" i="26"/>
  <c r="W83" i="26"/>
  <c r="V83" i="26" s="1"/>
  <c r="AH83" i="26" s="1"/>
  <c r="Y83" i="26"/>
  <c r="AD125" i="26"/>
  <c r="AE168" i="26"/>
  <c r="L127" i="25"/>
  <c r="N127" i="24"/>
  <c r="S127" i="26"/>
  <c r="V127" i="27"/>
  <c r="W126" i="26"/>
  <c r="V126" i="26" s="1"/>
  <c r="Y126" i="26"/>
  <c r="X126" i="26"/>
  <c r="AC211" i="26"/>
  <c r="AJ211" i="26"/>
  <c r="C214" i="15"/>
  <c r="C171" i="15"/>
  <c r="C85" i="15"/>
  <c r="C128" i="15"/>
  <c r="AB83" i="26" l="1"/>
  <c r="AK83" i="26"/>
  <c r="Z169" i="26"/>
  <c r="AB126" i="26"/>
  <c r="AI169" i="26"/>
  <c r="L214" i="25"/>
  <c r="N214" i="24"/>
  <c r="S214" i="26"/>
  <c r="V214" i="27"/>
  <c r="AK126" i="26"/>
  <c r="AJ83" i="26"/>
  <c r="W213" i="26"/>
  <c r="V213" i="26" s="1"/>
  <c r="X213" i="26"/>
  <c r="Y213" i="26"/>
  <c r="AG126" i="26"/>
  <c r="AK169" i="26"/>
  <c r="AA169" i="26"/>
  <c r="AB212" i="26"/>
  <c r="AH169" i="26"/>
  <c r="AA212" i="26"/>
  <c r="AD126" i="26"/>
  <c r="AF126" i="26"/>
  <c r="AM212" i="26"/>
  <c r="AI212" i="26"/>
  <c r="AE169" i="26"/>
  <c r="AF212" i="26"/>
  <c r="AG169" i="26"/>
  <c r="AJ212" i="26"/>
  <c r="X84" i="26"/>
  <c r="Y84" i="26"/>
  <c r="W84" i="26"/>
  <c r="V84" i="26" s="1"/>
  <c r="Y127" i="26"/>
  <c r="W127" i="26"/>
  <c r="V127" i="26" s="1"/>
  <c r="X127" i="26"/>
  <c r="AC169" i="26"/>
  <c r="AC126" i="26"/>
  <c r="AL212" i="26"/>
  <c r="AD169" i="26"/>
  <c r="AA126" i="26"/>
  <c r="AH126" i="26"/>
  <c r="AM126" i="26"/>
  <c r="AF169" i="26"/>
  <c r="AC212" i="26"/>
  <c r="AL126" i="26"/>
  <c r="AM169" i="26"/>
  <c r="AL83" i="26"/>
  <c r="AC83" i="26"/>
  <c r="AE126" i="26"/>
  <c r="L128" i="25"/>
  <c r="N128" i="24"/>
  <c r="S128" i="26"/>
  <c r="V128" i="27"/>
  <c r="AJ169" i="26"/>
  <c r="AG212" i="26"/>
  <c r="AB169" i="26"/>
  <c r="AD212" i="26"/>
  <c r="Z83" i="26"/>
  <c r="AI83" i="26"/>
  <c r="Z126" i="26"/>
  <c r="AK212" i="26"/>
  <c r="AE83" i="26"/>
  <c r="AA83" i="26"/>
  <c r="AL169" i="26"/>
  <c r="AG83" i="26"/>
  <c r="AE212" i="26"/>
  <c r="AJ126" i="26"/>
  <c r="AI126" i="26"/>
  <c r="X170" i="26"/>
  <c r="W170" i="26"/>
  <c r="V170" i="26" s="1"/>
  <c r="Y170" i="26"/>
  <c r="AD83" i="26"/>
  <c r="L85" i="25"/>
  <c r="N85" i="24"/>
  <c r="S85" i="26"/>
  <c r="V85" i="27"/>
  <c r="L171" i="25"/>
  <c r="N171" i="24"/>
  <c r="S171" i="26"/>
  <c r="V171" i="27"/>
  <c r="AF83" i="26"/>
  <c r="AM83" i="26"/>
  <c r="Z212" i="26"/>
  <c r="C86" i="15"/>
  <c r="C215" i="15"/>
  <c r="C172" i="15"/>
  <c r="C129" i="15"/>
  <c r="AC170" i="26" l="1"/>
  <c r="AF170" i="26"/>
  <c r="AM84" i="26"/>
  <c r="AL213" i="26"/>
  <c r="AH84" i="26"/>
  <c r="AE170" i="26"/>
  <c r="AB170" i="26"/>
  <c r="AD170" i="26"/>
  <c r="AL170" i="26"/>
  <c r="AG170" i="26"/>
  <c r="AH213" i="26"/>
  <c r="Z127" i="26"/>
  <c r="AE84" i="26"/>
  <c r="AA170" i="26"/>
  <c r="AJ213" i="26"/>
  <c r="AK170" i="26"/>
  <c r="AJ84" i="26"/>
  <c r="AG127" i="26"/>
  <c r="AK127" i="26"/>
  <c r="W128" i="26"/>
  <c r="V128" i="26" s="1"/>
  <c r="Y128" i="26"/>
  <c r="X128" i="26"/>
  <c r="Y171" i="26"/>
  <c r="X171" i="26"/>
  <c r="W171" i="26"/>
  <c r="V171" i="26" s="1"/>
  <c r="AD84" i="26"/>
  <c r="AD213" i="26"/>
  <c r="AL84" i="26"/>
  <c r="AE127" i="26"/>
  <c r="AC84" i="26"/>
  <c r="AI213" i="26"/>
  <c r="AF213" i="26"/>
  <c r="X214" i="26"/>
  <c r="Y214" i="26"/>
  <c r="W214" i="26"/>
  <c r="V214" i="26" s="1"/>
  <c r="AM213" i="26"/>
  <c r="AB213" i="26"/>
  <c r="AI84" i="26"/>
  <c r="AA127" i="26"/>
  <c r="Y85" i="26"/>
  <c r="W85" i="26"/>
  <c r="V85" i="26" s="1"/>
  <c r="X85" i="26"/>
  <c r="AL127" i="26"/>
  <c r="AD127" i="26"/>
  <c r="AA84" i="26"/>
  <c r="AC213" i="26"/>
  <c r="AM170" i="26"/>
  <c r="L129" i="25"/>
  <c r="N129" i="24"/>
  <c r="S129" i="26"/>
  <c r="V129" i="27"/>
  <c r="AI127" i="26"/>
  <c r="AB127" i="26"/>
  <c r="AB84" i="26"/>
  <c r="AA213" i="26"/>
  <c r="AI170" i="26"/>
  <c r="AK213" i="26"/>
  <c r="AF84" i="26"/>
  <c r="L172" i="25"/>
  <c r="N172" i="24"/>
  <c r="S172" i="26"/>
  <c r="V172" i="27"/>
  <c r="L215" i="25"/>
  <c r="N215" i="24"/>
  <c r="S215" i="26"/>
  <c r="V215" i="27"/>
  <c r="AJ127" i="26"/>
  <c r="AG213" i="26"/>
  <c r="AC127" i="26"/>
  <c r="Z84" i="26"/>
  <c r="AK84" i="26"/>
  <c r="AE213" i="26"/>
  <c r="Z170" i="26"/>
  <c r="AJ170" i="26"/>
  <c r="AF127" i="26"/>
  <c r="Z213" i="26"/>
  <c r="L86" i="25"/>
  <c r="N86" i="24"/>
  <c r="S86" i="26"/>
  <c r="V86" i="27"/>
  <c r="AM127" i="26"/>
  <c r="AG84" i="26"/>
  <c r="AH127" i="26"/>
  <c r="AH170" i="26"/>
  <c r="C173" i="15"/>
  <c r="C87" i="15"/>
  <c r="C130" i="15"/>
  <c r="C216" i="15"/>
  <c r="AE171" i="26" l="1"/>
  <c r="AJ171" i="26"/>
  <c r="AG171" i="26"/>
  <c r="AH171" i="26"/>
  <c r="AC171" i="26"/>
  <c r="AM85" i="26"/>
  <c r="AD171" i="26"/>
  <c r="AH214" i="26"/>
  <c r="AA128" i="26"/>
  <c r="AI171" i="26"/>
  <c r="Z128" i="26"/>
  <c r="AA171" i="26"/>
  <c r="AI85" i="26"/>
  <c r="AG85" i="26"/>
  <c r="AE85" i="26"/>
  <c r="AL128" i="26"/>
  <c r="AC85" i="26"/>
  <c r="AI128" i="26"/>
  <c r="AA85" i="26"/>
  <c r="AL85" i="26"/>
  <c r="AJ128" i="26"/>
  <c r="AF85" i="26"/>
  <c r="AD85" i="26"/>
  <c r="AB85" i="26"/>
  <c r="Z171" i="26"/>
  <c r="AC128" i="26"/>
  <c r="AB171" i="26"/>
  <c r="AI214" i="26"/>
  <c r="Z214" i="26"/>
  <c r="L130" i="25"/>
  <c r="N130" i="24"/>
  <c r="S130" i="26"/>
  <c r="V130" i="27"/>
  <c r="L87" i="25"/>
  <c r="N87" i="24"/>
  <c r="S87" i="26"/>
  <c r="V87" i="27"/>
  <c r="AM214" i="26"/>
  <c r="L173" i="25"/>
  <c r="N173" i="24"/>
  <c r="S173" i="26"/>
  <c r="V173" i="27"/>
  <c r="AL214" i="26"/>
  <c r="AJ214" i="26"/>
  <c r="AL171" i="26"/>
  <c r="X129" i="26"/>
  <c r="Y129" i="26"/>
  <c r="W129" i="26"/>
  <c r="V129" i="26" s="1"/>
  <c r="AA129" i="26" s="1"/>
  <c r="AA214" i="26"/>
  <c r="AK128" i="26"/>
  <c r="L216" i="25"/>
  <c r="N216" i="24"/>
  <c r="S216" i="26"/>
  <c r="V216" i="27"/>
  <c r="AE128" i="26"/>
  <c r="AG128" i="26"/>
  <c r="AD214" i="26"/>
  <c r="AK85" i="26"/>
  <c r="Z85" i="26"/>
  <c r="AC214" i="26"/>
  <c r="AF128" i="26"/>
  <c r="AJ85" i="26"/>
  <c r="AH128" i="26"/>
  <c r="AM128" i="26"/>
  <c r="AM171" i="26"/>
  <c r="AB214" i="26"/>
  <c r="AB128" i="26"/>
  <c r="AK171" i="26"/>
  <c r="W215" i="26"/>
  <c r="V215" i="26" s="1"/>
  <c r="Y215" i="26"/>
  <c r="X215" i="26"/>
  <c r="AF214" i="26"/>
  <c r="AF171" i="26"/>
  <c r="AH85" i="26"/>
  <c r="X172" i="26"/>
  <c r="W172" i="26"/>
  <c r="V172" i="26" s="1"/>
  <c r="Y172" i="26"/>
  <c r="AK214" i="26"/>
  <c r="AD128" i="26"/>
  <c r="W86" i="26"/>
  <c r="V86" i="26" s="1"/>
  <c r="Y86" i="26"/>
  <c r="X86" i="26"/>
  <c r="AG214" i="26"/>
  <c r="AE214" i="26"/>
  <c r="C88" i="15"/>
  <c r="C131" i="15"/>
  <c r="C174" i="15"/>
  <c r="C217" i="15"/>
  <c r="AG172" i="26" l="1"/>
  <c r="AH215" i="26"/>
  <c r="AM86" i="26"/>
  <c r="AC86" i="26"/>
  <c r="AE172" i="26"/>
  <c r="AA172" i="26"/>
  <c r="AC215" i="26"/>
  <c r="Z172" i="26"/>
  <c r="AD172" i="26"/>
  <c r="AC172" i="26"/>
  <c r="AD129" i="26"/>
  <c r="AL129" i="26"/>
  <c r="AF215" i="26"/>
  <c r="AL215" i="26"/>
  <c r="AG86" i="26"/>
  <c r="AE129" i="26"/>
  <c r="Z215" i="26"/>
  <c r="AD215" i="26"/>
  <c r="AB215" i="26"/>
  <c r="AH172" i="26"/>
  <c r="AC129" i="26"/>
  <c r="AI215" i="26"/>
  <c r="AA86" i="26"/>
  <c r="AF129" i="26"/>
  <c r="AJ172" i="26"/>
  <c r="AM172" i="26"/>
  <c r="AI172" i="26"/>
  <c r="AJ129" i="26"/>
  <c r="AM129" i="26"/>
  <c r="AG129" i="26"/>
  <c r="AG215" i="26"/>
  <c r="AK172" i="26"/>
  <c r="AF172" i="26"/>
  <c r="AH129" i="26"/>
  <c r="Z129" i="26"/>
  <c r="AJ215" i="26"/>
  <c r="AB172" i="26"/>
  <c r="AB129" i="26"/>
  <c r="AK215" i="26"/>
  <c r="AI129" i="26"/>
  <c r="Y130" i="26"/>
  <c r="X130" i="26"/>
  <c r="W130" i="26"/>
  <c r="V130" i="26" s="1"/>
  <c r="AE86" i="26"/>
  <c r="AM215" i="26"/>
  <c r="Y173" i="26"/>
  <c r="X173" i="26"/>
  <c r="W173" i="26"/>
  <c r="V173" i="26" s="1"/>
  <c r="AD86" i="26"/>
  <c r="AA215" i="26"/>
  <c r="AB86" i="26"/>
  <c r="AE215" i="26"/>
  <c r="W216" i="26"/>
  <c r="V216" i="26" s="1"/>
  <c r="X216" i="26"/>
  <c r="Y216" i="26"/>
  <c r="X87" i="26"/>
  <c r="W87" i="26"/>
  <c r="V87" i="26" s="1"/>
  <c r="Y87" i="26"/>
  <c r="AI86" i="26"/>
  <c r="AF86" i="26"/>
  <c r="AL86" i="26"/>
  <c r="AJ86" i="26"/>
  <c r="L217" i="25"/>
  <c r="N217" i="24"/>
  <c r="S217" i="26"/>
  <c r="V217" i="27"/>
  <c r="L174" i="25"/>
  <c r="N174" i="24"/>
  <c r="S174" i="26"/>
  <c r="V174" i="27"/>
  <c r="Z86" i="26"/>
  <c r="L131" i="25"/>
  <c r="N131" i="24"/>
  <c r="S131" i="26"/>
  <c r="V131" i="27"/>
  <c r="L88" i="25"/>
  <c r="N88" i="24"/>
  <c r="S88" i="26"/>
  <c r="V88" i="27"/>
  <c r="AH86" i="26"/>
  <c r="AK86" i="26"/>
  <c r="AK129" i="26"/>
  <c r="AL172" i="26"/>
  <c r="C175" i="15"/>
  <c r="C89" i="15"/>
  <c r="C218" i="15"/>
  <c r="C132" i="15"/>
  <c r="AD130" i="26" l="1"/>
  <c r="AB130" i="26"/>
  <c r="AF130" i="26"/>
  <c r="AA130" i="26"/>
  <c r="AB173" i="26"/>
  <c r="AE216" i="26"/>
  <c r="AI173" i="26"/>
  <c r="Z173" i="26"/>
  <c r="AA87" i="26"/>
  <c r="AB87" i="26"/>
  <c r="AF87" i="26"/>
  <c r="AD87" i="26"/>
  <c r="AL173" i="26"/>
  <c r="AA173" i="26"/>
  <c r="AE173" i="26"/>
  <c r="AJ130" i="26"/>
  <c r="AB216" i="26"/>
  <c r="AC216" i="26"/>
  <c r="AM216" i="26"/>
  <c r="AC173" i="26"/>
  <c r="AE87" i="26"/>
  <c r="AC87" i="26"/>
  <c r="AF173" i="26"/>
  <c r="AM173" i="26"/>
  <c r="Z130" i="26"/>
  <c r="AJ173" i="26"/>
  <c r="AD173" i="26"/>
  <c r="AK173" i="26"/>
  <c r="L89" i="25"/>
  <c r="N89" i="24"/>
  <c r="S89" i="26"/>
  <c r="V89" i="27"/>
  <c r="AI216" i="26"/>
  <c r="L132" i="25"/>
  <c r="N132" i="24"/>
  <c r="S132" i="26"/>
  <c r="V132" i="27"/>
  <c r="Y131" i="26"/>
  <c r="W131" i="26"/>
  <c r="V131" i="26" s="1"/>
  <c r="X131" i="26"/>
  <c r="AL87" i="26"/>
  <c r="AH130" i="26"/>
  <c r="Z216" i="26"/>
  <c r="AJ216" i="26"/>
  <c r="L218" i="25"/>
  <c r="N218" i="24"/>
  <c r="S218" i="26"/>
  <c r="V218" i="27"/>
  <c r="AG87" i="26"/>
  <c r="AG216" i="26"/>
  <c r="AM87" i="26"/>
  <c r="Y217" i="26"/>
  <c r="W217" i="26"/>
  <c r="V217" i="26" s="1"/>
  <c r="X217" i="26"/>
  <c r="L175" i="25"/>
  <c r="N175" i="24"/>
  <c r="S175" i="26"/>
  <c r="V175" i="27"/>
  <c r="AJ87" i="26"/>
  <c r="AM130" i="26"/>
  <c r="AK87" i="26"/>
  <c r="Z87" i="26"/>
  <c r="AG130" i="26"/>
  <c r="AA216" i="26"/>
  <c r="AK216" i="26"/>
  <c r="AL216" i="26"/>
  <c r="AH216" i="26"/>
  <c r="AK130" i="26"/>
  <c r="AL130" i="26"/>
  <c r="AF216" i="26"/>
  <c r="AH173" i="26"/>
  <c r="AD216" i="26"/>
  <c r="AE130" i="26"/>
  <c r="AG173" i="26"/>
  <c r="AH87" i="26"/>
  <c r="AI87" i="26"/>
  <c r="W88" i="26"/>
  <c r="V88" i="26" s="1"/>
  <c r="Y88" i="26"/>
  <c r="X88" i="26"/>
  <c r="W174" i="26"/>
  <c r="V174" i="26" s="1"/>
  <c r="X174" i="26"/>
  <c r="Y174" i="26"/>
  <c r="AI130" i="26"/>
  <c r="AC130" i="26"/>
  <c r="C133" i="15"/>
  <c r="C176" i="15"/>
  <c r="C219" i="15"/>
  <c r="C90" i="15"/>
  <c r="Z131" i="26" l="1"/>
  <c r="AB88" i="26"/>
  <c r="Z174" i="26"/>
  <c r="AF131" i="26"/>
  <c r="AH174" i="26"/>
  <c r="AJ88" i="26"/>
  <c r="AM131" i="26"/>
  <c r="AF174" i="26"/>
  <c r="AK131" i="26"/>
  <c r="Z217" i="26"/>
  <c r="AE217" i="26"/>
  <c r="AA88" i="26"/>
  <c r="AE131" i="26"/>
  <c r="AL131" i="26"/>
  <c r="AC131" i="26"/>
  <c r="AI131" i="26"/>
  <c r="AG131" i="26"/>
  <c r="AA131" i="26"/>
  <c r="AI174" i="26"/>
  <c r="AD131" i="26"/>
  <c r="AH131" i="26"/>
  <c r="AD174" i="26"/>
  <c r="AB174" i="26"/>
  <c r="AB131" i="26"/>
  <c r="AM88" i="26"/>
  <c r="AI217" i="26"/>
  <c r="AL217" i="26"/>
  <c r="AL88" i="26"/>
  <c r="AI88" i="26"/>
  <c r="W89" i="26"/>
  <c r="V89" i="26" s="1"/>
  <c r="X89" i="26"/>
  <c r="Y89" i="26"/>
  <c r="AL174" i="26"/>
  <c r="AM174" i="26"/>
  <c r="AF217" i="26"/>
  <c r="AA217" i="26"/>
  <c r="L90" i="25"/>
  <c r="N90" i="24"/>
  <c r="S90" i="26"/>
  <c r="V90" i="27"/>
  <c r="AG88" i="26"/>
  <c r="AH88" i="26"/>
  <c r="L133" i="25"/>
  <c r="N133" i="24"/>
  <c r="S133" i="26"/>
  <c r="V133" i="27"/>
  <c r="AC217" i="26"/>
  <c r="Y218" i="26"/>
  <c r="W218" i="26"/>
  <c r="V218" i="26" s="1"/>
  <c r="X218" i="26"/>
  <c r="X175" i="26"/>
  <c r="Y175" i="26"/>
  <c r="W175" i="26"/>
  <c r="V175" i="26" s="1"/>
  <c r="AK174" i="26"/>
  <c r="AJ174" i="26"/>
  <c r="AM217" i="26"/>
  <c r="AC174" i="26"/>
  <c r="AC88" i="26"/>
  <c r="AG174" i="26"/>
  <c r="Z88" i="26"/>
  <c r="AD217" i="26"/>
  <c r="AJ131" i="26"/>
  <c r="W132" i="26"/>
  <c r="V132" i="26" s="1"/>
  <c r="X132" i="26"/>
  <c r="Y132" i="26"/>
  <c r="AG217" i="26"/>
  <c r="L219" i="25"/>
  <c r="N219" i="24"/>
  <c r="S219" i="26"/>
  <c r="V219" i="27"/>
  <c r="AB217" i="26"/>
  <c r="AD88" i="26"/>
  <c r="AE88" i="26"/>
  <c r="AA174" i="26"/>
  <c r="AF88" i="26"/>
  <c r="AK88" i="26"/>
  <c r="AH217" i="26"/>
  <c r="L176" i="25"/>
  <c r="N176" i="24"/>
  <c r="S176" i="26"/>
  <c r="V176" i="27"/>
  <c r="AK217" i="26"/>
  <c r="AE174" i="26"/>
  <c r="AJ217" i="26"/>
  <c r="C91" i="15"/>
  <c r="C134" i="15"/>
  <c r="C220" i="15"/>
  <c r="C177" i="15"/>
  <c r="AB132" i="26" l="1"/>
  <c r="AM132" i="26"/>
  <c r="AC89" i="26"/>
  <c r="AI175" i="26"/>
  <c r="AE175" i="26"/>
  <c r="AB89" i="26"/>
  <c r="AD132" i="26"/>
  <c r="AH132" i="26"/>
  <c r="AF218" i="26"/>
  <c r="AE132" i="26"/>
  <c r="AG132" i="26"/>
  <c r="AA132" i="26"/>
  <c r="AI132" i="26"/>
  <c r="AF132" i="26"/>
  <c r="AJ218" i="26"/>
  <c r="Z132" i="26"/>
  <c r="AJ175" i="26"/>
  <c r="AI89" i="26"/>
  <c r="AA218" i="26"/>
  <c r="Y133" i="26"/>
  <c r="W133" i="26"/>
  <c r="V133" i="26" s="1"/>
  <c r="X133" i="26"/>
  <c r="AD133" i="26"/>
  <c r="AL175" i="26"/>
  <c r="AL89" i="26"/>
  <c r="W219" i="26"/>
  <c r="V219" i="26" s="1"/>
  <c r="X219" i="26"/>
  <c r="Y219" i="26"/>
  <c r="AL218" i="26"/>
  <c r="AK218" i="26"/>
  <c r="AD218" i="26"/>
  <c r="AF175" i="26"/>
  <c r="AC218" i="26"/>
  <c r="AD89" i="26"/>
  <c r="AI218" i="26"/>
  <c r="AI219" i="26" s="1"/>
  <c r="AB218" i="26"/>
  <c r="AL132" i="26"/>
  <c r="AH218" i="26"/>
  <c r="AJ132" i="26"/>
  <c r="AD175" i="26"/>
  <c r="AE218" i="26"/>
  <c r="AH89" i="26"/>
  <c r="AE89" i="26"/>
  <c r="Z175" i="26"/>
  <c r="AK175" i="26"/>
  <c r="L177" i="25"/>
  <c r="N177" i="24"/>
  <c r="S177" i="26"/>
  <c r="V177" i="27"/>
  <c r="L220" i="25"/>
  <c r="N220" i="24"/>
  <c r="S220" i="26"/>
  <c r="V220" i="27"/>
  <c r="AG218" i="26"/>
  <c r="AC175" i="26"/>
  <c r="Z218" i="26"/>
  <c r="AG89" i="26"/>
  <c r="AF89" i="26"/>
  <c r="AJ89" i="26"/>
  <c r="AA175" i="26"/>
  <c r="AK132" i="26"/>
  <c r="L134" i="25"/>
  <c r="N134" i="24"/>
  <c r="S134" i="26"/>
  <c r="V134" i="27"/>
  <c r="AH175" i="26"/>
  <c r="AC132" i="26"/>
  <c r="Z89" i="26"/>
  <c r="AB175" i="26"/>
  <c r="AA89" i="26"/>
  <c r="AM89" i="26"/>
  <c r="AM218" i="26"/>
  <c r="AM175" i="26"/>
  <c r="W176" i="26"/>
  <c r="V176" i="26" s="1"/>
  <c r="Y176" i="26"/>
  <c r="X176" i="26"/>
  <c r="L91" i="25"/>
  <c r="N91" i="24"/>
  <c r="S91" i="26"/>
  <c r="V91" i="27"/>
  <c r="AK89" i="26"/>
  <c r="AG175" i="26"/>
  <c r="X90" i="26"/>
  <c r="Y90" i="26"/>
  <c r="W90" i="26"/>
  <c r="V90" i="26" s="1"/>
  <c r="C178" i="15"/>
  <c r="C221" i="15"/>
  <c r="C92" i="15"/>
  <c r="C135" i="15"/>
  <c r="AG176" i="26" l="1"/>
  <c r="AA133" i="26"/>
  <c r="AB176" i="26"/>
  <c r="AK176" i="26"/>
  <c r="Z176" i="26"/>
  <c r="AF176" i="26"/>
  <c r="AB90" i="26"/>
  <c r="AC176" i="26"/>
  <c r="AE176" i="26"/>
  <c r="AJ90" i="26"/>
  <c r="AH176" i="26"/>
  <c r="AD176" i="26"/>
  <c r="AF219" i="26"/>
  <c r="Z133" i="26"/>
  <c r="AB219" i="26"/>
  <c r="AC133" i="26"/>
  <c r="AE219" i="26"/>
  <c r="AI176" i="26"/>
  <c r="Z219" i="26"/>
  <c r="AF90" i="26"/>
  <c r="Z90" i="26"/>
  <c r="AG90" i="26"/>
  <c r="L221" i="25"/>
  <c r="N221" i="24"/>
  <c r="S221" i="26"/>
  <c r="V221" i="27"/>
  <c r="AK219" i="26"/>
  <c r="L92" i="25"/>
  <c r="N92" i="24"/>
  <c r="S92" i="26"/>
  <c r="V92" i="27"/>
  <c r="AL90" i="26"/>
  <c r="Y134" i="26"/>
  <c r="X134" i="26"/>
  <c r="W134" i="26"/>
  <c r="V134" i="26" s="1"/>
  <c r="AD134" i="26" s="1"/>
  <c r="X220" i="26"/>
  <c r="W220" i="26"/>
  <c r="V220" i="26" s="1"/>
  <c r="Y220" i="26"/>
  <c r="AL219" i="26"/>
  <c r="AL176" i="26"/>
  <c r="AI133" i="26"/>
  <c r="AK90" i="26"/>
  <c r="AE90" i="26"/>
  <c r="AK133" i="26"/>
  <c r="AJ133" i="26"/>
  <c r="AC219" i="26"/>
  <c r="AF133" i="26"/>
  <c r="AI90" i="26"/>
  <c r="L135" i="25"/>
  <c r="N135" i="24"/>
  <c r="S135" i="26"/>
  <c r="V135" i="27"/>
  <c r="L178" i="25"/>
  <c r="N178" i="24"/>
  <c r="S178" i="26"/>
  <c r="V178" i="27"/>
  <c r="AD90" i="26"/>
  <c r="AA90" i="26"/>
  <c r="AH219" i="26"/>
  <c r="AA219" i="26"/>
  <c r="AE133" i="26"/>
  <c r="AJ176" i="26"/>
  <c r="AH90" i="26"/>
  <c r="AM176" i="26"/>
  <c r="AM219" i="26"/>
  <c r="AM90" i="26"/>
  <c r="AG133" i="26"/>
  <c r="AL133" i="26"/>
  <c r="AD219" i="26"/>
  <c r="AB133" i="26"/>
  <c r="AH133" i="26"/>
  <c r="AG219" i="26"/>
  <c r="AJ219" i="26"/>
  <c r="Y91" i="26"/>
  <c r="X91" i="26"/>
  <c r="W91" i="26"/>
  <c r="V91" i="26" s="1"/>
  <c r="AC90" i="26"/>
  <c r="AA176" i="26"/>
  <c r="AM133" i="26"/>
  <c r="X177" i="26"/>
  <c r="Y177" i="26"/>
  <c r="W177" i="26"/>
  <c r="V177" i="26" s="1"/>
  <c r="C222" i="15"/>
  <c r="C136" i="15"/>
  <c r="C179" i="15"/>
  <c r="AC91" i="26" l="1"/>
  <c r="AE91" i="26"/>
  <c r="AA177" i="26"/>
  <c r="AM91" i="26"/>
  <c r="AF177" i="26"/>
  <c r="AJ91" i="26"/>
  <c r="AC134" i="26"/>
  <c r="AD220" i="26"/>
  <c r="AJ134" i="26"/>
  <c r="Z91" i="26"/>
  <c r="AC177" i="26"/>
  <c r="AB91" i="26"/>
  <c r="AI177" i="26"/>
  <c r="AD177" i="26"/>
  <c r="AA134" i="26"/>
  <c r="AB220" i="26"/>
  <c r="AF220" i="26"/>
  <c r="AC220" i="26"/>
  <c r="Z177" i="26"/>
  <c r="AA220" i="26"/>
  <c r="AI91" i="26"/>
  <c r="AF91" i="26"/>
  <c r="AH134" i="26"/>
  <c r="AH220" i="26"/>
  <c r="AE220" i="26"/>
  <c r="AD91" i="26"/>
  <c r="AB134" i="26"/>
  <c r="AA91" i="26"/>
  <c r="AI220" i="26"/>
  <c r="AK220" i="26"/>
  <c r="Y221" i="26"/>
  <c r="W221" i="26"/>
  <c r="V221" i="26" s="1"/>
  <c r="X221" i="26"/>
  <c r="AG134" i="26"/>
  <c r="AK134" i="26"/>
  <c r="AK177" i="26"/>
  <c r="AG177" i="26"/>
  <c r="AG91" i="26"/>
  <c r="Y178" i="26"/>
  <c r="X178" i="26"/>
  <c r="W178" i="26"/>
  <c r="V178" i="26" s="1"/>
  <c r="AK91" i="26"/>
  <c r="AL91" i="26"/>
  <c r="Z134" i="26"/>
  <c r="AM220" i="26"/>
  <c r="AM177" i="26"/>
  <c r="Z220" i="26"/>
  <c r="L179" i="25"/>
  <c r="N179" i="24"/>
  <c r="S179" i="26"/>
  <c r="V179" i="27"/>
  <c r="AM134" i="26"/>
  <c r="AH91" i="26"/>
  <c r="AI134" i="26"/>
  <c r="AF134" i="26"/>
  <c r="W92" i="26"/>
  <c r="V92" i="26" s="1"/>
  <c r="X92" i="26"/>
  <c r="Y92" i="26"/>
  <c r="AE177" i="26"/>
  <c r="Y135" i="26"/>
  <c r="W135" i="26"/>
  <c r="V135" i="26" s="1"/>
  <c r="X135" i="26"/>
  <c r="AL177" i="26"/>
  <c r="AE134" i="26"/>
  <c r="AL134" i="26"/>
  <c r="AB177" i="26"/>
  <c r="L136" i="25"/>
  <c r="N136" i="24"/>
  <c r="S136" i="26"/>
  <c r="V136" i="27"/>
  <c r="AJ220" i="26"/>
  <c r="AH177" i="26"/>
  <c r="L222" i="25"/>
  <c r="N222" i="24"/>
  <c r="S222" i="26"/>
  <c r="V222" i="27"/>
  <c r="AG220" i="26"/>
  <c r="AJ177" i="26"/>
  <c r="AL220" i="26"/>
  <c r="C180" i="15"/>
  <c r="C223" i="15"/>
  <c r="AC135" i="26" l="1"/>
  <c r="AI178" i="26"/>
  <c r="Z92" i="26"/>
  <c r="Z93" i="26" s="1"/>
  <c r="Z94" i="26" s="1"/>
  <c r="Z95" i="26" s="1"/>
  <c r="AD221" i="26"/>
  <c r="AL221" i="26"/>
  <c r="AB221" i="26"/>
  <c r="AC221" i="26"/>
  <c r="AE221" i="26"/>
  <c r="AJ135" i="26"/>
  <c r="AF135" i="26"/>
  <c r="Z135" i="26"/>
  <c r="AI135" i="26"/>
  <c r="AK92" i="26"/>
  <c r="AK93" i="26" s="1"/>
  <c r="AK94" i="26" s="1"/>
  <c r="AK95" i="26" s="1"/>
  <c r="AI92" i="26"/>
  <c r="AI93" i="26" s="1"/>
  <c r="AI94" i="26" s="1"/>
  <c r="AI95" i="26" s="1"/>
  <c r="AL92" i="26"/>
  <c r="AL93" i="26" s="1"/>
  <c r="AL94" i="26" s="1"/>
  <c r="AL95" i="26" s="1"/>
  <c r="AD92" i="26"/>
  <c r="AD93" i="26" s="1"/>
  <c r="AD94" i="26" s="1"/>
  <c r="AD95" i="26" s="1"/>
  <c r="AM135" i="26"/>
  <c r="AC92" i="26"/>
  <c r="AC93" i="26" s="1"/>
  <c r="AC94" i="26" s="1"/>
  <c r="AC95" i="26" s="1"/>
  <c r="AB135" i="26"/>
  <c r="AD178" i="26"/>
  <c r="AF221" i="26"/>
  <c r="AH178" i="26"/>
  <c r="AE135" i="26"/>
  <c r="AA92" i="26"/>
  <c r="AA93" i="26" s="1"/>
  <c r="AA94" i="26" s="1"/>
  <c r="AA95" i="26" s="1"/>
  <c r="AG92" i="26"/>
  <c r="AG93" i="26" s="1"/>
  <c r="AG94" i="26" s="1"/>
  <c r="AG95" i="26" s="1"/>
  <c r="AH92" i="26"/>
  <c r="AH93" i="26" s="1"/>
  <c r="AH94" i="26" s="1"/>
  <c r="AH95" i="26" s="1"/>
  <c r="AD135" i="26"/>
  <c r="AF92" i="26"/>
  <c r="AF93" i="26" s="1"/>
  <c r="AF94" i="26" s="1"/>
  <c r="AF95" i="26" s="1"/>
  <c r="AJ221" i="26"/>
  <c r="AA135" i="26"/>
  <c r="AE92" i="26"/>
  <c r="AE93" i="26" s="1"/>
  <c r="AE94" i="26" s="1"/>
  <c r="AE95" i="26" s="1"/>
  <c r="AB92" i="26"/>
  <c r="AB93" i="26" s="1"/>
  <c r="AB94" i="26" s="1"/>
  <c r="AB95" i="26" s="1"/>
  <c r="AM92" i="26"/>
  <c r="AM93" i="26" s="1"/>
  <c r="AM94" i="26" s="1"/>
  <c r="AM95" i="26" s="1"/>
  <c r="AG178" i="26"/>
  <c r="AF178" i="26"/>
  <c r="AH135" i="26"/>
  <c r="L223" i="25"/>
  <c r="N223" i="24"/>
  <c r="S223" i="26"/>
  <c r="V223" i="27"/>
  <c r="AK178" i="26"/>
  <c r="AK135" i="26"/>
  <c r="L180" i="25"/>
  <c r="N180" i="24"/>
  <c r="S180" i="26"/>
  <c r="V180" i="27"/>
  <c r="AE178" i="26"/>
  <c r="AG135" i="26"/>
  <c r="AC178" i="26"/>
  <c r="AG221" i="26"/>
  <c r="Z221" i="26"/>
  <c r="AA178" i="26"/>
  <c r="Z178" i="26"/>
  <c r="AK221" i="26"/>
  <c r="AJ178" i="26"/>
  <c r="AL135" i="26"/>
  <c r="AM178" i="26"/>
  <c r="AB178" i="26"/>
  <c r="AH221" i="26"/>
  <c r="AJ92" i="26"/>
  <c r="AJ93" i="26" s="1"/>
  <c r="AJ94" i="26" s="1"/>
  <c r="AJ95" i="26" s="1"/>
  <c r="Y179" i="26"/>
  <c r="W179" i="26"/>
  <c r="V179" i="26" s="1"/>
  <c r="X179" i="26"/>
  <c r="W222" i="26"/>
  <c r="V222" i="26" s="1"/>
  <c r="X222" i="26"/>
  <c r="Y222" i="26"/>
  <c r="AM221" i="26"/>
  <c r="AA221" i="26"/>
  <c r="AI221" i="26"/>
  <c r="X136" i="26"/>
  <c r="Y136" i="26"/>
  <c r="W136" i="26"/>
  <c r="V136" i="26" s="1"/>
  <c r="AL178" i="26"/>
  <c r="C224" i="15"/>
  <c r="AF136" i="26" l="1"/>
  <c r="AF137" i="26" s="1"/>
  <c r="AF138" i="26" s="1"/>
  <c r="AF139" i="26" s="1"/>
  <c r="AD222" i="26"/>
  <c r="AL179" i="26"/>
  <c r="AK179" i="26"/>
  <c r="AE222" i="26"/>
  <c r="AA136" i="26"/>
  <c r="AA137" i="26" s="1"/>
  <c r="AA138" i="26" s="1"/>
  <c r="AA139" i="26" s="1"/>
  <c r="AJ222" i="26"/>
  <c r="Z222" i="26"/>
  <c r="AA179" i="26"/>
  <c r="AG222" i="26"/>
  <c r="AI179" i="26"/>
  <c r="AL222" i="26"/>
  <c r="AH136" i="26"/>
  <c r="AH137" i="26" s="1"/>
  <c r="AH138" i="26" s="1"/>
  <c r="AH139" i="26" s="1"/>
  <c r="AH222" i="26"/>
  <c r="AM136" i="26"/>
  <c r="AM137" i="26" s="1"/>
  <c r="AM138" i="26" s="1"/>
  <c r="AM139" i="26" s="1"/>
  <c r="W223" i="26"/>
  <c r="V223" i="26" s="1"/>
  <c r="Y223" i="26"/>
  <c r="X223" i="26"/>
  <c r="AI222" i="26"/>
  <c r="AG136" i="26"/>
  <c r="AG137" i="26" s="1"/>
  <c r="AG138" i="26" s="1"/>
  <c r="AG139" i="26" s="1"/>
  <c r="AD179" i="26"/>
  <c r="AL136" i="26"/>
  <c r="AL137" i="26" s="1"/>
  <c r="AL138" i="26" s="1"/>
  <c r="AL139" i="26" s="1"/>
  <c r="AI136" i="26"/>
  <c r="AI137" i="26" s="1"/>
  <c r="AI138" i="26" s="1"/>
  <c r="AI139" i="26" s="1"/>
  <c r="AM179" i="26"/>
  <c r="AC222" i="26"/>
  <c r="AC179" i="26"/>
  <c r="X180" i="26"/>
  <c r="W180" i="26"/>
  <c r="V180" i="26" s="1"/>
  <c r="Y180" i="26"/>
  <c r="AG179" i="26"/>
  <c r="Z136" i="26"/>
  <c r="Z137" i="26" s="1"/>
  <c r="Z138" i="26" s="1"/>
  <c r="Z139" i="26" s="1"/>
  <c r="AF179" i="26"/>
  <c r="AM222" i="26"/>
  <c r="AC136" i="26"/>
  <c r="AC137" i="26" s="1"/>
  <c r="AC138" i="26" s="1"/>
  <c r="AC139" i="26" s="1"/>
  <c r="AE179" i="26"/>
  <c r="AB136" i="26"/>
  <c r="AB137" i="26" s="1"/>
  <c r="AB138" i="26" s="1"/>
  <c r="AB139" i="26" s="1"/>
  <c r="AF222" i="26"/>
  <c r="AB179" i="26"/>
  <c r="AK222" i="26"/>
  <c r="AH179" i="26"/>
  <c r="AJ179" i="26"/>
  <c r="AA222" i="26"/>
  <c r="AE136" i="26"/>
  <c r="AE137" i="26" s="1"/>
  <c r="AE138" i="26" s="1"/>
  <c r="AE139" i="26" s="1"/>
  <c r="AB222" i="26"/>
  <c r="Z179" i="26"/>
  <c r="AJ136" i="26"/>
  <c r="AJ137" i="26" s="1"/>
  <c r="AJ138" i="26" s="1"/>
  <c r="AJ139" i="26" s="1"/>
  <c r="AD136" i="26"/>
  <c r="AD137" i="26" s="1"/>
  <c r="AD138" i="26" s="1"/>
  <c r="AD139" i="26" s="1"/>
  <c r="L224" i="25"/>
  <c r="N224" i="24"/>
  <c r="S224" i="26"/>
  <c r="V224" i="27"/>
  <c r="AK136" i="26"/>
  <c r="AK137" i="26" s="1"/>
  <c r="AK138" i="26" s="1"/>
  <c r="AK139" i="26" s="1"/>
  <c r="AA71" i="1"/>
  <c r="AB71" i="1"/>
  <c r="AC71" i="1"/>
  <c r="AD71" i="1"/>
  <c r="AE71" i="1"/>
  <c r="AH71" i="1"/>
  <c r="AI71" i="1"/>
  <c r="AJ71" i="1"/>
  <c r="AK71" i="1"/>
  <c r="AL71" i="1"/>
  <c r="AA72" i="1"/>
  <c r="AB72" i="1"/>
  <c r="AC72" i="1"/>
  <c r="AD72" i="1"/>
  <c r="AE72" i="1"/>
  <c r="AH72" i="1"/>
  <c r="AI72" i="1"/>
  <c r="AJ72" i="1"/>
  <c r="AK72" i="1"/>
  <c r="AL72" i="1"/>
  <c r="AA73" i="1"/>
  <c r="AB73" i="1"/>
  <c r="AC73" i="1"/>
  <c r="AD73" i="1"/>
  <c r="AE73" i="1"/>
  <c r="AH73" i="1"/>
  <c r="AI73" i="1"/>
  <c r="AJ73" i="1"/>
  <c r="AK73" i="1"/>
  <c r="AL73" i="1"/>
  <c r="AA74" i="1"/>
  <c r="AB74" i="1"/>
  <c r="AC74" i="1"/>
  <c r="AD74" i="1"/>
  <c r="AE74" i="1"/>
  <c r="AH74" i="1"/>
  <c r="AI74" i="1"/>
  <c r="AJ74" i="1"/>
  <c r="AK74" i="1"/>
  <c r="AL74" i="1"/>
  <c r="AA75" i="1"/>
  <c r="AB75" i="1"/>
  <c r="AC75" i="1"/>
  <c r="AD75" i="1"/>
  <c r="AE75" i="1"/>
  <c r="AH75" i="1"/>
  <c r="AI75" i="1"/>
  <c r="AJ75" i="1"/>
  <c r="AK75" i="1"/>
  <c r="AL75" i="1"/>
  <c r="AA76" i="1"/>
  <c r="AB76" i="1"/>
  <c r="AC76" i="1"/>
  <c r="AD76" i="1"/>
  <c r="AE76" i="1"/>
  <c r="AH76" i="1"/>
  <c r="AI76" i="1"/>
  <c r="AJ76" i="1"/>
  <c r="AK76" i="1"/>
  <c r="AL76" i="1"/>
  <c r="AA77" i="1"/>
  <c r="AB77" i="1"/>
  <c r="AC77" i="1"/>
  <c r="AD77" i="1"/>
  <c r="AE77" i="1"/>
  <c r="AH77" i="1"/>
  <c r="AI77" i="1"/>
  <c r="AJ77" i="1"/>
  <c r="AK77" i="1"/>
  <c r="AL77" i="1"/>
  <c r="AA78" i="1"/>
  <c r="AB78" i="1"/>
  <c r="AC78" i="1"/>
  <c r="AD78" i="1"/>
  <c r="AE78" i="1"/>
  <c r="AH78" i="1"/>
  <c r="AI78" i="1"/>
  <c r="AJ78" i="1"/>
  <c r="AK78" i="1"/>
  <c r="AL78" i="1"/>
  <c r="AA79" i="1"/>
  <c r="AB79" i="1"/>
  <c r="AC79" i="1"/>
  <c r="AD79" i="1"/>
  <c r="AE79" i="1"/>
  <c r="AH79" i="1"/>
  <c r="AI79" i="1"/>
  <c r="AJ79" i="1"/>
  <c r="AK79" i="1"/>
  <c r="AL79" i="1"/>
  <c r="AA80" i="1"/>
  <c r="AB80" i="1"/>
  <c r="AC80" i="1"/>
  <c r="AD80" i="1"/>
  <c r="AE80" i="1"/>
  <c r="AH80" i="1"/>
  <c r="AI80" i="1"/>
  <c r="AJ80" i="1"/>
  <c r="AK80" i="1"/>
  <c r="AL80" i="1"/>
  <c r="AA81" i="1"/>
  <c r="AB81" i="1"/>
  <c r="AC81" i="1"/>
  <c r="AD81" i="1"/>
  <c r="AE81" i="1"/>
  <c r="AH81" i="1"/>
  <c r="AI81" i="1"/>
  <c r="AJ81" i="1"/>
  <c r="AK81" i="1"/>
  <c r="AL81" i="1"/>
  <c r="AA82" i="1"/>
  <c r="AB82" i="1"/>
  <c r="AC82" i="1"/>
  <c r="AD82" i="1"/>
  <c r="AE82" i="1"/>
  <c r="AH82" i="1"/>
  <c r="AI82" i="1"/>
  <c r="AJ82" i="1"/>
  <c r="AK82" i="1"/>
  <c r="AL82" i="1"/>
  <c r="AA83" i="1"/>
  <c r="AB83" i="1"/>
  <c r="AC83" i="1"/>
  <c r="AD83" i="1"/>
  <c r="AE83" i="1"/>
  <c r="AH83" i="1"/>
  <c r="AI83" i="1"/>
  <c r="AJ83" i="1"/>
  <c r="AK83" i="1"/>
  <c r="AL83" i="1"/>
  <c r="AA54" i="1"/>
  <c r="AB54" i="1"/>
  <c r="AC54" i="1"/>
  <c r="AD54" i="1"/>
  <c r="AE54" i="1"/>
  <c r="AH54" i="1"/>
  <c r="AI54" i="1"/>
  <c r="AJ54" i="1"/>
  <c r="AK54" i="1"/>
  <c r="AL54" i="1"/>
  <c r="AA55" i="1"/>
  <c r="AB55" i="1"/>
  <c r="AC55" i="1"/>
  <c r="AD55" i="1"/>
  <c r="AE55" i="1"/>
  <c r="AH55" i="1"/>
  <c r="AI55" i="1"/>
  <c r="AJ55" i="1"/>
  <c r="AK55" i="1"/>
  <c r="AL55" i="1"/>
  <c r="AA56" i="1"/>
  <c r="AB56" i="1"/>
  <c r="AC56" i="1"/>
  <c r="AD56" i="1"/>
  <c r="AE56" i="1"/>
  <c r="AH56" i="1"/>
  <c r="AI56" i="1"/>
  <c r="AJ56" i="1"/>
  <c r="AK56" i="1"/>
  <c r="AL56" i="1"/>
  <c r="AA57" i="1"/>
  <c r="AB57" i="1"/>
  <c r="AC57" i="1"/>
  <c r="AD57" i="1"/>
  <c r="AE57" i="1"/>
  <c r="AH57" i="1"/>
  <c r="AI57" i="1"/>
  <c r="AJ57" i="1"/>
  <c r="AK57" i="1"/>
  <c r="AL57" i="1"/>
  <c r="AA58" i="1"/>
  <c r="AB58" i="1"/>
  <c r="AC58" i="1"/>
  <c r="AD58" i="1"/>
  <c r="AE58" i="1"/>
  <c r="AH58" i="1"/>
  <c r="AI58" i="1"/>
  <c r="AJ58" i="1"/>
  <c r="AK58" i="1"/>
  <c r="AL58" i="1"/>
  <c r="AA59" i="1"/>
  <c r="AB59" i="1"/>
  <c r="AC59" i="1"/>
  <c r="AD59" i="1"/>
  <c r="AE59" i="1"/>
  <c r="AH59" i="1"/>
  <c r="AI59" i="1"/>
  <c r="AJ59" i="1"/>
  <c r="AK59" i="1"/>
  <c r="AL59" i="1"/>
  <c r="AA60" i="1"/>
  <c r="AB60" i="1"/>
  <c r="AC60" i="1"/>
  <c r="AD60" i="1"/>
  <c r="AE60" i="1"/>
  <c r="AH60" i="1"/>
  <c r="AI60" i="1"/>
  <c r="AJ60" i="1"/>
  <c r="AK60" i="1"/>
  <c r="AL60" i="1"/>
  <c r="AA61" i="1"/>
  <c r="AB61" i="1"/>
  <c r="AC61" i="1"/>
  <c r="AD61" i="1"/>
  <c r="AE61" i="1"/>
  <c r="AH61" i="1"/>
  <c r="AI61" i="1"/>
  <c r="AJ61" i="1"/>
  <c r="AK61" i="1"/>
  <c r="AL61" i="1"/>
  <c r="AA62" i="1"/>
  <c r="AB62" i="1"/>
  <c r="AC62" i="1"/>
  <c r="AD62" i="1"/>
  <c r="AE62" i="1"/>
  <c r="AH62" i="1"/>
  <c r="AI62" i="1"/>
  <c r="AJ62" i="1"/>
  <c r="AK62" i="1"/>
  <c r="AL62" i="1"/>
  <c r="AA63" i="1"/>
  <c r="AB63" i="1"/>
  <c r="AC63" i="1"/>
  <c r="AD63" i="1"/>
  <c r="AE63" i="1"/>
  <c r="AH63" i="1"/>
  <c r="AI63" i="1"/>
  <c r="AJ63" i="1"/>
  <c r="AK63" i="1"/>
  <c r="AL63" i="1"/>
  <c r="AA64" i="1"/>
  <c r="AB64" i="1"/>
  <c r="AC64" i="1"/>
  <c r="AD64" i="1"/>
  <c r="AE64" i="1"/>
  <c r="AH64" i="1"/>
  <c r="AI64" i="1"/>
  <c r="AJ64" i="1"/>
  <c r="AK64" i="1"/>
  <c r="AL64" i="1"/>
  <c r="AA65" i="1"/>
  <c r="AB65" i="1"/>
  <c r="AC65" i="1"/>
  <c r="AD65" i="1"/>
  <c r="AE65" i="1"/>
  <c r="AH65" i="1"/>
  <c r="AI65" i="1"/>
  <c r="AJ65" i="1"/>
  <c r="AK65" i="1"/>
  <c r="AL65" i="1"/>
  <c r="AA66" i="1"/>
  <c r="AB66" i="1"/>
  <c r="AC66" i="1"/>
  <c r="AD66" i="1"/>
  <c r="AE66" i="1"/>
  <c r="AH66" i="1"/>
  <c r="AI66" i="1"/>
  <c r="AJ66" i="1"/>
  <c r="AK66" i="1"/>
  <c r="AL66" i="1"/>
  <c r="AA67" i="1"/>
  <c r="AB67" i="1"/>
  <c r="AC67" i="1"/>
  <c r="AD67" i="1"/>
  <c r="AE67" i="1"/>
  <c r="AH67" i="1"/>
  <c r="AI67" i="1"/>
  <c r="AJ67" i="1"/>
  <c r="AK67" i="1"/>
  <c r="AL67" i="1"/>
  <c r="AA68" i="1"/>
  <c r="AB68" i="1"/>
  <c r="AC68" i="1"/>
  <c r="AD68" i="1"/>
  <c r="AE68" i="1"/>
  <c r="AH68" i="1"/>
  <c r="AI68" i="1"/>
  <c r="AJ68" i="1"/>
  <c r="AK68" i="1"/>
  <c r="AL68" i="1"/>
  <c r="AA69" i="1"/>
  <c r="AB69" i="1"/>
  <c r="AC69" i="1"/>
  <c r="AD69" i="1"/>
  <c r="AE69" i="1"/>
  <c r="AH69" i="1"/>
  <c r="AI69" i="1"/>
  <c r="AJ69" i="1"/>
  <c r="AK69" i="1"/>
  <c r="AL69" i="1"/>
  <c r="AA70" i="1"/>
  <c r="AB70" i="1"/>
  <c r="AC70" i="1"/>
  <c r="AD70" i="1"/>
  <c r="AE70" i="1"/>
  <c r="AH70" i="1"/>
  <c r="AI70" i="1"/>
  <c r="AJ70" i="1"/>
  <c r="AK70" i="1"/>
  <c r="AL70" i="1"/>
  <c r="B154" i="1"/>
  <c r="D154" i="1"/>
  <c r="E154" i="1"/>
  <c r="F154" i="1"/>
  <c r="G154" i="1"/>
  <c r="H154" i="1"/>
  <c r="K154" i="1"/>
  <c r="L154" i="1"/>
  <c r="M154" i="1"/>
  <c r="N154" i="1"/>
  <c r="O154" i="1"/>
  <c r="B155" i="1"/>
  <c r="D155" i="1"/>
  <c r="E155" i="1"/>
  <c r="F155" i="1"/>
  <c r="G155" i="1"/>
  <c r="H155" i="1"/>
  <c r="K155" i="1"/>
  <c r="L155" i="1"/>
  <c r="M155" i="1"/>
  <c r="N155" i="1"/>
  <c r="O155" i="1"/>
  <c r="B156" i="1"/>
  <c r="D156" i="1"/>
  <c r="E156" i="1"/>
  <c r="F156" i="1"/>
  <c r="G156" i="1"/>
  <c r="H156" i="1"/>
  <c r="K156" i="1"/>
  <c r="L156" i="1"/>
  <c r="M156" i="1"/>
  <c r="N156" i="1"/>
  <c r="O156" i="1"/>
  <c r="B157" i="1"/>
  <c r="D157" i="1"/>
  <c r="E157" i="1"/>
  <c r="F157" i="1"/>
  <c r="G157" i="1"/>
  <c r="H157" i="1"/>
  <c r="K157" i="1"/>
  <c r="L157" i="1"/>
  <c r="M157" i="1"/>
  <c r="N157" i="1"/>
  <c r="O157" i="1"/>
  <c r="B158" i="1"/>
  <c r="D158" i="1"/>
  <c r="E158" i="1"/>
  <c r="F158" i="1"/>
  <c r="G158" i="1"/>
  <c r="H158" i="1"/>
  <c r="K158" i="1"/>
  <c r="L158" i="1"/>
  <c r="M158" i="1"/>
  <c r="N158" i="1"/>
  <c r="O158" i="1"/>
  <c r="B159" i="1"/>
  <c r="D159" i="1"/>
  <c r="E159" i="1"/>
  <c r="F159" i="1"/>
  <c r="G159" i="1"/>
  <c r="H159" i="1"/>
  <c r="K159" i="1"/>
  <c r="L159" i="1"/>
  <c r="M159" i="1"/>
  <c r="N159" i="1"/>
  <c r="O159" i="1"/>
  <c r="B160" i="1"/>
  <c r="D160" i="1"/>
  <c r="E160" i="1"/>
  <c r="F160" i="1"/>
  <c r="G160" i="1"/>
  <c r="H160" i="1"/>
  <c r="K160" i="1"/>
  <c r="L160" i="1"/>
  <c r="M160" i="1"/>
  <c r="N160" i="1"/>
  <c r="O160" i="1"/>
  <c r="B161" i="1"/>
  <c r="D161" i="1"/>
  <c r="E161" i="1"/>
  <c r="F161" i="1"/>
  <c r="G161" i="1"/>
  <c r="H161" i="1"/>
  <c r="K161" i="1"/>
  <c r="L161" i="1"/>
  <c r="M161" i="1"/>
  <c r="N161" i="1"/>
  <c r="O161" i="1"/>
  <c r="B162" i="1"/>
  <c r="D162" i="1"/>
  <c r="E162" i="1"/>
  <c r="F162" i="1"/>
  <c r="G162" i="1"/>
  <c r="H162" i="1"/>
  <c r="K162" i="1"/>
  <c r="L162" i="1"/>
  <c r="M162" i="1"/>
  <c r="N162" i="1"/>
  <c r="O162" i="1"/>
  <c r="B163" i="1"/>
  <c r="D163" i="1"/>
  <c r="E163" i="1"/>
  <c r="F163" i="1"/>
  <c r="G163" i="1"/>
  <c r="H163" i="1"/>
  <c r="K163" i="1"/>
  <c r="L163" i="1"/>
  <c r="M163" i="1"/>
  <c r="N163" i="1"/>
  <c r="O163" i="1"/>
  <c r="B140" i="1"/>
  <c r="D140" i="1"/>
  <c r="E140" i="1"/>
  <c r="F140" i="1"/>
  <c r="G140" i="1"/>
  <c r="H140" i="1"/>
  <c r="K140" i="1"/>
  <c r="L140" i="1"/>
  <c r="M140" i="1"/>
  <c r="N140" i="1"/>
  <c r="O140" i="1"/>
  <c r="B141" i="1"/>
  <c r="D141" i="1"/>
  <c r="E141" i="1"/>
  <c r="F141" i="1"/>
  <c r="G141" i="1"/>
  <c r="H141" i="1"/>
  <c r="K141" i="1"/>
  <c r="L141" i="1"/>
  <c r="M141" i="1"/>
  <c r="N141" i="1"/>
  <c r="O141" i="1"/>
  <c r="B142" i="1"/>
  <c r="D142" i="1"/>
  <c r="E142" i="1"/>
  <c r="F142" i="1"/>
  <c r="G142" i="1"/>
  <c r="H142" i="1"/>
  <c r="K142" i="1"/>
  <c r="L142" i="1"/>
  <c r="M142" i="1"/>
  <c r="N142" i="1"/>
  <c r="O142" i="1"/>
  <c r="B143" i="1"/>
  <c r="D143" i="1"/>
  <c r="E143" i="1"/>
  <c r="F143" i="1"/>
  <c r="G143" i="1"/>
  <c r="H143" i="1"/>
  <c r="K143" i="1"/>
  <c r="L143" i="1"/>
  <c r="M143" i="1"/>
  <c r="N143" i="1"/>
  <c r="O143" i="1"/>
  <c r="B144" i="1"/>
  <c r="D144" i="1"/>
  <c r="E144" i="1"/>
  <c r="F144" i="1"/>
  <c r="G144" i="1"/>
  <c r="H144" i="1"/>
  <c r="K144" i="1"/>
  <c r="L144" i="1"/>
  <c r="M144" i="1"/>
  <c r="N144" i="1"/>
  <c r="O144" i="1"/>
  <c r="B145" i="1"/>
  <c r="D145" i="1"/>
  <c r="E145" i="1"/>
  <c r="F145" i="1"/>
  <c r="G145" i="1"/>
  <c r="H145" i="1"/>
  <c r="K145" i="1"/>
  <c r="L145" i="1"/>
  <c r="M145" i="1"/>
  <c r="N145" i="1"/>
  <c r="O145" i="1"/>
  <c r="B146" i="1"/>
  <c r="D146" i="1"/>
  <c r="E146" i="1"/>
  <c r="F146" i="1"/>
  <c r="G146" i="1"/>
  <c r="H146" i="1"/>
  <c r="K146" i="1"/>
  <c r="L146" i="1"/>
  <c r="M146" i="1"/>
  <c r="N146" i="1"/>
  <c r="O146" i="1"/>
  <c r="B147" i="1"/>
  <c r="D147" i="1"/>
  <c r="E147" i="1"/>
  <c r="F147" i="1"/>
  <c r="G147" i="1"/>
  <c r="H147" i="1"/>
  <c r="K147" i="1"/>
  <c r="L147" i="1"/>
  <c r="M147" i="1"/>
  <c r="N147" i="1"/>
  <c r="O147" i="1"/>
  <c r="B148" i="1"/>
  <c r="D148" i="1"/>
  <c r="E148" i="1"/>
  <c r="F148" i="1"/>
  <c r="G148" i="1"/>
  <c r="H148" i="1"/>
  <c r="K148" i="1"/>
  <c r="L148" i="1"/>
  <c r="M148" i="1"/>
  <c r="N148" i="1"/>
  <c r="O148" i="1"/>
  <c r="B149" i="1"/>
  <c r="D149" i="1"/>
  <c r="E149" i="1"/>
  <c r="F149" i="1"/>
  <c r="G149" i="1"/>
  <c r="H149" i="1"/>
  <c r="K149" i="1"/>
  <c r="L149" i="1"/>
  <c r="M149" i="1"/>
  <c r="N149" i="1"/>
  <c r="O149" i="1"/>
  <c r="B150" i="1"/>
  <c r="D150" i="1"/>
  <c r="E150" i="1"/>
  <c r="F150" i="1"/>
  <c r="G150" i="1"/>
  <c r="H150" i="1"/>
  <c r="K150" i="1"/>
  <c r="L150" i="1"/>
  <c r="M150" i="1"/>
  <c r="N150" i="1"/>
  <c r="O150" i="1"/>
  <c r="B151" i="1"/>
  <c r="D151" i="1"/>
  <c r="E151" i="1"/>
  <c r="F151" i="1"/>
  <c r="G151" i="1"/>
  <c r="H151" i="1"/>
  <c r="K151" i="1"/>
  <c r="L151" i="1"/>
  <c r="M151" i="1"/>
  <c r="N151" i="1"/>
  <c r="O151" i="1"/>
  <c r="B152" i="1"/>
  <c r="D152" i="1"/>
  <c r="E152" i="1"/>
  <c r="F152" i="1"/>
  <c r="G152" i="1"/>
  <c r="H152" i="1"/>
  <c r="K152" i="1"/>
  <c r="L152" i="1"/>
  <c r="M152" i="1"/>
  <c r="N152" i="1"/>
  <c r="O152" i="1"/>
  <c r="B153" i="1"/>
  <c r="D153" i="1"/>
  <c r="E153" i="1"/>
  <c r="F153" i="1"/>
  <c r="G153" i="1"/>
  <c r="H153" i="1"/>
  <c r="K153" i="1"/>
  <c r="L153" i="1"/>
  <c r="M153" i="1"/>
  <c r="N153" i="1"/>
  <c r="O153" i="1"/>
  <c r="B114" i="1"/>
  <c r="D114" i="1"/>
  <c r="E114" i="1"/>
  <c r="F114" i="1"/>
  <c r="G114" i="1"/>
  <c r="H114" i="1"/>
  <c r="K114" i="1"/>
  <c r="L114" i="1"/>
  <c r="M114" i="1"/>
  <c r="N114" i="1"/>
  <c r="O114" i="1"/>
  <c r="B115" i="1"/>
  <c r="D115" i="1"/>
  <c r="E115" i="1"/>
  <c r="F115" i="1"/>
  <c r="G115" i="1"/>
  <c r="H115" i="1"/>
  <c r="K115" i="1"/>
  <c r="L115" i="1"/>
  <c r="M115" i="1"/>
  <c r="N115" i="1"/>
  <c r="O115" i="1"/>
  <c r="B116" i="1"/>
  <c r="D116" i="1"/>
  <c r="E116" i="1"/>
  <c r="F116" i="1"/>
  <c r="G116" i="1"/>
  <c r="H116" i="1"/>
  <c r="K116" i="1"/>
  <c r="L116" i="1"/>
  <c r="M116" i="1"/>
  <c r="N116" i="1"/>
  <c r="O116" i="1"/>
  <c r="B117" i="1"/>
  <c r="D117" i="1"/>
  <c r="E117" i="1"/>
  <c r="F117" i="1"/>
  <c r="G117" i="1"/>
  <c r="H117" i="1"/>
  <c r="K117" i="1"/>
  <c r="L117" i="1"/>
  <c r="M117" i="1"/>
  <c r="N117" i="1"/>
  <c r="O117" i="1"/>
  <c r="B118" i="1"/>
  <c r="D118" i="1"/>
  <c r="E118" i="1"/>
  <c r="F118" i="1"/>
  <c r="G118" i="1"/>
  <c r="H118" i="1"/>
  <c r="K118" i="1"/>
  <c r="L118" i="1"/>
  <c r="M118" i="1"/>
  <c r="N118" i="1"/>
  <c r="O118" i="1"/>
  <c r="B119" i="1"/>
  <c r="D119" i="1"/>
  <c r="E119" i="1"/>
  <c r="F119" i="1"/>
  <c r="G119" i="1"/>
  <c r="H119" i="1"/>
  <c r="K119" i="1"/>
  <c r="L119" i="1"/>
  <c r="M119" i="1"/>
  <c r="N119" i="1"/>
  <c r="O119" i="1"/>
  <c r="B120" i="1"/>
  <c r="D120" i="1"/>
  <c r="E120" i="1"/>
  <c r="F120" i="1"/>
  <c r="G120" i="1"/>
  <c r="H120" i="1"/>
  <c r="K120" i="1"/>
  <c r="L120" i="1"/>
  <c r="M120" i="1"/>
  <c r="N120" i="1"/>
  <c r="O120" i="1"/>
  <c r="B121" i="1"/>
  <c r="D121" i="1"/>
  <c r="E121" i="1"/>
  <c r="F121" i="1"/>
  <c r="G121" i="1"/>
  <c r="H121" i="1"/>
  <c r="K121" i="1"/>
  <c r="L121" i="1"/>
  <c r="M121" i="1"/>
  <c r="N121" i="1"/>
  <c r="O121" i="1"/>
  <c r="B122" i="1"/>
  <c r="D122" i="1"/>
  <c r="E122" i="1"/>
  <c r="F122" i="1"/>
  <c r="G122" i="1"/>
  <c r="H122" i="1"/>
  <c r="K122" i="1"/>
  <c r="L122" i="1"/>
  <c r="M122" i="1"/>
  <c r="N122" i="1"/>
  <c r="O122" i="1"/>
  <c r="B123" i="1"/>
  <c r="D123" i="1"/>
  <c r="E123" i="1"/>
  <c r="F123" i="1"/>
  <c r="G123" i="1"/>
  <c r="H123" i="1"/>
  <c r="K123" i="1"/>
  <c r="L123" i="1"/>
  <c r="M123" i="1"/>
  <c r="N123" i="1"/>
  <c r="O123" i="1"/>
  <c r="B124" i="1"/>
  <c r="D124" i="1"/>
  <c r="E124" i="1"/>
  <c r="F124" i="1"/>
  <c r="G124" i="1"/>
  <c r="H124" i="1"/>
  <c r="K124" i="1"/>
  <c r="L124" i="1"/>
  <c r="M124" i="1"/>
  <c r="N124" i="1"/>
  <c r="O124" i="1"/>
  <c r="B125" i="1"/>
  <c r="D125" i="1"/>
  <c r="E125" i="1"/>
  <c r="F125" i="1"/>
  <c r="G125" i="1"/>
  <c r="H125" i="1"/>
  <c r="K125" i="1"/>
  <c r="L125" i="1"/>
  <c r="M125" i="1"/>
  <c r="N125" i="1"/>
  <c r="O125" i="1"/>
  <c r="B126" i="1"/>
  <c r="D126" i="1"/>
  <c r="E126" i="1"/>
  <c r="F126" i="1"/>
  <c r="G126" i="1"/>
  <c r="H126" i="1"/>
  <c r="K126" i="1"/>
  <c r="L126" i="1"/>
  <c r="M126" i="1"/>
  <c r="N126" i="1"/>
  <c r="O126" i="1"/>
  <c r="B127" i="1"/>
  <c r="D127" i="1"/>
  <c r="E127" i="1"/>
  <c r="F127" i="1"/>
  <c r="G127" i="1"/>
  <c r="H127" i="1"/>
  <c r="K127" i="1"/>
  <c r="L127" i="1"/>
  <c r="M127" i="1"/>
  <c r="N127" i="1"/>
  <c r="O127" i="1"/>
  <c r="B128" i="1"/>
  <c r="D128" i="1"/>
  <c r="E128" i="1"/>
  <c r="F128" i="1"/>
  <c r="G128" i="1"/>
  <c r="H128" i="1"/>
  <c r="K128" i="1"/>
  <c r="L128" i="1"/>
  <c r="M128" i="1"/>
  <c r="N128" i="1"/>
  <c r="O128" i="1"/>
  <c r="B129" i="1"/>
  <c r="D129" i="1"/>
  <c r="E129" i="1"/>
  <c r="F129" i="1"/>
  <c r="G129" i="1"/>
  <c r="H129" i="1"/>
  <c r="K129" i="1"/>
  <c r="L129" i="1"/>
  <c r="M129" i="1"/>
  <c r="N129" i="1"/>
  <c r="O129" i="1"/>
  <c r="B130" i="1"/>
  <c r="D130" i="1"/>
  <c r="E130" i="1"/>
  <c r="F130" i="1"/>
  <c r="G130" i="1"/>
  <c r="H130" i="1"/>
  <c r="K130" i="1"/>
  <c r="L130" i="1"/>
  <c r="M130" i="1"/>
  <c r="N130" i="1"/>
  <c r="O130" i="1"/>
  <c r="B131" i="1"/>
  <c r="D131" i="1"/>
  <c r="E131" i="1"/>
  <c r="F131" i="1"/>
  <c r="G131" i="1"/>
  <c r="H131" i="1"/>
  <c r="K131" i="1"/>
  <c r="L131" i="1"/>
  <c r="M131" i="1"/>
  <c r="N131" i="1"/>
  <c r="O131" i="1"/>
  <c r="B132" i="1"/>
  <c r="D132" i="1"/>
  <c r="E132" i="1"/>
  <c r="F132" i="1"/>
  <c r="G132" i="1"/>
  <c r="H132" i="1"/>
  <c r="K132" i="1"/>
  <c r="L132" i="1"/>
  <c r="M132" i="1"/>
  <c r="N132" i="1"/>
  <c r="O132" i="1"/>
  <c r="B133" i="1"/>
  <c r="D133" i="1"/>
  <c r="E133" i="1"/>
  <c r="F133" i="1"/>
  <c r="G133" i="1"/>
  <c r="H133" i="1"/>
  <c r="K133" i="1"/>
  <c r="L133" i="1"/>
  <c r="M133" i="1"/>
  <c r="N133" i="1"/>
  <c r="O133" i="1"/>
  <c r="B134" i="1"/>
  <c r="D134" i="1"/>
  <c r="E134" i="1"/>
  <c r="F134" i="1"/>
  <c r="G134" i="1"/>
  <c r="H134" i="1"/>
  <c r="K134" i="1"/>
  <c r="L134" i="1"/>
  <c r="M134" i="1"/>
  <c r="N134" i="1"/>
  <c r="O134" i="1"/>
  <c r="B135" i="1"/>
  <c r="D135" i="1"/>
  <c r="E135" i="1"/>
  <c r="F135" i="1"/>
  <c r="G135" i="1"/>
  <c r="H135" i="1"/>
  <c r="K135" i="1"/>
  <c r="L135" i="1"/>
  <c r="M135" i="1"/>
  <c r="N135" i="1"/>
  <c r="O135" i="1"/>
  <c r="B136" i="1"/>
  <c r="D136" i="1"/>
  <c r="E136" i="1"/>
  <c r="F136" i="1"/>
  <c r="G136" i="1"/>
  <c r="H136" i="1"/>
  <c r="K136" i="1"/>
  <c r="L136" i="1"/>
  <c r="M136" i="1"/>
  <c r="N136" i="1"/>
  <c r="O136" i="1"/>
  <c r="B137" i="1"/>
  <c r="D137" i="1"/>
  <c r="E137" i="1"/>
  <c r="F137" i="1"/>
  <c r="G137" i="1"/>
  <c r="H137" i="1"/>
  <c r="K137" i="1"/>
  <c r="L137" i="1"/>
  <c r="M137" i="1"/>
  <c r="N137" i="1"/>
  <c r="O137" i="1"/>
  <c r="B138" i="1"/>
  <c r="D138" i="1"/>
  <c r="E138" i="1"/>
  <c r="F138" i="1"/>
  <c r="G138" i="1"/>
  <c r="H138" i="1"/>
  <c r="K138" i="1"/>
  <c r="L138" i="1"/>
  <c r="M138" i="1"/>
  <c r="N138" i="1"/>
  <c r="O138" i="1"/>
  <c r="B139" i="1"/>
  <c r="D139" i="1"/>
  <c r="E139" i="1"/>
  <c r="F139" i="1"/>
  <c r="G139" i="1"/>
  <c r="H139" i="1"/>
  <c r="K139" i="1"/>
  <c r="L139" i="1"/>
  <c r="M139" i="1"/>
  <c r="N139" i="1"/>
  <c r="O139" i="1"/>
  <c r="K35" i="21"/>
  <c r="AB180" i="26" l="1"/>
  <c r="AB181" i="26" s="1"/>
  <c r="AB182" i="26" s="1"/>
  <c r="AB183" i="26" s="1"/>
  <c r="AC180" i="26"/>
  <c r="AC181" i="26" s="1"/>
  <c r="AC182" i="26" s="1"/>
  <c r="AC183" i="26" s="1"/>
  <c r="AJ223" i="26"/>
  <c r="AM223" i="26"/>
  <c r="Z180" i="26"/>
  <c r="Z181" i="26" s="1"/>
  <c r="Z182" i="26" s="1"/>
  <c r="Z183" i="26" s="1"/>
  <c r="AF180" i="26"/>
  <c r="AF181" i="26" s="1"/>
  <c r="AF182" i="26" s="1"/>
  <c r="AF183" i="26" s="1"/>
  <c r="AM180" i="26"/>
  <c r="AM181" i="26" s="1"/>
  <c r="AM182" i="26" s="1"/>
  <c r="AM183" i="26" s="1"/>
  <c r="AG180" i="26"/>
  <c r="AG181" i="26" s="1"/>
  <c r="AG182" i="26" s="1"/>
  <c r="AG183" i="26" s="1"/>
  <c r="AJ180" i="26"/>
  <c r="AJ181" i="26" s="1"/>
  <c r="AJ182" i="26" s="1"/>
  <c r="AJ183" i="26" s="1"/>
  <c r="AE180" i="26"/>
  <c r="AE181" i="26" s="1"/>
  <c r="AE182" i="26" s="1"/>
  <c r="AE183" i="26" s="1"/>
  <c r="AH180" i="26"/>
  <c r="AH181" i="26" s="1"/>
  <c r="AH182" i="26" s="1"/>
  <c r="AH183" i="26" s="1"/>
  <c r="AA180" i="26"/>
  <c r="AA181" i="26" s="1"/>
  <c r="AA182" i="26" s="1"/>
  <c r="AA183" i="26" s="1"/>
  <c r="AH223" i="26"/>
  <c r="Z223" i="26"/>
  <c r="AI223" i="26"/>
  <c r="AG223" i="26"/>
  <c r="AA223" i="26"/>
  <c r="W224" i="26"/>
  <c r="V224" i="26" s="1"/>
  <c r="X224" i="26"/>
  <c r="Y224" i="26"/>
  <c r="AK223" i="26"/>
  <c r="AF223" i="26"/>
  <c r="AL223" i="26"/>
  <c r="AD223" i="26"/>
  <c r="AK180" i="26"/>
  <c r="AK181" i="26" s="1"/>
  <c r="AK182" i="26" s="1"/>
  <c r="AK183" i="26" s="1"/>
  <c r="AB223" i="26"/>
  <c r="AL180" i="26"/>
  <c r="AL181" i="26" s="1"/>
  <c r="AL182" i="26" s="1"/>
  <c r="AL183" i="26" s="1"/>
  <c r="AD180" i="26"/>
  <c r="AD181" i="26" s="1"/>
  <c r="AD182" i="26" s="1"/>
  <c r="AD183" i="26" s="1"/>
  <c r="AC223" i="26"/>
  <c r="AI180" i="26"/>
  <c r="AI181" i="26" s="1"/>
  <c r="AI182" i="26" s="1"/>
  <c r="AI183" i="26" s="1"/>
  <c r="AE223" i="26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3" i="1"/>
  <c r="AJ224" i="26" l="1"/>
  <c r="AJ225" i="26" s="1"/>
  <c r="AJ226" i="26" s="1"/>
  <c r="AJ227" i="26" s="1"/>
  <c r="Z224" i="26"/>
  <c r="Z225" i="26" s="1"/>
  <c r="Z226" i="26" s="1"/>
  <c r="Z227" i="26" s="1"/>
  <c r="AG224" i="26"/>
  <c r="AG225" i="26" s="1"/>
  <c r="AG226" i="26" s="1"/>
  <c r="AG227" i="26" s="1"/>
  <c r="AA224" i="26"/>
  <c r="AA225" i="26" s="1"/>
  <c r="AA226" i="26" s="1"/>
  <c r="AA227" i="26" s="1"/>
  <c r="AI224" i="26"/>
  <c r="AI225" i="26" s="1"/>
  <c r="AI226" i="26" s="1"/>
  <c r="AI227" i="26" s="1"/>
  <c r="AD224" i="26"/>
  <c r="AD225" i="26" s="1"/>
  <c r="AD226" i="26" s="1"/>
  <c r="AD227" i="26" s="1"/>
  <c r="AC224" i="26"/>
  <c r="AC225" i="26" s="1"/>
  <c r="AC226" i="26" s="1"/>
  <c r="AC227" i="26" s="1"/>
  <c r="AL224" i="26"/>
  <c r="AL225" i="26" s="1"/>
  <c r="AL226" i="26" s="1"/>
  <c r="AL227" i="26" s="1"/>
  <c r="AF224" i="26"/>
  <c r="AF225" i="26" s="1"/>
  <c r="AF226" i="26" s="1"/>
  <c r="AF227" i="26" s="1"/>
  <c r="AH224" i="26"/>
  <c r="AH225" i="26" s="1"/>
  <c r="AH226" i="26" s="1"/>
  <c r="AH227" i="26" s="1"/>
  <c r="AB224" i="26"/>
  <c r="AB225" i="26" s="1"/>
  <c r="AB226" i="26" s="1"/>
  <c r="AB227" i="26" s="1"/>
  <c r="AM224" i="26"/>
  <c r="AM225" i="26" s="1"/>
  <c r="AM226" i="26" s="1"/>
  <c r="AM227" i="26" s="1"/>
  <c r="AK224" i="26"/>
  <c r="AK225" i="26" s="1"/>
  <c r="AK226" i="26" s="1"/>
  <c r="AK227" i="26" s="1"/>
  <c r="AE224" i="26"/>
  <c r="AE225" i="26" s="1"/>
  <c r="AE226" i="26" s="1"/>
  <c r="AE227" i="26" s="1"/>
  <c r="AO5" i="1"/>
  <c r="AP5" i="1"/>
  <c r="AQ5" i="1"/>
  <c r="AR5" i="1"/>
  <c r="AS5" i="1"/>
  <c r="AO6" i="1"/>
  <c r="AP6" i="1"/>
  <c r="AQ6" i="1"/>
  <c r="AR6" i="1"/>
  <c r="AS6" i="1"/>
  <c r="AO7" i="1"/>
  <c r="AP7" i="1"/>
  <c r="AQ7" i="1"/>
  <c r="AR7" i="1"/>
  <c r="AS7" i="1"/>
  <c r="AO8" i="1"/>
  <c r="AP8" i="1"/>
  <c r="AQ8" i="1"/>
  <c r="AR8" i="1"/>
  <c r="AS8" i="1"/>
  <c r="AO9" i="1"/>
  <c r="AP9" i="1"/>
  <c r="AQ9" i="1"/>
  <c r="AR9" i="1"/>
  <c r="AS9" i="1"/>
  <c r="AO10" i="1"/>
  <c r="AP10" i="1"/>
  <c r="AQ10" i="1"/>
  <c r="AR10" i="1"/>
  <c r="AS10" i="1"/>
  <c r="AO11" i="1"/>
  <c r="AP11" i="1"/>
  <c r="AQ11" i="1"/>
  <c r="AR11" i="1"/>
  <c r="AS11" i="1"/>
  <c r="AO12" i="1"/>
  <c r="AP12" i="1"/>
  <c r="AQ12" i="1"/>
  <c r="AR12" i="1"/>
  <c r="AS12" i="1"/>
  <c r="AO13" i="1"/>
  <c r="AP13" i="1"/>
  <c r="AQ13" i="1"/>
  <c r="AR13" i="1"/>
  <c r="AS13" i="1"/>
  <c r="AO14" i="1"/>
  <c r="AP14" i="1"/>
  <c r="AQ14" i="1"/>
  <c r="AR14" i="1"/>
  <c r="AS14" i="1"/>
  <c r="AO15" i="1"/>
  <c r="AP15" i="1"/>
  <c r="AQ15" i="1"/>
  <c r="AR15" i="1"/>
  <c r="AS15" i="1"/>
  <c r="AO16" i="1"/>
  <c r="AP16" i="1"/>
  <c r="AQ16" i="1"/>
  <c r="AR16" i="1"/>
  <c r="AS16" i="1"/>
  <c r="AO17" i="1"/>
  <c r="AP17" i="1"/>
  <c r="AQ17" i="1"/>
  <c r="AR17" i="1"/>
  <c r="AS17" i="1"/>
  <c r="AO18" i="1"/>
  <c r="AP18" i="1"/>
  <c r="AQ18" i="1"/>
  <c r="AR18" i="1"/>
  <c r="AS18" i="1"/>
  <c r="AO19" i="1"/>
  <c r="AP19" i="1"/>
  <c r="AQ19" i="1"/>
  <c r="AR19" i="1"/>
  <c r="AS19" i="1"/>
  <c r="AO20" i="1"/>
  <c r="AP20" i="1"/>
  <c r="AQ20" i="1"/>
  <c r="AR20" i="1"/>
  <c r="AS20" i="1"/>
  <c r="AO21" i="1"/>
  <c r="AP21" i="1"/>
  <c r="AQ21" i="1"/>
  <c r="AR21" i="1"/>
  <c r="AS21" i="1"/>
  <c r="AO22" i="1"/>
  <c r="AP22" i="1"/>
  <c r="AQ22" i="1"/>
  <c r="AR22" i="1"/>
  <c r="AS22" i="1"/>
  <c r="AO23" i="1"/>
  <c r="AP23" i="1"/>
  <c r="AQ23" i="1"/>
  <c r="AR23" i="1"/>
  <c r="AS23" i="1"/>
  <c r="AO24" i="1"/>
  <c r="AP24" i="1"/>
  <c r="AQ24" i="1"/>
  <c r="AR24" i="1"/>
  <c r="AS24" i="1"/>
  <c r="AO25" i="1"/>
  <c r="AP25" i="1"/>
  <c r="AQ25" i="1"/>
  <c r="AR25" i="1"/>
  <c r="AS25" i="1"/>
  <c r="AO26" i="1"/>
  <c r="AP26" i="1"/>
  <c r="AQ26" i="1"/>
  <c r="AR26" i="1"/>
  <c r="AS26" i="1"/>
  <c r="AO27" i="1"/>
  <c r="AP27" i="1"/>
  <c r="AQ27" i="1"/>
  <c r="AR27" i="1"/>
  <c r="AS27" i="1"/>
  <c r="AO28" i="1"/>
  <c r="AP28" i="1"/>
  <c r="AQ28" i="1"/>
  <c r="AR28" i="1"/>
  <c r="AS28" i="1"/>
  <c r="AO29" i="1"/>
  <c r="AP29" i="1"/>
  <c r="AQ29" i="1"/>
  <c r="AR29" i="1"/>
  <c r="AS29" i="1"/>
  <c r="AO30" i="1"/>
  <c r="AP30" i="1"/>
  <c r="AQ30" i="1"/>
  <c r="AR30" i="1"/>
  <c r="AS30" i="1"/>
  <c r="AO31" i="1"/>
  <c r="AP31" i="1"/>
  <c r="AQ31" i="1"/>
  <c r="AR31" i="1"/>
  <c r="AS31" i="1"/>
  <c r="AO32" i="1"/>
  <c r="AP32" i="1"/>
  <c r="AQ32" i="1"/>
  <c r="AR32" i="1"/>
  <c r="AS32" i="1"/>
  <c r="AO33" i="1"/>
  <c r="AP33" i="1"/>
  <c r="AQ33" i="1"/>
  <c r="AR33" i="1"/>
  <c r="AS33" i="1"/>
  <c r="AO34" i="1"/>
  <c r="AP34" i="1"/>
  <c r="AQ34" i="1"/>
  <c r="AR34" i="1"/>
  <c r="AS34" i="1"/>
  <c r="AO35" i="1"/>
  <c r="AP35" i="1"/>
  <c r="AQ35" i="1"/>
  <c r="AR35" i="1"/>
  <c r="AS35" i="1"/>
  <c r="AO36" i="1"/>
  <c r="AP36" i="1"/>
  <c r="AQ36" i="1"/>
  <c r="AR36" i="1"/>
  <c r="AS36" i="1"/>
  <c r="AO37" i="1"/>
  <c r="AP37" i="1"/>
  <c r="AQ37" i="1"/>
  <c r="AR37" i="1"/>
  <c r="AS37" i="1"/>
  <c r="AO38" i="1"/>
  <c r="AP38" i="1"/>
  <c r="AQ38" i="1"/>
  <c r="AR38" i="1"/>
  <c r="AS38" i="1"/>
  <c r="AO39" i="1"/>
  <c r="AP39" i="1"/>
  <c r="AQ39" i="1"/>
  <c r="AR39" i="1"/>
  <c r="AS39" i="1"/>
  <c r="AO40" i="1"/>
  <c r="AP40" i="1"/>
  <c r="AQ40" i="1"/>
  <c r="AR40" i="1"/>
  <c r="AS40" i="1"/>
  <c r="AO41" i="1"/>
  <c r="AP41" i="1"/>
  <c r="AQ41" i="1"/>
  <c r="AR41" i="1"/>
  <c r="AS41" i="1"/>
  <c r="AO42" i="1"/>
  <c r="AP42" i="1"/>
  <c r="AQ42" i="1"/>
  <c r="AR42" i="1"/>
  <c r="AS42" i="1"/>
  <c r="AO43" i="1"/>
  <c r="AP43" i="1"/>
  <c r="AQ43" i="1"/>
  <c r="AR43" i="1"/>
  <c r="AS43" i="1"/>
  <c r="AO44" i="1"/>
  <c r="AP44" i="1"/>
  <c r="AQ44" i="1"/>
  <c r="AR44" i="1"/>
  <c r="AS44" i="1"/>
  <c r="AO45" i="1"/>
  <c r="AP45" i="1"/>
  <c r="AQ45" i="1"/>
  <c r="AR45" i="1"/>
  <c r="AS45" i="1"/>
  <c r="AO46" i="1"/>
  <c r="AP46" i="1"/>
  <c r="AQ46" i="1"/>
  <c r="AR46" i="1"/>
  <c r="AS46" i="1"/>
  <c r="AO47" i="1"/>
  <c r="AP47" i="1"/>
  <c r="AQ47" i="1"/>
  <c r="AR47" i="1"/>
  <c r="AS47" i="1"/>
  <c r="AO48" i="1"/>
  <c r="AP48" i="1"/>
  <c r="AQ48" i="1"/>
  <c r="AR48" i="1"/>
  <c r="AS48" i="1"/>
  <c r="AO49" i="1"/>
  <c r="AP49" i="1"/>
  <c r="AQ49" i="1"/>
  <c r="AR49" i="1"/>
  <c r="AS49" i="1"/>
  <c r="AO50" i="1"/>
  <c r="AP50" i="1"/>
  <c r="AQ50" i="1"/>
  <c r="AR50" i="1"/>
  <c r="AS50" i="1"/>
  <c r="AO51" i="1"/>
  <c r="AP51" i="1"/>
  <c r="AQ51" i="1"/>
  <c r="AR51" i="1"/>
  <c r="AS51" i="1"/>
  <c r="AO52" i="1"/>
  <c r="AP52" i="1"/>
  <c r="AQ52" i="1"/>
  <c r="AR52" i="1"/>
  <c r="AS52" i="1"/>
  <c r="AO53" i="1"/>
  <c r="AP53" i="1"/>
  <c r="AQ53" i="1"/>
  <c r="AR53" i="1"/>
  <c r="AS53" i="1"/>
  <c r="AO54" i="1"/>
  <c r="AP54" i="1"/>
  <c r="AQ54" i="1"/>
  <c r="AR54" i="1"/>
  <c r="AS54" i="1"/>
  <c r="AO55" i="1"/>
  <c r="AP55" i="1"/>
  <c r="AQ55" i="1"/>
  <c r="AR55" i="1"/>
  <c r="AS55" i="1"/>
  <c r="AO56" i="1"/>
  <c r="AP56" i="1"/>
  <c r="AQ56" i="1"/>
  <c r="AR56" i="1"/>
  <c r="AS56" i="1"/>
  <c r="AO57" i="1"/>
  <c r="AP57" i="1"/>
  <c r="AQ57" i="1"/>
  <c r="AR57" i="1"/>
  <c r="AS57" i="1"/>
  <c r="AO58" i="1"/>
  <c r="AP58" i="1"/>
  <c r="AQ58" i="1"/>
  <c r="AR58" i="1"/>
  <c r="AS58" i="1"/>
  <c r="AO59" i="1"/>
  <c r="AP59" i="1"/>
  <c r="AQ59" i="1"/>
  <c r="AR59" i="1"/>
  <c r="AS59" i="1"/>
  <c r="AO60" i="1"/>
  <c r="AP60" i="1"/>
  <c r="AQ60" i="1"/>
  <c r="AR60" i="1"/>
  <c r="AS60" i="1"/>
  <c r="AO61" i="1"/>
  <c r="AP61" i="1"/>
  <c r="AQ61" i="1"/>
  <c r="AR61" i="1"/>
  <c r="AS61" i="1"/>
  <c r="AO62" i="1"/>
  <c r="AP62" i="1"/>
  <c r="AQ62" i="1"/>
  <c r="AR62" i="1"/>
  <c r="AS62" i="1"/>
  <c r="AO63" i="1"/>
  <c r="AP63" i="1"/>
  <c r="AQ63" i="1"/>
  <c r="AR63" i="1"/>
  <c r="AS63" i="1"/>
  <c r="AO64" i="1"/>
  <c r="AP64" i="1"/>
  <c r="AQ64" i="1"/>
  <c r="AR64" i="1"/>
  <c r="AS64" i="1"/>
  <c r="AO65" i="1"/>
  <c r="AP65" i="1"/>
  <c r="AQ65" i="1"/>
  <c r="AR65" i="1"/>
  <c r="AS65" i="1"/>
  <c r="AO66" i="1"/>
  <c r="AP66" i="1"/>
  <c r="AQ66" i="1"/>
  <c r="AR66" i="1"/>
  <c r="AS66" i="1"/>
  <c r="AO67" i="1"/>
  <c r="AP67" i="1"/>
  <c r="AQ67" i="1"/>
  <c r="AR67" i="1"/>
  <c r="AS67" i="1"/>
  <c r="AO68" i="1"/>
  <c r="AP68" i="1"/>
  <c r="AQ68" i="1"/>
  <c r="AR68" i="1"/>
  <c r="AS68" i="1"/>
  <c r="AO69" i="1"/>
  <c r="AP69" i="1"/>
  <c r="AQ69" i="1"/>
  <c r="AR69" i="1"/>
  <c r="AS69" i="1"/>
  <c r="AO70" i="1"/>
  <c r="AP70" i="1"/>
  <c r="AQ70" i="1"/>
  <c r="AR70" i="1"/>
  <c r="AS70" i="1"/>
  <c r="AO71" i="1"/>
  <c r="AP71" i="1"/>
  <c r="AQ71" i="1"/>
  <c r="AR71" i="1"/>
  <c r="AS71" i="1"/>
  <c r="AO72" i="1"/>
  <c r="AP72" i="1"/>
  <c r="AQ72" i="1"/>
  <c r="AR72" i="1"/>
  <c r="AS72" i="1"/>
  <c r="AO73" i="1"/>
  <c r="AP73" i="1"/>
  <c r="AQ73" i="1"/>
  <c r="AR73" i="1"/>
  <c r="AS73" i="1"/>
  <c r="AO74" i="1"/>
  <c r="AP74" i="1"/>
  <c r="AQ74" i="1"/>
  <c r="AR74" i="1"/>
  <c r="AS74" i="1"/>
  <c r="AO75" i="1"/>
  <c r="AP75" i="1"/>
  <c r="AQ75" i="1"/>
  <c r="AR75" i="1"/>
  <c r="AS75" i="1"/>
  <c r="AO76" i="1"/>
  <c r="AP76" i="1"/>
  <c r="AQ76" i="1"/>
  <c r="AR76" i="1"/>
  <c r="AS76" i="1"/>
  <c r="AO77" i="1"/>
  <c r="AP77" i="1"/>
  <c r="AQ77" i="1"/>
  <c r="AR77" i="1"/>
  <c r="AS77" i="1"/>
  <c r="AO78" i="1"/>
  <c r="AP78" i="1"/>
  <c r="AQ78" i="1"/>
  <c r="AR78" i="1"/>
  <c r="AS78" i="1"/>
  <c r="AO79" i="1"/>
  <c r="AP79" i="1"/>
  <c r="AQ79" i="1"/>
  <c r="AR79" i="1"/>
  <c r="AS79" i="1"/>
  <c r="AO80" i="1"/>
  <c r="AP80" i="1"/>
  <c r="AQ80" i="1"/>
  <c r="AR80" i="1"/>
  <c r="AS80" i="1"/>
  <c r="AO81" i="1"/>
  <c r="AP81" i="1"/>
  <c r="AQ81" i="1"/>
  <c r="AR81" i="1"/>
  <c r="AS81" i="1"/>
  <c r="AO82" i="1"/>
  <c r="AP82" i="1"/>
  <c r="AQ82" i="1"/>
  <c r="AR82" i="1"/>
  <c r="AS82" i="1"/>
  <c r="AO83" i="1"/>
  <c r="AP83" i="1"/>
  <c r="AQ83" i="1"/>
  <c r="AR83" i="1"/>
  <c r="AS83" i="1"/>
  <c r="AO84" i="1"/>
  <c r="AP84" i="1"/>
  <c r="AQ84" i="1"/>
  <c r="AR84" i="1"/>
  <c r="AS84" i="1"/>
  <c r="AO85" i="1"/>
  <c r="AP85" i="1"/>
  <c r="AQ85" i="1"/>
  <c r="AR85" i="1"/>
  <c r="AS85" i="1"/>
  <c r="AO86" i="1"/>
  <c r="AP86" i="1"/>
  <c r="AQ86" i="1"/>
  <c r="AR86" i="1"/>
  <c r="AS86" i="1"/>
  <c r="AO87" i="1"/>
  <c r="AP87" i="1"/>
  <c r="AQ87" i="1"/>
  <c r="AR87" i="1"/>
  <c r="AS87" i="1"/>
  <c r="AO88" i="1"/>
  <c r="AP88" i="1"/>
  <c r="AQ88" i="1"/>
  <c r="AR88" i="1"/>
  <c r="AS88" i="1"/>
  <c r="AO89" i="1"/>
  <c r="AP89" i="1"/>
  <c r="AQ89" i="1"/>
  <c r="AR89" i="1"/>
  <c r="AS89" i="1"/>
  <c r="AO90" i="1"/>
  <c r="AP90" i="1"/>
  <c r="AQ90" i="1"/>
  <c r="AR90" i="1"/>
  <c r="AS90" i="1"/>
  <c r="AO91" i="1"/>
  <c r="AP91" i="1"/>
  <c r="AQ91" i="1"/>
  <c r="AR91" i="1"/>
  <c r="AS91" i="1"/>
  <c r="AO92" i="1"/>
  <c r="AP92" i="1"/>
  <c r="AQ92" i="1"/>
  <c r="AR92" i="1"/>
  <c r="AS92" i="1"/>
  <c r="AO93" i="1"/>
  <c r="AP93" i="1"/>
  <c r="AQ93" i="1"/>
  <c r="AR93" i="1"/>
  <c r="AS93" i="1"/>
  <c r="AO94" i="1"/>
  <c r="AP94" i="1"/>
  <c r="AQ94" i="1"/>
  <c r="AR94" i="1"/>
  <c r="AS94" i="1"/>
  <c r="AO95" i="1"/>
  <c r="AP95" i="1"/>
  <c r="AQ95" i="1"/>
  <c r="AR95" i="1"/>
  <c r="AS95" i="1"/>
  <c r="AO96" i="1"/>
  <c r="AP96" i="1"/>
  <c r="AQ96" i="1"/>
  <c r="AR96" i="1"/>
  <c r="AS96" i="1"/>
  <c r="AO97" i="1"/>
  <c r="AP97" i="1"/>
  <c r="AQ97" i="1"/>
  <c r="AR97" i="1"/>
  <c r="AS97" i="1"/>
  <c r="AO98" i="1"/>
  <c r="AP98" i="1"/>
  <c r="AQ98" i="1"/>
  <c r="AR98" i="1"/>
  <c r="AS98" i="1"/>
  <c r="AO99" i="1"/>
  <c r="AP99" i="1"/>
  <c r="AQ99" i="1"/>
  <c r="AR99" i="1"/>
  <c r="AS99" i="1"/>
  <c r="AO100" i="1"/>
  <c r="AP100" i="1"/>
  <c r="AQ100" i="1"/>
  <c r="AR100" i="1"/>
  <c r="AS100" i="1"/>
  <c r="AO101" i="1"/>
  <c r="AP101" i="1"/>
  <c r="AQ101" i="1"/>
  <c r="AR101" i="1"/>
  <c r="AS101" i="1"/>
  <c r="AO102" i="1"/>
  <c r="AP102" i="1"/>
  <c r="AQ102" i="1"/>
  <c r="AR102" i="1"/>
  <c r="AS102" i="1"/>
  <c r="AO103" i="1"/>
  <c r="AP103" i="1"/>
  <c r="AQ103" i="1"/>
  <c r="AR103" i="1"/>
  <c r="AS103" i="1"/>
  <c r="AO104" i="1"/>
  <c r="AP104" i="1"/>
  <c r="AQ104" i="1"/>
  <c r="AR104" i="1"/>
  <c r="AS104" i="1"/>
  <c r="AO105" i="1"/>
  <c r="AP105" i="1"/>
  <c r="AQ105" i="1"/>
  <c r="AR105" i="1"/>
  <c r="AS105" i="1"/>
  <c r="AO106" i="1"/>
  <c r="AP106" i="1"/>
  <c r="AQ106" i="1"/>
  <c r="AR106" i="1"/>
  <c r="AS106" i="1"/>
  <c r="AO107" i="1"/>
  <c r="AP107" i="1"/>
  <c r="AQ107" i="1"/>
  <c r="AR107" i="1"/>
  <c r="AS107" i="1"/>
  <c r="AO108" i="1"/>
  <c r="AP108" i="1"/>
  <c r="AQ108" i="1"/>
  <c r="AR108" i="1"/>
  <c r="AS108" i="1"/>
  <c r="AO109" i="1"/>
  <c r="AP109" i="1"/>
  <c r="AQ109" i="1"/>
  <c r="AR109" i="1"/>
  <c r="AS109" i="1"/>
  <c r="AO110" i="1"/>
  <c r="AP110" i="1"/>
  <c r="AQ110" i="1"/>
  <c r="AR110" i="1"/>
  <c r="AS110" i="1"/>
  <c r="AO111" i="1"/>
  <c r="AP111" i="1"/>
  <c r="AQ111" i="1"/>
  <c r="AR111" i="1"/>
  <c r="AS111" i="1"/>
  <c r="AO112" i="1"/>
  <c r="AP112" i="1"/>
  <c r="AQ112" i="1"/>
  <c r="AR112" i="1"/>
  <c r="AS112" i="1"/>
  <c r="AO113" i="1"/>
  <c r="AP113" i="1"/>
  <c r="AQ113" i="1"/>
  <c r="AR113" i="1"/>
  <c r="AS113" i="1"/>
  <c r="AO114" i="1"/>
  <c r="AP114" i="1"/>
  <c r="AQ114" i="1"/>
  <c r="AR114" i="1"/>
  <c r="AS114" i="1"/>
  <c r="AO115" i="1"/>
  <c r="AP115" i="1"/>
  <c r="AQ115" i="1"/>
  <c r="AR115" i="1"/>
  <c r="AS115" i="1"/>
  <c r="AO116" i="1"/>
  <c r="AP116" i="1"/>
  <c r="AQ116" i="1"/>
  <c r="AR116" i="1"/>
  <c r="AS116" i="1"/>
  <c r="AO117" i="1"/>
  <c r="AP117" i="1"/>
  <c r="AQ117" i="1"/>
  <c r="AR117" i="1"/>
  <c r="AS117" i="1"/>
  <c r="AO118" i="1"/>
  <c r="AP118" i="1"/>
  <c r="AQ118" i="1"/>
  <c r="AR118" i="1"/>
  <c r="AS118" i="1"/>
  <c r="AO119" i="1"/>
  <c r="AP119" i="1"/>
  <c r="AQ119" i="1"/>
  <c r="AR119" i="1"/>
  <c r="AS119" i="1"/>
  <c r="AO120" i="1"/>
  <c r="AP120" i="1"/>
  <c r="AQ120" i="1"/>
  <c r="AR120" i="1"/>
  <c r="AS120" i="1"/>
  <c r="AO121" i="1"/>
  <c r="AP121" i="1"/>
  <c r="AQ121" i="1"/>
  <c r="AR121" i="1"/>
  <c r="AS121" i="1"/>
  <c r="AO122" i="1"/>
  <c r="AP122" i="1"/>
  <c r="AQ122" i="1"/>
  <c r="AR122" i="1"/>
  <c r="AS122" i="1"/>
  <c r="AO123" i="1"/>
  <c r="AP123" i="1"/>
  <c r="AQ123" i="1"/>
  <c r="AR123" i="1"/>
  <c r="AS123" i="1"/>
  <c r="AO124" i="1"/>
  <c r="AP124" i="1"/>
  <c r="AQ124" i="1"/>
  <c r="AR124" i="1"/>
  <c r="AS124" i="1"/>
  <c r="AO125" i="1"/>
  <c r="AP125" i="1"/>
  <c r="AQ125" i="1"/>
  <c r="AR125" i="1"/>
  <c r="AS125" i="1"/>
  <c r="AO126" i="1"/>
  <c r="AP126" i="1"/>
  <c r="AQ126" i="1"/>
  <c r="AR126" i="1"/>
  <c r="AS126" i="1"/>
  <c r="AO127" i="1"/>
  <c r="AP127" i="1"/>
  <c r="AQ127" i="1"/>
  <c r="AR127" i="1"/>
  <c r="AS127" i="1"/>
  <c r="AO128" i="1"/>
  <c r="AP128" i="1"/>
  <c r="AQ128" i="1"/>
  <c r="AR128" i="1"/>
  <c r="AS128" i="1"/>
  <c r="AO129" i="1"/>
  <c r="AP129" i="1"/>
  <c r="AQ129" i="1"/>
  <c r="AR129" i="1"/>
  <c r="AS129" i="1"/>
  <c r="AO130" i="1"/>
  <c r="AP130" i="1"/>
  <c r="AQ130" i="1"/>
  <c r="AR130" i="1"/>
  <c r="AS130" i="1"/>
  <c r="AO131" i="1"/>
  <c r="AP131" i="1"/>
  <c r="AQ131" i="1"/>
  <c r="AR131" i="1"/>
  <c r="AS131" i="1"/>
  <c r="AO132" i="1"/>
  <c r="AP132" i="1"/>
  <c r="AQ132" i="1"/>
  <c r="AR132" i="1"/>
  <c r="AS132" i="1"/>
  <c r="AO133" i="1"/>
  <c r="AP133" i="1"/>
  <c r="AQ133" i="1"/>
  <c r="AR133" i="1"/>
  <c r="AS133" i="1"/>
  <c r="AO134" i="1"/>
  <c r="AP134" i="1"/>
  <c r="AQ134" i="1"/>
  <c r="AR134" i="1"/>
  <c r="AS134" i="1"/>
  <c r="AO135" i="1"/>
  <c r="AP135" i="1"/>
  <c r="AQ135" i="1"/>
  <c r="AR135" i="1"/>
  <c r="AS135" i="1"/>
  <c r="AO136" i="1"/>
  <c r="AP136" i="1"/>
  <c r="AQ136" i="1"/>
  <c r="AR136" i="1"/>
  <c r="AS136" i="1"/>
  <c r="AO137" i="1"/>
  <c r="AP137" i="1"/>
  <c r="AQ137" i="1"/>
  <c r="AR137" i="1"/>
  <c r="AS137" i="1"/>
  <c r="AO138" i="1"/>
  <c r="AP138" i="1"/>
  <c r="AQ138" i="1"/>
  <c r="AR138" i="1"/>
  <c r="AS138" i="1"/>
  <c r="AO139" i="1"/>
  <c r="AP139" i="1"/>
  <c r="AQ139" i="1"/>
  <c r="AR139" i="1"/>
  <c r="AS139" i="1"/>
  <c r="AO140" i="1"/>
  <c r="AP140" i="1"/>
  <c r="AQ140" i="1"/>
  <c r="AR140" i="1"/>
  <c r="AS140" i="1"/>
  <c r="AO141" i="1"/>
  <c r="AP141" i="1"/>
  <c r="AQ141" i="1"/>
  <c r="AR141" i="1"/>
  <c r="AS141" i="1"/>
  <c r="AO142" i="1"/>
  <c r="AP142" i="1"/>
  <c r="AQ142" i="1"/>
  <c r="AR142" i="1"/>
  <c r="AS142" i="1"/>
  <c r="AO143" i="1"/>
  <c r="AP143" i="1"/>
  <c r="AQ143" i="1"/>
  <c r="AR143" i="1"/>
  <c r="AS143" i="1"/>
  <c r="AO144" i="1"/>
  <c r="AP144" i="1"/>
  <c r="AQ144" i="1"/>
  <c r="AR144" i="1"/>
  <c r="AS144" i="1"/>
  <c r="AO145" i="1"/>
  <c r="AP145" i="1"/>
  <c r="AQ145" i="1"/>
  <c r="AR145" i="1"/>
  <c r="AS145" i="1"/>
  <c r="AO146" i="1"/>
  <c r="AP146" i="1"/>
  <c r="AQ146" i="1"/>
  <c r="AR146" i="1"/>
  <c r="AS146" i="1"/>
  <c r="AO147" i="1"/>
  <c r="AP147" i="1"/>
  <c r="AQ147" i="1"/>
  <c r="AR147" i="1"/>
  <c r="AS147" i="1"/>
  <c r="AO148" i="1"/>
  <c r="AP148" i="1"/>
  <c r="AQ148" i="1"/>
  <c r="AR148" i="1"/>
  <c r="AS148" i="1"/>
  <c r="AO149" i="1"/>
  <c r="AP149" i="1"/>
  <c r="AQ149" i="1"/>
  <c r="AR149" i="1"/>
  <c r="AS149" i="1"/>
  <c r="AO150" i="1"/>
  <c r="AP150" i="1"/>
  <c r="AQ150" i="1"/>
  <c r="AR150" i="1"/>
  <c r="AS150" i="1"/>
  <c r="AO151" i="1"/>
  <c r="AP151" i="1"/>
  <c r="AQ151" i="1"/>
  <c r="AR151" i="1"/>
  <c r="AS151" i="1"/>
  <c r="AO152" i="1"/>
  <c r="AP152" i="1"/>
  <c r="AQ152" i="1"/>
  <c r="AR152" i="1"/>
  <c r="AS152" i="1"/>
  <c r="AO153" i="1"/>
  <c r="AP153" i="1"/>
  <c r="AQ153" i="1"/>
  <c r="AR153" i="1"/>
  <c r="AS153" i="1"/>
  <c r="AO154" i="1"/>
  <c r="AP154" i="1"/>
  <c r="AQ154" i="1"/>
  <c r="AR154" i="1"/>
  <c r="AS154" i="1"/>
  <c r="AO155" i="1"/>
  <c r="AP155" i="1"/>
  <c r="AQ155" i="1"/>
  <c r="AR155" i="1"/>
  <c r="AS155" i="1"/>
  <c r="AO156" i="1"/>
  <c r="AP156" i="1"/>
  <c r="AQ156" i="1"/>
  <c r="AR156" i="1"/>
  <c r="AS156" i="1"/>
  <c r="AO157" i="1"/>
  <c r="AP157" i="1"/>
  <c r="AQ157" i="1"/>
  <c r="AR157" i="1"/>
  <c r="AS157" i="1"/>
  <c r="AO158" i="1"/>
  <c r="AP158" i="1"/>
  <c r="AQ158" i="1"/>
  <c r="AR158" i="1"/>
  <c r="AS158" i="1"/>
  <c r="AO159" i="1"/>
  <c r="AP159" i="1"/>
  <c r="AQ159" i="1"/>
  <c r="AR159" i="1"/>
  <c r="AS159" i="1"/>
  <c r="AO160" i="1"/>
  <c r="AP160" i="1"/>
  <c r="AQ160" i="1"/>
  <c r="AR160" i="1"/>
  <c r="AS160" i="1"/>
  <c r="AO161" i="1"/>
  <c r="AP161" i="1"/>
  <c r="AQ161" i="1"/>
  <c r="AR161" i="1"/>
  <c r="AS161" i="1"/>
  <c r="AO162" i="1"/>
  <c r="AP162" i="1"/>
  <c r="AQ162" i="1"/>
  <c r="AR162" i="1"/>
  <c r="AS162" i="1"/>
  <c r="AO163" i="1"/>
  <c r="AP163" i="1"/>
  <c r="AQ163" i="1"/>
  <c r="AR163" i="1"/>
  <c r="AS163" i="1"/>
  <c r="AO164" i="1"/>
  <c r="AP164" i="1"/>
  <c r="AQ164" i="1"/>
  <c r="AR164" i="1"/>
  <c r="AS164" i="1"/>
  <c r="AO165" i="1"/>
  <c r="AP165" i="1"/>
  <c r="AQ165" i="1"/>
  <c r="AR165" i="1"/>
  <c r="AS165" i="1"/>
  <c r="AO166" i="1"/>
  <c r="AP166" i="1"/>
  <c r="AQ166" i="1"/>
  <c r="AR166" i="1"/>
  <c r="AS166" i="1"/>
  <c r="AO167" i="1"/>
  <c r="AP167" i="1"/>
  <c r="AQ167" i="1"/>
  <c r="AR167" i="1"/>
  <c r="AS167" i="1"/>
  <c r="AO168" i="1"/>
  <c r="AP168" i="1"/>
  <c r="AQ168" i="1"/>
  <c r="AR168" i="1"/>
  <c r="AS168" i="1"/>
  <c r="AO169" i="1"/>
  <c r="AP169" i="1"/>
  <c r="AQ169" i="1"/>
  <c r="AR169" i="1"/>
  <c r="AS169" i="1"/>
  <c r="AO170" i="1"/>
  <c r="AP170" i="1"/>
  <c r="AQ170" i="1"/>
  <c r="AR170" i="1"/>
  <c r="AS170" i="1"/>
  <c r="AO171" i="1"/>
  <c r="AP171" i="1"/>
  <c r="AQ171" i="1"/>
  <c r="AR171" i="1"/>
  <c r="AS171" i="1"/>
  <c r="AO172" i="1"/>
  <c r="AP172" i="1"/>
  <c r="AQ172" i="1"/>
  <c r="AR172" i="1"/>
  <c r="AS172" i="1"/>
  <c r="AO173" i="1"/>
  <c r="AP173" i="1"/>
  <c r="AQ173" i="1"/>
  <c r="AR173" i="1"/>
  <c r="AS173" i="1"/>
  <c r="AO174" i="1"/>
  <c r="AP174" i="1"/>
  <c r="AQ174" i="1"/>
  <c r="AR174" i="1"/>
  <c r="AS174" i="1"/>
  <c r="AO175" i="1"/>
  <c r="AP175" i="1"/>
  <c r="AQ175" i="1"/>
  <c r="AR175" i="1"/>
  <c r="AS175" i="1"/>
  <c r="AO176" i="1"/>
  <c r="AP176" i="1"/>
  <c r="AQ176" i="1"/>
  <c r="AR176" i="1"/>
  <c r="AS176" i="1"/>
  <c r="AO177" i="1"/>
  <c r="AP177" i="1"/>
  <c r="AQ177" i="1"/>
  <c r="AR177" i="1"/>
  <c r="AS177" i="1"/>
  <c r="AO178" i="1"/>
  <c r="AP178" i="1"/>
  <c r="AQ178" i="1"/>
  <c r="AR178" i="1"/>
  <c r="AS178" i="1"/>
  <c r="AO179" i="1"/>
  <c r="AP179" i="1"/>
  <c r="AQ179" i="1"/>
  <c r="AR179" i="1"/>
  <c r="AS179" i="1"/>
  <c r="AO180" i="1"/>
  <c r="AP180" i="1"/>
  <c r="AQ180" i="1"/>
  <c r="AR180" i="1"/>
  <c r="AS180" i="1"/>
  <c r="AO181" i="1"/>
  <c r="AP181" i="1"/>
  <c r="AQ181" i="1"/>
  <c r="AR181" i="1"/>
  <c r="AS181" i="1"/>
  <c r="AO182" i="1"/>
  <c r="AP182" i="1"/>
  <c r="AQ182" i="1"/>
  <c r="AR182" i="1"/>
  <c r="AS182" i="1"/>
  <c r="AO183" i="1"/>
  <c r="AP183" i="1"/>
  <c r="AQ183" i="1"/>
  <c r="AR183" i="1"/>
  <c r="AS183" i="1"/>
  <c r="AO184" i="1"/>
  <c r="AP184" i="1"/>
  <c r="AQ184" i="1"/>
  <c r="AR184" i="1"/>
  <c r="AS184" i="1"/>
  <c r="AO185" i="1"/>
  <c r="AP185" i="1"/>
  <c r="AQ185" i="1"/>
  <c r="AR185" i="1"/>
  <c r="AS185" i="1"/>
  <c r="AO186" i="1"/>
  <c r="AP186" i="1"/>
  <c r="AQ186" i="1"/>
  <c r="AR186" i="1"/>
  <c r="AS186" i="1"/>
  <c r="AO187" i="1"/>
  <c r="AP187" i="1"/>
  <c r="AQ187" i="1"/>
  <c r="AR187" i="1"/>
  <c r="AS187" i="1"/>
  <c r="AO188" i="1"/>
  <c r="AP188" i="1"/>
  <c r="AQ188" i="1"/>
  <c r="AR188" i="1"/>
  <c r="AS188" i="1"/>
  <c r="AO189" i="1"/>
  <c r="AP189" i="1"/>
  <c r="AQ189" i="1"/>
  <c r="AR189" i="1"/>
  <c r="AS189" i="1"/>
  <c r="AO190" i="1"/>
  <c r="AP190" i="1"/>
  <c r="AQ190" i="1"/>
  <c r="AR190" i="1"/>
  <c r="AS190" i="1"/>
  <c r="AO191" i="1"/>
  <c r="AP191" i="1"/>
  <c r="AQ191" i="1"/>
  <c r="AR191" i="1"/>
  <c r="AS191" i="1"/>
  <c r="AO192" i="1"/>
  <c r="AP192" i="1"/>
  <c r="AQ192" i="1"/>
  <c r="AR192" i="1"/>
  <c r="AS192" i="1"/>
  <c r="AO193" i="1"/>
  <c r="AP193" i="1"/>
  <c r="AQ193" i="1"/>
  <c r="AR193" i="1"/>
  <c r="AS193" i="1"/>
  <c r="AO194" i="1"/>
  <c r="AP194" i="1"/>
  <c r="AQ194" i="1"/>
  <c r="AR194" i="1"/>
  <c r="AS194" i="1"/>
  <c r="AO195" i="1"/>
  <c r="AP195" i="1"/>
  <c r="AQ195" i="1"/>
  <c r="AR195" i="1"/>
  <c r="AS195" i="1"/>
  <c r="AO196" i="1"/>
  <c r="AP196" i="1"/>
  <c r="AQ196" i="1"/>
  <c r="AR196" i="1"/>
  <c r="AS196" i="1"/>
  <c r="AO197" i="1"/>
  <c r="AP197" i="1"/>
  <c r="AQ197" i="1"/>
  <c r="AR197" i="1"/>
  <c r="AS197" i="1"/>
  <c r="AO198" i="1"/>
  <c r="AP198" i="1"/>
  <c r="AQ198" i="1"/>
  <c r="AR198" i="1"/>
  <c r="AS198" i="1"/>
  <c r="AO199" i="1"/>
  <c r="AP199" i="1"/>
  <c r="AQ199" i="1"/>
  <c r="AR199" i="1"/>
  <c r="AS199" i="1"/>
  <c r="AO200" i="1"/>
  <c r="AP200" i="1"/>
  <c r="AQ200" i="1"/>
  <c r="AR200" i="1"/>
  <c r="AS200" i="1"/>
  <c r="AO201" i="1"/>
  <c r="AP201" i="1"/>
  <c r="AQ201" i="1"/>
  <c r="AR201" i="1"/>
  <c r="AS201" i="1"/>
  <c r="AO202" i="1"/>
  <c r="AP202" i="1"/>
  <c r="AQ202" i="1"/>
  <c r="AR202" i="1"/>
  <c r="AS202" i="1"/>
  <c r="AO203" i="1"/>
  <c r="AP203" i="1"/>
  <c r="AQ203" i="1"/>
  <c r="AR203" i="1"/>
  <c r="AS203" i="1"/>
  <c r="AO204" i="1"/>
  <c r="AP204" i="1"/>
  <c r="AQ204" i="1"/>
  <c r="AR204" i="1"/>
  <c r="AS204" i="1"/>
  <c r="AO205" i="1"/>
  <c r="AP205" i="1"/>
  <c r="AQ205" i="1"/>
  <c r="AR205" i="1"/>
  <c r="AS205" i="1"/>
  <c r="AO206" i="1"/>
  <c r="AP206" i="1"/>
  <c r="AQ206" i="1"/>
  <c r="AR206" i="1"/>
  <c r="AS206" i="1"/>
  <c r="AO207" i="1"/>
  <c r="AP207" i="1"/>
  <c r="AQ207" i="1"/>
  <c r="AR207" i="1"/>
  <c r="AS207" i="1"/>
  <c r="AO208" i="1"/>
  <c r="AP208" i="1"/>
  <c r="AQ208" i="1"/>
  <c r="AR208" i="1"/>
  <c r="AS208" i="1"/>
  <c r="AO209" i="1"/>
  <c r="AP209" i="1"/>
  <c r="AQ209" i="1"/>
  <c r="AR209" i="1"/>
  <c r="AS209" i="1"/>
  <c r="AO210" i="1"/>
  <c r="AP210" i="1"/>
  <c r="AQ210" i="1"/>
  <c r="AR210" i="1"/>
  <c r="AS210" i="1"/>
  <c r="AO211" i="1"/>
  <c r="AP211" i="1"/>
  <c r="AQ211" i="1"/>
  <c r="AR211" i="1"/>
  <c r="AS211" i="1"/>
  <c r="AO212" i="1"/>
  <c r="AP212" i="1"/>
  <c r="AQ212" i="1"/>
  <c r="AR212" i="1"/>
  <c r="AS212" i="1"/>
  <c r="AO213" i="1"/>
  <c r="AP213" i="1"/>
  <c r="AQ213" i="1"/>
  <c r="AR213" i="1"/>
  <c r="AS213" i="1"/>
  <c r="AO214" i="1"/>
  <c r="AP214" i="1"/>
  <c r="AQ214" i="1"/>
  <c r="AR214" i="1"/>
  <c r="AS214" i="1"/>
  <c r="AO215" i="1"/>
  <c r="AP215" i="1"/>
  <c r="AQ215" i="1"/>
  <c r="AR215" i="1"/>
  <c r="AS215" i="1"/>
  <c r="AO216" i="1"/>
  <c r="AP216" i="1"/>
  <c r="AQ216" i="1"/>
  <c r="AR216" i="1"/>
  <c r="AS216" i="1"/>
  <c r="AO217" i="1"/>
  <c r="AP217" i="1"/>
  <c r="AQ217" i="1"/>
  <c r="AR217" i="1"/>
  <c r="AS217" i="1"/>
  <c r="AO218" i="1"/>
  <c r="AP218" i="1"/>
  <c r="AQ218" i="1"/>
  <c r="AR218" i="1"/>
  <c r="AS218" i="1"/>
  <c r="AO219" i="1"/>
  <c r="AP219" i="1"/>
  <c r="AQ219" i="1"/>
  <c r="AR219" i="1"/>
  <c r="AS219" i="1"/>
  <c r="AO220" i="1"/>
  <c r="AP220" i="1"/>
  <c r="AQ220" i="1"/>
  <c r="AR220" i="1"/>
  <c r="AS220" i="1"/>
  <c r="AO221" i="1"/>
  <c r="AP221" i="1"/>
  <c r="AQ221" i="1"/>
  <c r="AR221" i="1"/>
  <c r="AS221" i="1"/>
  <c r="AO222" i="1"/>
  <c r="AP222" i="1"/>
  <c r="AQ222" i="1"/>
  <c r="AR222" i="1"/>
  <c r="AS222" i="1"/>
  <c r="AO223" i="1"/>
  <c r="AP223" i="1"/>
  <c r="AQ223" i="1"/>
  <c r="AR223" i="1"/>
  <c r="AS223" i="1"/>
  <c r="AO224" i="1"/>
  <c r="AP224" i="1"/>
  <c r="AQ224" i="1"/>
  <c r="AR224" i="1"/>
  <c r="AS224" i="1"/>
  <c r="AO225" i="1"/>
  <c r="AP225" i="1"/>
  <c r="AQ225" i="1"/>
  <c r="AR225" i="1"/>
  <c r="AS225" i="1"/>
  <c r="AO226" i="1"/>
  <c r="AP226" i="1"/>
  <c r="AQ226" i="1"/>
  <c r="AR226" i="1"/>
  <c r="AS226" i="1"/>
  <c r="AO227" i="1"/>
  <c r="AP227" i="1"/>
  <c r="AQ227" i="1"/>
  <c r="AR227" i="1"/>
  <c r="AS227" i="1"/>
  <c r="AO228" i="1"/>
  <c r="AP228" i="1"/>
  <c r="AQ228" i="1"/>
  <c r="AR228" i="1"/>
  <c r="AS228" i="1"/>
  <c r="AO229" i="1"/>
  <c r="AP229" i="1"/>
  <c r="AQ229" i="1"/>
  <c r="AR229" i="1"/>
  <c r="AS229" i="1"/>
  <c r="AO230" i="1"/>
  <c r="AP230" i="1"/>
  <c r="AQ230" i="1"/>
  <c r="AR230" i="1"/>
  <c r="AS230" i="1"/>
  <c r="AO231" i="1"/>
  <c r="AP231" i="1"/>
  <c r="AQ231" i="1"/>
  <c r="AR231" i="1"/>
  <c r="AS231" i="1"/>
  <c r="AO232" i="1"/>
  <c r="AP232" i="1"/>
  <c r="AQ232" i="1"/>
  <c r="AR232" i="1"/>
  <c r="AS232" i="1"/>
  <c r="AO233" i="1"/>
  <c r="AP233" i="1"/>
  <c r="AQ233" i="1"/>
  <c r="AR233" i="1"/>
  <c r="AS233" i="1"/>
  <c r="AO234" i="1"/>
  <c r="AP234" i="1"/>
  <c r="AQ234" i="1"/>
  <c r="AR234" i="1"/>
  <c r="AS234" i="1"/>
  <c r="AO235" i="1"/>
  <c r="AP235" i="1"/>
  <c r="AQ235" i="1"/>
  <c r="AR235" i="1"/>
  <c r="AS235" i="1"/>
  <c r="AO236" i="1"/>
  <c r="AP236" i="1"/>
  <c r="AQ236" i="1"/>
  <c r="AR236" i="1"/>
  <c r="AS236" i="1"/>
  <c r="AO237" i="1"/>
  <c r="AP237" i="1"/>
  <c r="AQ237" i="1"/>
  <c r="AR237" i="1"/>
  <c r="AS237" i="1"/>
  <c r="AO238" i="1"/>
  <c r="AP238" i="1"/>
  <c r="AQ238" i="1"/>
  <c r="AR238" i="1"/>
  <c r="AS238" i="1"/>
  <c r="AO239" i="1"/>
  <c r="AP239" i="1"/>
  <c r="AQ239" i="1"/>
  <c r="AR239" i="1"/>
  <c r="AS239" i="1"/>
  <c r="AO240" i="1"/>
  <c r="AP240" i="1"/>
  <c r="AQ240" i="1"/>
  <c r="AR240" i="1"/>
  <c r="AS240" i="1"/>
  <c r="AO241" i="1"/>
  <c r="AP241" i="1"/>
  <c r="AQ241" i="1"/>
  <c r="AR241" i="1"/>
  <c r="AS241" i="1"/>
  <c r="AO242" i="1"/>
  <c r="AP242" i="1"/>
  <c r="AQ242" i="1"/>
  <c r="AR242" i="1"/>
  <c r="AS242" i="1"/>
  <c r="AO243" i="1"/>
  <c r="AP243" i="1"/>
  <c r="AQ243" i="1"/>
  <c r="AR243" i="1"/>
  <c r="AS243" i="1"/>
  <c r="AO244" i="1"/>
  <c r="AP244" i="1"/>
  <c r="AQ244" i="1"/>
  <c r="AR244" i="1"/>
  <c r="AS244" i="1"/>
  <c r="AO245" i="1"/>
  <c r="AP245" i="1"/>
  <c r="AQ245" i="1"/>
  <c r="AR245" i="1"/>
  <c r="AS245" i="1"/>
  <c r="AO246" i="1"/>
  <c r="AP246" i="1"/>
  <c r="AQ246" i="1"/>
  <c r="AR246" i="1"/>
  <c r="AS246" i="1"/>
  <c r="AO247" i="1"/>
  <c r="AP247" i="1"/>
  <c r="AQ247" i="1"/>
  <c r="AR247" i="1"/>
  <c r="AS247" i="1"/>
  <c r="AO248" i="1"/>
  <c r="AP248" i="1"/>
  <c r="AQ248" i="1"/>
  <c r="AR248" i="1"/>
  <c r="AS248" i="1"/>
  <c r="AO249" i="1"/>
  <c r="AP249" i="1"/>
  <c r="AQ249" i="1"/>
  <c r="AR249" i="1"/>
  <c r="AS249" i="1"/>
  <c r="AO250" i="1"/>
  <c r="AP250" i="1"/>
  <c r="AQ250" i="1"/>
  <c r="AR250" i="1"/>
  <c r="AS250" i="1"/>
  <c r="AO251" i="1"/>
  <c r="AP251" i="1"/>
  <c r="AQ251" i="1"/>
  <c r="AR251" i="1"/>
  <c r="AS251" i="1"/>
  <c r="AO252" i="1"/>
  <c r="AP252" i="1"/>
  <c r="AQ252" i="1"/>
  <c r="AR252" i="1"/>
  <c r="AS252" i="1"/>
  <c r="AO253" i="1"/>
  <c r="AP253" i="1"/>
  <c r="AQ253" i="1"/>
  <c r="AR253" i="1"/>
  <c r="AS253" i="1"/>
  <c r="AO254" i="1"/>
  <c r="AP254" i="1"/>
  <c r="AQ254" i="1"/>
  <c r="AR254" i="1"/>
  <c r="AS254" i="1"/>
  <c r="AO255" i="1"/>
  <c r="AP255" i="1"/>
  <c r="AQ255" i="1"/>
  <c r="AR255" i="1"/>
  <c r="AS255" i="1"/>
  <c r="AO256" i="1"/>
  <c r="AP256" i="1"/>
  <c r="AQ256" i="1"/>
  <c r="AR256" i="1"/>
  <c r="AS256" i="1"/>
  <c r="AO257" i="1"/>
  <c r="AP257" i="1"/>
  <c r="AQ257" i="1"/>
  <c r="AR257" i="1"/>
  <c r="AS257" i="1"/>
  <c r="AO258" i="1"/>
  <c r="AP258" i="1"/>
  <c r="AQ258" i="1"/>
  <c r="AR258" i="1"/>
  <c r="AS258" i="1"/>
  <c r="AO259" i="1"/>
  <c r="AP259" i="1"/>
  <c r="AQ259" i="1"/>
  <c r="AR259" i="1"/>
  <c r="AS259" i="1"/>
  <c r="AO260" i="1"/>
  <c r="AP260" i="1"/>
  <c r="AQ260" i="1"/>
  <c r="AR260" i="1"/>
  <c r="AS260" i="1"/>
  <c r="AO261" i="1"/>
  <c r="AP261" i="1"/>
  <c r="AQ261" i="1"/>
  <c r="AR261" i="1"/>
  <c r="AS261" i="1"/>
  <c r="AO262" i="1"/>
  <c r="AP262" i="1"/>
  <c r="AQ262" i="1"/>
  <c r="AR262" i="1"/>
  <c r="AS262" i="1"/>
  <c r="AO263" i="1"/>
  <c r="AP263" i="1"/>
  <c r="AQ263" i="1"/>
  <c r="AR263" i="1"/>
  <c r="AS263" i="1"/>
  <c r="AO264" i="1"/>
  <c r="AP264" i="1"/>
  <c r="AQ264" i="1"/>
  <c r="AR264" i="1"/>
  <c r="AS264" i="1"/>
  <c r="AO265" i="1"/>
  <c r="AP265" i="1"/>
  <c r="AQ265" i="1"/>
  <c r="AR265" i="1"/>
  <c r="AS265" i="1"/>
  <c r="AO266" i="1"/>
  <c r="AP266" i="1"/>
  <c r="AQ266" i="1"/>
  <c r="AR266" i="1"/>
  <c r="AS266" i="1"/>
  <c r="AO267" i="1"/>
  <c r="AP267" i="1"/>
  <c r="AQ267" i="1"/>
  <c r="AR267" i="1"/>
  <c r="AS267" i="1"/>
  <c r="AO268" i="1"/>
  <c r="AP268" i="1"/>
  <c r="AQ268" i="1"/>
  <c r="AR268" i="1"/>
  <c r="AS268" i="1"/>
  <c r="AO269" i="1"/>
  <c r="AP269" i="1"/>
  <c r="AQ269" i="1"/>
  <c r="AR269" i="1"/>
  <c r="AS269" i="1"/>
  <c r="AO270" i="1"/>
  <c r="AP270" i="1"/>
  <c r="AQ270" i="1"/>
  <c r="AR270" i="1"/>
  <c r="AS270" i="1"/>
  <c r="AO271" i="1"/>
  <c r="AP271" i="1"/>
  <c r="AQ271" i="1"/>
  <c r="AR271" i="1"/>
  <c r="AS271" i="1"/>
  <c r="AO272" i="1"/>
  <c r="AP272" i="1"/>
  <c r="AQ272" i="1"/>
  <c r="AR272" i="1"/>
  <c r="AS272" i="1"/>
  <c r="AO273" i="1"/>
  <c r="AP273" i="1"/>
  <c r="AQ273" i="1"/>
  <c r="AR273" i="1"/>
  <c r="AS273" i="1"/>
  <c r="AO274" i="1"/>
  <c r="AP274" i="1"/>
  <c r="AQ274" i="1"/>
  <c r="AR274" i="1"/>
  <c r="AS274" i="1"/>
  <c r="AO275" i="1"/>
  <c r="AP275" i="1"/>
  <c r="AQ275" i="1"/>
  <c r="AR275" i="1"/>
  <c r="AS275" i="1"/>
  <c r="AO276" i="1"/>
  <c r="AP276" i="1"/>
  <c r="AQ276" i="1"/>
  <c r="AR276" i="1"/>
  <c r="AS276" i="1"/>
  <c r="AO277" i="1"/>
  <c r="AP277" i="1"/>
  <c r="AQ277" i="1"/>
  <c r="AR277" i="1"/>
  <c r="AS277" i="1"/>
  <c r="AO278" i="1"/>
  <c r="AP278" i="1"/>
  <c r="AQ278" i="1"/>
  <c r="AR278" i="1"/>
  <c r="AS278" i="1"/>
  <c r="AO279" i="1"/>
  <c r="AP279" i="1"/>
  <c r="AQ279" i="1"/>
  <c r="AR279" i="1"/>
  <c r="AS279" i="1"/>
  <c r="AO280" i="1"/>
  <c r="AP280" i="1"/>
  <c r="AQ280" i="1"/>
  <c r="AR280" i="1"/>
  <c r="AS280" i="1"/>
  <c r="AO281" i="1"/>
  <c r="AP281" i="1"/>
  <c r="AQ281" i="1"/>
  <c r="AR281" i="1"/>
  <c r="AS281" i="1"/>
  <c r="AO282" i="1"/>
  <c r="AP282" i="1"/>
  <c r="AQ282" i="1"/>
  <c r="AR282" i="1"/>
  <c r="AS282" i="1"/>
  <c r="AO283" i="1"/>
  <c r="AP283" i="1"/>
  <c r="AQ283" i="1"/>
  <c r="AR283" i="1"/>
  <c r="AS283" i="1"/>
  <c r="AO284" i="1"/>
  <c r="AP284" i="1"/>
  <c r="AQ284" i="1"/>
  <c r="AR284" i="1"/>
  <c r="AS284" i="1"/>
  <c r="AO285" i="1"/>
  <c r="AP285" i="1"/>
  <c r="AQ285" i="1"/>
  <c r="AR285" i="1"/>
  <c r="AS285" i="1"/>
  <c r="AO286" i="1"/>
  <c r="AP286" i="1"/>
  <c r="AQ286" i="1"/>
  <c r="AR286" i="1"/>
  <c r="AS286" i="1"/>
  <c r="AO287" i="1"/>
  <c r="AP287" i="1"/>
  <c r="AQ287" i="1"/>
  <c r="AR287" i="1"/>
  <c r="AS287" i="1"/>
  <c r="AO288" i="1"/>
  <c r="AP288" i="1"/>
  <c r="AQ288" i="1"/>
  <c r="AR288" i="1"/>
  <c r="AS288" i="1"/>
  <c r="AO289" i="1"/>
  <c r="AP289" i="1"/>
  <c r="AQ289" i="1"/>
  <c r="AR289" i="1"/>
  <c r="AS289" i="1"/>
  <c r="AO290" i="1"/>
  <c r="AP290" i="1"/>
  <c r="AQ290" i="1"/>
  <c r="AR290" i="1"/>
  <c r="AS290" i="1"/>
  <c r="AO291" i="1"/>
  <c r="AP291" i="1"/>
  <c r="AQ291" i="1"/>
  <c r="AR291" i="1"/>
  <c r="AS291" i="1"/>
  <c r="AO292" i="1"/>
  <c r="AP292" i="1"/>
  <c r="AQ292" i="1"/>
  <c r="AR292" i="1"/>
  <c r="AS292" i="1"/>
  <c r="AO293" i="1"/>
  <c r="AP293" i="1"/>
  <c r="AQ293" i="1"/>
  <c r="AR293" i="1"/>
  <c r="AS293" i="1"/>
  <c r="AO294" i="1"/>
  <c r="AP294" i="1"/>
  <c r="AQ294" i="1"/>
  <c r="AR294" i="1"/>
  <c r="AS294" i="1"/>
  <c r="AO295" i="1"/>
  <c r="AP295" i="1"/>
  <c r="AQ295" i="1"/>
  <c r="AR295" i="1"/>
  <c r="AS295" i="1"/>
  <c r="AO296" i="1"/>
  <c r="AP296" i="1"/>
  <c r="AQ296" i="1"/>
  <c r="AR296" i="1"/>
  <c r="AS296" i="1"/>
  <c r="AO297" i="1"/>
  <c r="AP297" i="1"/>
  <c r="AQ297" i="1"/>
  <c r="AR297" i="1"/>
  <c r="AS297" i="1"/>
  <c r="AO298" i="1"/>
  <c r="AP298" i="1"/>
  <c r="AQ298" i="1"/>
  <c r="AR298" i="1"/>
  <c r="AS298" i="1"/>
  <c r="AO299" i="1"/>
  <c r="AP299" i="1"/>
  <c r="AQ299" i="1"/>
  <c r="AR299" i="1"/>
  <c r="AS299" i="1"/>
  <c r="AO300" i="1"/>
  <c r="AP300" i="1"/>
  <c r="AQ300" i="1"/>
  <c r="AR300" i="1"/>
  <c r="AS300" i="1"/>
  <c r="AO301" i="1"/>
  <c r="AP301" i="1"/>
  <c r="AQ301" i="1"/>
  <c r="AR301" i="1"/>
  <c r="AS301" i="1"/>
  <c r="AO302" i="1"/>
  <c r="AP302" i="1"/>
  <c r="AQ302" i="1"/>
  <c r="AR302" i="1"/>
  <c r="AS302" i="1"/>
  <c r="AO303" i="1"/>
  <c r="AP303" i="1"/>
  <c r="AQ303" i="1"/>
  <c r="AR303" i="1"/>
  <c r="AS303" i="1"/>
  <c r="AO304" i="1"/>
  <c r="AP304" i="1"/>
  <c r="AQ304" i="1"/>
  <c r="AR304" i="1"/>
  <c r="AS304" i="1"/>
  <c r="AO305" i="1"/>
  <c r="AP305" i="1"/>
  <c r="AQ305" i="1"/>
  <c r="AR305" i="1"/>
  <c r="AS305" i="1"/>
  <c r="AO306" i="1"/>
  <c r="AP306" i="1"/>
  <c r="AQ306" i="1"/>
  <c r="AR306" i="1"/>
  <c r="AS306" i="1"/>
  <c r="AO307" i="1"/>
  <c r="AP307" i="1"/>
  <c r="AQ307" i="1"/>
  <c r="AR307" i="1"/>
  <c r="AS307" i="1"/>
  <c r="AO308" i="1"/>
  <c r="AP308" i="1"/>
  <c r="AQ308" i="1"/>
  <c r="AR308" i="1"/>
  <c r="AS308" i="1"/>
  <c r="AO309" i="1"/>
  <c r="AP309" i="1"/>
  <c r="AQ309" i="1"/>
  <c r="AR309" i="1"/>
  <c r="AS309" i="1"/>
  <c r="AO310" i="1"/>
  <c r="AP310" i="1"/>
  <c r="AQ310" i="1"/>
  <c r="AR310" i="1"/>
  <c r="AS310" i="1"/>
  <c r="AO311" i="1"/>
  <c r="AP311" i="1"/>
  <c r="AQ311" i="1"/>
  <c r="AR311" i="1"/>
  <c r="AS311" i="1"/>
  <c r="AO312" i="1"/>
  <c r="AP312" i="1"/>
  <c r="AQ312" i="1"/>
  <c r="AR312" i="1"/>
  <c r="AS312" i="1"/>
  <c r="AO313" i="1"/>
  <c r="AP313" i="1"/>
  <c r="AQ313" i="1"/>
  <c r="AR313" i="1"/>
  <c r="AS313" i="1"/>
  <c r="AO314" i="1"/>
  <c r="AP314" i="1"/>
  <c r="AQ314" i="1"/>
  <c r="AR314" i="1"/>
  <c r="AS314" i="1"/>
  <c r="AO315" i="1"/>
  <c r="AP315" i="1"/>
  <c r="AQ315" i="1"/>
  <c r="AR315" i="1"/>
  <c r="AS315" i="1"/>
  <c r="AO316" i="1"/>
  <c r="AP316" i="1"/>
  <c r="AQ316" i="1"/>
  <c r="AR316" i="1"/>
  <c r="AS316" i="1"/>
  <c r="AO317" i="1"/>
  <c r="AP317" i="1"/>
  <c r="AQ317" i="1"/>
  <c r="AR317" i="1"/>
  <c r="AS317" i="1"/>
  <c r="AO318" i="1"/>
  <c r="AP318" i="1"/>
  <c r="AQ318" i="1"/>
  <c r="AR318" i="1"/>
  <c r="AS318" i="1"/>
  <c r="AO319" i="1"/>
  <c r="AP319" i="1"/>
  <c r="AQ319" i="1"/>
  <c r="AR319" i="1"/>
  <c r="AS319" i="1"/>
  <c r="AO320" i="1"/>
  <c r="AP320" i="1"/>
  <c r="AQ320" i="1"/>
  <c r="AR320" i="1"/>
  <c r="AS320" i="1"/>
  <c r="AO321" i="1"/>
  <c r="AP321" i="1"/>
  <c r="AQ321" i="1"/>
  <c r="AR321" i="1"/>
  <c r="AS321" i="1"/>
  <c r="AO322" i="1"/>
  <c r="AP322" i="1"/>
  <c r="AQ322" i="1"/>
  <c r="AR322" i="1"/>
  <c r="AS322" i="1"/>
  <c r="AO323" i="1"/>
  <c r="AP323" i="1"/>
  <c r="AQ323" i="1"/>
  <c r="AR323" i="1"/>
  <c r="AS323" i="1"/>
  <c r="AO324" i="1"/>
  <c r="AP324" i="1"/>
  <c r="AQ324" i="1"/>
  <c r="AR324" i="1"/>
  <c r="AS324" i="1"/>
  <c r="AO325" i="1"/>
  <c r="AP325" i="1"/>
  <c r="AQ325" i="1"/>
  <c r="AR325" i="1"/>
  <c r="AS325" i="1"/>
  <c r="AO326" i="1"/>
  <c r="AP326" i="1"/>
  <c r="AQ326" i="1"/>
  <c r="AR326" i="1"/>
  <c r="AS326" i="1"/>
  <c r="AO327" i="1"/>
  <c r="AP327" i="1"/>
  <c r="AQ327" i="1"/>
  <c r="AR327" i="1"/>
  <c r="AS327" i="1"/>
  <c r="AO328" i="1"/>
  <c r="AP328" i="1"/>
  <c r="AQ328" i="1"/>
  <c r="AR328" i="1"/>
  <c r="AS328" i="1"/>
  <c r="AO329" i="1"/>
  <c r="AP329" i="1"/>
  <c r="AQ329" i="1"/>
  <c r="AR329" i="1"/>
  <c r="AS329" i="1"/>
  <c r="AO330" i="1"/>
  <c r="AP330" i="1"/>
  <c r="AQ330" i="1"/>
  <c r="AR330" i="1"/>
  <c r="AS330" i="1"/>
  <c r="AO331" i="1"/>
  <c r="AP331" i="1"/>
  <c r="AQ331" i="1"/>
  <c r="AR331" i="1"/>
  <c r="AS331" i="1"/>
  <c r="AO332" i="1"/>
  <c r="AP332" i="1"/>
  <c r="AQ332" i="1"/>
  <c r="AR332" i="1"/>
  <c r="AS332" i="1"/>
  <c r="AO333" i="1"/>
  <c r="AP333" i="1"/>
  <c r="AQ333" i="1"/>
  <c r="AR333" i="1"/>
  <c r="AS333" i="1"/>
  <c r="AO334" i="1"/>
  <c r="AP334" i="1"/>
  <c r="AQ334" i="1"/>
  <c r="AR334" i="1"/>
  <c r="AS334" i="1"/>
  <c r="AO335" i="1"/>
  <c r="AP335" i="1"/>
  <c r="AQ335" i="1"/>
  <c r="AR335" i="1"/>
  <c r="AS335" i="1"/>
  <c r="AO336" i="1"/>
  <c r="AP336" i="1"/>
  <c r="AQ336" i="1"/>
  <c r="AR336" i="1"/>
  <c r="AS336" i="1"/>
  <c r="AO337" i="1"/>
  <c r="AP337" i="1"/>
  <c r="AQ337" i="1"/>
  <c r="AR337" i="1"/>
  <c r="AS337" i="1"/>
  <c r="AO338" i="1"/>
  <c r="AP338" i="1"/>
  <c r="AQ338" i="1"/>
  <c r="AR338" i="1"/>
  <c r="AS338" i="1"/>
  <c r="AO339" i="1"/>
  <c r="AP339" i="1"/>
  <c r="AQ339" i="1"/>
  <c r="AR339" i="1"/>
  <c r="AS339" i="1"/>
  <c r="AO340" i="1"/>
  <c r="AP340" i="1"/>
  <c r="AQ340" i="1"/>
  <c r="AR340" i="1"/>
  <c r="AS340" i="1"/>
  <c r="AO341" i="1"/>
  <c r="AP341" i="1"/>
  <c r="AQ341" i="1"/>
  <c r="AR341" i="1"/>
  <c r="AS341" i="1"/>
  <c r="AO342" i="1"/>
  <c r="AP342" i="1"/>
  <c r="AQ342" i="1"/>
  <c r="AR342" i="1"/>
  <c r="AS342" i="1"/>
  <c r="AO343" i="1"/>
  <c r="AP343" i="1"/>
  <c r="AQ343" i="1"/>
  <c r="AR343" i="1"/>
  <c r="AS343" i="1"/>
  <c r="AO344" i="1"/>
  <c r="AP344" i="1"/>
  <c r="AQ344" i="1"/>
  <c r="AR344" i="1"/>
  <c r="AS344" i="1"/>
  <c r="AO345" i="1"/>
  <c r="AP345" i="1"/>
  <c r="AQ345" i="1"/>
  <c r="AR345" i="1"/>
  <c r="AS345" i="1"/>
  <c r="AO346" i="1"/>
  <c r="AP346" i="1"/>
  <c r="AQ346" i="1"/>
  <c r="AR346" i="1"/>
  <c r="AS346" i="1"/>
  <c r="AO347" i="1"/>
  <c r="AP347" i="1"/>
  <c r="AQ347" i="1"/>
  <c r="AR347" i="1"/>
  <c r="AS347" i="1"/>
  <c r="AO348" i="1"/>
  <c r="AP348" i="1"/>
  <c r="AQ348" i="1"/>
  <c r="AR348" i="1"/>
  <c r="AS348" i="1"/>
  <c r="AO349" i="1"/>
  <c r="AP349" i="1"/>
  <c r="AQ349" i="1"/>
  <c r="AR349" i="1"/>
  <c r="AS349" i="1"/>
  <c r="AO350" i="1"/>
  <c r="AP350" i="1"/>
  <c r="AQ350" i="1"/>
  <c r="AR350" i="1"/>
  <c r="AS350" i="1"/>
  <c r="AO351" i="1"/>
  <c r="AP351" i="1"/>
  <c r="AQ351" i="1"/>
  <c r="AR351" i="1"/>
  <c r="AS351" i="1"/>
  <c r="AO352" i="1"/>
  <c r="AP352" i="1"/>
  <c r="AQ352" i="1"/>
  <c r="AR352" i="1"/>
  <c r="AS352" i="1"/>
  <c r="AO353" i="1"/>
  <c r="AP353" i="1"/>
  <c r="AQ353" i="1"/>
  <c r="AR353" i="1"/>
  <c r="AS353" i="1"/>
  <c r="AO354" i="1"/>
  <c r="AP354" i="1"/>
  <c r="AQ354" i="1"/>
  <c r="AR354" i="1"/>
  <c r="AS354" i="1"/>
  <c r="AO355" i="1"/>
  <c r="AP355" i="1"/>
  <c r="AQ355" i="1"/>
  <c r="AR355" i="1"/>
  <c r="AS355" i="1"/>
  <c r="AO356" i="1"/>
  <c r="AP356" i="1"/>
  <c r="AQ356" i="1"/>
  <c r="AR356" i="1"/>
  <c r="AS356" i="1"/>
  <c r="AO357" i="1"/>
  <c r="AP357" i="1"/>
  <c r="AQ357" i="1"/>
  <c r="AR357" i="1"/>
  <c r="AS357" i="1"/>
  <c r="AO358" i="1"/>
  <c r="AP358" i="1"/>
  <c r="AQ358" i="1"/>
  <c r="AR358" i="1"/>
  <c r="AS358" i="1"/>
  <c r="AO359" i="1"/>
  <c r="AP359" i="1"/>
  <c r="AQ359" i="1"/>
  <c r="AR359" i="1"/>
  <c r="AS359" i="1"/>
  <c r="AO360" i="1"/>
  <c r="AP360" i="1"/>
  <c r="AQ360" i="1"/>
  <c r="AR360" i="1"/>
  <c r="AS360" i="1"/>
  <c r="AO361" i="1"/>
  <c r="AP361" i="1"/>
  <c r="AQ361" i="1"/>
  <c r="AR361" i="1"/>
  <c r="AS361" i="1"/>
  <c r="AO362" i="1"/>
  <c r="AP362" i="1"/>
  <c r="AQ362" i="1"/>
  <c r="AR362" i="1"/>
  <c r="AS362" i="1"/>
  <c r="AO363" i="1"/>
  <c r="AP363" i="1"/>
  <c r="AQ363" i="1"/>
  <c r="AR363" i="1"/>
  <c r="AS363" i="1"/>
  <c r="AS4" i="1"/>
  <c r="AR4" i="1"/>
  <c r="AQ4" i="1"/>
  <c r="AP4" i="1"/>
  <c r="AO4" i="1"/>
  <c r="AH5" i="1"/>
  <c r="AI5" i="1"/>
  <c r="AJ5" i="1"/>
  <c r="AK5" i="1"/>
  <c r="AL5" i="1"/>
  <c r="AH6" i="1"/>
  <c r="AI6" i="1"/>
  <c r="AJ6" i="1"/>
  <c r="AK6" i="1"/>
  <c r="AL6" i="1"/>
  <c r="AH7" i="1"/>
  <c r="AI7" i="1"/>
  <c r="AJ7" i="1"/>
  <c r="AK7" i="1"/>
  <c r="AL7" i="1"/>
  <c r="AH8" i="1"/>
  <c r="AI8" i="1"/>
  <c r="AJ8" i="1"/>
  <c r="AK8" i="1"/>
  <c r="AL8" i="1"/>
  <c r="AH9" i="1"/>
  <c r="AI9" i="1"/>
  <c r="AJ9" i="1"/>
  <c r="AK9" i="1"/>
  <c r="AL9" i="1"/>
  <c r="AH10" i="1"/>
  <c r="AI10" i="1"/>
  <c r="AJ10" i="1"/>
  <c r="AK10" i="1"/>
  <c r="AL10" i="1"/>
  <c r="AH11" i="1"/>
  <c r="AI11" i="1"/>
  <c r="AJ11" i="1"/>
  <c r="AK11" i="1"/>
  <c r="AL11" i="1"/>
  <c r="AH12" i="1"/>
  <c r="AI12" i="1"/>
  <c r="AJ12" i="1"/>
  <c r="AK12" i="1"/>
  <c r="AL12" i="1"/>
  <c r="AH13" i="1"/>
  <c r="AI13" i="1"/>
  <c r="AJ13" i="1"/>
  <c r="AK13" i="1"/>
  <c r="AL13" i="1"/>
  <c r="AH14" i="1"/>
  <c r="AI14" i="1"/>
  <c r="AJ14" i="1"/>
  <c r="AK14" i="1"/>
  <c r="AL14" i="1"/>
  <c r="AH15" i="1"/>
  <c r="AI15" i="1"/>
  <c r="AJ15" i="1"/>
  <c r="AK15" i="1"/>
  <c r="AL15" i="1"/>
  <c r="AH16" i="1"/>
  <c r="AI16" i="1"/>
  <c r="AJ16" i="1"/>
  <c r="AK16" i="1"/>
  <c r="AL16" i="1"/>
  <c r="AH17" i="1"/>
  <c r="AI17" i="1"/>
  <c r="AJ17" i="1"/>
  <c r="AK17" i="1"/>
  <c r="AL17" i="1"/>
  <c r="AH18" i="1"/>
  <c r="AI18" i="1"/>
  <c r="AJ18" i="1"/>
  <c r="AK18" i="1"/>
  <c r="AL18" i="1"/>
  <c r="AH19" i="1"/>
  <c r="AI19" i="1"/>
  <c r="AJ19" i="1"/>
  <c r="AK19" i="1"/>
  <c r="AL19" i="1"/>
  <c r="AH20" i="1"/>
  <c r="AI20" i="1"/>
  <c r="AJ20" i="1"/>
  <c r="AK20" i="1"/>
  <c r="AL20" i="1"/>
  <c r="AH21" i="1"/>
  <c r="AI21" i="1"/>
  <c r="AJ21" i="1"/>
  <c r="AK21" i="1"/>
  <c r="AL21" i="1"/>
  <c r="AH22" i="1"/>
  <c r="AI22" i="1"/>
  <c r="AJ22" i="1"/>
  <c r="AK22" i="1"/>
  <c r="AL22" i="1"/>
  <c r="AH23" i="1"/>
  <c r="AI23" i="1"/>
  <c r="AJ23" i="1"/>
  <c r="AK23" i="1"/>
  <c r="AL23" i="1"/>
  <c r="AH24" i="1"/>
  <c r="AI24" i="1"/>
  <c r="AJ24" i="1"/>
  <c r="AK24" i="1"/>
  <c r="AL24" i="1"/>
  <c r="AH25" i="1"/>
  <c r="AI25" i="1"/>
  <c r="AJ25" i="1"/>
  <c r="AK25" i="1"/>
  <c r="AL25" i="1"/>
  <c r="AH26" i="1"/>
  <c r="AI26" i="1"/>
  <c r="AJ26" i="1"/>
  <c r="AK26" i="1"/>
  <c r="AL26" i="1"/>
  <c r="AH27" i="1"/>
  <c r="AI27" i="1"/>
  <c r="AJ27" i="1"/>
  <c r="AK27" i="1"/>
  <c r="AL27" i="1"/>
  <c r="AH28" i="1"/>
  <c r="AI28" i="1"/>
  <c r="AJ28" i="1"/>
  <c r="AK28" i="1"/>
  <c r="AL28" i="1"/>
  <c r="AH29" i="1"/>
  <c r="AI29" i="1"/>
  <c r="AJ29" i="1"/>
  <c r="AK29" i="1"/>
  <c r="AL29" i="1"/>
  <c r="AH30" i="1"/>
  <c r="AI30" i="1"/>
  <c r="AJ30" i="1"/>
  <c r="AK30" i="1"/>
  <c r="AL30" i="1"/>
  <c r="AH31" i="1"/>
  <c r="AI31" i="1"/>
  <c r="AJ31" i="1"/>
  <c r="AK31" i="1"/>
  <c r="AL31" i="1"/>
  <c r="AH32" i="1"/>
  <c r="AI32" i="1"/>
  <c r="AJ32" i="1"/>
  <c r="AK32" i="1"/>
  <c r="AL32" i="1"/>
  <c r="AH33" i="1"/>
  <c r="AI33" i="1"/>
  <c r="AJ33" i="1"/>
  <c r="AK33" i="1"/>
  <c r="AL33" i="1"/>
  <c r="AH34" i="1"/>
  <c r="AI34" i="1"/>
  <c r="AJ34" i="1"/>
  <c r="AK34" i="1"/>
  <c r="AL34" i="1"/>
  <c r="AH35" i="1"/>
  <c r="AI35" i="1"/>
  <c r="AJ35" i="1"/>
  <c r="AK35" i="1"/>
  <c r="AL35" i="1"/>
  <c r="AH36" i="1"/>
  <c r="AI36" i="1"/>
  <c r="AJ36" i="1"/>
  <c r="AK36" i="1"/>
  <c r="AL36" i="1"/>
  <c r="AH37" i="1"/>
  <c r="AI37" i="1"/>
  <c r="AJ37" i="1"/>
  <c r="AK37" i="1"/>
  <c r="AL37" i="1"/>
  <c r="AH38" i="1"/>
  <c r="AI38" i="1"/>
  <c r="AJ38" i="1"/>
  <c r="AK38" i="1"/>
  <c r="AL38" i="1"/>
  <c r="AH39" i="1"/>
  <c r="AI39" i="1"/>
  <c r="AJ39" i="1"/>
  <c r="AK39" i="1"/>
  <c r="AL39" i="1"/>
  <c r="AH40" i="1"/>
  <c r="AI40" i="1"/>
  <c r="AJ40" i="1"/>
  <c r="AK40" i="1"/>
  <c r="AL40" i="1"/>
  <c r="AH41" i="1"/>
  <c r="AI41" i="1"/>
  <c r="AJ41" i="1"/>
  <c r="AK41" i="1"/>
  <c r="AL41" i="1"/>
  <c r="AH42" i="1"/>
  <c r="AI42" i="1"/>
  <c r="AJ42" i="1"/>
  <c r="AK42" i="1"/>
  <c r="AL42" i="1"/>
  <c r="AH43" i="1"/>
  <c r="AI43" i="1"/>
  <c r="AJ43" i="1"/>
  <c r="AK43" i="1"/>
  <c r="AL43" i="1"/>
  <c r="AH44" i="1"/>
  <c r="AI44" i="1"/>
  <c r="AJ44" i="1"/>
  <c r="AK44" i="1"/>
  <c r="AL44" i="1"/>
  <c r="AH45" i="1"/>
  <c r="AI45" i="1"/>
  <c r="AJ45" i="1"/>
  <c r="AK45" i="1"/>
  <c r="AL45" i="1"/>
  <c r="AH46" i="1"/>
  <c r="AI46" i="1"/>
  <c r="AJ46" i="1"/>
  <c r="AK46" i="1"/>
  <c r="AL46" i="1"/>
  <c r="AH47" i="1"/>
  <c r="AI47" i="1"/>
  <c r="AJ47" i="1"/>
  <c r="AK47" i="1"/>
  <c r="AL47" i="1"/>
  <c r="AH48" i="1"/>
  <c r="AI48" i="1"/>
  <c r="AJ48" i="1"/>
  <c r="AK48" i="1"/>
  <c r="AL48" i="1"/>
  <c r="AH49" i="1"/>
  <c r="AI49" i="1"/>
  <c r="AJ49" i="1"/>
  <c r="AK49" i="1"/>
  <c r="AL49" i="1"/>
  <c r="AH50" i="1"/>
  <c r="AI50" i="1"/>
  <c r="AJ50" i="1"/>
  <c r="AK50" i="1"/>
  <c r="AL50" i="1"/>
  <c r="AH51" i="1"/>
  <c r="AI51" i="1"/>
  <c r="AJ51" i="1"/>
  <c r="AK51" i="1"/>
  <c r="AL51" i="1"/>
  <c r="AH52" i="1"/>
  <c r="AI52" i="1"/>
  <c r="AJ52" i="1"/>
  <c r="AK52" i="1"/>
  <c r="AL52" i="1"/>
  <c r="AH53" i="1"/>
  <c r="AI53" i="1"/>
  <c r="AJ53" i="1"/>
  <c r="AK53" i="1"/>
  <c r="AL53" i="1"/>
  <c r="AL4" i="1"/>
  <c r="AK4" i="1"/>
  <c r="AJ4" i="1"/>
  <c r="AI4" i="1"/>
  <c r="AH4" i="1"/>
  <c r="AA5" i="1"/>
  <c r="AB5" i="1"/>
  <c r="AC5" i="1"/>
  <c r="AD5" i="1"/>
  <c r="AE5" i="1"/>
  <c r="AA6" i="1"/>
  <c r="AB6" i="1"/>
  <c r="AC6" i="1"/>
  <c r="AD6" i="1"/>
  <c r="AE6" i="1"/>
  <c r="AA7" i="1"/>
  <c r="AB7" i="1"/>
  <c r="AC7" i="1"/>
  <c r="AD7" i="1"/>
  <c r="AE7" i="1"/>
  <c r="AA8" i="1"/>
  <c r="AB8" i="1"/>
  <c r="AC8" i="1"/>
  <c r="AD8" i="1"/>
  <c r="AE8" i="1"/>
  <c r="AA9" i="1"/>
  <c r="AB9" i="1"/>
  <c r="AC9" i="1"/>
  <c r="AD9" i="1"/>
  <c r="AE9" i="1"/>
  <c r="AA10" i="1"/>
  <c r="AB10" i="1"/>
  <c r="AC10" i="1"/>
  <c r="AD10" i="1"/>
  <c r="AE10" i="1"/>
  <c r="AA11" i="1"/>
  <c r="AB11" i="1"/>
  <c r="AC11" i="1"/>
  <c r="AD11" i="1"/>
  <c r="AE11" i="1"/>
  <c r="AA12" i="1"/>
  <c r="AB12" i="1"/>
  <c r="AC12" i="1"/>
  <c r="AD12" i="1"/>
  <c r="AE12" i="1"/>
  <c r="AA13" i="1"/>
  <c r="AB13" i="1"/>
  <c r="AC13" i="1"/>
  <c r="AD13" i="1"/>
  <c r="AE13" i="1"/>
  <c r="AA14" i="1"/>
  <c r="AB14" i="1"/>
  <c r="AC14" i="1"/>
  <c r="AD14" i="1"/>
  <c r="AE14" i="1"/>
  <c r="AA15" i="1"/>
  <c r="AB15" i="1"/>
  <c r="AC15" i="1"/>
  <c r="AD15" i="1"/>
  <c r="AE15" i="1"/>
  <c r="AA16" i="1"/>
  <c r="AB16" i="1"/>
  <c r="AC16" i="1"/>
  <c r="AD16" i="1"/>
  <c r="AE16" i="1"/>
  <c r="AA17" i="1"/>
  <c r="AB17" i="1"/>
  <c r="AC17" i="1"/>
  <c r="AD17" i="1"/>
  <c r="AE17" i="1"/>
  <c r="AA18" i="1"/>
  <c r="AB18" i="1"/>
  <c r="AC18" i="1"/>
  <c r="AD18" i="1"/>
  <c r="AE18" i="1"/>
  <c r="AA19" i="1"/>
  <c r="AB19" i="1"/>
  <c r="AC19" i="1"/>
  <c r="AD19" i="1"/>
  <c r="AE19" i="1"/>
  <c r="AA20" i="1"/>
  <c r="AB20" i="1"/>
  <c r="AC20" i="1"/>
  <c r="AD20" i="1"/>
  <c r="AE20" i="1"/>
  <c r="AA21" i="1"/>
  <c r="AB21" i="1"/>
  <c r="AC21" i="1"/>
  <c r="AD21" i="1"/>
  <c r="AE21" i="1"/>
  <c r="AA22" i="1"/>
  <c r="AB22" i="1"/>
  <c r="AC22" i="1"/>
  <c r="AD22" i="1"/>
  <c r="AE22" i="1"/>
  <c r="AA23" i="1"/>
  <c r="AB23" i="1"/>
  <c r="AC23" i="1"/>
  <c r="AD23" i="1"/>
  <c r="AE23" i="1"/>
  <c r="AA24" i="1"/>
  <c r="AB24" i="1"/>
  <c r="AC24" i="1"/>
  <c r="AD24" i="1"/>
  <c r="AE24" i="1"/>
  <c r="AA25" i="1"/>
  <c r="AB25" i="1"/>
  <c r="AC25" i="1"/>
  <c r="AD25" i="1"/>
  <c r="AE25" i="1"/>
  <c r="AA26" i="1"/>
  <c r="AB26" i="1"/>
  <c r="AC26" i="1"/>
  <c r="AD26" i="1"/>
  <c r="AE26" i="1"/>
  <c r="AA27" i="1"/>
  <c r="AB27" i="1"/>
  <c r="AC27" i="1"/>
  <c r="AD27" i="1"/>
  <c r="AE27" i="1"/>
  <c r="AA28" i="1"/>
  <c r="AB28" i="1"/>
  <c r="AC28" i="1"/>
  <c r="AD28" i="1"/>
  <c r="AE28" i="1"/>
  <c r="AA29" i="1"/>
  <c r="AB29" i="1"/>
  <c r="AC29" i="1"/>
  <c r="AD29" i="1"/>
  <c r="AE29" i="1"/>
  <c r="AA30" i="1"/>
  <c r="AB30" i="1"/>
  <c r="AC30" i="1"/>
  <c r="AD30" i="1"/>
  <c r="AE30" i="1"/>
  <c r="AA31" i="1"/>
  <c r="AB31" i="1"/>
  <c r="AC31" i="1"/>
  <c r="AD31" i="1"/>
  <c r="AE31" i="1"/>
  <c r="AA32" i="1"/>
  <c r="AB32" i="1"/>
  <c r="AC32" i="1"/>
  <c r="AD32" i="1"/>
  <c r="AE32" i="1"/>
  <c r="AA33" i="1"/>
  <c r="AB33" i="1"/>
  <c r="AC33" i="1"/>
  <c r="AD33" i="1"/>
  <c r="AE33" i="1"/>
  <c r="AA34" i="1"/>
  <c r="AB34" i="1"/>
  <c r="AC34" i="1"/>
  <c r="AD34" i="1"/>
  <c r="AE34" i="1"/>
  <c r="AA35" i="1"/>
  <c r="AB35" i="1"/>
  <c r="AC35" i="1"/>
  <c r="AD35" i="1"/>
  <c r="AE35" i="1"/>
  <c r="AA36" i="1"/>
  <c r="AB36" i="1"/>
  <c r="AC36" i="1"/>
  <c r="AD36" i="1"/>
  <c r="AE36" i="1"/>
  <c r="AA37" i="1"/>
  <c r="AB37" i="1"/>
  <c r="AC37" i="1"/>
  <c r="AD37" i="1"/>
  <c r="AE37" i="1"/>
  <c r="AA38" i="1"/>
  <c r="AB38" i="1"/>
  <c r="AC38" i="1"/>
  <c r="AD38" i="1"/>
  <c r="AE38" i="1"/>
  <c r="AA39" i="1"/>
  <c r="AB39" i="1"/>
  <c r="AC39" i="1"/>
  <c r="AD39" i="1"/>
  <c r="AE39" i="1"/>
  <c r="AA40" i="1"/>
  <c r="AB40" i="1"/>
  <c r="AC40" i="1"/>
  <c r="AD40" i="1"/>
  <c r="AE40" i="1"/>
  <c r="AA41" i="1"/>
  <c r="AB41" i="1"/>
  <c r="AC41" i="1"/>
  <c r="AD41" i="1"/>
  <c r="AE41" i="1"/>
  <c r="AA42" i="1"/>
  <c r="AB42" i="1"/>
  <c r="AC42" i="1"/>
  <c r="AD42" i="1"/>
  <c r="AE42" i="1"/>
  <c r="AA43" i="1"/>
  <c r="AB43" i="1"/>
  <c r="AC43" i="1"/>
  <c r="AD43" i="1"/>
  <c r="AE43" i="1"/>
  <c r="AA44" i="1"/>
  <c r="AB44" i="1"/>
  <c r="AC44" i="1"/>
  <c r="AD44" i="1"/>
  <c r="AE44" i="1"/>
  <c r="AA45" i="1"/>
  <c r="AB45" i="1"/>
  <c r="AC45" i="1"/>
  <c r="AD45" i="1"/>
  <c r="AE45" i="1"/>
  <c r="AA46" i="1"/>
  <c r="AB46" i="1"/>
  <c r="AC46" i="1"/>
  <c r="AD46" i="1"/>
  <c r="AE46" i="1"/>
  <c r="AA47" i="1"/>
  <c r="AB47" i="1"/>
  <c r="AC47" i="1"/>
  <c r="AD47" i="1"/>
  <c r="AE47" i="1"/>
  <c r="AA48" i="1"/>
  <c r="AB48" i="1"/>
  <c r="AC48" i="1"/>
  <c r="AD48" i="1"/>
  <c r="AE48" i="1"/>
  <c r="AA49" i="1"/>
  <c r="AB49" i="1"/>
  <c r="AC49" i="1"/>
  <c r="AD49" i="1"/>
  <c r="AE49" i="1"/>
  <c r="AA50" i="1"/>
  <c r="AB50" i="1"/>
  <c r="AC50" i="1"/>
  <c r="AD50" i="1"/>
  <c r="AE50" i="1"/>
  <c r="AA51" i="1"/>
  <c r="AB51" i="1"/>
  <c r="AC51" i="1"/>
  <c r="AD51" i="1"/>
  <c r="AE51" i="1"/>
  <c r="AA52" i="1"/>
  <c r="AB52" i="1"/>
  <c r="AC52" i="1"/>
  <c r="AD52" i="1"/>
  <c r="AE52" i="1"/>
  <c r="AA53" i="1"/>
  <c r="AB53" i="1"/>
  <c r="AC53" i="1"/>
  <c r="AD53" i="1"/>
  <c r="AE53" i="1"/>
  <c r="AE4" i="1"/>
  <c r="AD4" i="1"/>
  <c r="AC4" i="1"/>
  <c r="AB4" i="1"/>
  <c r="AA4" i="1"/>
  <c r="E105" i="1" l="1"/>
  <c r="G106" i="1"/>
  <c r="D107" i="1"/>
  <c r="F108" i="1"/>
  <c r="D110" i="1"/>
  <c r="H111" i="1"/>
  <c r="G112" i="1"/>
  <c r="F92" i="1" l="1"/>
  <c r="D56" i="1"/>
  <c r="E26" i="1"/>
  <c r="D67" i="1"/>
  <c r="H7" i="1"/>
  <c r="F97" i="1"/>
  <c r="D43" i="1"/>
  <c r="E102" i="1"/>
  <c r="G90" i="1"/>
  <c r="D84" i="1"/>
  <c r="D78" i="1"/>
  <c r="G66" i="1"/>
  <c r="D54" i="1"/>
  <c r="E42" i="1"/>
  <c r="F30" i="1"/>
  <c r="E24" i="1"/>
  <c r="G18" i="1"/>
  <c r="G12" i="1"/>
  <c r="D6" i="1"/>
  <c r="E86" i="1"/>
  <c r="F62" i="1"/>
  <c r="D38" i="1"/>
  <c r="F14" i="1"/>
  <c r="H36" i="1"/>
  <c r="E73" i="1"/>
  <c r="H13" i="1"/>
  <c r="F18" i="1"/>
  <c r="F67" i="1"/>
  <c r="D113" i="1"/>
  <c r="H101" i="1"/>
  <c r="E89" i="1"/>
  <c r="F77" i="1"/>
  <c r="F65" i="1"/>
  <c r="E59" i="1"/>
  <c r="G53" i="1"/>
  <c r="D41" i="1"/>
  <c r="H29" i="1"/>
  <c r="H23" i="1"/>
  <c r="F17" i="1"/>
  <c r="G5" i="1"/>
  <c r="E90" i="1"/>
  <c r="E74" i="1"/>
  <c r="G50" i="1"/>
  <c r="D32" i="1"/>
  <c r="E8" i="1"/>
  <c r="D97" i="1"/>
  <c r="H61" i="1"/>
  <c r="E43" i="1"/>
  <c r="E30" i="1"/>
  <c r="E100" i="1"/>
  <c r="D94" i="1"/>
  <c r="E88" i="1"/>
  <c r="H82" i="1"/>
  <c r="F76" i="1"/>
  <c r="D70" i="1"/>
  <c r="H64" i="1"/>
  <c r="E58" i="1"/>
  <c r="F52" i="1"/>
  <c r="F46" i="1"/>
  <c r="E40" i="1"/>
  <c r="G34" i="1"/>
  <c r="G28" i="1"/>
  <c r="D22" i="1"/>
  <c r="D16" i="1"/>
  <c r="E10" i="1"/>
  <c r="H98" i="1"/>
  <c r="G68" i="1"/>
  <c r="F44" i="1"/>
  <c r="H20" i="1"/>
  <c r="E19" i="1"/>
  <c r="D91" i="1"/>
  <c r="F49" i="1"/>
  <c r="D19" i="1"/>
  <c r="F78" i="1"/>
  <c r="F93" i="1"/>
  <c r="G87" i="1"/>
  <c r="D81" i="1"/>
  <c r="E75" i="1"/>
  <c r="G69" i="1"/>
  <c r="D51" i="1"/>
  <c r="H45" i="1"/>
  <c r="H39" i="1"/>
  <c r="F33" i="1"/>
  <c r="F111" i="1"/>
  <c r="F110" i="1"/>
  <c r="F109" i="1"/>
  <c r="E109" i="1"/>
  <c r="H109" i="1"/>
  <c r="H106" i="1"/>
  <c r="E106" i="1"/>
  <c r="G110" i="1"/>
  <c r="D106" i="1"/>
  <c r="H110" i="1"/>
  <c r="G108" i="1"/>
  <c r="G105" i="1"/>
  <c r="F106" i="1"/>
  <c r="L74" i="1"/>
  <c r="L75" i="1"/>
  <c r="L59" i="1"/>
  <c r="L43" i="1"/>
  <c r="M18" i="1"/>
  <c r="M78" i="1"/>
  <c r="K82" i="1"/>
  <c r="L90" i="1"/>
  <c r="E107" i="1"/>
  <c r="E111" i="1"/>
  <c r="H107" i="1"/>
  <c r="D111" i="1"/>
  <c r="M93" i="1"/>
  <c r="L89" i="1"/>
  <c r="M77" i="1"/>
  <c r="N69" i="1"/>
  <c r="G107" i="1"/>
  <c r="G111" i="1"/>
  <c r="K84" i="1"/>
  <c r="M76" i="1"/>
  <c r="E104" i="1"/>
  <c r="H104" i="1"/>
  <c r="H105" i="1"/>
  <c r="D105" i="1"/>
  <c r="E112" i="1"/>
  <c r="H112" i="1"/>
  <c r="F112" i="1"/>
  <c r="D108" i="1"/>
  <c r="E108" i="1"/>
  <c r="H108" i="1"/>
  <c r="G104" i="1"/>
  <c r="D104" i="1"/>
  <c r="F104" i="1"/>
  <c r="D112" i="1"/>
  <c r="F105" i="1"/>
  <c r="G109" i="1"/>
  <c r="D109" i="1"/>
  <c r="K34" i="21"/>
  <c r="G84" i="1" l="1"/>
  <c r="H75" i="1"/>
  <c r="G81" i="1"/>
  <c r="D93" i="1"/>
  <c r="E56" i="1"/>
  <c r="D92" i="1"/>
  <c r="D61" i="1"/>
  <c r="D12" i="1"/>
  <c r="G24" i="1"/>
  <c r="H72" i="1"/>
  <c r="E39" i="1"/>
  <c r="E47" i="1"/>
  <c r="H53" i="1"/>
  <c r="F86" i="1"/>
  <c r="D66" i="1"/>
  <c r="F5" i="1"/>
  <c r="F34" i="1"/>
  <c r="G42" i="1"/>
  <c r="G85" i="1"/>
  <c r="E11" i="1"/>
  <c r="F31" i="1"/>
  <c r="H71" i="1"/>
  <c r="H14" i="1"/>
  <c r="E5" i="1"/>
  <c r="E18" i="1"/>
  <c r="E65" i="1"/>
  <c r="G93" i="1"/>
  <c r="G73" i="1"/>
  <c r="D53" i="1"/>
  <c r="H56" i="1"/>
  <c r="G64" i="1"/>
  <c r="E76" i="1"/>
  <c r="F84" i="1"/>
  <c r="F96" i="1"/>
  <c r="G19" i="1"/>
  <c r="E81" i="1"/>
  <c r="F41" i="1"/>
  <c r="E93" i="1"/>
  <c r="F53" i="1"/>
  <c r="E29" i="1"/>
  <c r="H9" i="1"/>
  <c r="D8" i="1"/>
  <c r="F16" i="1"/>
  <c r="G20" i="1"/>
  <c r="E28" i="1"/>
  <c r="H32" i="1"/>
  <c r="D40" i="1"/>
  <c r="F48" i="1"/>
  <c r="F56" i="1"/>
  <c r="D72" i="1"/>
  <c r="D96" i="1"/>
  <c r="F28" i="1"/>
  <c r="H87" i="1"/>
  <c r="D59" i="1"/>
  <c r="E35" i="1"/>
  <c r="G11" i="1"/>
  <c r="E95" i="1"/>
  <c r="H67" i="1"/>
  <c r="F43" i="1"/>
  <c r="D15" i="1"/>
  <c r="F95" i="1"/>
  <c r="E71" i="1"/>
  <c r="G47" i="1"/>
  <c r="H19" i="1"/>
  <c r="H10" i="1"/>
  <c r="E41" i="1"/>
  <c r="F102" i="1"/>
  <c r="E82" i="1"/>
  <c r="G62" i="1"/>
  <c r="F42" i="1"/>
  <c r="E22" i="1"/>
  <c r="H6" i="1"/>
  <c r="F37" i="1"/>
  <c r="F75" i="1"/>
  <c r="F66" i="1"/>
  <c r="H30" i="1"/>
  <c r="G4" i="1"/>
  <c r="F74" i="1"/>
  <c r="E34" i="1"/>
  <c r="G9" i="1"/>
  <c r="H85" i="1"/>
  <c r="H73" i="1"/>
  <c r="E15" i="1"/>
  <c r="H35" i="1"/>
  <c r="G63" i="1"/>
  <c r="D79" i="1"/>
  <c r="G95" i="1"/>
  <c r="G44" i="1"/>
  <c r="D45" i="1"/>
  <c r="G82" i="1"/>
  <c r="F12" i="1"/>
  <c r="D4" i="1"/>
  <c r="H113" i="1"/>
  <c r="D49" i="1"/>
  <c r="F29" i="1"/>
  <c r="F20" i="1"/>
  <c r="G56" i="1"/>
  <c r="H84" i="1"/>
  <c r="D63" i="1"/>
  <c r="G23" i="1"/>
  <c r="D23" i="1"/>
  <c r="G46" i="1"/>
  <c r="D57" i="1"/>
  <c r="H55" i="1"/>
  <c r="F69" i="1"/>
  <c r="G6" i="1"/>
  <c r="E49" i="1"/>
  <c r="F89" i="1"/>
  <c r="D69" i="1"/>
  <c r="G49" i="1"/>
  <c r="H100" i="1"/>
  <c r="D48" i="1"/>
  <c r="F60" i="1"/>
  <c r="H68" i="1"/>
  <c r="D76" i="1"/>
  <c r="D88" i="1"/>
  <c r="H96" i="1"/>
  <c r="E99" i="1"/>
  <c r="E113" i="1"/>
  <c r="F73" i="1"/>
  <c r="E33" i="1"/>
  <c r="D85" i="1"/>
  <c r="H49" i="1"/>
  <c r="H25" i="1"/>
  <c r="D5" i="1"/>
  <c r="F8" i="1"/>
  <c r="G16" i="1"/>
  <c r="E20" i="1"/>
  <c r="H28" i="1"/>
  <c r="D36" i="1"/>
  <c r="F40" i="1"/>
  <c r="E48" i="1"/>
  <c r="H60" i="1"/>
  <c r="G72" i="1"/>
  <c r="G96" i="1"/>
  <c r="H83" i="1"/>
  <c r="D55" i="1"/>
  <c r="E31" i="1"/>
  <c r="G7" i="1"/>
  <c r="E91" i="1"/>
  <c r="H63" i="1"/>
  <c r="F39" i="1"/>
  <c r="D11" i="1"/>
  <c r="F91" i="1"/>
  <c r="E67" i="1"/>
  <c r="G43" i="1"/>
  <c r="H15" i="1"/>
  <c r="L19" i="1"/>
  <c r="F90" i="1"/>
  <c r="D33" i="1"/>
  <c r="E98" i="1"/>
  <c r="H78" i="1"/>
  <c r="F58" i="1"/>
  <c r="E38" i="1"/>
  <c r="H22" i="1"/>
  <c r="D101" i="1"/>
  <c r="H33" i="1"/>
  <c r="G59" i="1"/>
  <c r="D98" i="1"/>
  <c r="H62" i="1"/>
  <c r="G22" i="1"/>
  <c r="E66" i="1"/>
  <c r="D30" i="1"/>
  <c r="D9" i="1"/>
  <c r="G29" i="1"/>
  <c r="E97" i="1"/>
  <c r="F15" i="1"/>
  <c r="D35" i="1"/>
  <c r="F63" i="1"/>
  <c r="H79" i="1"/>
  <c r="H95" i="1"/>
  <c r="D100" i="1"/>
  <c r="H4" i="1"/>
  <c r="H90" i="1"/>
  <c r="H57" i="1"/>
  <c r="H40" i="1"/>
  <c r="H99" i="1"/>
  <c r="E9" i="1"/>
  <c r="E53" i="1"/>
  <c r="G74" i="1"/>
  <c r="F38" i="1"/>
  <c r="D58" i="1"/>
  <c r="E85" i="1"/>
  <c r="G65" i="1"/>
  <c r="F45" i="1"/>
  <c r="G92" i="1"/>
  <c r="G48" i="1"/>
  <c r="G60" i="1"/>
  <c r="D68" i="1"/>
  <c r="F80" i="1"/>
  <c r="G88" i="1"/>
  <c r="E96" i="1"/>
  <c r="E83" i="1"/>
  <c r="H69" i="1"/>
  <c r="E17" i="1"/>
  <c r="F81" i="1"/>
  <c r="G41" i="1"/>
  <c r="D21" i="1"/>
  <c r="G8" i="1"/>
  <c r="E16" i="1"/>
  <c r="H24" i="1"/>
  <c r="D28" i="1"/>
  <c r="F36" i="1"/>
  <c r="G40" i="1"/>
  <c r="H48" i="1"/>
  <c r="D60" i="1"/>
  <c r="D80" i="1"/>
  <c r="D103" i="1"/>
  <c r="E79" i="1"/>
  <c r="H51" i="1"/>
  <c r="F27" i="1"/>
  <c r="E87" i="1"/>
  <c r="H59" i="1"/>
  <c r="F35" i="1"/>
  <c r="D7" i="1"/>
  <c r="F87" i="1"/>
  <c r="E63" i="1"/>
  <c r="G39" i="1"/>
  <c r="H11" i="1"/>
  <c r="H74" i="1"/>
  <c r="D89" i="1"/>
  <c r="F25" i="1"/>
  <c r="F4" i="1"/>
  <c r="H94" i="1"/>
  <c r="D74" i="1"/>
  <c r="E54" i="1"/>
  <c r="H38" i="1"/>
  <c r="D18" i="1"/>
  <c r="H89" i="1"/>
  <c r="G25" i="1"/>
  <c r="D39" i="1"/>
  <c r="F94" i="1"/>
  <c r="G54" i="1"/>
  <c r="E14" i="1"/>
  <c r="G98" i="1"/>
  <c r="D62" i="1"/>
  <c r="F22" i="1"/>
  <c r="F21" i="1"/>
  <c r="H37" i="1"/>
  <c r="H5" i="1"/>
  <c r="G45" i="1"/>
  <c r="H27" i="1"/>
  <c r="D47" i="1"/>
  <c r="D83" i="1"/>
  <c r="G99" i="1"/>
  <c r="E110" i="1"/>
  <c r="E62" i="1"/>
  <c r="G94" i="1"/>
  <c r="D82" i="1"/>
  <c r="H46" i="1"/>
  <c r="G77" i="1"/>
  <c r="F64" i="1"/>
  <c r="H76" i="1"/>
  <c r="G89" i="1"/>
  <c r="E13" i="1"/>
  <c r="D44" i="1"/>
  <c r="D71" i="1"/>
  <c r="E103" i="1"/>
  <c r="G102" i="1"/>
  <c r="E6" i="1"/>
  <c r="G91" i="1"/>
  <c r="F9" i="1"/>
  <c r="G103" i="1"/>
  <c r="G38" i="1"/>
  <c r="D87" i="1"/>
  <c r="H34" i="1"/>
  <c r="G113" i="1"/>
  <c r="E101" i="1"/>
  <c r="H81" i="1"/>
  <c r="F61" i="1"/>
  <c r="E45" i="1"/>
  <c r="E84" i="1"/>
  <c r="H52" i="1"/>
  <c r="E60" i="1"/>
  <c r="F72" i="1"/>
  <c r="H80" i="1"/>
  <c r="H92" i="1"/>
  <c r="G100" i="1"/>
  <c r="G67" i="1"/>
  <c r="F101" i="1"/>
  <c r="G61" i="1"/>
  <c r="F113" i="1"/>
  <c r="D73" i="1"/>
  <c r="D37" i="1"/>
  <c r="G17" i="1"/>
  <c r="E12" i="1"/>
  <c r="H16" i="1"/>
  <c r="D24" i="1"/>
  <c r="F32" i="1"/>
  <c r="G36" i="1"/>
  <c r="E44" i="1"/>
  <c r="E52" i="1"/>
  <c r="F68" i="1"/>
  <c r="G80" i="1"/>
  <c r="D99" i="1"/>
  <c r="G75" i="1"/>
  <c r="H47" i="1"/>
  <c r="F23" i="1"/>
  <c r="F79" i="1"/>
  <c r="E55" i="1"/>
  <c r="G31" i="1"/>
  <c r="G83" i="1"/>
  <c r="F59" i="1"/>
  <c r="D31" i="1"/>
  <c r="E7" i="1"/>
  <c r="H58" i="1"/>
  <c r="H77" i="1"/>
  <c r="H21" i="1"/>
  <c r="D90" i="1"/>
  <c r="E70" i="1"/>
  <c r="H54" i="1"/>
  <c r="D34" i="1"/>
  <c r="G14" i="1"/>
  <c r="E77" i="1"/>
  <c r="E21" i="1"/>
  <c r="E23" i="1"/>
  <c r="H86" i="1"/>
  <c r="E46" i="1"/>
  <c r="D10" i="1"/>
  <c r="E94" i="1"/>
  <c r="F54" i="1"/>
  <c r="H18" i="1"/>
  <c r="G21" i="1"/>
  <c r="E37" i="1"/>
  <c r="F57" i="1"/>
  <c r="D17" i="1"/>
  <c r="E27" i="1"/>
  <c r="F47" i="1"/>
  <c r="F83" i="1"/>
  <c r="F99" i="1"/>
  <c r="E50" i="1"/>
  <c r="D102" i="1"/>
  <c r="H17" i="1"/>
  <c r="D46" i="1"/>
  <c r="G58" i="1"/>
  <c r="F70" i="1"/>
  <c r="H102" i="1"/>
  <c r="G35" i="1"/>
  <c r="G101" i="1"/>
  <c r="H8" i="1"/>
  <c r="E32" i="1"/>
  <c r="F88" i="1"/>
  <c r="H91" i="1"/>
  <c r="G15" i="1"/>
  <c r="F51" i="1"/>
  <c r="H26" i="1"/>
  <c r="F26" i="1"/>
  <c r="F82" i="1"/>
  <c r="D25" i="1"/>
  <c r="D29" i="1"/>
  <c r="G97" i="1"/>
  <c r="H97" i="1"/>
  <c r="D77" i="1"/>
  <c r="E61" i="1"/>
  <c r="H41" i="1"/>
  <c r="D52" i="1"/>
  <c r="D64" i="1"/>
  <c r="E72" i="1"/>
  <c r="E80" i="1"/>
  <c r="E92" i="1"/>
  <c r="F100" i="1"/>
  <c r="G51" i="1"/>
  <c r="H93" i="1"/>
  <c r="E57" i="1"/>
  <c r="E69" i="1"/>
  <c r="G33" i="1"/>
  <c r="F13" i="1"/>
  <c r="H12" i="1"/>
  <c r="D20" i="1"/>
  <c r="F24" i="1"/>
  <c r="G32" i="1"/>
  <c r="E36" i="1"/>
  <c r="H44" i="1"/>
  <c r="G52" i="1"/>
  <c r="E68" i="1"/>
  <c r="H88" i="1"/>
  <c r="E64" i="1"/>
  <c r="D95" i="1"/>
  <c r="G71" i="1"/>
  <c r="H43" i="1"/>
  <c r="F19" i="1"/>
  <c r="H103" i="1"/>
  <c r="D75" i="1"/>
  <c r="E51" i="1"/>
  <c r="G27" i="1"/>
  <c r="G79" i="1"/>
  <c r="F55" i="1"/>
  <c r="D27" i="1"/>
  <c r="H42" i="1"/>
  <c r="D65" i="1"/>
  <c r="G13" i="1"/>
  <c r="G86" i="1"/>
  <c r="H70" i="1"/>
  <c r="D50" i="1"/>
  <c r="G30" i="1"/>
  <c r="F10" i="1"/>
  <c r="H65" i="1"/>
  <c r="D13" i="1"/>
  <c r="F107" i="1"/>
  <c r="F7" i="1"/>
  <c r="G78" i="1"/>
  <c r="D42" i="1"/>
  <c r="D86" i="1"/>
  <c r="H50" i="1"/>
  <c r="G10" i="1"/>
  <c r="E25" i="1"/>
  <c r="G37" i="1"/>
  <c r="G57" i="1"/>
  <c r="F85" i="1"/>
  <c r="F11" i="1"/>
  <c r="H31" i="1"/>
  <c r="G55" i="1"/>
  <c r="F71" i="1"/>
  <c r="F103" i="1"/>
  <c r="F98" i="1"/>
  <c r="E4" i="1"/>
  <c r="D14" i="1"/>
  <c r="F50" i="1"/>
  <c r="G26" i="1"/>
  <c r="D26" i="1"/>
  <c r="G70" i="1"/>
  <c r="G76" i="1"/>
  <c r="E78" i="1"/>
  <c r="F6" i="1"/>
  <c r="H66" i="1"/>
  <c r="O46" i="1"/>
  <c r="K46" i="1"/>
  <c r="K79" i="1"/>
  <c r="O37" i="1"/>
  <c r="O14" i="1"/>
  <c r="N70" i="1"/>
  <c r="N54" i="1"/>
  <c r="N44" i="1"/>
  <c r="M70" i="1"/>
  <c r="K39" i="1"/>
  <c r="O36" i="1"/>
  <c r="N46" i="1"/>
  <c r="O110" i="1"/>
  <c r="M108" i="1"/>
  <c r="O35" i="1"/>
  <c r="L5" i="1"/>
  <c r="L78" i="1"/>
  <c r="K14" i="1"/>
  <c r="M98" i="1"/>
  <c r="N45" i="1"/>
  <c r="N99" i="1"/>
  <c r="M50" i="1"/>
  <c r="K30" i="1"/>
  <c r="O38" i="1"/>
  <c r="M12" i="1"/>
  <c r="M31" i="1"/>
  <c r="K17" i="1"/>
  <c r="L110" i="1"/>
  <c r="M38" i="1"/>
  <c r="M15" i="1"/>
  <c r="N95" i="1"/>
  <c r="M44" i="1"/>
  <c r="K16" i="1"/>
  <c r="N63" i="1"/>
  <c r="M34" i="1"/>
  <c r="L25" i="1"/>
  <c r="N29" i="1"/>
  <c r="K83" i="1"/>
  <c r="O23" i="1"/>
  <c r="K58" i="1"/>
  <c r="L27" i="1"/>
  <c r="O39" i="1"/>
  <c r="O90" i="1"/>
  <c r="N59" i="1"/>
  <c r="O34" i="1"/>
  <c r="M47" i="1"/>
  <c r="M109" i="1"/>
  <c r="M58" i="1"/>
  <c r="L106" i="1"/>
  <c r="N87" i="1"/>
  <c r="K51" i="1"/>
  <c r="L4" i="1"/>
  <c r="O22" i="1"/>
  <c r="K57" i="1"/>
  <c r="M111" i="1"/>
  <c r="L6" i="1"/>
  <c r="M63" i="1"/>
  <c r="M6" i="1"/>
  <c r="K47" i="1"/>
  <c r="O31" i="1"/>
  <c r="M11" i="1"/>
  <c r="M71" i="1"/>
  <c r="M103" i="1"/>
  <c r="O30" i="1"/>
  <c r="N58" i="1"/>
  <c r="O21" i="1"/>
  <c r="O74" i="1"/>
  <c r="N38" i="1"/>
  <c r="N55" i="1"/>
  <c r="K4" i="1"/>
  <c r="O62" i="1"/>
  <c r="N103" i="1"/>
  <c r="M86" i="1"/>
  <c r="K10" i="1"/>
  <c r="L98" i="1"/>
  <c r="L42" i="1"/>
  <c r="N105" i="1"/>
  <c r="L105" i="1"/>
  <c r="M67" i="1"/>
  <c r="O109" i="1"/>
  <c r="N10" i="1"/>
  <c r="M92" i="1"/>
  <c r="M107" i="1"/>
  <c r="N13" i="1"/>
  <c r="L26" i="1"/>
  <c r="L41" i="1"/>
  <c r="N110" i="1"/>
  <c r="O111" i="1"/>
  <c r="K43" i="1"/>
  <c r="O106" i="1"/>
  <c r="M26" i="1"/>
  <c r="N91" i="1"/>
  <c r="K98" i="1"/>
  <c r="L38" i="1"/>
  <c r="K102" i="1"/>
  <c r="L24" i="1"/>
  <c r="L23" i="1"/>
  <c r="N86" i="1"/>
  <c r="K91" i="1"/>
  <c r="K66" i="1"/>
  <c r="N112" i="1"/>
  <c r="K90" i="1"/>
  <c r="L22" i="1"/>
  <c r="L88" i="1"/>
  <c r="N108" i="1"/>
  <c r="K56" i="1"/>
  <c r="O78" i="1"/>
  <c r="O54" i="1"/>
  <c r="N14" i="1"/>
  <c r="K101" i="1"/>
  <c r="O18" i="1"/>
  <c r="M110" i="1"/>
  <c r="K26" i="1"/>
  <c r="K67" i="1"/>
  <c r="K34" i="1"/>
  <c r="N30" i="1"/>
  <c r="L11" i="1"/>
  <c r="K35" i="1"/>
  <c r="O55" i="1"/>
  <c r="O79" i="1"/>
  <c r="M99" i="1"/>
  <c r="O86" i="1"/>
  <c r="K42" i="1"/>
  <c r="K87" i="1"/>
  <c r="K106" i="1"/>
  <c r="M22" i="1"/>
  <c r="O5" i="1"/>
  <c r="O53" i="1"/>
  <c r="M54" i="1"/>
  <c r="M21" i="1"/>
  <c r="K25" i="1"/>
  <c r="N37" i="1"/>
  <c r="L53" i="1"/>
  <c r="K94" i="1"/>
  <c r="K70" i="1"/>
  <c r="K89" i="1"/>
  <c r="L40" i="1"/>
  <c r="M75" i="1"/>
  <c r="M7" i="1"/>
  <c r="M94" i="1"/>
  <c r="M66" i="1"/>
  <c r="L15" i="1"/>
  <c r="O101" i="1"/>
  <c r="L73" i="1"/>
  <c r="M85" i="1"/>
  <c r="L97" i="1"/>
  <c r="L82" i="1"/>
  <c r="L58" i="1"/>
  <c r="M82" i="1"/>
  <c r="K45" i="1"/>
  <c r="N12" i="1"/>
  <c r="K78" i="1"/>
  <c r="K54" i="1"/>
  <c r="O70" i="1"/>
  <c r="L70" i="1"/>
  <c r="L30" i="1"/>
  <c r="N25" i="1"/>
  <c r="K107" i="1"/>
  <c r="O95" i="1"/>
  <c r="O71" i="1"/>
  <c r="L54" i="1"/>
  <c r="K19" i="1"/>
  <c r="K18" i="1"/>
  <c r="O7" i="1"/>
  <c r="O6" i="1"/>
  <c r="O66" i="1"/>
  <c r="O65" i="1"/>
  <c r="N26" i="1"/>
  <c r="N68" i="1"/>
  <c r="N90" i="1"/>
  <c r="K86" i="1"/>
  <c r="K38" i="1"/>
  <c r="L14" i="1"/>
  <c r="K41" i="1"/>
  <c r="K97" i="1"/>
  <c r="K100" i="1"/>
  <c r="O27" i="1"/>
  <c r="K33" i="1"/>
  <c r="L9" i="1"/>
  <c r="L10" i="1"/>
  <c r="M83" i="1"/>
  <c r="M10" i="1"/>
  <c r="N22" i="1"/>
  <c r="N106" i="1"/>
  <c r="L8" i="1"/>
  <c r="N4" i="1"/>
  <c r="N5" i="1"/>
  <c r="M5" i="1"/>
  <c r="M4" i="1"/>
  <c r="N81" i="1"/>
  <c r="O113" i="1"/>
  <c r="L101" i="1"/>
  <c r="M89" i="1"/>
  <c r="N77" i="1"/>
  <c r="M61" i="1"/>
  <c r="N49" i="1"/>
  <c r="K112" i="1"/>
  <c r="L84" i="1"/>
  <c r="N48" i="1"/>
  <c r="O56" i="1"/>
  <c r="K64" i="1"/>
  <c r="K68" i="1"/>
  <c r="L76" i="1"/>
  <c r="L80" i="1"/>
  <c r="N88" i="1"/>
  <c r="M96" i="1"/>
  <c r="M100" i="1"/>
  <c r="L108" i="1"/>
  <c r="L112" i="1"/>
  <c r="L99" i="1"/>
  <c r="N35" i="1"/>
  <c r="M101" i="1"/>
  <c r="M73" i="1"/>
  <c r="K49" i="1"/>
  <c r="N101" i="1"/>
  <c r="K73" i="1"/>
  <c r="O49" i="1"/>
  <c r="M29" i="1"/>
  <c r="N17" i="1"/>
  <c r="K5" i="1"/>
  <c r="K8" i="1"/>
  <c r="O12" i="1"/>
  <c r="L16" i="1"/>
  <c r="N20" i="1"/>
  <c r="M24" i="1"/>
  <c r="K28" i="1"/>
  <c r="O32" i="1"/>
  <c r="L36" i="1"/>
  <c r="N40" i="1"/>
  <c r="M48" i="1"/>
  <c r="N52" i="1"/>
  <c r="K60" i="1"/>
  <c r="K72" i="1"/>
  <c r="O88" i="1"/>
  <c r="K103" i="1"/>
  <c r="O87" i="1"/>
  <c r="N71" i="1"/>
  <c r="O51" i="1"/>
  <c r="L35" i="1"/>
  <c r="M19" i="1"/>
  <c r="N102" i="1"/>
  <c r="K50" i="1"/>
  <c r="O89" i="1"/>
  <c r="K111" i="1"/>
  <c r="L95" i="1"/>
  <c r="K75" i="1"/>
  <c r="O59" i="1"/>
  <c r="M43" i="1"/>
  <c r="N27" i="1"/>
  <c r="K7" i="1"/>
  <c r="L107" i="1"/>
  <c r="M87" i="1"/>
  <c r="L71" i="1"/>
  <c r="M55" i="1"/>
  <c r="N39" i="1"/>
  <c r="O19" i="1"/>
  <c r="L109" i="1"/>
  <c r="M97" i="1"/>
  <c r="L37" i="1"/>
  <c r="K29" i="1"/>
  <c r="M106" i="1"/>
  <c r="M90" i="1"/>
  <c r="N66" i="1"/>
  <c r="M62" i="1"/>
  <c r="O42" i="1"/>
  <c r="O77" i="1"/>
  <c r="K65" i="1"/>
  <c r="L65" i="1"/>
  <c r="K109" i="1"/>
  <c r="O97" i="1"/>
  <c r="L85" i="1"/>
  <c r="N73" i="1"/>
  <c r="L61" i="1"/>
  <c r="M45" i="1"/>
  <c r="M104" i="1"/>
  <c r="O52" i="1"/>
  <c r="M60" i="1"/>
  <c r="M64" i="1"/>
  <c r="M72" i="1"/>
  <c r="K76" i="1"/>
  <c r="N84" i="1"/>
  <c r="O92" i="1"/>
  <c r="O96" i="1"/>
  <c r="K104" i="1"/>
  <c r="K108" i="1"/>
  <c r="L83" i="1"/>
  <c r="N19" i="1"/>
  <c r="O93" i="1"/>
  <c r="O69" i="1"/>
  <c r="M41" i="1"/>
  <c r="L93" i="1"/>
  <c r="L69" i="1"/>
  <c r="N41" i="1"/>
  <c r="L29" i="1"/>
  <c r="M13" i="1"/>
  <c r="M8" i="1"/>
  <c r="K12" i="1"/>
  <c r="O16" i="1"/>
  <c r="L20" i="1"/>
  <c r="N24" i="1"/>
  <c r="M32" i="1"/>
  <c r="K36" i="1"/>
  <c r="O40" i="1"/>
  <c r="L44" i="1"/>
  <c r="L48" i="1"/>
  <c r="N56" i="1"/>
  <c r="M68" i="1"/>
  <c r="N72" i="1"/>
  <c r="M88" i="1"/>
  <c r="O84" i="1"/>
  <c r="L100" i="1"/>
  <c r="K99" i="1"/>
  <c r="O83" i="1"/>
  <c r="K63" i="1"/>
  <c r="O47" i="1"/>
  <c r="L31" i="1"/>
  <c r="N15" i="1"/>
  <c r="K74" i="1"/>
  <c r="O33" i="1"/>
  <c r="N21" i="1"/>
  <c r="N53" i="1"/>
  <c r="O107" i="1"/>
  <c r="L91" i="1"/>
  <c r="K71" i="1"/>
  <c r="L55" i="1"/>
  <c r="M39" i="1"/>
  <c r="N23" i="1"/>
  <c r="L94" i="1"/>
  <c r="M74" i="1"/>
  <c r="N42" i="1"/>
  <c r="L103" i="1"/>
  <c r="N83" i="1"/>
  <c r="L67" i="1"/>
  <c r="M51" i="1"/>
  <c r="K31" i="1"/>
  <c r="O15" i="1"/>
  <c r="N74" i="1"/>
  <c r="N57" i="1"/>
  <c r="K32" i="1"/>
  <c r="N113" i="1"/>
  <c r="L49" i="1"/>
  <c r="N109" i="1"/>
  <c r="K93" i="1"/>
  <c r="O81" i="1"/>
  <c r="K69" i="1"/>
  <c r="O57" i="1"/>
  <c r="L45" i="1"/>
  <c r="O100" i="1"/>
  <c r="K52" i="1"/>
  <c r="N60" i="1"/>
  <c r="N64" i="1"/>
  <c r="L72" i="1"/>
  <c r="M80" i="1"/>
  <c r="M84" i="1"/>
  <c r="L92" i="1"/>
  <c r="L96" i="1"/>
  <c r="N104" i="1"/>
  <c r="M112" i="1"/>
  <c r="N67" i="1"/>
  <c r="L113" i="1"/>
  <c r="N89" i="1"/>
  <c r="N61" i="1"/>
  <c r="L33" i="1"/>
  <c r="M113" i="1"/>
  <c r="K85" i="1"/>
  <c r="K61" i="1"/>
  <c r="K37" i="1"/>
  <c r="O25" i="1"/>
  <c r="L13" i="1"/>
  <c r="N8" i="1"/>
  <c r="M16" i="1"/>
  <c r="K20" i="1"/>
  <c r="O24" i="1"/>
  <c r="L28" i="1"/>
  <c r="N32" i="1"/>
  <c r="M36" i="1"/>
  <c r="K40" i="1"/>
  <c r="O44" i="1"/>
  <c r="O48" i="1"/>
  <c r="M56" i="1"/>
  <c r="L68" i="1"/>
  <c r="K80" i="1"/>
  <c r="K96" i="1"/>
  <c r="O104" i="1"/>
  <c r="M28" i="1"/>
  <c r="N28" i="1"/>
  <c r="N111" i="1"/>
  <c r="K95" i="1"/>
  <c r="L79" i="1"/>
  <c r="K59" i="1"/>
  <c r="O43" i="1"/>
  <c r="M27" i="1"/>
  <c r="N11" i="1"/>
  <c r="O94" i="1"/>
  <c r="M37" i="1"/>
  <c r="O20" i="1"/>
  <c r="M17" i="1"/>
  <c r="M33" i="1"/>
  <c r="M49" i="1"/>
  <c r="M65" i="1"/>
  <c r="O103" i="1"/>
  <c r="L87" i="1"/>
  <c r="O67" i="1"/>
  <c r="L51" i="1"/>
  <c r="M35" i="1"/>
  <c r="K15" i="1"/>
  <c r="K62" i="1"/>
  <c r="M57" i="1"/>
  <c r="M9" i="1"/>
  <c r="M95" i="1"/>
  <c r="N79" i="1"/>
  <c r="L63" i="1"/>
  <c r="N47" i="1"/>
  <c r="K27" i="1"/>
  <c r="O11" i="1"/>
  <c r="L62" i="1"/>
  <c r="M69" i="1"/>
  <c r="K110" i="1"/>
  <c r="O98" i="1"/>
  <c r="O82" i="1"/>
  <c r="N50" i="1"/>
  <c r="M46" i="1"/>
  <c r="M25" i="1"/>
  <c r="M52" i="1"/>
  <c r="N97" i="1"/>
  <c r="M105" i="1"/>
  <c r="N93" i="1"/>
  <c r="K77" i="1"/>
  <c r="N65" i="1"/>
  <c r="K53" i="1"/>
  <c r="O41" i="1"/>
  <c r="N92" i="1"/>
  <c r="K48" i="1"/>
  <c r="L56" i="1"/>
  <c r="L60" i="1"/>
  <c r="O68" i="1"/>
  <c r="O76" i="1"/>
  <c r="O80" i="1"/>
  <c r="K88" i="1"/>
  <c r="K92" i="1"/>
  <c r="N100" i="1"/>
  <c r="O108" i="1"/>
  <c r="O112" i="1"/>
  <c r="N51" i="1"/>
  <c r="K105" i="1"/>
  <c r="L81" i="1"/>
  <c r="L57" i="1"/>
  <c r="L17" i="1"/>
  <c r="O105" i="1"/>
  <c r="M81" i="1"/>
  <c r="M53" i="1"/>
  <c r="N33" i="1"/>
  <c r="K21" i="1"/>
  <c r="O9" i="1"/>
  <c r="O8" i="1"/>
  <c r="L12" i="1"/>
  <c r="N16" i="1"/>
  <c r="M20" i="1"/>
  <c r="K24" i="1"/>
  <c r="O28" i="1"/>
  <c r="L32" i="1"/>
  <c r="N36" i="1"/>
  <c r="M40" i="1"/>
  <c r="K44" i="1"/>
  <c r="L52" i="1"/>
  <c r="O60" i="1"/>
  <c r="O72" i="1"/>
  <c r="N80" i="1"/>
  <c r="N96" i="1"/>
  <c r="L104" i="1"/>
  <c r="L64" i="1"/>
  <c r="N107" i="1"/>
  <c r="O91" i="1"/>
  <c r="N75" i="1"/>
  <c r="K55" i="1"/>
  <c r="L39" i="1"/>
  <c r="M23" i="1"/>
  <c r="N7" i="1"/>
  <c r="M102" i="1"/>
  <c r="N62" i="1"/>
  <c r="M42" i="1"/>
  <c r="L77" i="1"/>
  <c r="L21" i="1"/>
  <c r="K13" i="1"/>
  <c r="K9" i="1"/>
  <c r="O13" i="1"/>
  <c r="O29" i="1"/>
  <c r="O45" i="1"/>
  <c r="O61" i="1"/>
  <c r="K81" i="1"/>
  <c r="O85" i="1"/>
  <c r="K113" i="1"/>
  <c r="O99" i="1"/>
  <c r="M79" i="1"/>
  <c r="O63" i="1"/>
  <c r="L47" i="1"/>
  <c r="N31" i="1"/>
  <c r="K11" i="1"/>
  <c r="N98" i="1"/>
  <c r="N82" i="1"/>
  <c r="L66" i="1"/>
  <c r="L50" i="1"/>
  <c r="O50" i="1"/>
  <c r="L34" i="1"/>
  <c r="L18" i="1"/>
  <c r="O73" i="1"/>
  <c r="N76" i="1"/>
  <c r="L111" i="1"/>
  <c r="M91" i="1"/>
  <c r="O75" i="1"/>
  <c r="M59" i="1"/>
  <c r="N43" i="1"/>
  <c r="K23" i="1"/>
  <c r="L7" i="1"/>
  <c r="N94" i="1"/>
  <c r="N78" i="1"/>
  <c r="L46" i="1"/>
  <c r="N85" i="1"/>
  <c r="O17" i="1"/>
  <c r="N9" i="1"/>
  <c r="L102" i="1"/>
  <c r="L86" i="1"/>
  <c r="O58" i="1"/>
  <c r="N34" i="1"/>
  <c r="M30" i="1"/>
  <c r="O26" i="1"/>
  <c r="K22" i="1"/>
  <c r="N18" i="1"/>
  <c r="M14" i="1"/>
  <c r="O10" i="1"/>
  <c r="K6" i="1"/>
  <c r="K33" i="21"/>
  <c r="K28" i="21"/>
  <c r="K32" i="21"/>
  <c r="K31" i="21"/>
  <c r="K30" i="21"/>
  <c r="K29" i="21"/>
  <c r="O64" i="1" l="1"/>
  <c r="O4" i="1"/>
  <c r="O102" i="1"/>
  <c r="N6" i="1"/>
  <c r="V291" i="1" l="1"/>
  <c r="V289" i="1"/>
  <c r="U156" i="1"/>
  <c r="V87" i="1"/>
  <c r="T53" i="1"/>
  <c r="R278" i="1"/>
  <c r="S54" i="1"/>
  <c r="S35" i="1"/>
  <c r="R44" i="1"/>
  <c r="U339" i="1"/>
  <c r="U195" i="1"/>
  <c r="R268" i="1"/>
  <c r="U283" i="1"/>
  <c r="U172" i="1"/>
  <c r="R143" i="1"/>
  <c r="U65" i="1"/>
  <c r="R199" i="1"/>
  <c r="S181" i="1"/>
  <c r="T13" i="1"/>
  <c r="U295" i="1"/>
  <c r="U81" i="1"/>
  <c r="V274" i="1"/>
  <c r="S115" i="1"/>
  <c r="S56" i="1"/>
  <c r="T55" i="1"/>
  <c r="V220" i="1"/>
  <c r="T202" i="1"/>
  <c r="V86" i="1"/>
  <c r="S316" i="1"/>
  <c r="S137" i="1"/>
  <c r="R336" i="1"/>
  <c r="V335" i="1"/>
  <c r="V197" i="1"/>
  <c r="T184" i="1"/>
  <c r="R86" i="1"/>
  <c r="T335" i="1"/>
  <c r="U39" i="1"/>
  <c r="V212" i="1"/>
  <c r="V133" i="1"/>
  <c r="T227" i="1"/>
  <c r="U84" i="1"/>
  <c r="V80" i="1"/>
  <c r="U175" i="1"/>
  <c r="U328" i="1"/>
  <c r="R22" i="1"/>
  <c r="U332" i="1"/>
  <c r="S99" i="1"/>
  <c r="R62" i="1"/>
  <c r="R291" i="1"/>
  <c r="U7" i="1"/>
  <c r="R117" i="1"/>
  <c r="T327" i="1"/>
  <c r="U144" i="1"/>
  <c r="V271" i="1"/>
  <c r="R164" i="1"/>
  <c r="R35" i="1"/>
  <c r="T251" i="1"/>
  <c r="V213" i="1"/>
  <c r="S64" i="1"/>
  <c r="U273" i="1"/>
  <c r="R191" i="1"/>
  <c r="T98" i="1"/>
  <c r="V247" i="1"/>
  <c r="R226" i="1"/>
  <c r="S12" i="1"/>
  <c r="S251" i="1"/>
  <c r="V115" i="1"/>
  <c r="U286" i="1"/>
  <c r="T142" i="1"/>
  <c r="T132" i="1"/>
  <c r="U292" i="1"/>
  <c r="R310" i="1"/>
  <c r="U61" i="1"/>
  <c r="V269" i="1"/>
  <c r="S293" i="1"/>
  <c r="R287" i="1"/>
  <c r="U290" i="1"/>
  <c r="U56" i="1"/>
  <c r="R295" i="1"/>
  <c r="R100" i="1"/>
  <c r="S108" i="1"/>
  <c r="V248" i="1"/>
  <c r="V339" i="1"/>
  <c r="U63" i="1"/>
  <c r="U333" i="1"/>
  <c r="R10" i="1"/>
  <c r="R29" i="1"/>
  <c r="R109" i="1"/>
  <c r="T338" i="1"/>
  <c r="S142" i="1"/>
  <c r="V15" i="1"/>
  <c r="V102" i="1"/>
  <c r="T243" i="1"/>
  <c r="T248" i="1"/>
  <c r="S70" i="1"/>
  <c r="T157" i="1"/>
  <c r="S72" i="1"/>
  <c r="R347" i="1"/>
  <c r="S320" i="1"/>
  <c r="T213" i="1"/>
  <c r="S13" i="1"/>
  <c r="T195" i="1"/>
  <c r="V47" i="1"/>
  <c r="U316" i="1"/>
  <c r="U157" i="1"/>
  <c r="V52" i="1"/>
  <c r="S203" i="1"/>
  <c r="U359" i="1"/>
  <c r="V208" i="1"/>
  <c r="U185" i="1"/>
  <c r="S262" i="1"/>
  <c r="V352" i="1"/>
  <c r="V191" i="1"/>
  <c r="U104" i="1"/>
  <c r="T310" i="1"/>
  <c r="S355" i="1"/>
  <c r="V167" i="1"/>
  <c r="S71" i="1"/>
  <c r="U89" i="1"/>
  <c r="V327" i="1"/>
  <c r="U135" i="1"/>
  <c r="V192" i="1"/>
  <c r="U242" i="1"/>
  <c r="T78" i="1"/>
  <c r="T176" i="1"/>
  <c r="V89" i="1"/>
  <c r="T50" i="1"/>
  <c r="T252" i="1"/>
  <c r="V296" i="1"/>
  <c r="U230" i="1"/>
  <c r="S311" i="1"/>
  <c r="R323" i="1"/>
  <c r="S334" i="1"/>
  <c r="U301" i="1"/>
  <c r="U255" i="1"/>
  <c r="T216" i="1"/>
  <c r="R328" i="1"/>
  <c r="R225" i="1"/>
  <c r="T295" i="1"/>
  <c r="U33" i="1"/>
  <c r="V175" i="1"/>
  <c r="S127" i="1"/>
  <c r="U100" i="1"/>
  <c r="V149" i="1"/>
  <c r="V110" i="1"/>
  <c r="R282" i="1"/>
  <c r="U193" i="1"/>
  <c r="V311" i="1"/>
  <c r="S162" i="1"/>
  <c r="U212" i="1"/>
  <c r="R222" i="1"/>
  <c r="R208" i="1"/>
  <c r="U132" i="1"/>
  <c r="R27" i="1"/>
  <c r="S207" i="1"/>
  <c r="V302" i="1"/>
  <c r="R277" i="1"/>
  <c r="U313" i="1"/>
  <c r="V105" i="1"/>
  <c r="T245" i="1"/>
  <c r="S152" i="1"/>
  <c r="S261" i="1"/>
  <c r="U102" i="1"/>
  <c r="U228" i="1"/>
  <c r="T234" i="1"/>
  <c r="U263" i="1"/>
  <c r="V341" i="1"/>
  <c r="R49" i="1"/>
  <c r="U248" i="1"/>
  <c r="U351" i="1"/>
  <c r="V132" i="1"/>
  <c r="S138" i="1"/>
  <c r="V314" i="1"/>
  <c r="R203" i="1"/>
  <c r="V24" i="1"/>
  <c r="S139" i="1"/>
  <c r="U225" i="1"/>
  <c r="T106" i="1"/>
  <c r="R52" i="1"/>
  <c r="S36" i="1"/>
  <c r="U237" i="1"/>
  <c r="V96" i="1"/>
  <c r="S363" i="1"/>
  <c r="U232" i="1"/>
  <c r="T351" i="1"/>
  <c r="R26" i="1"/>
  <c r="U314" i="1"/>
  <c r="T185" i="1"/>
  <c r="U20" i="1"/>
  <c r="S248" i="1"/>
  <c r="S332" i="1"/>
  <c r="R178" i="1"/>
  <c r="T309" i="1"/>
  <c r="V277" i="1"/>
  <c r="R215" i="1"/>
  <c r="S194" i="1"/>
  <c r="U13" i="1"/>
  <c r="U64" i="1"/>
  <c r="V337" i="1"/>
  <c r="S285" i="1"/>
  <c r="U334" i="1"/>
  <c r="S220" i="1"/>
  <c r="U214" i="1"/>
  <c r="V255" i="1"/>
  <c r="T271" i="1"/>
  <c r="U21" i="1"/>
  <c r="V362" i="1"/>
  <c r="T289" i="1"/>
  <c r="T316" i="1"/>
  <c r="S346" i="1"/>
  <c r="R309" i="1"/>
  <c r="V201" i="1"/>
  <c r="U121" i="1"/>
  <c r="S183" i="1"/>
  <c r="S192" i="1"/>
  <c r="V304" i="1"/>
  <c r="S258" i="1"/>
  <c r="R317" i="1"/>
  <c r="U47" i="1"/>
  <c r="R220" i="1"/>
  <c r="R137" i="1"/>
  <c r="R308" i="1"/>
  <c r="V145" i="1"/>
  <c r="S303" i="1"/>
  <c r="T178" i="1"/>
  <c r="S107" i="1"/>
  <c r="R16" i="1"/>
  <c r="U326" i="1"/>
  <c r="T51" i="1"/>
  <c r="V223" i="1"/>
  <c r="V328" i="1"/>
  <c r="S244" i="1"/>
  <c r="R238" i="1"/>
  <c r="S189" i="1"/>
  <c r="V90" i="1"/>
  <c r="V112" i="1"/>
  <c r="V14" i="1"/>
  <c r="T266" i="1"/>
  <c r="U348" i="1"/>
  <c r="V43" i="1"/>
  <c r="U310" i="1"/>
  <c r="U106" i="1"/>
  <c r="U4" i="1"/>
  <c r="R31" i="1"/>
  <c r="V31" i="1"/>
  <c r="R36" i="1"/>
  <c r="T121" i="1"/>
  <c r="R187" i="1"/>
  <c r="S167" i="1"/>
  <c r="T239" i="1"/>
  <c r="V49" i="1"/>
  <c r="U265" i="1"/>
  <c r="R15" i="1"/>
  <c r="V81" i="1"/>
  <c r="S151" i="1"/>
  <c r="T308" i="1"/>
  <c r="R147" i="1"/>
  <c r="U282" i="1"/>
  <c r="U151" i="1"/>
  <c r="V301" i="1"/>
  <c r="T223" i="1"/>
  <c r="T26" i="1"/>
  <c r="U165" i="1"/>
  <c r="R228" i="1"/>
  <c r="S256" i="1"/>
  <c r="V265" i="1"/>
  <c r="T25" i="1"/>
  <c r="T166" i="1"/>
  <c r="V343" i="1"/>
  <c r="V270" i="1"/>
  <c r="V210" i="1"/>
  <c r="V273" i="1"/>
  <c r="V30" i="1"/>
  <c r="R124" i="1"/>
  <c r="R94" i="1"/>
  <c r="T82" i="1"/>
  <c r="U307" i="1"/>
  <c r="V204" i="1"/>
  <c r="R357" i="1"/>
  <c r="R43" i="1"/>
  <c r="S260" i="1"/>
  <c r="V303" i="1"/>
  <c r="R363" i="1"/>
  <c r="R313" i="1"/>
  <c r="S193" i="1"/>
  <c r="S121" i="1"/>
  <c r="R106" i="1"/>
  <c r="R354" i="1"/>
  <c r="V55" i="1"/>
  <c r="V134" i="1"/>
  <c r="V6" i="1"/>
  <c r="T303" i="1"/>
  <c r="T329" i="1"/>
  <c r="S6" i="1"/>
  <c r="V219" i="1"/>
  <c r="R42" i="1"/>
  <c r="T80" i="1"/>
  <c r="U269" i="1"/>
  <c r="T358" i="1"/>
  <c r="S190" i="1"/>
  <c r="S42" i="1"/>
  <c r="R249" i="1"/>
  <c r="R200" i="1"/>
  <c r="V258" i="1"/>
  <c r="R165" i="1"/>
  <c r="R85" i="1"/>
  <c r="V353" i="1"/>
  <c r="R14" i="1"/>
  <c r="U356" i="1"/>
  <c r="T210" i="1"/>
  <c r="V45" i="1"/>
  <c r="U298" i="1"/>
  <c r="R45" i="1"/>
  <c r="U45" i="1"/>
  <c r="V141" i="1"/>
  <c r="S187" i="1"/>
  <c r="V92" i="1"/>
  <c r="V33" i="1"/>
  <c r="V250" i="1"/>
  <c r="V254" i="1"/>
  <c r="R23" i="1"/>
  <c r="S200" i="1"/>
  <c r="S298" i="1"/>
  <c r="U138" i="1"/>
  <c r="U86" i="1"/>
  <c r="V347" i="1"/>
  <c r="S75" i="1"/>
  <c r="S87" i="1"/>
  <c r="S326" i="1"/>
  <c r="S281" i="1"/>
  <c r="V331" i="1"/>
  <c r="V4" i="1"/>
  <c r="U205" i="1"/>
  <c r="R144" i="1"/>
  <c r="S201" i="1"/>
  <c r="U345" i="1"/>
  <c r="T356" i="1"/>
  <c r="T171" i="1"/>
  <c r="V203" i="1"/>
  <c r="S29" i="1"/>
  <c r="R119" i="1"/>
  <c r="T48" i="1"/>
  <c r="V168" i="1"/>
  <c r="U338" i="1"/>
  <c r="V185" i="1"/>
  <c r="T320" i="1"/>
  <c r="T261" i="1"/>
  <c r="R170" i="1"/>
  <c r="V155" i="1"/>
  <c r="U349" i="1"/>
  <c r="V181" i="1"/>
  <c r="R223" i="1"/>
  <c r="T123" i="1"/>
  <c r="R297" i="1"/>
  <c r="T135" i="1"/>
  <c r="R171" i="1"/>
  <c r="S111" i="1"/>
  <c r="U181" i="1"/>
  <c r="R250" i="1"/>
  <c r="R275" i="1"/>
  <c r="V156" i="1"/>
  <c r="U148" i="1"/>
  <c r="V95" i="1"/>
  <c r="R311" i="1"/>
  <c r="T361" i="1"/>
  <c r="U288" i="1"/>
  <c r="R64" i="1"/>
  <c r="T153" i="1"/>
  <c r="R174" i="1"/>
  <c r="S212" i="1"/>
  <c r="S65" i="1"/>
  <c r="T127" i="1"/>
  <c r="S25" i="1"/>
  <c r="R358" i="1"/>
  <c r="U258" i="1"/>
  <c r="R296" i="1"/>
  <c r="R181" i="1"/>
  <c r="T60" i="1"/>
  <c r="S102" i="1"/>
  <c r="R305" i="1"/>
  <c r="V177" i="1"/>
  <c r="R247" i="1"/>
  <c r="T105" i="1"/>
  <c r="U133" i="1"/>
  <c r="V324" i="1"/>
  <c r="T177" i="1"/>
  <c r="U216" i="1"/>
  <c r="R111" i="1"/>
  <c r="S28" i="1"/>
  <c r="T140" i="1"/>
  <c r="S276" i="1"/>
  <c r="R51" i="1"/>
  <c r="R176" i="1"/>
  <c r="U37" i="1"/>
  <c r="R136" i="1"/>
  <c r="V135" i="1"/>
  <c r="U294" i="1"/>
  <c r="U226" i="1"/>
  <c r="S141" i="1"/>
  <c r="U280" i="1"/>
  <c r="S148" i="1"/>
  <c r="U29" i="1"/>
  <c r="T250" i="1"/>
  <c r="U101" i="1"/>
  <c r="U210" i="1"/>
  <c r="T38" i="1"/>
  <c r="R184" i="1"/>
  <c r="S227" i="1"/>
  <c r="V361" i="1"/>
  <c r="V200" i="1"/>
  <c r="V139" i="1"/>
  <c r="S254" i="1"/>
  <c r="V21" i="1"/>
  <c r="T253" i="1"/>
  <c r="T149" i="1"/>
  <c r="R333" i="1"/>
  <c r="U335" i="1"/>
  <c r="R259" i="1"/>
  <c r="S21" i="1"/>
  <c r="S247" i="1"/>
  <c r="U363" i="1"/>
  <c r="V174" i="1"/>
  <c r="S83" i="1"/>
  <c r="T288" i="1"/>
  <c r="R125" i="1"/>
  <c r="S348" i="1"/>
  <c r="S325" i="1"/>
  <c r="U353" i="1"/>
  <c r="U179" i="1"/>
  <c r="R156" i="1"/>
  <c r="S294" i="1"/>
  <c r="V263" i="1"/>
  <c r="T256" i="1"/>
  <c r="S124" i="1"/>
  <c r="T340" i="1"/>
  <c r="U304" i="1"/>
  <c r="T209" i="1"/>
  <c r="V360" i="1"/>
  <c r="V295" i="1"/>
  <c r="T7" i="1"/>
  <c r="S168" i="1"/>
  <c r="T229" i="1"/>
  <c r="T54" i="1"/>
  <c r="S329" i="1"/>
  <c r="V189" i="1"/>
  <c r="U158" i="1"/>
  <c r="S122" i="1"/>
  <c r="R118" i="1"/>
  <c r="S150" i="1"/>
  <c r="S57" i="1"/>
  <c r="R87" i="1"/>
  <c r="U27" i="1"/>
  <c r="U139" i="1"/>
  <c r="S296" i="1"/>
  <c r="R33" i="1"/>
  <c r="T321" i="1"/>
  <c r="T262" i="1"/>
  <c r="S134" i="1"/>
  <c r="U91" i="1"/>
  <c r="U308" i="1"/>
  <c r="T204" i="1"/>
  <c r="U83" i="1"/>
  <c r="V171" i="1"/>
  <c r="R186" i="1"/>
  <c r="S140" i="1"/>
  <c r="U336" i="1"/>
  <c r="U107" i="1"/>
  <c r="V106" i="1"/>
  <c r="V237" i="1"/>
  <c r="R298" i="1"/>
  <c r="T259" i="1"/>
  <c r="T130" i="1"/>
  <c r="R255" i="1"/>
  <c r="U180" i="1"/>
  <c r="U159" i="1"/>
  <c r="U174" i="1"/>
  <c r="S359" i="1"/>
  <c r="T9" i="1"/>
  <c r="T249" i="1"/>
  <c r="U112" i="1"/>
  <c r="V68" i="1"/>
  <c r="T179" i="1"/>
  <c r="U126" i="1"/>
  <c r="U166" i="1"/>
  <c r="T306" i="1"/>
  <c r="S34" i="1"/>
  <c r="T290" i="1"/>
  <c r="R24" i="1"/>
  <c r="R257" i="1"/>
  <c r="S132" i="1"/>
  <c r="S93" i="1"/>
  <c r="U90" i="1"/>
  <c r="T28" i="1"/>
  <c r="V25" i="1"/>
  <c r="S297" i="1"/>
  <c r="R314" i="1"/>
  <c r="T118" i="1"/>
  <c r="U41" i="1"/>
  <c r="V51" i="1"/>
  <c r="T162" i="1"/>
  <c r="V243" i="1"/>
  <c r="S318" i="1"/>
  <c r="S86" i="1"/>
  <c r="R235" i="1"/>
  <c r="V231" i="1"/>
  <c r="U177" i="1"/>
  <c r="U346" i="1"/>
  <c r="U362" i="1"/>
  <c r="V60" i="1"/>
  <c r="V99" i="1"/>
  <c r="R335" i="1"/>
  <c r="U127" i="1"/>
  <c r="T23" i="1"/>
  <c r="T333" i="1"/>
  <c r="R32" i="1"/>
  <c r="R179" i="1"/>
  <c r="S202" i="1"/>
  <c r="V85" i="1"/>
  <c r="T173" i="1"/>
  <c r="V78" i="1"/>
  <c r="T221" i="1"/>
  <c r="T156" i="1"/>
  <c r="V46" i="1"/>
  <c r="R244" i="1"/>
  <c r="U188" i="1"/>
  <c r="U11" i="1"/>
  <c r="S265" i="1"/>
  <c r="T152" i="1"/>
  <c r="S80" i="1"/>
  <c r="S98" i="1"/>
  <c r="R149" i="1"/>
  <c r="S221" i="1"/>
  <c r="U88" i="1"/>
  <c r="R72" i="1"/>
  <c r="S360" i="1"/>
  <c r="T109" i="1"/>
  <c r="S81" i="1"/>
  <c r="V83" i="1"/>
  <c r="V107" i="1"/>
  <c r="T63" i="1"/>
  <c r="R315" i="1"/>
  <c r="S241" i="1"/>
  <c r="V18" i="1"/>
  <c r="R214" i="1"/>
  <c r="V350" i="1"/>
  <c r="U8" i="1"/>
  <c r="S16" i="1"/>
  <c r="U6" i="1"/>
  <c r="T272" i="1"/>
  <c r="T39" i="1"/>
  <c r="V198" i="1"/>
  <c r="R210" i="1"/>
  <c r="T84" i="1"/>
  <c r="U224" i="1"/>
  <c r="U347" i="1"/>
  <c r="U46" i="1"/>
  <c r="S47" i="1"/>
  <c r="U305" i="1"/>
  <c r="R337" i="1"/>
  <c r="R352" i="1"/>
  <c r="S73" i="1"/>
  <c r="U142" i="1"/>
  <c r="T141" i="1"/>
  <c r="U73" i="1"/>
  <c r="S175" i="1"/>
  <c r="T233" i="1"/>
  <c r="T315" i="1"/>
  <c r="R81" i="1"/>
  <c r="S76" i="1"/>
  <c r="T199" i="1"/>
  <c r="T220" i="1"/>
  <c r="V172" i="1"/>
  <c r="S243" i="1"/>
  <c r="R234" i="1"/>
  <c r="S230" i="1"/>
  <c r="S224" i="1"/>
  <c r="V119" i="1"/>
  <c r="R267" i="1"/>
  <c r="V125" i="1"/>
  <c r="R129" i="1"/>
  <c r="S104" i="1"/>
  <c r="V249" i="1"/>
  <c r="V91" i="1"/>
  <c r="U36" i="1"/>
  <c r="U15" i="1"/>
  <c r="S288" i="1"/>
  <c r="U322" i="1"/>
  <c r="R8" i="1"/>
  <c r="U30" i="1"/>
  <c r="U190" i="1"/>
  <c r="R39" i="1"/>
  <c r="T312" i="1"/>
  <c r="R9" i="1"/>
  <c r="U231" i="1"/>
  <c r="S351" i="1"/>
  <c r="T126" i="1"/>
  <c r="R66" i="1"/>
  <c r="S357" i="1"/>
  <c r="U360" i="1"/>
  <c r="V312" i="1"/>
  <c r="S159" i="1"/>
  <c r="S22" i="1"/>
  <c r="T61" i="1"/>
  <c r="S286" i="1"/>
  <c r="T133" i="1"/>
  <c r="V345" i="1"/>
  <c r="V176" i="1"/>
  <c r="R92" i="1"/>
  <c r="T224" i="1"/>
  <c r="T238" i="1"/>
  <c r="R162" i="1"/>
  <c r="T337" i="1"/>
  <c r="U122" i="1"/>
  <c r="R330" i="1"/>
  <c r="V282" i="1"/>
  <c r="T285" i="1"/>
  <c r="V151" i="1"/>
  <c r="S160" i="1"/>
  <c r="S216" i="1"/>
  <c r="T124" i="1"/>
  <c r="U213" i="1"/>
  <c r="U251" i="1"/>
  <c r="R261" i="1"/>
  <c r="V16" i="1"/>
  <c r="R256" i="1"/>
  <c r="S246" i="1"/>
  <c r="U319" i="1"/>
  <c r="R150" i="1"/>
  <c r="V79" i="1"/>
  <c r="U243" i="1"/>
  <c r="V199" i="1"/>
  <c r="R324" i="1"/>
  <c r="V276" i="1"/>
  <c r="U324" i="1"/>
  <c r="T222" i="1"/>
  <c r="T103" i="1"/>
  <c r="S174" i="1"/>
  <c r="V320" i="1"/>
  <c r="R133" i="1"/>
  <c r="V104" i="1"/>
  <c r="T168" i="1"/>
  <c r="S312" i="1"/>
  <c r="R61" i="1"/>
  <c r="U97" i="1"/>
  <c r="R76" i="1"/>
  <c r="T273" i="1"/>
  <c r="V259" i="1"/>
  <c r="R190" i="1"/>
  <c r="U150" i="1"/>
  <c r="S344" i="1"/>
  <c r="R272" i="1"/>
  <c r="V317" i="1"/>
  <c r="S231" i="1"/>
  <c r="U80" i="1"/>
  <c r="R60" i="1"/>
  <c r="V121" i="1"/>
  <c r="R198" i="1"/>
  <c r="S157" i="1"/>
  <c r="V39" i="1"/>
  <c r="S345" i="1"/>
  <c r="T301" i="1"/>
  <c r="U261" i="1"/>
  <c r="U119" i="1"/>
  <c r="S324" i="1"/>
  <c r="T147" i="1"/>
  <c r="S170" i="1"/>
  <c r="T4" i="1"/>
  <c r="R344" i="1"/>
  <c r="T347" i="1"/>
  <c r="R348" i="1"/>
  <c r="V66" i="1"/>
  <c r="S196" i="1"/>
  <c r="R341" i="1"/>
  <c r="S163" i="1"/>
  <c r="V285" i="1"/>
  <c r="U55" i="1"/>
  <c r="T307" i="1"/>
  <c r="S82" i="1"/>
  <c r="U296" i="1"/>
  <c r="U233" i="1"/>
  <c r="T275" i="1"/>
  <c r="V158" i="1"/>
  <c r="V19" i="1"/>
  <c r="R270" i="1"/>
  <c r="S319" i="1"/>
  <c r="T24" i="1"/>
  <c r="T79" i="1"/>
  <c r="S301" i="1"/>
  <c r="U317" i="1"/>
  <c r="R17" i="1"/>
  <c r="R361" i="1"/>
  <c r="T237" i="1"/>
  <c r="R195" i="1"/>
  <c r="R294" i="1"/>
  <c r="V129" i="1"/>
  <c r="V202" i="1"/>
  <c r="U297" i="1"/>
  <c r="R334" i="1"/>
  <c r="T317" i="1"/>
  <c r="S123" i="1"/>
  <c r="R301" i="1"/>
  <c r="U32" i="1"/>
  <c r="T257" i="1"/>
  <c r="R69" i="1"/>
  <c r="T318" i="1"/>
  <c r="S226" i="1"/>
  <c r="S225" i="1"/>
  <c r="R312" i="1"/>
  <c r="V29" i="1"/>
  <c r="S169" i="1"/>
  <c r="T144" i="1"/>
  <c r="U272" i="1"/>
  <c r="S27" i="1"/>
  <c r="S172" i="1"/>
  <c r="S354" i="1"/>
  <c r="R252" i="1"/>
  <c r="U53" i="1"/>
  <c r="V183" i="1"/>
  <c r="R159" i="1"/>
  <c r="V153" i="1"/>
  <c r="V246" i="1"/>
  <c r="S343" i="1"/>
  <c r="V216" i="1"/>
  <c r="R153" i="1"/>
  <c r="R112" i="1"/>
  <c r="S30" i="1"/>
  <c r="U123" i="1"/>
  <c r="V334" i="1"/>
  <c r="U19" i="1"/>
  <c r="V72" i="1"/>
  <c r="R115" i="1"/>
  <c r="T174" i="1"/>
  <c r="T170" i="1"/>
  <c r="R300" i="1"/>
  <c r="U184" i="1"/>
  <c r="U276" i="1"/>
  <c r="R38" i="1"/>
  <c r="V293" i="1"/>
  <c r="R338" i="1"/>
  <c r="S74" i="1"/>
  <c r="R304" i="1"/>
  <c r="T42" i="1"/>
  <c r="U120" i="1"/>
  <c r="V40" i="1"/>
  <c r="U187" i="1"/>
  <c r="V306" i="1"/>
  <c r="U146" i="1"/>
  <c r="V61" i="1"/>
  <c r="R241" i="1"/>
  <c r="S84" i="1"/>
  <c r="U219" i="1"/>
  <c r="U198" i="1"/>
  <c r="U69" i="1"/>
  <c r="S279" i="1"/>
  <c r="S238" i="1"/>
  <c r="T150" i="1"/>
  <c r="T203" i="1"/>
  <c r="T268" i="1"/>
  <c r="R303" i="1"/>
  <c r="R103" i="1"/>
  <c r="R55" i="1"/>
  <c r="V340" i="1"/>
  <c r="S51" i="1"/>
  <c r="V279" i="1"/>
  <c r="T64" i="1"/>
  <c r="R319" i="1"/>
  <c r="U267" i="1"/>
  <c r="S100" i="1"/>
  <c r="V222" i="1"/>
  <c r="T160" i="1"/>
  <c r="U337" i="1"/>
  <c r="R20" i="1"/>
  <c r="V233" i="1"/>
  <c r="R243" i="1"/>
  <c r="R172" i="1"/>
  <c r="S130" i="1"/>
  <c r="T345" i="1"/>
  <c r="S90" i="1"/>
  <c r="V333" i="1"/>
  <c r="T104" i="1"/>
  <c r="R145" i="1"/>
  <c r="V32" i="1"/>
  <c r="U136" i="1"/>
  <c r="U291" i="1"/>
  <c r="U357" i="1"/>
  <c r="R246" i="1"/>
  <c r="V148" i="1"/>
  <c r="U343" i="1"/>
  <c r="V150" i="1"/>
  <c r="V173" i="1"/>
  <c r="V38" i="1"/>
  <c r="U76" i="1"/>
  <c r="U293" i="1"/>
  <c r="U196" i="1"/>
  <c r="U111" i="1"/>
  <c r="S144" i="1"/>
  <c r="V169" i="1"/>
  <c r="S48" i="1"/>
  <c r="V358" i="1"/>
  <c r="T76" i="1"/>
  <c r="T52" i="1"/>
  <c r="U241" i="1"/>
  <c r="V268" i="1"/>
  <c r="S199" i="1"/>
  <c r="S68" i="1"/>
  <c r="S128" i="1"/>
  <c r="R239" i="1"/>
  <c r="U275" i="1"/>
  <c r="U92" i="1"/>
  <c r="T319" i="1"/>
  <c r="T56" i="1"/>
  <c r="S333" i="1"/>
  <c r="R151" i="1"/>
  <c r="R126" i="1"/>
  <c r="V194" i="1"/>
  <c r="R113" i="1"/>
  <c r="V127" i="1"/>
  <c r="T43" i="1"/>
  <c r="U270" i="1"/>
  <c r="T36" i="1"/>
  <c r="R342" i="1"/>
  <c r="R253" i="1"/>
  <c r="V166" i="1"/>
  <c r="T323" i="1"/>
  <c r="U31" i="1"/>
  <c r="R288" i="1"/>
  <c r="U281" i="1"/>
  <c r="T115" i="1"/>
  <c r="U176" i="1"/>
  <c r="S270" i="1"/>
  <c r="T108" i="1"/>
  <c r="T291" i="1"/>
  <c r="T311" i="1"/>
  <c r="T284" i="1"/>
  <c r="S219" i="1"/>
  <c r="T276" i="1"/>
  <c r="T8" i="1"/>
  <c r="T120" i="1"/>
  <c r="U16" i="1"/>
  <c r="S156" i="1"/>
  <c r="R90" i="1"/>
  <c r="R227" i="1"/>
  <c r="U10" i="1"/>
  <c r="V143" i="1"/>
  <c r="U18" i="1"/>
  <c r="V7" i="1"/>
  <c r="T331" i="1"/>
  <c r="S20" i="1"/>
  <c r="U109" i="1"/>
  <c r="U17" i="1"/>
  <c r="R325" i="1"/>
  <c r="U34" i="1"/>
  <c r="S103" i="1"/>
  <c r="V50" i="1"/>
  <c r="V187" i="1"/>
  <c r="V162" i="1"/>
  <c r="U49" i="1"/>
  <c r="U208" i="1"/>
  <c r="T302" i="1"/>
  <c r="S252" i="1"/>
  <c r="T269" i="1"/>
  <c r="V218" i="1"/>
  <c r="T336" i="1"/>
  <c r="T326" i="1"/>
  <c r="V56" i="1"/>
  <c r="U60" i="1"/>
  <c r="R56" i="1"/>
  <c r="S180" i="1"/>
  <c r="U57" i="1"/>
  <c r="R286" i="1"/>
  <c r="V188" i="1"/>
  <c r="U113" i="1"/>
  <c r="T71" i="1"/>
  <c r="T175" i="1"/>
  <c r="R206" i="1"/>
  <c r="U154" i="1"/>
  <c r="T81" i="1"/>
  <c r="T66" i="1"/>
  <c r="R332" i="1"/>
  <c r="U134" i="1"/>
  <c r="U182" i="1"/>
  <c r="V266" i="1"/>
  <c r="R224" i="1"/>
  <c r="U321" i="1"/>
  <c r="U161" i="1"/>
  <c r="U164" i="1"/>
  <c r="S39" i="1"/>
  <c r="V355" i="1"/>
  <c r="V300" i="1"/>
  <c r="R139" i="1"/>
  <c r="T215" i="1"/>
  <c r="V239" i="1"/>
  <c r="S299" i="1"/>
  <c r="T352" i="1"/>
  <c r="S249" i="1"/>
  <c r="T151" i="1"/>
  <c r="V349" i="1"/>
  <c r="T232" i="1"/>
  <c r="R77" i="1"/>
  <c r="R213" i="1"/>
  <c r="S18" i="1"/>
  <c r="U77" i="1"/>
  <c r="U68" i="1"/>
  <c r="V308" i="1"/>
  <c r="T325" i="1"/>
  <c r="U170" i="1"/>
  <c r="R37" i="1"/>
  <c r="R258" i="1"/>
  <c r="R306" i="1"/>
  <c r="U218" i="1"/>
  <c r="R93" i="1"/>
  <c r="T16" i="1"/>
  <c r="R320" i="1"/>
  <c r="V256" i="1"/>
  <c r="V113" i="1"/>
  <c r="U329" i="1"/>
  <c r="U330" i="1"/>
  <c r="U145" i="1"/>
  <c r="S289" i="1"/>
  <c r="T154" i="1"/>
  <c r="S176" i="1"/>
  <c r="V241" i="1"/>
  <c r="R71" i="1"/>
  <c r="R78" i="1"/>
  <c r="V82" i="1"/>
  <c r="V42" i="1"/>
  <c r="R169" i="1"/>
  <c r="S211" i="1"/>
  <c r="V229" i="1"/>
  <c r="S15" i="1"/>
  <c r="S155" i="1"/>
  <c r="U266" i="1"/>
  <c r="R260" i="1"/>
  <c r="V98" i="1"/>
  <c r="V179" i="1"/>
  <c r="R158" i="1"/>
  <c r="S305" i="1"/>
  <c r="T196" i="1"/>
  <c r="T186" i="1"/>
  <c r="U253" i="1"/>
  <c r="S143" i="1"/>
  <c r="S114" i="1"/>
  <c r="T246" i="1"/>
  <c r="U62" i="1"/>
  <c r="U124" i="1"/>
  <c r="U235" i="1"/>
  <c r="U167" i="1"/>
  <c r="R345" i="1"/>
  <c r="T282" i="1"/>
  <c r="R40" i="1"/>
  <c r="S26" i="1"/>
  <c r="T148" i="1"/>
  <c r="U110" i="1"/>
  <c r="S177" i="1"/>
  <c r="S269" i="1"/>
  <c r="U38" i="1"/>
  <c r="U114" i="1"/>
  <c r="V354" i="1"/>
  <c r="U14" i="1"/>
  <c r="S263" i="1"/>
  <c r="S164" i="1"/>
  <c r="U238" i="1"/>
  <c r="U192" i="1"/>
  <c r="V261" i="1"/>
  <c r="R211" i="1"/>
  <c r="T27" i="1"/>
  <c r="R67" i="1"/>
  <c r="T73" i="1"/>
  <c r="U236" i="1"/>
  <c r="U217" i="1"/>
  <c r="V342" i="1"/>
  <c r="U239" i="1"/>
  <c r="U254" i="1"/>
  <c r="T47" i="1"/>
  <c r="S232" i="1"/>
  <c r="R80" i="1"/>
  <c r="S52" i="1"/>
  <c r="S208" i="1"/>
  <c r="S10" i="1"/>
  <c r="U206" i="1"/>
  <c r="V8" i="1"/>
  <c r="T40" i="1"/>
  <c r="R240" i="1"/>
  <c r="R96" i="1"/>
  <c r="S234" i="1"/>
  <c r="U70" i="1"/>
  <c r="T341" i="1"/>
  <c r="T57" i="1"/>
  <c r="S358" i="1"/>
  <c r="R193" i="1"/>
  <c r="V224" i="1"/>
  <c r="T354" i="1"/>
  <c r="R302" i="1"/>
  <c r="U234" i="1"/>
  <c r="S223" i="1"/>
  <c r="U82" i="1"/>
  <c r="R97" i="1"/>
  <c r="V67" i="1"/>
  <c r="T44" i="1"/>
  <c r="T346" i="1"/>
  <c r="V321" i="1"/>
  <c r="T206" i="1"/>
  <c r="T75" i="1"/>
  <c r="S240" i="1"/>
  <c r="S292" i="1"/>
  <c r="S287" i="1"/>
  <c r="S101" i="1"/>
  <c r="V37" i="1"/>
  <c r="T17" i="1"/>
  <c r="V253" i="1"/>
  <c r="T280" i="1"/>
  <c r="S46" i="1"/>
  <c r="S197" i="1"/>
  <c r="U105" i="1"/>
  <c r="R121" i="1"/>
  <c r="V28" i="1"/>
  <c r="U203" i="1"/>
  <c r="R316" i="1"/>
  <c r="S113" i="1"/>
  <c r="R28" i="1"/>
  <c r="U94" i="1"/>
  <c r="V305" i="1"/>
  <c r="S309" i="1"/>
  <c r="T330" i="1"/>
  <c r="R327" i="1"/>
  <c r="S110" i="1"/>
  <c r="U116" i="1"/>
  <c r="R201" i="1"/>
  <c r="T101" i="1"/>
  <c r="R108" i="1"/>
  <c r="S257" i="1"/>
  <c r="V238" i="1"/>
  <c r="S182" i="1"/>
  <c r="T343" i="1"/>
  <c r="T182" i="1"/>
  <c r="S119" i="1"/>
  <c r="U186" i="1"/>
  <c r="V54" i="1"/>
  <c r="S337" i="1"/>
  <c r="V287" i="1"/>
  <c r="S250" i="1"/>
  <c r="T247" i="1"/>
  <c r="U331" i="1"/>
  <c r="S278" i="1"/>
  <c r="R161" i="1"/>
  <c r="U183" i="1"/>
  <c r="R47" i="1"/>
  <c r="S50" i="1"/>
  <c r="T70" i="1"/>
  <c r="U75" i="1"/>
  <c r="R204" i="1"/>
  <c r="T155" i="1"/>
  <c r="U229" i="1"/>
  <c r="S339" i="1"/>
  <c r="U306" i="1"/>
  <c r="V59" i="1"/>
  <c r="S38" i="1"/>
  <c r="R318" i="1"/>
  <c r="U318" i="1"/>
  <c r="T95" i="1"/>
  <c r="U171" i="1"/>
  <c r="V58" i="1"/>
  <c r="U289" i="1"/>
  <c r="R349" i="1"/>
  <c r="S274" i="1"/>
  <c r="U12" i="1"/>
  <c r="V48" i="1"/>
  <c r="S321" i="1"/>
  <c r="V186" i="1"/>
  <c r="S165" i="1"/>
  <c r="T201" i="1"/>
  <c r="T100" i="1"/>
  <c r="T332" i="1"/>
  <c r="S198" i="1"/>
  <c r="T59" i="1"/>
  <c r="R207" i="1"/>
  <c r="T305" i="1"/>
  <c r="R70" i="1"/>
  <c r="U48" i="1"/>
  <c r="V344" i="1"/>
  <c r="S24" i="1"/>
  <c r="S209" i="1"/>
  <c r="S283" i="1"/>
  <c r="U202" i="1"/>
  <c r="U312" i="1"/>
  <c r="U211" i="1"/>
  <c r="T207" i="1"/>
  <c r="R263" i="1"/>
  <c r="V136" i="1"/>
  <c r="U117" i="1"/>
  <c r="T65" i="1"/>
  <c r="S78" i="1"/>
  <c r="U78" i="1"/>
  <c r="S135" i="1"/>
  <c r="V316" i="1"/>
  <c r="S43" i="1"/>
  <c r="T86" i="1"/>
  <c r="R219" i="1"/>
  <c r="S55" i="1"/>
  <c r="R192" i="1"/>
  <c r="T33" i="1"/>
  <c r="U118" i="1"/>
  <c r="R281" i="1"/>
  <c r="T88" i="1"/>
  <c r="R322" i="1"/>
  <c r="S341" i="1"/>
  <c r="T349" i="1"/>
  <c r="S336" i="1"/>
  <c r="R116" i="1"/>
  <c r="V245" i="1"/>
  <c r="T217" i="1"/>
  <c r="V182" i="1"/>
  <c r="R120" i="1"/>
  <c r="S310" i="1"/>
  <c r="V124" i="1"/>
  <c r="S317" i="1"/>
  <c r="R242" i="1"/>
  <c r="R289" i="1"/>
  <c r="S323" i="1"/>
  <c r="R276" i="1"/>
  <c r="T187" i="1"/>
  <c r="U128" i="1"/>
  <c r="V130" i="1"/>
  <c r="T260" i="1"/>
  <c r="S352" i="1"/>
  <c r="R122" i="1"/>
  <c r="V281" i="1"/>
  <c r="T29" i="1"/>
  <c r="T362" i="1"/>
  <c r="T89" i="1"/>
  <c r="U115" i="1"/>
  <c r="R7" i="1"/>
  <c r="R88" i="1"/>
  <c r="S60" i="1"/>
  <c r="T214" i="1"/>
  <c r="T58" i="1"/>
  <c r="R50" i="1"/>
  <c r="V351" i="1"/>
  <c r="V146" i="1"/>
  <c r="T11" i="1"/>
  <c r="U137" i="1"/>
  <c r="V144" i="1"/>
  <c r="U354" i="1"/>
  <c r="S112" i="1"/>
  <c r="V207" i="1"/>
  <c r="U361" i="1"/>
  <c r="S178" i="1"/>
  <c r="S280" i="1"/>
  <c r="R59" i="1"/>
  <c r="T102" i="1"/>
  <c r="R236" i="1"/>
  <c r="R284" i="1"/>
  <c r="U194" i="1"/>
  <c r="R355" i="1"/>
  <c r="V240" i="1"/>
  <c r="R65" i="1"/>
  <c r="T37" i="1"/>
  <c r="T277" i="1"/>
  <c r="V214" i="1"/>
  <c r="S33" i="1"/>
  <c r="T159" i="1"/>
  <c r="V165" i="1"/>
  <c r="S126" i="1"/>
  <c r="T91" i="1"/>
  <c r="S4" i="1"/>
  <c r="S158" i="1"/>
  <c r="R329" i="1"/>
  <c r="U285" i="1"/>
  <c r="R264" i="1"/>
  <c r="S307" i="1"/>
  <c r="U244" i="1"/>
  <c r="S67" i="1"/>
  <c r="V298" i="1"/>
  <c r="S304" i="1"/>
  <c r="S185" i="1"/>
  <c r="V73" i="1"/>
  <c r="U350" i="1"/>
  <c r="S302" i="1"/>
  <c r="U259" i="1"/>
  <c r="U240" i="1"/>
  <c r="T357" i="1"/>
  <c r="R343" i="1"/>
  <c r="S282" i="1"/>
  <c r="S335" i="1"/>
  <c r="T194" i="1"/>
  <c r="U340" i="1"/>
  <c r="T131" i="1"/>
  <c r="U153" i="1"/>
  <c r="V26" i="1"/>
  <c r="S106" i="1"/>
  <c r="R254" i="1"/>
  <c r="S105" i="1"/>
  <c r="V329" i="1"/>
  <c r="T180" i="1"/>
  <c r="R360" i="1"/>
  <c r="S88" i="1"/>
  <c r="U59" i="1"/>
  <c r="T143" i="1"/>
  <c r="V138" i="1"/>
  <c r="S356" i="1"/>
  <c r="R180" i="1"/>
  <c r="U28" i="1"/>
  <c r="T107" i="1"/>
  <c r="S97" i="1"/>
  <c r="T270" i="1"/>
  <c r="R362" i="1"/>
  <c r="U257" i="1"/>
  <c r="T161" i="1"/>
  <c r="V330" i="1"/>
  <c r="V251" i="1"/>
  <c r="U279" i="1"/>
  <c r="V84" i="1"/>
  <c r="V111" i="1"/>
  <c r="S245" i="1"/>
  <c r="R209" i="1"/>
  <c r="S186" i="1"/>
  <c r="R265" i="1"/>
  <c r="S149" i="1"/>
  <c r="V10" i="1"/>
  <c r="T228" i="1"/>
  <c r="V346" i="1"/>
  <c r="R217" i="1"/>
  <c r="S89" i="1"/>
  <c r="T286" i="1"/>
  <c r="S66" i="1"/>
  <c r="U131" i="1"/>
  <c r="U162" i="1"/>
  <c r="T172" i="1"/>
  <c r="R54" i="1"/>
  <c r="S342" i="1"/>
  <c r="U66" i="1"/>
  <c r="R123" i="1"/>
  <c r="S362" i="1"/>
  <c r="S37" i="1"/>
  <c r="T198" i="1"/>
  <c r="R110" i="1"/>
  <c r="U141" i="1"/>
  <c r="U299" i="1"/>
  <c r="R340" i="1"/>
  <c r="S61" i="1"/>
  <c r="V5" i="1"/>
  <c r="R12" i="1"/>
  <c r="V64" i="1"/>
  <c r="V348" i="1"/>
  <c r="T189" i="1"/>
  <c r="V228" i="1"/>
  <c r="U204" i="1"/>
  <c r="R41" i="1"/>
  <c r="V244" i="1"/>
  <c r="T225" i="1"/>
  <c r="T205" i="1"/>
  <c r="V230" i="1"/>
  <c r="R188" i="1"/>
  <c r="R83" i="1"/>
  <c r="U220" i="1"/>
  <c r="S300" i="1"/>
  <c r="U130" i="1"/>
  <c r="R135" i="1"/>
  <c r="T30" i="1"/>
  <c r="V103" i="1"/>
  <c r="U303" i="1"/>
  <c r="V294" i="1"/>
  <c r="T200" i="1"/>
  <c r="R30" i="1"/>
  <c r="T263" i="1"/>
  <c r="V88" i="1"/>
  <c r="V336" i="1"/>
  <c r="V35" i="1"/>
  <c r="U42" i="1"/>
  <c r="T299" i="1"/>
  <c r="U277" i="1"/>
  <c r="R58" i="1"/>
  <c r="R131" i="1"/>
  <c r="R248" i="1"/>
  <c r="U26" i="1"/>
  <c r="R128" i="1"/>
  <c r="R160" i="1"/>
  <c r="V209" i="1"/>
  <c r="V195" i="1"/>
  <c r="T12" i="1"/>
  <c r="T117" i="1"/>
  <c r="V217" i="1"/>
  <c r="R134" i="1"/>
  <c r="R283" i="1"/>
  <c r="U355" i="1"/>
  <c r="V310" i="1"/>
  <c r="R25" i="1"/>
  <c r="R75" i="1"/>
  <c r="R4" i="1"/>
  <c r="S129" i="1"/>
  <c r="S161" i="1"/>
  <c r="U173" i="1"/>
  <c r="V235" i="1"/>
  <c r="V131" i="1"/>
  <c r="V22" i="1"/>
  <c r="S328" i="1"/>
  <c r="R48" i="1"/>
  <c r="V74" i="1"/>
  <c r="V262" i="1"/>
  <c r="T230" i="1"/>
  <c r="V57" i="1"/>
  <c r="R237" i="1"/>
  <c r="S95" i="1"/>
  <c r="S215" i="1"/>
  <c r="U358" i="1"/>
  <c r="S242" i="1"/>
  <c r="R13" i="1"/>
  <c r="R130" i="1"/>
  <c r="R74" i="1"/>
  <c r="T114" i="1"/>
  <c r="T304" i="1"/>
  <c r="S295" i="1"/>
  <c r="T74" i="1"/>
  <c r="U344" i="1"/>
  <c r="R346" i="1"/>
  <c r="U152" i="1"/>
  <c r="V100" i="1"/>
  <c r="S361" i="1"/>
  <c r="T67" i="1"/>
  <c r="T281" i="1"/>
  <c r="T46" i="1"/>
  <c r="T146" i="1"/>
  <c r="R321" i="1"/>
  <c r="U96" i="1"/>
  <c r="T296" i="1"/>
  <c r="U252" i="1"/>
  <c r="T264" i="1"/>
  <c r="V123" i="1"/>
  <c r="S45" i="1"/>
  <c r="S147" i="1"/>
  <c r="T322" i="1"/>
  <c r="T99" i="1"/>
  <c r="S31" i="1"/>
  <c r="V23" i="1"/>
  <c r="V109" i="1"/>
  <c r="U249" i="1"/>
  <c r="T19" i="1"/>
  <c r="V160" i="1"/>
  <c r="U222" i="1"/>
  <c r="S253" i="1"/>
  <c r="S59" i="1"/>
  <c r="S210" i="1"/>
  <c r="V221" i="1"/>
  <c r="S259" i="1"/>
  <c r="S131" i="1"/>
  <c r="V275" i="1"/>
  <c r="U215" i="1"/>
  <c r="R185" i="1"/>
  <c r="S233" i="1"/>
  <c r="U22" i="1"/>
  <c r="U207" i="1"/>
  <c r="U342" i="1"/>
  <c r="R152" i="1"/>
  <c r="T334" i="1"/>
  <c r="V36" i="1"/>
  <c r="T77" i="1"/>
  <c r="R183" i="1"/>
  <c r="R326" i="1"/>
  <c r="T235" i="1"/>
  <c r="U98" i="1"/>
  <c r="U9" i="1"/>
  <c r="V65" i="1"/>
  <c r="U209" i="1"/>
  <c r="T32" i="1"/>
  <c r="V159" i="1"/>
  <c r="T169" i="1"/>
  <c r="T258" i="1"/>
  <c r="T128" i="1"/>
  <c r="V164" i="1"/>
  <c r="U256" i="1"/>
  <c r="V225" i="1"/>
  <c r="U25" i="1"/>
  <c r="V147" i="1"/>
  <c r="V236" i="1"/>
  <c r="V142" i="1"/>
  <c r="S313" i="1"/>
  <c r="S217" i="1"/>
  <c r="R6" i="1"/>
  <c r="S213" i="1"/>
  <c r="R68" i="1"/>
  <c r="V9" i="1"/>
  <c r="T212" i="1"/>
  <c r="R356" i="1"/>
  <c r="R82" i="1"/>
  <c r="R73" i="1"/>
  <c r="T353" i="1"/>
  <c r="T298" i="1"/>
  <c r="R79" i="1"/>
  <c r="T35" i="1"/>
  <c r="U309" i="1"/>
  <c r="U325" i="1"/>
  <c r="V326" i="1"/>
  <c r="T190" i="1"/>
  <c r="R202" i="1"/>
  <c r="S236" i="1"/>
  <c r="S125" i="1"/>
  <c r="V17" i="1"/>
  <c r="U35" i="1"/>
  <c r="R157" i="1"/>
  <c r="T359" i="1"/>
  <c r="R114" i="1"/>
  <c r="S166" i="1"/>
  <c r="S331" i="1"/>
  <c r="V290" i="1"/>
  <c r="S267" i="1"/>
  <c r="V227" i="1"/>
  <c r="R104" i="1"/>
  <c r="S77" i="1"/>
  <c r="U199" i="1"/>
  <c r="T193" i="1"/>
  <c r="T294" i="1"/>
  <c r="U160" i="1"/>
  <c r="R127" i="1"/>
  <c r="R339" i="1"/>
  <c r="U168" i="1"/>
  <c r="T255" i="1"/>
  <c r="U169" i="1"/>
  <c r="V257" i="1"/>
  <c r="S58" i="1"/>
  <c r="V356" i="1"/>
  <c r="S347" i="1"/>
  <c r="V101" i="1"/>
  <c r="T110" i="1"/>
  <c r="T167" i="1"/>
  <c r="R221" i="1"/>
  <c r="V122" i="1"/>
  <c r="U149" i="1"/>
  <c r="R98" i="1"/>
  <c r="U341" i="1"/>
  <c r="R19" i="1"/>
  <c r="R141" i="1"/>
  <c r="S19" i="1"/>
  <c r="V196" i="1"/>
  <c r="T342" i="1"/>
  <c r="T21" i="1"/>
  <c r="T192" i="1"/>
  <c r="V338" i="1"/>
  <c r="S40" i="1"/>
  <c r="V205" i="1"/>
  <c r="T158" i="1"/>
  <c r="T314" i="1"/>
  <c r="T328" i="1"/>
  <c r="R230" i="1"/>
  <c r="V118" i="1"/>
  <c r="S291" i="1"/>
  <c r="S136" i="1"/>
  <c r="U129" i="1"/>
  <c r="S32" i="1"/>
  <c r="T226" i="1"/>
  <c r="T31" i="1"/>
  <c r="U323" i="1"/>
  <c r="S49" i="1"/>
  <c r="V97" i="1"/>
  <c r="U320" i="1"/>
  <c r="S63" i="1"/>
  <c r="R194" i="1"/>
  <c r="V283" i="1"/>
  <c r="U200" i="1"/>
  <c r="R53" i="1"/>
  <c r="V140" i="1"/>
  <c r="U108" i="1"/>
  <c r="R307" i="1"/>
  <c r="T324" i="1"/>
  <c r="V44" i="1"/>
  <c r="T111" i="1"/>
  <c r="U271" i="1"/>
  <c r="S91" i="1"/>
  <c r="R351" i="1"/>
  <c r="T49" i="1"/>
  <c r="U58" i="1"/>
  <c r="T211" i="1"/>
  <c r="V359" i="1"/>
  <c r="S235" i="1"/>
  <c r="R273" i="1"/>
  <c r="T90" i="1"/>
  <c r="V206" i="1"/>
  <c r="V71" i="1"/>
  <c r="V63" i="1"/>
  <c r="V242" i="1"/>
  <c r="S214" i="1"/>
  <c r="V318" i="1"/>
  <c r="V323" i="1"/>
  <c r="U143" i="1"/>
  <c r="S255" i="1"/>
  <c r="T145" i="1"/>
  <c r="R101" i="1"/>
  <c r="R155" i="1"/>
  <c r="U54" i="1"/>
  <c r="T45" i="1"/>
  <c r="S133" i="1"/>
  <c r="U71" i="1"/>
  <c r="T188" i="1"/>
  <c r="R229" i="1"/>
  <c r="S184" i="1"/>
  <c r="V272" i="1"/>
  <c r="S153" i="1"/>
  <c r="V116" i="1"/>
  <c r="R11" i="1"/>
  <c r="S340" i="1"/>
  <c r="V108" i="1"/>
  <c r="U99" i="1"/>
  <c r="U191" i="1"/>
  <c r="T138" i="1"/>
  <c r="S96" i="1"/>
  <c r="S239" i="1"/>
  <c r="R168" i="1"/>
  <c r="S118" i="1"/>
  <c r="V234" i="1"/>
  <c r="T92" i="1"/>
  <c r="S14" i="1"/>
  <c r="V114" i="1"/>
  <c r="U287" i="1"/>
  <c r="V120" i="1"/>
  <c r="U327" i="1"/>
  <c r="V215" i="1"/>
  <c r="V332" i="1"/>
  <c r="S191" i="1"/>
  <c r="S92" i="1"/>
  <c r="V325" i="1"/>
  <c r="U95" i="1"/>
  <c r="R292" i="1"/>
  <c r="U262" i="1"/>
  <c r="T68" i="1"/>
  <c r="V322" i="1"/>
  <c r="V163" i="1"/>
  <c r="T363" i="1"/>
  <c r="V267" i="1"/>
  <c r="V264" i="1"/>
  <c r="U260" i="1"/>
  <c r="R251" i="1"/>
  <c r="T137" i="1"/>
  <c r="S23" i="1"/>
  <c r="T119" i="1"/>
  <c r="V226" i="1"/>
  <c r="R262" i="1"/>
  <c r="R285" i="1"/>
  <c r="V154" i="1"/>
  <c r="U72" i="1"/>
  <c r="T350" i="1"/>
  <c r="U67" i="1"/>
  <c r="S218" i="1"/>
  <c r="T113" i="1"/>
  <c r="V252" i="1"/>
  <c r="R350" i="1"/>
  <c r="U197" i="1"/>
  <c r="V27" i="1"/>
  <c r="S350" i="1"/>
  <c r="U163" i="1"/>
  <c r="S85" i="1"/>
  <c r="S273" i="1"/>
  <c r="R177" i="1"/>
  <c r="R132" i="1"/>
  <c r="T274" i="1"/>
  <c r="T85" i="1"/>
  <c r="R138" i="1"/>
  <c r="R57" i="1"/>
  <c r="R293" i="1"/>
  <c r="U125" i="1"/>
  <c r="U227" i="1"/>
  <c r="S275" i="1"/>
  <c r="T339" i="1"/>
  <c r="T240" i="1"/>
  <c r="V278" i="1"/>
  <c r="R146" i="1"/>
  <c r="S41" i="1"/>
  <c r="T300" i="1"/>
  <c r="T122" i="1"/>
  <c r="V53" i="1"/>
  <c r="S146" i="1"/>
  <c r="R274" i="1"/>
  <c r="V77" i="1"/>
  <c r="S116" i="1"/>
  <c r="T241" i="1"/>
  <c r="T34" i="1"/>
  <c r="V232" i="1"/>
  <c r="T267" i="1"/>
  <c r="S228" i="1"/>
  <c r="S330" i="1"/>
  <c r="T181" i="1"/>
  <c r="S277" i="1"/>
  <c r="S205" i="1"/>
  <c r="V292" i="1"/>
  <c r="S290" i="1"/>
  <c r="V180" i="1"/>
  <c r="T313" i="1"/>
  <c r="T14" i="1"/>
  <c r="R148" i="1"/>
  <c r="T134" i="1"/>
  <c r="S109" i="1"/>
  <c r="T293" i="1"/>
  <c r="S188" i="1"/>
  <c r="S94" i="1"/>
  <c r="U250" i="1"/>
  <c r="T242" i="1"/>
  <c r="U140" i="1"/>
  <c r="V286" i="1"/>
  <c r="U264" i="1"/>
  <c r="U274" i="1"/>
  <c r="R245" i="1"/>
  <c r="S314" i="1"/>
  <c r="U315" i="1"/>
  <c r="T97" i="1"/>
  <c r="S322" i="1"/>
  <c r="R205" i="1"/>
  <c r="T278" i="1"/>
  <c r="T287" i="1"/>
  <c r="U178" i="1"/>
  <c r="V288" i="1"/>
  <c r="U245" i="1"/>
  <c r="R280" i="1"/>
  <c r="U85" i="1"/>
  <c r="T236" i="1"/>
  <c r="V76" i="1"/>
  <c r="V152" i="1"/>
  <c r="U300" i="1"/>
  <c r="S8" i="1"/>
  <c r="T231" i="1"/>
  <c r="R290" i="1"/>
  <c r="T208" i="1"/>
  <c r="V357" i="1"/>
  <c r="S53" i="1"/>
  <c r="V170" i="1"/>
  <c r="V178" i="1"/>
  <c r="S264" i="1"/>
  <c r="R212" i="1"/>
  <c r="S284" i="1"/>
  <c r="R196" i="1"/>
  <c r="R34" i="1"/>
  <c r="V315" i="1"/>
  <c r="T41" i="1"/>
  <c r="R21" i="1"/>
  <c r="U79" i="1"/>
  <c r="V93" i="1"/>
  <c r="S308" i="1"/>
  <c r="T283" i="1"/>
  <c r="U352" i="1"/>
  <c r="V137" i="1"/>
  <c r="T254" i="1"/>
  <c r="T191" i="1"/>
  <c r="U23" i="1"/>
  <c r="U278" i="1"/>
  <c r="S145" i="1"/>
  <c r="S154" i="1"/>
  <c r="T112" i="1"/>
  <c r="T219" i="1"/>
  <c r="V297" i="1"/>
  <c r="U50" i="1"/>
  <c r="S206" i="1"/>
  <c r="V117" i="1"/>
  <c r="S271" i="1"/>
  <c r="R91" i="1"/>
  <c r="T116" i="1"/>
  <c r="S173" i="1"/>
  <c r="R84" i="1"/>
  <c r="R232" i="1"/>
  <c r="R140" i="1"/>
  <c r="U223" i="1"/>
  <c r="S120" i="1"/>
  <c r="R331" i="1"/>
  <c r="R189" i="1"/>
  <c r="R216" i="1"/>
  <c r="T164" i="1"/>
  <c r="U93" i="1"/>
  <c r="S195" i="1"/>
  <c r="V319" i="1"/>
  <c r="R107" i="1"/>
  <c r="R353" i="1"/>
  <c r="U51" i="1"/>
  <c r="S268" i="1"/>
  <c r="V69" i="1"/>
  <c r="T344" i="1"/>
  <c r="T348" i="1"/>
  <c r="V20" i="1"/>
  <c r="V11" i="1"/>
  <c r="R154" i="1"/>
  <c r="R359" i="1"/>
  <c r="T22" i="1"/>
  <c r="V313" i="1"/>
  <c r="V13" i="1"/>
  <c r="T355" i="1"/>
  <c r="S229" i="1"/>
  <c r="V307" i="1"/>
  <c r="V280" i="1"/>
  <c r="R95" i="1"/>
  <c r="U311" i="1"/>
  <c r="R299" i="1"/>
  <c r="T136" i="1"/>
  <c r="T279" i="1"/>
  <c r="V284" i="1"/>
  <c r="V12" i="1"/>
  <c r="V184" i="1"/>
  <c r="T163" i="1"/>
  <c r="T125" i="1"/>
  <c r="R269" i="1"/>
  <c r="S306" i="1"/>
  <c r="T20" i="1"/>
  <c r="R89" i="1"/>
  <c r="R175" i="1"/>
  <c r="V75" i="1"/>
  <c r="S327" i="1"/>
  <c r="S79" i="1"/>
  <c r="S44" i="1"/>
  <c r="S272" i="1"/>
  <c r="T165" i="1"/>
  <c r="S7" i="1"/>
  <c r="S9" i="1"/>
  <c r="S117" i="1"/>
  <c r="R266" i="1"/>
  <c r="R105" i="1"/>
  <c r="R102" i="1"/>
  <c r="S353" i="1"/>
  <c r="S171" i="1"/>
  <c r="U87" i="1"/>
  <c r="U247" i="1"/>
  <c r="U268" i="1"/>
  <c r="S5" i="1"/>
  <c r="T360" i="1"/>
  <c r="S338" i="1"/>
  <c r="T69" i="1"/>
  <c r="T83" i="1"/>
  <c r="U44" i="1"/>
  <c r="T129" i="1"/>
  <c r="R163" i="1"/>
  <c r="V70" i="1"/>
  <c r="S69" i="1"/>
  <c r="S11" i="1"/>
  <c r="R197" i="1"/>
  <c r="V211" i="1"/>
  <c r="R18" i="1"/>
  <c r="R173" i="1"/>
  <c r="T93" i="1"/>
  <c r="T139" i="1"/>
  <c r="U284" i="1"/>
  <c r="S315" i="1"/>
  <c r="U201" i="1"/>
  <c r="V161" i="1"/>
  <c r="T72" i="1"/>
  <c r="U103" i="1"/>
  <c r="T96" i="1"/>
  <c r="T62" i="1"/>
  <c r="R231" i="1"/>
  <c r="U147" i="1"/>
  <c r="R167" i="1"/>
  <c r="S204" i="1"/>
  <c r="T18" i="1"/>
  <c r="S266" i="1"/>
  <c r="R46" i="1"/>
  <c r="S179" i="1"/>
  <c r="R182" i="1"/>
  <c r="T265" i="1"/>
  <c r="T197" i="1"/>
  <c r="V157" i="1"/>
  <c r="U43" i="1"/>
  <c r="T292" i="1"/>
  <c r="R218" i="1"/>
  <c r="T218" i="1"/>
  <c r="V128" i="1"/>
  <c r="U5" i="1"/>
  <c r="R271" i="1"/>
  <c r="S222" i="1"/>
  <c r="U221" i="1"/>
  <c r="U52" i="1"/>
  <c r="U302" i="1"/>
  <c r="V193" i="1"/>
  <c r="T94" i="1"/>
  <c r="S62" i="1"/>
  <c r="T244" i="1"/>
  <c r="S349" i="1"/>
  <c r="U40" i="1"/>
  <c r="T297" i="1"/>
  <c r="R233" i="1"/>
  <c r="T6" i="1"/>
  <c r="U246" i="1"/>
  <c r="T183" i="1"/>
  <c r="T5" i="1"/>
  <c r="U189" i="1"/>
  <c r="T87" i="1"/>
  <c r="T15" i="1"/>
  <c r="V62" i="1"/>
  <c r="S17" i="1"/>
  <c r="R142" i="1"/>
  <c r="R279" i="1"/>
  <c r="V190" i="1"/>
  <c r="U24" i="1"/>
  <c r="R166" i="1"/>
  <c r="V126" i="1"/>
  <c r="R63" i="1"/>
  <c r="V260" i="1"/>
  <c r="T10" i="1"/>
  <c r="S237" i="1"/>
  <c r="V363" i="1"/>
  <c r="V41" i="1"/>
  <c r="V309" i="1"/>
  <c r="V94" i="1"/>
  <c r="V34" i="1"/>
  <c r="V299" i="1"/>
  <c r="R5" i="1"/>
  <c r="U74" i="1"/>
  <c r="R99" i="1"/>
  <c r="U155" i="1"/>
  <c r="H62" i="9" l="1"/>
  <c r="G62" i="9"/>
  <c r="E61" i="9"/>
  <c r="G60" i="9"/>
  <c r="G57" i="9"/>
  <c r="G55" i="9"/>
  <c r="E55" i="9"/>
  <c r="G54" i="9"/>
  <c r="G52" i="9"/>
  <c r="G48" i="9"/>
  <c r="G46" i="9"/>
  <c r="G45" i="9"/>
  <c r="F43" i="9"/>
  <c r="G42" i="9"/>
  <c r="H40" i="9"/>
  <c r="G40" i="9"/>
  <c r="H39" i="9"/>
  <c r="E39" i="9"/>
  <c r="G38" i="9"/>
  <c r="H36" i="9"/>
  <c r="E30" i="9"/>
  <c r="H29" i="9"/>
  <c r="H28" i="9"/>
  <c r="E28" i="9"/>
  <c r="E27" i="9"/>
  <c r="H25" i="9"/>
  <c r="H24" i="9"/>
  <c r="E23" i="9"/>
  <c r="F22" i="9"/>
  <c r="F19" i="9"/>
  <c r="E19" i="9"/>
  <c r="E17" i="9"/>
  <c r="F16" i="9"/>
  <c r="E16" i="9"/>
  <c r="F15" i="9"/>
  <c r="E15" i="9"/>
  <c r="D71" i="15"/>
  <c r="D151" i="15"/>
  <c r="K71" i="15"/>
  <c r="D83" i="15"/>
  <c r="D49" i="15"/>
  <c r="D157" i="15"/>
  <c r="D68" i="15"/>
  <c r="D188" i="15"/>
  <c r="D81" i="15"/>
  <c r="D221" i="15"/>
  <c r="D152" i="15"/>
  <c r="D132" i="15"/>
  <c r="D60" i="15"/>
  <c r="E71" i="15"/>
  <c r="D197" i="15"/>
  <c r="D154" i="15"/>
  <c r="D190" i="15"/>
  <c r="K190" i="15"/>
  <c r="K157" i="15"/>
  <c r="F152" i="15"/>
  <c r="D73" i="15"/>
  <c r="D182" i="15"/>
  <c r="I73" i="15"/>
  <c r="I190" i="15"/>
  <c r="D213" i="15"/>
  <c r="D156" i="15"/>
  <c r="D179" i="15"/>
  <c r="D86" i="15"/>
  <c r="F213" i="15"/>
  <c r="D72" i="15"/>
  <c r="D215" i="15"/>
  <c r="D35" i="15"/>
  <c r="D88" i="15"/>
  <c r="D217" i="15"/>
  <c r="D91" i="15"/>
  <c r="D212" i="15"/>
  <c r="I81" i="15"/>
  <c r="D67" i="15"/>
  <c r="I152" i="15"/>
  <c r="J213" i="15"/>
  <c r="D58" i="15"/>
  <c r="J215" i="15"/>
  <c r="G190" i="15"/>
  <c r="G217" i="15"/>
  <c r="E68" i="15"/>
  <c r="J81" i="15"/>
  <c r="J190" i="15"/>
  <c r="H154" i="15"/>
  <c r="I68" i="15"/>
  <c r="F197" i="15"/>
  <c r="D216" i="15"/>
  <c r="J152" i="15"/>
  <c r="G216" i="15"/>
  <c r="H67" i="15"/>
  <c r="D200" i="15"/>
  <c r="D69" i="15"/>
  <c r="D158" i="15"/>
  <c r="D192" i="15"/>
  <c r="D25" i="15"/>
  <c r="D106" i="15"/>
  <c r="J49" i="15"/>
  <c r="D89" i="15"/>
  <c r="D161" i="15"/>
  <c r="K213" i="15"/>
  <c r="D40" i="15"/>
  <c r="D57" i="15"/>
  <c r="K158" i="15"/>
  <c r="F200" i="15"/>
  <c r="D174" i="15"/>
  <c r="G200" i="15"/>
  <c r="D167" i="15"/>
  <c r="E60" i="15"/>
  <c r="F132" i="15"/>
  <c r="K132" i="15"/>
  <c r="D136" i="15"/>
  <c r="H157" i="15"/>
  <c r="E81" i="15"/>
  <c r="J167" i="15"/>
  <c r="D126" i="15"/>
  <c r="I156" i="15"/>
  <c r="G49" i="15"/>
  <c r="F35" i="15"/>
  <c r="E58" i="15"/>
  <c r="J57" i="15"/>
  <c r="H200" i="15"/>
  <c r="H167" i="15"/>
  <c r="I83" i="15"/>
  <c r="J68" i="15"/>
  <c r="D194" i="15"/>
  <c r="D100" i="15"/>
  <c r="D82" i="15"/>
  <c r="H213" i="15"/>
  <c r="D135" i="15"/>
  <c r="D118" i="15"/>
  <c r="D133" i="15"/>
  <c r="D78" i="15"/>
  <c r="I82" i="15"/>
  <c r="D123" i="15"/>
  <c r="D20" i="15"/>
  <c r="E86" i="15"/>
  <c r="D134" i="15"/>
  <c r="D62" i="15"/>
  <c r="E151" i="15"/>
  <c r="F156" i="15"/>
  <c r="D224" i="15"/>
  <c r="D218" i="15"/>
  <c r="J133" i="15"/>
  <c r="D162" i="15"/>
  <c r="E67" i="15"/>
  <c r="F89" i="15"/>
  <c r="D111" i="15"/>
  <c r="G69" i="15"/>
  <c r="I71" i="15"/>
  <c r="I35" i="15"/>
  <c r="D33" i="15"/>
  <c r="G100" i="15"/>
  <c r="F161" i="15"/>
  <c r="J135" i="15"/>
  <c r="J91" i="15"/>
  <c r="I161" i="15"/>
  <c r="H136" i="15"/>
  <c r="E157" i="15"/>
  <c r="G33" i="15"/>
  <c r="K194" i="15"/>
  <c r="G212" i="15"/>
  <c r="G60" i="15"/>
  <c r="J67" i="15"/>
  <c r="G81" i="15"/>
  <c r="G221" i="15"/>
  <c r="F218" i="15"/>
  <c r="D103" i="15"/>
  <c r="D189" i="15"/>
  <c r="G151" i="15"/>
  <c r="G71" i="15"/>
  <c r="D101" i="15"/>
  <c r="E69" i="15"/>
  <c r="F106" i="15"/>
  <c r="D198" i="15"/>
  <c r="K161" i="15"/>
  <c r="D43" i="15"/>
  <c r="K82" i="15"/>
  <c r="K88" i="15"/>
  <c r="J217" i="15"/>
  <c r="D220" i="15"/>
  <c r="D153" i="15"/>
  <c r="G40" i="15"/>
  <c r="H221" i="15"/>
  <c r="D225" i="15"/>
  <c r="D122" i="15"/>
  <c r="D84" i="15"/>
  <c r="D175" i="15"/>
  <c r="D21" i="15"/>
  <c r="E135" i="15"/>
  <c r="D47" i="15"/>
  <c r="G43" i="15"/>
  <c r="I157" i="15"/>
  <c r="I126" i="15"/>
  <c r="G158" i="15"/>
  <c r="J111" i="15"/>
  <c r="D172" i="15"/>
  <c r="H190" i="15"/>
  <c r="F67" i="15"/>
  <c r="K123" i="15"/>
  <c r="K197" i="15"/>
  <c r="D29" i="15"/>
  <c r="H118" i="15"/>
  <c r="F126" i="15"/>
  <c r="K101" i="15"/>
  <c r="H43" i="15"/>
  <c r="E175" i="15"/>
  <c r="I60" i="15"/>
  <c r="I20" i="15"/>
  <c r="H152" i="15"/>
  <c r="I192" i="15"/>
  <c r="E111" i="15"/>
  <c r="H111" i="15"/>
  <c r="K118" i="15"/>
  <c r="J188" i="15"/>
  <c r="I88" i="15"/>
  <c r="K221" i="15"/>
  <c r="J71" i="15"/>
  <c r="D38" i="15"/>
  <c r="D46" i="15"/>
  <c r="H71" i="15"/>
  <c r="D173" i="15"/>
  <c r="D138" i="15"/>
  <c r="G135" i="15"/>
  <c r="F173" i="15"/>
  <c r="D26" i="15"/>
  <c r="G26" i="15"/>
  <c r="I134" i="15"/>
  <c r="H179" i="15"/>
  <c r="D22" i="15"/>
  <c r="D125" i="15"/>
  <c r="H217" i="15"/>
  <c r="E26" i="15"/>
  <c r="H89" i="15"/>
  <c r="D193" i="15"/>
  <c r="D94" i="15"/>
  <c r="E213" i="15"/>
  <c r="J82" i="15"/>
  <c r="K26" i="15"/>
  <c r="D19" i="15"/>
  <c r="G156" i="15"/>
  <c r="D210" i="15"/>
  <c r="I132" i="15"/>
  <c r="J72" i="15"/>
  <c r="G225" i="15"/>
  <c r="H19" i="15"/>
  <c r="G167" i="15"/>
  <c r="J189" i="15"/>
  <c r="H20" i="15"/>
  <c r="I86" i="15"/>
  <c r="F217" i="15"/>
  <c r="G89" i="15"/>
  <c r="F83" i="15"/>
  <c r="F157" i="15"/>
  <c r="D119" i="15"/>
  <c r="F62" i="15"/>
  <c r="G72" i="15"/>
  <c r="K35" i="15"/>
  <c r="H35" i="15"/>
  <c r="I29" i="15"/>
  <c r="H101" i="15"/>
  <c r="H215" i="15"/>
  <c r="D191" i="15"/>
  <c r="K72" i="15"/>
  <c r="H100" i="15"/>
  <c r="I106" i="15"/>
  <c r="G126" i="15"/>
  <c r="E191" i="15"/>
  <c r="E73" i="15"/>
  <c r="E224" i="15"/>
  <c r="G67" i="15"/>
  <c r="H210" i="15"/>
  <c r="J216" i="15"/>
  <c r="I122" i="15"/>
  <c r="I21" i="15"/>
  <c r="E101" i="15"/>
  <c r="J35" i="15"/>
  <c r="H91" i="15"/>
  <c r="D196" i="15"/>
  <c r="J38" i="15"/>
  <c r="D13" i="15"/>
  <c r="D199" i="15"/>
  <c r="H196" i="15"/>
  <c r="J69" i="15"/>
  <c r="D149" i="15"/>
  <c r="D37" i="15"/>
  <c r="D121" i="15"/>
  <c r="I138" i="15"/>
  <c r="D155" i="15"/>
  <c r="D223" i="15"/>
  <c r="J179" i="15"/>
  <c r="J37" i="15"/>
  <c r="D63" i="15"/>
  <c r="D204" i="15"/>
  <c r="D76" i="15"/>
  <c r="D178" i="15"/>
  <c r="J154" i="15"/>
  <c r="H83" i="15"/>
  <c r="D209" i="15"/>
  <c r="D164" i="15"/>
  <c r="H164" i="15"/>
  <c r="F135" i="15"/>
  <c r="H225" i="15"/>
  <c r="K225" i="15"/>
  <c r="D166" i="15"/>
  <c r="J83" i="15"/>
  <c r="F68" i="15"/>
  <c r="F26" i="15"/>
  <c r="G22" i="15"/>
  <c r="E215" i="15"/>
  <c r="J22" i="15"/>
  <c r="K136" i="15"/>
  <c r="G35" i="15"/>
  <c r="F72" i="15"/>
  <c r="I69" i="15"/>
  <c r="G220" i="15"/>
  <c r="K46" i="15"/>
  <c r="F154" i="15"/>
  <c r="J103" i="15"/>
  <c r="I151" i="15"/>
  <c r="E123" i="15"/>
  <c r="H178" i="15"/>
  <c r="H106" i="15"/>
  <c r="I213" i="15"/>
  <c r="F60" i="15"/>
  <c r="I111" i="15"/>
  <c r="H161" i="15"/>
  <c r="J33" i="15"/>
  <c r="F81" i="15"/>
  <c r="K38" i="15"/>
  <c r="E21" i="15"/>
  <c r="H224" i="15"/>
  <c r="F216" i="15"/>
  <c r="K162" i="15"/>
  <c r="F175" i="15"/>
  <c r="D181" i="15"/>
  <c r="F223" i="15"/>
  <c r="J166" i="15"/>
  <c r="J136" i="15"/>
  <c r="I199" i="15"/>
  <c r="F86" i="15"/>
  <c r="H173" i="15"/>
  <c r="J89" i="15"/>
  <c r="I123" i="15"/>
  <c r="F91" i="15"/>
  <c r="E152" i="15"/>
  <c r="G63" i="15"/>
  <c r="I204" i="15"/>
  <c r="H76" i="15"/>
  <c r="I154" i="15"/>
  <c r="G196" i="15"/>
  <c r="D170" i="15"/>
  <c r="D129" i="15"/>
  <c r="K156" i="15"/>
  <c r="H103" i="15"/>
  <c r="D211" i="15"/>
  <c r="D87" i="15"/>
  <c r="G189" i="15"/>
  <c r="F13" i="15"/>
  <c r="D116" i="15"/>
  <c r="D108" i="15"/>
  <c r="H86" i="15"/>
  <c r="D120" i="15"/>
  <c r="D102" i="15"/>
  <c r="G138" i="15"/>
  <c r="D112" i="15"/>
  <c r="D105" i="15"/>
  <c r="D44" i="15"/>
  <c r="E173" i="15"/>
  <c r="D77" i="15"/>
  <c r="D24" i="15"/>
  <c r="H192" i="15"/>
  <c r="J198" i="15"/>
  <c r="F71" i="15"/>
  <c r="F224" i="15"/>
  <c r="J94" i="15"/>
  <c r="D41" i="15"/>
  <c r="D28" i="15"/>
  <c r="G116" i="15"/>
  <c r="F209" i="15"/>
  <c r="H94" i="15"/>
  <c r="G13" i="15"/>
  <c r="J101" i="15"/>
  <c r="F122" i="15"/>
  <c r="I94" i="15"/>
  <c r="F196" i="15"/>
  <c r="H47" i="15"/>
  <c r="G38" i="15"/>
  <c r="J192" i="15"/>
  <c r="I223" i="15"/>
  <c r="I164" i="15"/>
  <c r="K81" i="15"/>
  <c r="E37" i="15"/>
  <c r="G152" i="15"/>
  <c r="K192" i="15"/>
  <c r="H120" i="15"/>
  <c r="H26" i="15"/>
  <c r="E211" i="15"/>
  <c r="E172" i="15"/>
  <c r="F121" i="15"/>
  <c r="E166" i="15"/>
  <c r="F44" i="15"/>
  <c r="G20" i="15"/>
  <c r="E190" i="15"/>
  <c r="F170" i="15"/>
  <c r="J129" i="15"/>
  <c r="E153" i="15"/>
  <c r="F88" i="15"/>
  <c r="H132" i="15"/>
  <c r="G118" i="15"/>
  <c r="F221" i="15"/>
  <c r="E125" i="15"/>
  <c r="I170" i="15"/>
  <c r="G210" i="15"/>
  <c r="F194" i="15"/>
  <c r="J218" i="15"/>
  <c r="G28" i="15"/>
  <c r="K25" i="15"/>
  <c r="F129" i="15"/>
  <c r="F102" i="15"/>
  <c r="J223" i="15"/>
  <c r="E77" i="15"/>
  <c r="F133" i="15"/>
  <c r="E198" i="15"/>
  <c r="F120" i="15"/>
  <c r="K91" i="15"/>
  <c r="K152" i="15"/>
  <c r="K63" i="15"/>
  <c r="F167" i="15"/>
  <c r="D147" i="15"/>
  <c r="D18" i="15"/>
  <c r="D203" i="15"/>
  <c r="D128" i="15"/>
  <c r="D177" i="15"/>
  <c r="J173" i="15"/>
  <c r="E156" i="15"/>
  <c r="D150" i="15"/>
  <c r="K78" i="15"/>
  <c r="H49" i="15"/>
  <c r="D75" i="15"/>
  <c r="F69" i="15"/>
  <c r="F101" i="15"/>
  <c r="D55" i="15"/>
  <c r="D208" i="15"/>
  <c r="D109" i="15"/>
  <c r="I49" i="15"/>
  <c r="K106" i="15"/>
  <c r="F215" i="15"/>
  <c r="D12" i="15"/>
  <c r="D23" i="15"/>
  <c r="G134" i="15"/>
  <c r="D36" i="15"/>
  <c r="K218" i="15"/>
  <c r="I203" i="15"/>
  <c r="E88" i="15"/>
  <c r="G76" i="15"/>
  <c r="E91" i="15"/>
  <c r="D48" i="15"/>
  <c r="I221" i="15"/>
  <c r="D187" i="15"/>
  <c r="J200" i="15"/>
  <c r="H108" i="15"/>
  <c r="G78" i="15"/>
  <c r="K198" i="15"/>
  <c r="D50" i="15"/>
  <c r="E188" i="15"/>
  <c r="I47" i="15"/>
  <c r="K37" i="15"/>
  <c r="E129" i="15"/>
  <c r="H60" i="15"/>
  <c r="H125" i="15"/>
  <c r="H37" i="15"/>
  <c r="H44" i="15"/>
  <c r="I162" i="15"/>
  <c r="I198" i="15"/>
  <c r="H135" i="15"/>
  <c r="D74" i="15"/>
  <c r="E57" i="15"/>
  <c r="J43" i="15"/>
  <c r="I224" i="15"/>
  <c r="E78" i="15"/>
  <c r="F33" i="15"/>
  <c r="E217" i="15"/>
  <c r="E161" i="15"/>
  <c r="I175" i="15"/>
  <c r="K68" i="15"/>
  <c r="D32" i="15"/>
  <c r="K22" i="15"/>
  <c r="G119" i="15"/>
  <c r="E203" i="15"/>
  <c r="E164" i="15"/>
  <c r="I215" i="15"/>
  <c r="I200" i="15"/>
  <c r="F22" i="15"/>
  <c r="K175" i="15"/>
  <c r="G191" i="15"/>
  <c r="E218" i="15"/>
  <c r="H166" i="15"/>
  <c r="F32" i="15"/>
  <c r="J119" i="15"/>
  <c r="I133" i="15"/>
  <c r="G153" i="15"/>
  <c r="I119" i="15"/>
  <c r="K32" i="15"/>
  <c r="G68" i="15"/>
  <c r="G74" i="15"/>
  <c r="J55" i="15"/>
  <c r="I91" i="15"/>
  <c r="G41" i="15"/>
  <c r="H133" i="15"/>
  <c r="G37" i="15"/>
  <c r="J75" i="15"/>
  <c r="J40" i="15"/>
  <c r="H57" i="15"/>
  <c r="H77" i="15"/>
  <c r="E63" i="15"/>
  <c r="I197" i="15"/>
  <c r="G36" i="15"/>
  <c r="E167" i="15"/>
  <c r="D222" i="15"/>
  <c r="D219" i="15"/>
  <c r="K151" i="15"/>
  <c r="E83" i="15"/>
  <c r="D93" i="15"/>
  <c r="D61" i="15"/>
  <c r="G101" i="15"/>
  <c r="D214" i="15"/>
  <c r="D195" i="15"/>
  <c r="D90" i="15"/>
  <c r="D145" i="15"/>
  <c r="D99" i="15"/>
  <c r="D124" i="15"/>
  <c r="D115" i="15"/>
  <c r="D110" i="15"/>
  <c r="K69" i="15"/>
  <c r="H22" i="15"/>
  <c r="F118" i="15"/>
  <c r="J116" i="15"/>
  <c r="G91" i="15"/>
  <c r="D85" i="15"/>
  <c r="D148" i="15"/>
  <c r="H23" i="15"/>
  <c r="D160" i="15"/>
  <c r="D146" i="15"/>
  <c r="K94" i="15"/>
  <c r="H88" i="15"/>
  <c r="J123" i="15"/>
  <c r="D137" i="15"/>
  <c r="D117" i="15"/>
  <c r="D171" i="15"/>
  <c r="F192" i="15"/>
  <c r="D165" i="15"/>
  <c r="J78" i="15"/>
  <c r="E82" i="15"/>
  <c r="E132" i="15"/>
  <c r="G124" i="15"/>
  <c r="K179" i="15"/>
  <c r="D16" i="15"/>
  <c r="K189" i="15"/>
  <c r="I214" i="15"/>
  <c r="I100" i="15"/>
  <c r="E35" i="15"/>
  <c r="G157" i="15"/>
  <c r="J100" i="15"/>
  <c r="G88" i="15"/>
  <c r="J50" i="15"/>
  <c r="J161" i="15"/>
  <c r="H48" i="15"/>
  <c r="F195" i="15"/>
  <c r="K77" i="15"/>
  <c r="H110" i="15"/>
  <c r="K220" i="15"/>
  <c r="G215" i="15"/>
  <c r="E134" i="15"/>
  <c r="F115" i="15"/>
  <c r="G111" i="15"/>
  <c r="I149" i="15"/>
  <c r="K173" i="15"/>
  <c r="K122" i="15"/>
  <c r="H188" i="15"/>
  <c r="J128" i="15"/>
  <c r="D176" i="15"/>
  <c r="G110" i="15"/>
  <c r="F58" i="15"/>
  <c r="I212" i="15"/>
  <c r="K33" i="15"/>
  <c r="F18" i="15"/>
  <c r="K21" i="15"/>
  <c r="E126" i="15"/>
  <c r="I33" i="15"/>
  <c r="I67" i="15"/>
  <c r="J199" i="15"/>
  <c r="H218" i="15"/>
  <c r="G47" i="15"/>
  <c r="J155" i="15"/>
  <c r="I118" i="15"/>
  <c r="J47" i="15"/>
  <c r="I216" i="15"/>
  <c r="I188" i="15"/>
  <c r="G29" i="15"/>
  <c r="G123" i="15"/>
  <c r="G16" i="15"/>
  <c r="I61" i="15"/>
  <c r="J32" i="15"/>
  <c r="J46" i="15"/>
  <c r="K172" i="15"/>
  <c r="K86" i="15"/>
  <c r="J177" i="15"/>
  <c r="K176" i="15"/>
  <c r="H182" i="15"/>
  <c r="E212" i="15"/>
  <c r="I16" i="15"/>
  <c r="K181" i="15"/>
  <c r="K60" i="15"/>
  <c r="F25" i="15"/>
  <c r="K129" i="15"/>
  <c r="K214" i="15"/>
  <c r="K108" i="15"/>
  <c r="J124" i="15"/>
  <c r="H40" i="15"/>
  <c r="I62" i="15"/>
  <c r="I12" i="15"/>
  <c r="K24" i="15"/>
  <c r="G224" i="15"/>
  <c r="G174" i="15"/>
  <c r="D80" i="15"/>
  <c r="D70" i="15"/>
  <c r="D130" i="15"/>
  <c r="D27" i="15"/>
  <c r="K83" i="15"/>
  <c r="E208" i="15"/>
  <c r="D202" i="15"/>
  <c r="H28" i="15"/>
  <c r="F212" i="15"/>
  <c r="G188" i="15"/>
  <c r="F172" i="15"/>
  <c r="E18" i="15"/>
  <c r="K111" i="15"/>
  <c r="G87" i="15"/>
  <c r="J197" i="15"/>
  <c r="G73" i="15"/>
  <c r="I194" i="15"/>
  <c r="K133" i="15"/>
  <c r="I57" i="15"/>
  <c r="E24" i="15"/>
  <c r="E178" i="15"/>
  <c r="K117" i="15"/>
  <c r="G122" i="15"/>
  <c r="H58" i="15"/>
  <c r="F73" i="15"/>
  <c r="G182" i="15"/>
  <c r="H122" i="15"/>
  <c r="J175" i="15"/>
  <c r="H174" i="15"/>
  <c r="F165" i="15"/>
  <c r="H158" i="15"/>
  <c r="E179" i="15"/>
  <c r="I182" i="15"/>
  <c r="J84" i="15"/>
  <c r="H32" i="15"/>
  <c r="D127" i="15"/>
  <c r="I89" i="15"/>
  <c r="D92" i="15"/>
  <c r="J12" i="15"/>
  <c r="K49" i="15"/>
  <c r="D207" i="15"/>
  <c r="D11" i="15"/>
  <c r="K199" i="15"/>
  <c r="F151" i="15"/>
  <c r="E197" i="15"/>
  <c r="G154" i="15"/>
  <c r="F49" i="15"/>
  <c r="H195" i="15"/>
  <c r="F11" i="15"/>
  <c r="F138" i="15"/>
  <c r="K89" i="15"/>
  <c r="E89" i="15"/>
  <c r="F214" i="15"/>
  <c r="E62" i="15"/>
  <c r="H24" i="15"/>
  <c r="K146" i="15"/>
  <c r="E117" i="15"/>
  <c r="J122" i="15"/>
  <c r="G58" i="15"/>
  <c r="K11" i="15"/>
  <c r="F182" i="15"/>
  <c r="I172" i="15"/>
  <c r="G136" i="15"/>
  <c r="K153" i="15"/>
  <c r="D226" i="15"/>
  <c r="H41" i="15"/>
  <c r="D65" i="15"/>
  <c r="H134" i="15"/>
  <c r="J19" i="15"/>
  <c r="D168" i="15"/>
  <c r="G192" i="15"/>
  <c r="F38" i="15"/>
  <c r="K134" i="15"/>
  <c r="I80" i="15"/>
  <c r="D104" i="15"/>
  <c r="K224" i="15"/>
  <c r="K211" i="15"/>
  <c r="E214" i="15"/>
  <c r="G127" i="15"/>
  <c r="F127" i="15"/>
  <c r="H150" i="15"/>
  <c r="J224" i="15"/>
  <c r="F210" i="15"/>
  <c r="G104" i="15"/>
  <c r="K102" i="15"/>
  <c r="J106" i="15"/>
  <c r="I40" i="15"/>
  <c r="G150" i="15"/>
  <c r="F105" i="15"/>
  <c r="K23" i="15"/>
  <c r="E146" i="15"/>
  <c r="I117" i="15"/>
  <c r="F187" i="15"/>
  <c r="K182" i="15"/>
  <c r="K165" i="15"/>
  <c r="E94" i="15"/>
  <c r="E154" i="15"/>
  <c r="I27" i="15"/>
  <c r="E174" i="15"/>
  <c r="K73" i="15"/>
  <c r="D45" i="15"/>
  <c r="I179" i="15"/>
  <c r="H78" i="15"/>
  <c r="D42" i="15"/>
  <c r="D31" i="15"/>
  <c r="D201" i="15"/>
  <c r="E200" i="15"/>
  <c r="E47" i="15"/>
  <c r="E210" i="15"/>
  <c r="E85" i="15"/>
  <c r="E75" i="15"/>
  <c r="H81" i="15"/>
  <c r="G218" i="15"/>
  <c r="G155" i="15"/>
  <c r="J191" i="15"/>
  <c r="J73" i="15"/>
  <c r="I129" i="15"/>
  <c r="G175" i="15"/>
  <c r="G145" i="15"/>
  <c r="E108" i="15"/>
  <c r="E130" i="15"/>
  <c r="H197" i="15"/>
  <c r="F190" i="15"/>
  <c r="F111" i="15"/>
  <c r="G207" i="15"/>
  <c r="K119" i="15"/>
  <c r="J182" i="15"/>
  <c r="K124" i="15"/>
  <c r="H175" i="15"/>
  <c r="F21" i="15"/>
  <c r="D144" i="15"/>
  <c r="J151" i="15"/>
  <c r="G99" i="15"/>
  <c r="G62" i="15"/>
  <c r="I112" i="15"/>
  <c r="D30" i="15"/>
  <c r="E192" i="15"/>
  <c r="H222" i="15"/>
  <c r="K99" i="15"/>
  <c r="I220" i="15"/>
  <c r="F204" i="15"/>
  <c r="H75" i="15"/>
  <c r="G211" i="15"/>
  <c r="E49" i="15"/>
  <c r="G213" i="15"/>
  <c r="I76" i="15"/>
  <c r="G179" i="15"/>
  <c r="E92" i="15"/>
  <c r="K100" i="15"/>
  <c r="H194" i="15"/>
  <c r="E199" i="15"/>
  <c r="I72" i="15"/>
  <c r="J132" i="15"/>
  <c r="E193" i="15"/>
  <c r="G162" i="15"/>
  <c r="F225" i="15"/>
  <c r="G84" i="15"/>
  <c r="I207" i="15"/>
  <c r="F136" i="15"/>
  <c r="E124" i="15"/>
  <c r="G209" i="15"/>
  <c r="I191" i="15"/>
  <c r="H176" i="15"/>
  <c r="J48" i="15"/>
  <c r="I41" i="15"/>
  <c r="E189" i="15"/>
  <c r="J162" i="15"/>
  <c r="H73" i="15"/>
  <c r="K168" i="15"/>
  <c r="E41" i="15"/>
  <c r="D143" i="15"/>
  <c r="D131" i="15"/>
  <c r="E93" i="15"/>
  <c r="H46" i="15"/>
  <c r="K70" i="15"/>
  <c r="J221" i="15"/>
  <c r="K212" i="15"/>
  <c r="J220" i="15"/>
  <c r="K217" i="15"/>
  <c r="G197" i="15"/>
  <c r="F179" i="15"/>
  <c r="H104" i="15"/>
  <c r="E226" i="15"/>
  <c r="K178" i="15"/>
  <c r="H216" i="15"/>
  <c r="F162" i="15"/>
  <c r="F188" i="15"/>
  <c r="H146" i="15"/>
  <c r="H145" i="15"/>
  <c r="E44" i="15"/>
  <c r="I193" i="15"/>
  <c r="I209" i="15"/>
  <c r="F164" i="15"/>
  <c r="H84" i="15"/>
  <c r="K191" i="15"/>
  <c r="F77" i="15"/>
  <c r="K48" i="15"/>
  <c r="I181" i="15"/>
  <c r="H12" i="15"/>
  <c r="H181" i="15"/>
  <c r="E194" i="15"/>
  <c r="H156" i="15"/>
  <c r="K126" i="15"/>
  <c r="D114" i="15"/>
  <c r="E106" i="15"/>
  <c r="J58" i="15"/>
  <c r="D14" i="15"/>
  <c r="D17" i="15"/>
  <c r="E177" i="15"/>
  <c r="D206" i="15"/>
  <c r="I78" i="15"/>
  <c r="I144" i="15"/>
  <c r="D59" i="15"/>
  <c r="I167" i="15"/>
  <c r="H17" i="15"/>
  <c r="G86" i="15"/>
  <c r="F76" i="15"/>
  <c r="K47" i="15"/>
  <c r="D56" i="15"/>
  <c r="J126" i="15"/>
  <c r="J21" i="15"/>
  <c r="K87" i="15"/>
  <c r="I210" i="15"/>
  <c r="H82" i="15"/>
  <c r="H31" i="15"/>
  <c r="J165" i="15"/>
  <c r="I124" i="15"/>
  <c r="G194" i="15"/>
  <c r="E181" i="15"/>
  <c r="J160" i="15"/>
  <c r="J134" i="15"/>
  <c r="D39" i="15"/>
  <c r="H68" i="15"/>
  <c r="K13" i="15"/>
  <c r="H203" i="15"/>
  <c r="E118" i="15"/>
  <c r="D15" i="15"/>
  <c r="G83" i="15"/>
  <c r="K45" i="15"/>
  <c r="D180" i="15"/>
  <c r="D113" i="15"/>
  <c r="D107" i="15"/>
  <c r="I92" i="15"/>
  <c r="J212" i="15"/>
  <c r="F55" i="15"/>
  <c r="J20" i="15"/>
  <c r="F176" i="15"/>
  <c r="D64" i="15"/>
  <c r="J41" i="15"/>
  <c r="K154" i="15"/>
  <c r="K219" i="15"/>
  <c r="I19" i="15"/>
  <c r="D205" i="15"/>
  <c r="F220" i="15"/>
  <c r="G219" i="15"/>
  <c r="D79" i="15"/>
  <c r="D66" i="15"/>
  <c r="F37" i="15"/>
  <c r="D169" i="15"/>
  <c r="H209" i="15"/>
  <c r="J17" i="15"/>
  <c r="E128" i="15"/>
  <c r="E187" i="15"/>
  <c r="E36" i="15"/>
  <c r="E136" i="15"/>
  <c r="J102" i="15"/>
  <c r="J107" i="15"/>
  <c r="G132" i="15"/>
  <c r="H56" i="15"/>
  <c r="K201" i="15"/>
  <c r="F113" i="15"/>
  <c r="I32" i="15"/>
  <c r="H85" i="15"/>
  <c r="E221" i="15"/>
  <c r="I174" i="15"/>
  <c r="F41" i="15"/>
  <c r="G180" i="15"/>
  <c r="H165" i="15"/>
  <c r="G21" i="15"/>
  <c r="J194" i="15"/>
  <c r="G181" i="15"/>
  <c r="J180" i="15"/>
  <c r="E103" i="15"/>
  <c r="H130" i="15"/>
  <c r="I153" i="15"/>
  <c r="D159" i="15"/>
  <c r="E61" i="15"/>
  <c r="H153" i="15"/>
  <c r="E30" i="15"/>
  <c r="D163" i="15"/>
  <c r="H116" i="15"/>
  <c r="J156" i="15"/>
  <c r="F43" i="15"/>
  <c r="D34" i="15"/>
  <c r="I34" i="15"/>
  <c r="I102" i="15"/>
  <c r="F27" i="15"/>
  <c r="E113" i="15"/>
  <c r="I136" i="15"/>
  <c r="F28" i="15"/>
  <c r="H151" i="15"/>
  <c r="J201" i="15"/>
  <c r="I115" i="15"/>
  <c r="K188" i="15"/>
  <c r="F23" i="15"/>
  <c r="E33" i="15"/>
  <c r="I74" i="15"/>
  <c r="E170" i="15"/>
  <c r="E40" i="15"/>
  <c r="K27" i="15"/>
  <c r="H128" i="15"/>
  <c r="F47" i="15"/>
  <c r="E32" i="15"/>
  <c r="K58" i="15"/>
  <c r="E25" i="15"/>
  <c r="J205" i="15"/>
  <c r="E182" i="15"/>
  <c r="E216" i="15"/>
  <c r="K216" i="15"/>
  <c r="I158" i="15"/>
  <c r="F158" i="15"/>
  <c r="E158" i="15"/>
  <c r="J158" i="15"/>
  <c r="J25" i="15"/>
  <c r="H25" i="15"/>
  <c r="I25" i="15"/>
  <c r="K40" i="15"/>
  <c r="F40" i="15"/>
  <c r="G57" i="15"/>
  <c r="F57" i="15"/>
  <c r="J174" i="15"/>
  <c r="F174" i="15"/>
  <c r="K174" i="15"/>
  <c r="F100" i="15"/>
  <c r="E100" i="15"/>
  <c r="K135" i="15"/>
  <c r="I135" i="15"/>
  <c r="F123" i="15"/>
  <c r="H123" i="15"/>
  <c r="E20" i="15"/>
  <c r="K20" i="15"/>
  <c r="F20" i="15"/>
  <c r="K62" i="15"/>
  <c r="H62" i="15"/>
  <c r="E162" i="15"/>
  <c r="H162" i="15"/>
  <c r="K103" i="15"/>
  <c r="G103" i="15"/>
  <c r="F103" i="15"/>
  <c r="I103" i="15"/>
  <c r="H189" i="15"/>
  <c r="F189" i="15"/>
  <c r="H198" i="15"/>
  <c r="F198" i="15"/>
  <c r="K43" i="15"/>
  <c r="E43" i="15"/>
  <c r="E220" i="15"/>
  <c r="H220" i="15"/>
  <c r="J153" i="15"/>
  <c r="F153" i="15"/>
  <c r="I225" i="15"/>
  <c r="E225" i="15"/>
  <c r="E84" i="15"/>
  <c r="I84" i="15"/>
  <c r="K84" i="15"/>
  <c r="G172" i="15"/>
  <c r="J172" i="15"/>
  <c r="F29" i="15"/>
  <c r="K29" i="15"/>
  <c r="J29" i="15"/>
  <c r="E29" i="15"/>
  <c r="H29" i="15"/>
  <c r="I38" i="15"/>
  <c r="H38" i="15"/>
  <c r="E38" i="15"/>
  <c r="F46" i="15"/>
  <c r="G46" i="15"/>
  <c r="I46" i="15"/>
  <c r="E46" i="15"/>
  <c r="H138" i="15"/>
  <c r="K138" i="15"/>
  <c r="E138" i="15"/>
  <c r="J138" i="15"/>
  <c r="J26" i="15"/>
  <c r="I26" i="15"/>
  <c r="E22" i="15"/>
  <c r="I22" i="15"/>
  <c r="G125" i="15"/>
  <c r="K125" i="15"/>
  <c r="F125" i="15"/>
  <c r="J125" i="15"/>
  <c r="I125" i="15"/>
  <c r="J193" i="15"/>
  <c r="G193" i="15"/>
  <c r="K193" i="15"/>
  <c r="F193" i="15"/>
  <c r="K19" i="15"/>
  <c r="F19" i="15"/>
  <c r="E19" i="15"/>
  <c r="G19" i="15"/>
  <c r="K210" i="15"/>
  <c r="J210" i="15"/>
  <c r="E119" i="15"/>
  <c r="H119" i="15"/>
  <c r="F119" i="15"/>
  <c r="F191" i="15"/>
  <c r="H191" i="15"/>
  <c r="I196" i="15"/>
  <c r="E196" i="15"/>
  <c r="J196" i="15"/>
  <c r="K196" i="15"/>
  <c r="I13" i="15"/>
  <c r="E13" i="15"/>
  <c r="H13" i="15"/>
  <c r="J13" i="15"/>
  <c r="F199" i="15"/>
  <c r="G199" i="15"/>
  <c r="H199" i="15"/>
  <c r="F149" i="15"/>
  <c r="E149" i="15"/>
  <c r="J149" i="15"/>
  <c r="K149" i="15"/>
  <c r="H149" i="15"/>
  <c r="G149" i="15"/>
  <c r="H121" i="15"/>
  <c r="J121" i="15"/>
  <c r="K121" i="15"/>
  <c r="E121" i="15"/>
  <c r="G121" i="15"/>
  <c r="H155" i="15"/>
  <c r="I155" i="15"/>
  <c r="K155" i="15"/>
  <c r="F155" i="15"/>
  <c r="E155" i="15"/>
  <c r="K223" i="15"/>
  <c r="G223" i="15"/>
  <c r="E223" i="15"/>
  <c r="H223" i="15"/>
  <c r="I63" i="15"/>
  <c r="J63" i="15"/>
  <c r="F63" i="15"/>
  <c r="G204" i="15"/>
  <c r="J204" i="15"/>
  <c r="E204" i="15"/>
  <c r="H204" i="15"/>
  <c r="K76" i="15"/>
  <c r="J76" i="15"/>
  <c r="E76" i="15"/>
  <c r="I178" i="15"/>
  <c r="J178" i="15"/>
  <c r="G178" i="15"/>
  <c r="F178" i="15"/>
  <c r="K209" i="15"/>
  <c r="J209" i="15"/>
  <c r="E209" i="15"/>
  <c r="J164" i="15"/>
  <c r="G164" i="15"/>
  <c r="K164" i="15"/>
  <c r="I166" i="15"/>
  <c r="K166" i="15"/>
  <c r="G166" i="15"/>
  <c r="F166" i="15"/>
  <c r="F181" i="15"/>
  <c r="J181" i="15"/>
  <c r="K170" i="15"/>
  <c r="J170" i="15"/>
  <c r="G170" i="15"/>
  <c r="H170" i="15"/>
  <c r="H129" i="15"/>
  <c r="G129" i="15"/>
  <c r="H211" i="15"/>
  <c r="J211" i="15"/>
  <c r="F211" i="15"/>
  <c r="I211" i="15"/>
  <c r="E87" i="15"/>
  <c r="I87" i="15"/>
  <c r="H87" i="15"/>
  <c r="F87" i="15"/>
  <c r="J87" i="15"/>
  <c r="F116" i="15"/>
  <c r="E116" i="15"/>
  <c r="K116" i="15"/>
  <c r="I116" i="15"/>
  <c r="G108" i="15"/>
  <c r="F108" i="15"/>
  <c r="I108" i="15"/>
  <c r="J108" i="15"/>
  <c r="J120" i="15"/>
  <c r="K120" i="15"/>
  <c r="E120" i="15"/>
  <c r="I120" i="15"/>
  <c r="G120" i="15"/>
  <c r="G102" i="15"/>
  <c r="E102" i="15"/>
  <c r="H102" i="15"/>
  <c r="H112" i="15"/>
  <c r="J112" i="15"/>
  <c r="G112" i="15"/>
  <c r="K112" i="15"/>
  <c r="F112" i="15"/>
  <c r="E112" i="15"/>
  <c r="K105" i="15"/>
  <c r="I105" i="15"/>
  <c r="E105" i="15"/>
  <c r="G105" i="15"/>
  <c r="H105" i="15"/>
  <c r="J105" i="15"/>
  <c r="I44" i="15"/>
  <c r="K44" i="15"/>
  <c r="G44" i="15"/>
  <c r="J44" i="15"/>
  <c r="I77" i="15"/>
  <c r="J77" i="15"/>
  <c r="G77" i="15"/>
  <c r="I24" i="15"/>
  <c r="F24" i="15"/>
  <c r="G24" i="15"/>
  <c r="J24" i="15"/>
  <c r="I28" i="15"/>
  <c r="J28" i="15"/>
  <c r="K28" i="15"/>
  <c r="E28" i="15"/>
  <c r="K147" i="15"/>
  <c r="I147" i="15"/>
  <c r="H147" i="15"/>
  <c r="J147" i="15"/>
  <c r="F147" i="15"/>
  <c r="E147" i="15"/>
  <c r="G147" i="15"/>
  <c r="J18" i="15"/>
  <c r="H18" i="15"/>
  <c r="I18" i="15"/>
  <c r="K18" i="15"/>
  <c r="G18" i="15"/>
  <c r="K203" i="15"/>
  <c r="J203" i="15"/>
  <c r="F203" i="15"/>
  <c r="G203" i="15"/>
  <c r="G128" i="15"/>
  <c r="I128" i="15"/>
  <c r="K128" i="15"/>
  <c r="F128" i="15"/>
  <c r="F177" i="15"/>
  <c r="G177" i="15"/>
  <c r="H177" i="15"/>
  <c r="K177" i="15"/>
  <c r="I177" i="15"/>
  <c r="F150" i="15"/>
  <c r="I150" i="15"/>
  <c r="E150" i="15"/>
  <c r="J150" i="15"/>
  <c r="K150" i="15"/>
  <c r="F75" i="15"/>
  <c r="K75" i="15"/>
  <c r="I75" i="15"/>
  <c r="G75" i="15"/>
  <c r="G55" i="15"/>
  <c r="H55" i="15"/>
  <c r="I55" i="15"/>
  <c r="K55" i="15"/>
  <c r="G208" i="15"/>
  <c r="I208" i="15"/>
  <c r="J208" i="15"/>
  <c r="K208" i="15"/>
  <c r="F208" i="15"/>
  <c r="H208" i="15"/>
  <c r="I109" i="15"/>
  <c r="E109" i="15"/>
  <c r="G109" i="15"/>
  <c r="F109" i="15"/>
  <c r="J109" i="15"/>
  <c r="H109" i="15"/>
  <c r="K109" i="15"/>
  <c r="F12" i="15"/>
  <c r="E12" i="15"/>
  <c r="K12" i="15"/>
  <c r="G12" i="15"/>
  <c r="I23" i="15"/>
  <c r="G23" i="15"/>
  <c r="E23" i="15"/>
  <c r="J23" i="15"/>
  <c r="H36" i="15"/>
  <c r="J36" i="15"/>
  <c r="I36" i="15"/>
  <c r="K36" i="15"/>
  <c r="F36" i="15"/>
  <c r="F48" i="15"/>
  <c r="I48" i="15"/>
  <c r="G48" i="15"/>
  <c r="K187" i="15"/>
  <c r="I187" i="15"/>
  <c r="H187" i="15"/>
  <c r="J187" i="15"/>
  <c r="G187" i="15"/>
  <c r="G50" i="15"/>
  <c r="H50" i="15"/>
  <c r="E50" i="15"/>
  <c r="K50" i="15"/>
  <c r="F50" i="15"/>
  <c r="E74" i="15"/>
  <c r="F74" i="15"/>
  <c r="K74" i="15"/>
  <c r="J74" i="15"/>
  <c r="H74" i="15"/>
  <c r="J222" i="15"/>
  <c r="G222" i="15"/>
  <c r="F222" i="15"/>
  <c r="K222" i="15"/>
  <c r="I222" i="15"/>
  <c r="E222" i="15"/>
  <c r="H219" i="15"/>
  <c r="F219" i="15"/>
  <c r="J219" i="15"/>
  <c r="I219" i="15"/>
  <c r="H93" i="15"/>
  <c r="J93" i="15"/>
  <c r="K93" i="15"/>
  <c r="I93" i="15"/>
  <c r="F93" i="15"/>
  <c r="G93" i="15"/>
  <c r="K61" i="15"/>
  <c r="H61" i="15"/>
  <c r="J61" i="15"/>
  <c r="F61" i="15"/>
  <c r="G61" i="15"/>
  <c r="G214" i="15"/>
  <c r="J214" i="15"/>
  <c r="H214" i="15"/>
  <c r="E195" i="15"/>
  <c r="G195" i="15"/>
  <c r="K195" i="15"/>
  <c r="J195" i="15"/>
  <c r="I195" i="15"/>
  <c r="I90" i="15"/>
  <c r="K90" i="15"/>
  <c r="F90" i="15"/>
  <c r="G90" i="15"/>
  <c r="H90" i="15"/>
  <c r="J90" i="15"/>
  <c r="E90" i="15"/>
  <c r="J145" i="15"/>
  <c r="F145" i="15"/>
  <c r="E145" i="15"/>
  <c r="K145" i="15"/>
  <c r="I145" i="15"/>
  <c r="H99" i="15"/>
  <c r="I99" i="15"/>
  <c r="F99" i="15"/>
  <c r="E99" i="15"/>
  <c r="H124" i="15"/>
  <c r="F124" i="15"/>
  <c r="J115" i="15"/>
  <c r="K115" i="15"/>
  <c r="H115" i="15"/>
  <c r="G115" i="15"/>
  <c r="E115" i="15"/>
  <c r="F110" i="15"/>
  <c r="I110" i="15"/>
  <c r="J110" i="15"/>
  <c r="K110" i="15"/>
  <c r="G85" i="15"/>
  <c r="I85" i="15"/>
  <c r="F85" i="15"/>
  <c r="K85" i="15"/>
  <c r="J85" i="15"/>
  <c r="F148" i="15"/>
  <c r="K148" i="15"/>
  <c r="H148" i="15"/>
  <c r="G148" i="15"/>
  <c r="I148" i="15"/>
  <c r="J148" i="15"/>
  <c r="E148" i="15"/>
  <c r="H160" i="15"/>
  <c r="E160" i="15"/>
  <c r="F160" i="15"/>
  <c r="K160" i="15"/>
  <c r="G160" i="15"/>
  <c r="I160" i="15"/>
  <c r="I146" i="15"/>
  <c r="F146" i="15"/>
  <c r="G146" i="15"/>
  <c r="J146" i="15"/>
  <c r="G137" i="15"/>
  <c r="I137" i="15"/>
  <c r="J137" i="15"/>
  <c r="H137" i="15"/>
  <c r="E137" i="15"/>
  <c r="F137" i="15"/>
  <c r="K137" i="15"/>
  <c r="H117" i="15"/>
  <c r="J117" i="15"/>
  <c r="G117" i="15"/>
  <c r="F117" i="15"/>
  <c r="E171" i="15"/>
  <c r="J171" i="15"/>
  <c r="H171" i="15"/>
  <c r="K171" i="15"/>
  <c r="G171" i="15"/>
  <c r="I171" i="15"/>
  <c r="F171" i="15"/>
  <c r="G165" i="15"/>
  <c r="I165" i="15"/>
  <c r="E165" i="15"/>
  <c r="F16" i="15"/>
  <c r="J16" i="15"/>
  <c r="H16" i="15"/>
  <c r="E16" i="15"/>
  <c r="K16" i="15"/>
  <c r="E176" i="15"/>
  <c r="G176" i="15"/>
  <c r="J176" i="15"/>
  <c r="I176" i="15"/>
  <c r="J80" i="15"/>
  <c r="K80" i="15"/>
  <c r="E80" i="15"/>
  <c r="H80" i="15"/>
  <c r="F80" i="15"/>
  <c r="G80" i="15"/>
  <c r="F70" i="15"/>
  <c r="I70" i="15"/>
  <c r="H70" i="15"/>
  <c r="G70" i="15"/>
  <c r="E70" i="15"/>
  <c r="J70" i="15"/>
  <c r="G130" i="15"/>
  <c r="I130" i="15"/>
  <c r="J130" i="15"/>
  <c r="K130" i="15"/>
  <c r="J27" i="15"/>
  <c r="E27" i="15"/>
  <c r="H27" i="15"/>
  <c r="G27" i="15"/>
  <c r="H202" i="15"/>
  <c r="K202" i="15"/>
  <c r="G202" i="15"/>
  <c r="I202" i="15"/>
  <c r="E202" i="15"/>
  <c r="J202" i="15"/>
  <c r="H127" i="15"/>
  <c r="I127" i="15"/>
  <c r="K127" i="15"/>
  <c r="E127" i="15"/>
  <c r="J127" i="15"/>
  <c r="K92" i="15"/>
  <c r="H92" i="15"/>
  <c r="F92" i="15"/>
  <c r="J92" i="15"/>
  <c r="G92" i="15"/>
  <c r="E207" i="15"/>
  <c r="K207" i="15"/>
  <c r="F207" i="15"/>
  <c r="H207" i="15"/>
  <c r="J207" i="15"/>
  <c r="I11" i="15"/>
  <c r="E11" i="15"/>
  <c r="H11" i="15"/>
  <c r="J11" i="15"/>
  <c r="G11" i="15"/>
  <c r="H226" i="15"/>
  <c r="G226" i="15"/>
  <c r="J226" i="15"/>
  <c r="K226" i="15"/>
  <c r="I226" i="15"/>
  <c r="F226" i="15"/>
  <c r="F65" i="15"/>
  <c r="E65" i="15"/>
  <c r="J65" i="15"/>
  <c r="K65" i="15"/>
  <c r="I65" i="15"/>
  <c r="G65" i="15"/>
  <c r="H65" i="15"/>
  <c r="F168" i="15"/>
  <c r="H168" i="15"/>
  <c r="I168" i="15"/>
  <c r="J168" i="15"/>
  <c r="E168" i="15"/>
  <c r="G168" i="15"/>
  <c r="F104" i="15"/>
  <c r="E104" i="15"/>
  <c r="I104" i="15"/>
  <c r="J104" i="15"/>
  <c r="K104" i="15"/>
  <c r="E45" i="15"/>
  <c r="H45" i="15"/>
  <c r="J45" i="15"/>
  <c r="G45" i="15"/>
  <c r="I45" i="15"/>
  <c r="F45" i="15"/>
  <c r="E42" i="15"/>
  <c r="K42" i="15"/>
  <c r="H42" i="15"/>
  <c r="I42" i="15"/>
  <c r="G42" i="15"/>
  <c r="J42" i="15"/>
  <c r="F42" i="15"/>
  <c r="I31" i="15"/>
  <c r="E31" i="15"/>
  <c r="G31" i="15"/>
  <c r="F31" i="15"/>
  <c r="J31" i="15"/>
  <c r="K31" i="15"/>
  <c r="F201" i="15"/>
  <c r="I201" i="15"/>
  <c r="E201" i="15"/>
  <c r="H201" i="15"/>
  <c r="G201" i="15"/>
  <c r="G144" i="15"/>
  <c r="F144" i="15"/>
  <c r="H144" i="15"/>
  <c r="K144" i="15"/>
  <c r="J144" i="15"/>
  <c r="E144" i="15"/>
  <c r="J30" i="15"/>
  <c r="F30" i="15"/>
  <c r="H30" i="15"/>
  <c r="G30" i="15"/>
  <c r="I30" i="15"/>
  <c r="K30" i="15"/>
  <c r="E143" i="15"/>
  <c r="G143" i="15"/>
  <c r="K143" i="15"/>
  <c r="J143" i="15"/>
  <c r="F143" i="15"/>
  <c r="I143" i="15"/>
  <c r="I131" i="15"/>
  <c r="G131" i="15"/>
  <c r="F131" i="15"/>
  <c r="E131" i="15"/>
  <c r="K131" i="15"/>
  <c r="H131" i="15"/>
  <c r="J131" i="15"/>
  <c r="G114" i="15"/>
  <c r="E114" i="15"/>
  <c r="K114" i="15"/>
  <c r="H114" i="15"/>
  <c r="F114" i="15"/>
  <c r="I114" i="15"/>
  <c r="H14" i="15"/>
  <c r="J14" i="15"/>
  <c r="K14" i="15"/>
  <c r="E14" i="15"/>
  <c r="F14" i="15"/>
  <c r="G14" i="15"/>
  <c r="I14" i="15"/>
  <c r="F17" i="15"/>
  <c r="E17" i="15"/>
  <c r="K17" i="15"/>
  <c r="I17" i="15"/>
  <c r="G17" i="15"/>
  <c r="J206" i="15"/>
  <c r="I206" i="15"/>
  <c r="F206" i="15"/>
  <c r="G206" i="15"/>
  <c r="H206" i="15"/>
  <c r="E206" i="15"/>
  <c r="K59" i="15"/>
  <c r="J59" i="15"/>
  <c r="F59" i="15"/>
  <c r="G59" i="15"/>
  <c r="H59" i="15"/>
  <c r="E59" i="15"/>
  <c r="I59" i="15"/>
  <c r="F56" i="15"/>
  <c r="G56" i="15"/>
  <c r="J56" i="15"/>
  <c r="I56" i="15"/>
  <c r="K56" i="15"/>
  <c r="H39" i="15"/>
  <c r="J39" i="15"/>
  <c r="I39" i="15"/>
  <c r="E39" i="15"/>
  <c r="G39" i="15"/>
  <c r="F39" i="15"/>
  <c r="K39" i="15"/>
  <c r="I15" i="15"/>
  <c r="G15" i="15"/>
  <c r="K15" i="15"/>
  <c r="E15" i="15"/>
  <c r="J15" i="15"/>
  <c r="F15" i="15"/>
  <c r="H15" i="15"/>
  <c r="E180" i="15"/>
  <c r="I180" i="15"/>
  <c r="F180" i="15"/>
  <c r="K180" i="15"/>
  <c r="H180" i="15"/>
  <c r="G113" i="15"/>
  <c r="K113" i="15"/>
  <c r="J113" i="15"/>
  <c r="I113" i="15"/>
  <c r="H113" i="15"/>
  <c r="G107" i="15"/>
  <c r="K107" i="15"/>
  <c r="F107" i="15"/>
  <c r="E107" i="15"/>
  <c r="I107" i="15"/>
  <c r="H107" i="15"/>
  <c r="F64" i="15"/>
  <c r="I64" i="15"/>
  <c r="J64" i="15"/>
  <c r="K64" i="15"/>
  <c r="E64" i="15"/>
  <c r="H64" i="15"/>
  <c r="G64" i="15"/>
  <c r="F205" i="15"/>
  <c r="K205" i="15"/>
  <c r="I205" i="15"/>
  <c r="H205" i="15"/>
  <c r="G205" i="15"/>
  <c r="E205" i="15"/>
  <c r="F79" i="15"/>
  <c r="I79" i="15"/>
  <c r="J79" i="15"/>
  <c r="E79" i="15"/>
  <c r="H79" i="15"/>
  <c r="G79" i="15"/>
  <c r="K79" i="15"/>
  <c r="G66" i="15"/>
  <c r="F66" i="15"/>
  <c r="H66" i="15"/>
  <c r="I66" i="15"/>
  <c r="E66" i="15"/>
  <c r="K66" i="15"/>
  <c r="J66" i="15"/>
  <c r="J169" i="15"/>
  <c r="I169" i="15"/>
  <c r="H169" i="15"/>
  <c r="F169" i="15"/>
  <c r="E169" i="15"/>
  <c r="K169" i="15"/>
  <c r="G169" i="15"/>
  <c r="J159" i="15"/>
  <c r="E159" i="15"/>
  <c r="G159" i="15"/>
  <c r="H159" i="15"/>
  <c r="I159" i="15"/>
  <c r="F159" i="15"/>
  <c r="K159" i="15"/>
  <c r="G163" i="15"/>
  <c r="K163" i="15"/>
  <c r="H163" i="15"/>
  <c r="J163" i="15"/>
  <c r="F163" i="15"/>
  <c r="E163" i="15"/>
  <c r="I163" i="15"/>
  <c r="K34" i="15"/>
  <c r="J34" i="15"/>
  <c r="G34" i="15"/>
  <c r="F34" i="15"/>
  <c r="E34" i="15"/>
  <c r="J86" i="15"/>
  <c r="E72" i="15"/>
  <c r="I217" i="15"/>
  <c r="H212" i="15"/>
  <c r="K67" i="15"/>
  <c r="K200" i="15"/>
  <c r="H69" i="15"/>
  <c r="G161" i="15"/>
  <c r="K167" i="15"/>
  <c r="H126" i="15"/>
  <c r="F82" i="15"/>
  <c r="J118" i="15"/>
  <c r="G133" i="15"/>
  <c r="F78" i="15"/>
  <c r="F134" i="15"/>
  <c r="I218" i="15"/>
  <c r="H33" i="15"/>
  <c r="I101" i="15"/>
  <c r="H21" i="15"/>
  <c r="G173" i="15"/>
  <c r="F94" i="15"/>
  <c r="I37" i="15"/>
  <c r="K41" i="15"/>
  <c r="G32" i="15"/>
  <c r="Y34" i="30" l="1"/>
  <c r="Y163" i="30"/>
  <c r="Y159" i="30"/>
  <c r="Y169" i="30"/>
  <c r="Y66" i="30"/>
  <c r="Y79" i="30"/>
  <c r="Y205" i="30"/>
  <c r="Y64" i="30"/>
  <c r="Y107" i="30"/>
  <c r="Y113" i="30"/>
  <c r="Y180" i="30"/>
  <c r="Y15" i="30"/>
  <c r="Y39" i="30"/>
  <c r="Y56" i="30"/>
  <c r="Y59" i="30"/>
  <c r="Y206" i="30"/>
  <c r="Y17" i="30"/>
  <c r="Y14" i="30"/>
  <c r="Y114" i="30"/>
  <c r="Y131" i="30"/>
  <c r="Y143" i="30"/>
  <c r="Y30" i="30"/>
  <c r="Y144" i="30"/>
  <c r="Y201" i="30"/>
  <c r="Y31" i="30"/>
  <c r="Y42" i="30"/>
  <c r="Y45" i="30"/>
  <c r="Y104" i="30"/>
  <c r="Y168" i="30"/>
  <c r="Y65" i="30"/>
  <c r="Y226" i="30"/>
  <c r="Y11" i="30"/>
  <c r="Y207" i="30"/>
  <c r="Y92" i="30"/>
  <c r="Y127" i="30"/>
  <c r="Y202" i="30"/>
  <c r="Y27" i="30"/>
  <c r="Y130" i="30"/>
  <c r="Y70" i="30"/>
  <c r="Y80" i="30"/>
  <c r="Y176" i="30"/>
  <c r="Y16" i="30"/>
  <c r="Y165" i="30"/>
  <c r="Y171" i="30"/>
  <c r="Y117" i="30"/>
  <c r="Y137" i="30"/>
  <c r="Y146" i="30"/>
  <c r="Y160" i="30"/>
  <c r="Y148" i="30"/>
  <c r="Y85" i="30"/>
  <c r="Y110" i="30"/>
  <c r="Y115" i="30"/>
  <c r="Y124" i="30"/>
  <c r="Y99" i="30"/>
  <c r="Y145" i="30"/>
  <c r="Y90" i="30"/>
  <c r="Y195" i="30"/>
  <c r="Y214" i="30"/>
  <c r="Y61" i="30"/>
  <c r="Y93" i="30"/>
  <c r="Y219" i="30"/>
  <c r="Y222" i="30"/>
  <c r="Y32" i="30"/>
  <c r="Y74" i="30"/>
  <c r="Y50" i="30"/>
  <c r="Y187" i="30"/>
  <c r="Y48" i="30"/>
  <c r="Y36" i="30"/>
  <c r="Y23" i="30"/>
  <c r="Y12" i="30"/>
  <c r="Y109" i="30"/>
  <c r="Y208" i="30"/>
  <c r="Y55" i="30"/>
  <c r="Y75" i="30"/>
  <c r="Y150" i="30"/>
  <c r="Y177" i="30"/>
  <c r="Y128" i="30"/>
  <c r="Y203" i="30"/>
  <c r="Y18" i="30"/>
  <c r="Y147" i="30"/>
  <c r="Y28" i="30"/>
  <c r="Y41" i="30"/>
  <c r="Y24" i="30"/>
  <c r="Y77" i="30"/>
  <c r="Y44" i="30"/>
  <c r="Y105" i="30"/>
  <c r="Y112" i="30"/>
  <c r="Y102" i="30"/>
  <c r="Y120" i="30"/>
  <c r="Y108" i="30"/>
  <c r="Y116" i="30"/>
  <c r="Y87" i="30"/>
  <c r="Y211" i="30"/>
  <c r="Y129" i="30"/>
  <c r="Y170" i="30"/>
  <c r="Y181" i="30"/>
  <c r="Y166" i="30"/>
  <c r="Y164" i="30"/>
  <c r="Y209" i="30"/>
  <c r="Y178" i="30"/>
  <c r="Y76" i="30"/>
  <c r="Y204" i="30"/>
  <c r="Y63" i="30"/>
  <c r="Y223" i="30"/>
  <c r="Y155" i="30"/>
  <c r="Y121" i="30"/>
  <c r="Y37" i="30"/>
  <c r="Y149" i="30"/>
  <c r="Y199" i="30"/>
  <c r="Y13" i="30"/>
  <c r="Y196" i="30"/>
  <c r="Y191" i="30"/>
  <c r="Y119" i="30"/>
  <c r="Y210" i="30"/>
  <c r="Y19" i="30"/>
  <c r="Y94" i="30"/>
  <c r="Y193" i="30"/>
  <c r="Y125" i="30"/>
  <c r="Y22" i="30"/>
  <c r="Y26" i="30"/>
  <c r="Y138" i="30"/>
  <c r="Y173" i="30"/>
  <c r="Y46" i="30"/>
  <c r="Y38" i="30"/>
  <c r="Y29" i="30"/>
  <c r="Y172" i="30"/>
  <c r="Y47" i="30"/>
  <c r="Y21" i="30"/>
  <c r="Y175" i="30"/>
  <c r="Y84" i="30"/>
  <c r="Y122" i="30"/>
  <c r="Y225" i="30"/>
  <c r="Y153" i="30"/>
  <c r="Y220" i="30"/>
  <c r="Y43" i="30"/>
  <c r="Y198" i="30"/>
  <c r="Y101" i="30"/>
  <c r="Y189" i="30"/>
  <c r="Y103" i="30"/>
  <c r="Y33" i="30"/>
  <c r="Y111" i="30"/>
  <c r="Y162" i="30"/>
  <c r="Y218" i="30"/>
  <c r="Y224" i="30"/>
  <c r="Y62" i="30"/>
  <c r="Y134" i="30"/>
  <c r="Y20" i="30"/>
  <c r="Y123" i="30"/>
  <c r="Y78" i="30"/>
  <c r="Y133" i="30"/>
  <c r="Y118" i="30"/>
  <c r="Y135" i="30"/>
  <c r="Y82" i="30"/>
  <c r="Y100" i="30"/>
  <c r="Y194" i="30"/>
  <c r="Y126" i="30"/>
  <c r="Y136" i="30"/>
  <c r="Y167" i="30"/>
  <c r="Y174" i="30"/>
  <c r="Y57" i="30"/>
  <c r="Y40" i="30"/>
  <c r="Y161" i="30"/>
  <c r="Y89" i="30"/>
  <c r="Y106" i="30"/>
  <c r="Y25" i="30"/>
  <c r="Y192" i="30"/>
  <c r="Y158" i="30"/>
  <c r="Y69" i="30"/>
  <c r="Y200" i="30"/>
  <c r="Y216" i="30"/>
  <c r="Y58" i="30"/>
  <c r="Y67" i="30"/>
  <c r="Y212" i="30"/>
  <c r="Y91" i="30"/>
  <c r="Y217" i="30"/>
  <c r="Y88" i="30"/>
  <c r="Y35" i="30"/>
  <c r="Y215" i="30"/>
  <c r="Y72" i="30"/>
  <c r="Y86" i="30"/>
  <c r="Y179" i="30"/>
  <c r="Y156" i="30"/>
  <c r="Y213" i="30"/>
  <c r="Y182" i="30"/>
  <c r="Y73" i="30"/>
  <c r="Y190" i="30"/>
  <c r="Y154" i="30"/>
  <c r="Y197" i="30"/>
  <c r="Y60" i="30"/>
  <c r="Y132" i="30"/>
  <c r="Y152" i="30"/>
  <c r="Y221" i="30"/>
  <c r="Y81" i="30"/>
  <c r="Y188" i="30"/>
  <c r="Y68" i="30"/>
  <c r="Y157" i="30"/>
  <c r="Y49" i="30"/>
  <c r="Y83" i="30"/>
  <c r="Y151" i="30"/>
  <c r="Y71" i="30"/>
  <c r="Q182" i="15"/>
  <c r="P182" i="15" s="1"/>
  <c r="O182" i="15" s="1"/>
  <c r="Q181" i="15"/>
  <c r="P181" i="15" s="1"/>
  <c r="O181" i="15" s="1"/>
  <c r="Q64" i="15"/>
  <c r="P64" i="15" s="1"/>
  <c r="O64" i="15" s="1"/>
  <c r="Q194" i="15"/>
  <c r="P194" i="15" s="1"/>
  <c r="O194" i="15" s="1"/>
  <c r="Q180" i="15"/>
  <c r="P180" i="15" s="1"/>
  <c r="O180" i="15" s="1"/>
  <c r="Q117" i="15"/>
  <c r="P117" i="15" s="1"/>
  <c r="O117" i="15" s="1"/>
  <c r="Q41" i="15"/>
  <c r="P41" i="15" s="1"/>
  <c r="O41" i="15" s="1"/>
  <c r="Q209" i="15"/>
  <c r="P209" i="15" s="1"/>
  <c r="O209" i="15" s="1"/>
  <c r="N209" i="15" s="1"/>
  <c r="Q167" i="15"/>
  <c r="P167" i="15" s="1"/>
  <c r="O167" i="15" s="1"/>
  <c r="Q146" i="15"/>
  <c r="P146" i="15" s="1"/>
  <c r="O146" i="15" s="1"/>
  <c r="Q178" i="15"/>
  <c r="P178" i="15" s="1"/>
  <c r="O178" i="15" s="1"/>
  <c r="Q31" i="15"/>
  <c r="P31" i="15" s="1"/>
  <c r="O31" i="15" s="1"/>
  <c r="Q193" i="15"/>
  <c r="P193" i="15" s="1"/>
  <c r="O193" i="15" s="1"/>
  <c r="Q23" i="15"/>
  <c r="P23" i="15" s="1"/>
  <c r="O23" i="15" s="1"/>
  <c r="Q24" i="15"/>
  <c r="P24" i="15" s="1"/>
  <c r="O24" i="15" s="1"/>
  <c r="Q63" i="15"/>
  <c r="P63" i="15" s="1"/>
  <c r="O63" i="15" s="1"/>
  <c r="Q220" i="15"/>
  <c r="P220" i="15" s="1"/>
  <c r="O220" i="15" s="1"/>
  <c r="Q44" i="15"/>
  <c r="P44" i="15" s="1"/>
  <c r="O44" i="15" s="1"/>
  <c r="Q223" i="15"/>
  <c r="P223" i="15" s="1"/>
  <c r="O223" i="15" s="1"/>
  <c r="Q130" i="15"/>
  <c r="P130" i="15" s="1"/>
  <c r="O130" i="15" s="1"/>
  <c r="Q65" i="15"/>
  <c r="P65" i="15" s="1"/>
  <c r="O65" i="15" s="1"/>
  <c r="Q62" i="15"/>
  <c r="Q152" i="15"/>
  <c r="P152" i="15" s="1"/>
  <c r="O152" i="15" s="1"/>
  <c r="Q112" i="15"/>
  <c r="P112" i="15" s="1"/>
  <c r="O112" i="15" s="1"/>
  <c r="Q40" i="15"/>
  <c r="P40" i="15" s="1"/>
  <c r="O40" i="15" s="1"/>
  <c r="Q221" i="15"/>
  <c r="Q102" i="15"/>
  <c r="P102" i="15" s="1"/>
  <c r="O102" i="15" s="1"/>
  <c r="Q124" i="15"/>
  <c r="P124" i="15" s="1"/>
  <c r="O124" i="15" s="1"/>
  <c r="Q145" i="15"/>
  <c r="P145" i="15"/>
  <c r="O145" i="15" s="1"/>
  <c r="Q108" i="15"/>
  <c r="P108" i="15" s="1"/>
  <c r="O108" i="15" s="1"/>
  <c r="Q198" i="15"/>
  <c r="P198" i="15" s="1"/>
  <c r="O198" i="15" s="1"/>
  <c r="Q116" i="15"/>
  <c r="P116" i="15" s="1"/>
  <c r="O116" i="15" s="1"/>
  <c r="Q101" i="15"/>
  <c r="P101" i="15" s="1"/>
  <c r="O101" i="15" s="1"/>
  <c r="Q179" i="15"/>
  <c r="P179" i="15" s="1"/>
  <c r="O179" i="15" s="1"/>
  <c r="Q170" i="15"/>
  <c r="P170" i="15"/>
  <c r="O170" i="15" s="1"/>
  <c r="Q77" i="15"/>
  <c r="P77" i="15" s="1"/>
  <c r="O77" i="15" s="1"/>
  <c r="Q225" i="15"/>
  <c r="Q114" i="15"/>
  <c r="Q27" i="15"/>
  <c r="P27" i="15" s="1"/>
  <c r="O27" i="15" s="1"/>
  <c r="Q120" i="15"/>
  <c r="P120" i="15" s="1"/>
  <c r="O120" i="15" s="1"/>
  <c r="Q119" i="15"/>
  <c r="P119" i="15" s="1"/>
  <c r="O119" i="15" s="1"/>
  <c r="Q84" i="15"/>
  <c r="P84" i="15" s="1"/>
  <c r="O84" i="15" s="1"/>
  <c r="Q89" i="15"/>
  <c r="P89" i="15" s="1"/>
  <c r="O89" i="15" s="1"/>
  <c r="Q111" i="15"/>
  <c r="P111" i="15" s="1"/>
  <c r="O111" i="15" s="1"/>
  <c r="Q12" i="15"/>
  <c r="P12" i="15" s="1"/>
  <c r="O12" i="15" s="1"/>
  <c r="Q32" i="15"/>
  <c r="P32" i="15" s="1"/>
  <c r="O32" i="15" s="1"/>
  <c r="Q15" i="15"/>
  <c r="P15" i="15" s="1"/>
  <c r="O15" i="15" s="1"/>
  <c r="Q87" i="15"/>
  <c r="P87" i="15" s="1"/>
  <c r="O87" i="15" s="1"/>
  <c r="Q199" i="15"/>
  <c r="P199" i="15" s="1"/>
  <c r="O199" i="15" s="1"/>
  <c r="Q212" i="15"/>
  <c r="P212" i="15"/>
  <c r="O212" i="15" s="1"/>
  <c r="Q171" i="15"/>
  <c r="P171" i="15" s="1"/>
  <c r="O171" i="15" s="1"/>
  <c r="Q138" i="15"/>
  <c r="P138" i="15" s="1"/>
  <c r="O138" i="15" s="1"/>
  <c r="Q33" i="15"/>
  <c r="P33" i="15" s="1"/>
  <c r="O33" i="15" s="1"/>
  <c r="Q70" i="15"/>
  <c r="P70" i="15"/>
  <c r="O70" i="15" s="1"/>
  <c r="W182" i="27"/>
  <c r="L176" i="29"/>
  <c r="T182" i="26"/>
  <c r="O182" i="24"/>
  <c r="M182" i="25"/>
  <c r="L175" i="29"/>
  <c r="W181" i="27"/>
  <c r="O181" i="24"/>
  <c r="T181" i="26"/>
  <c r="M181" i="25"/>
  <c r="Q224" i="15"/>
  <c r="P224" i="15" s="1"/>
  <c r="Q73" i="15"/>
  <c r="P73" i="15" s="1"/>
  <c r="L58" i="29"/>
  <c r="M64" i="25"/>
  <c r="O64" i="24"/>
  <c r="T64" i="26"/>
  <c r="W64" i="27"/>
  <c r="Q191" i="15"/>
  <c r="P191" i="15" s="1"/>
  <c r="Q79" i="15"/>
  <c r="P79" i="15" s="1"/>
  <c r="Q218" i="15"/>
  <c r="P218" i="15" s="1"/>
  <c r="Q216" i="15"/>
  <c r="P216" i="15" s="1"/>
  <c r="Q125" i="15"/>
  <c r="P125" i="15" s="1"/>
  <c r="L67" i="29"/>
  <c r="O73" i="24"/>
  <c r="W73" i="27"/>
  <c r="T73" i="26"/>
  <c r="M73" i="25"/>
  <c r="Q11" i="15"/>
  <c r="P11" i="15" s="1"/>
  <c r="Q17" i="15"/>
  <c r="P17" i="15" s="1"/>
  <c r="Q175" i="15"/>
  <c r="P175" i="15" s="1"/>
  <c r="Q74" i="15"/>
  <c r="P74" i="15" s="1"/>
  <c r="Q176" i="15"/>
  <c r="P176" i="15" s="1"/>
  <c r="Q16" i="15"/>
  <c r="P16" i="15" s="1"/>
  <c r="Q169" i="15"/>
  <c r="P169" i="15" s="1"/>
  <c r="Q22" i="15"/>
  <c r="P22" i="15" s="1"/>
  <c r="Q106" i="15"/>
  <c r="P106" i="15" s="1"/>
  <c r="O194" i="24"/>
  <c r="L188" i="29"/>
  <c r="M194" i="25"/>
  <c r="W194" i="27"/>
  <c r="T194" i="26"/>
  <c r="Q21" i="15"/>
  <c r="P21" i="15" s="1"/>
  <c r="Q66" i="15"/>
  <c r="P66" i="15" s="1"/>
  <c r="Q157" i="15"/>
  <c r="L185" i="29"/>
  <c r="M191" i="25"/>
  <c r="O191" i="24"/>
  <c r="T191" i="26"/>
  <c r="W191" i="27"/>
  <c r="Q107" i="15"/>
  <c r="P107" i="15" s="1"/>
  <c r="O107" i="15" s="1"/>
  <c r="Q18" i="15"/>
  <c r="P18" i="15" s="1"/>
  <c r="O18" i="15" s="1"/>
  <c r="Q164" i="15"/>
  <c r="P164" i="15" s="1"/>
  <c r="O164" i="15" s="1"/>
  <c r="Q115" i="15"/>
  <c r="P115" i="15" s="1"/>
  <c r="O115" i="15" s="1"/>
  <c r="Q162" i="15"/>
  <c r="P162" i="15" s="1"/>
  <c r="O162" i="15" s="1"/>
  <c r="Q154" i="15"/>
  <c r="P154" i="15" s="1"/>
  <c r="O154" i="15" s="1"/>
  <c r="Q203" i="15"/>
  <c r="P203" i="15" s="1"/>
  <c r="O203" i="15" s="1"/>
  <c r="N203" i="15" s="1"/>
  <c r="Q153" i="15"/>
  <c r="P153" i="15" s="1"/>
  <c r="O153" i="15" s="1"/>
  <c r="Q126" i="15"/>
  <c r="P126" i="15" s="1"/>
  <c r="O126" i="15" s="1"/>
  <c r="Q201" i="15"/>
  <c r="P201" i="15" s="1"/>
  <c r="O201" i="15" s="1"/>
  <c r="Q226" i="15"/>
  <c r="P226" i="15" s="1"/>
  <c r="O226" i="15" s="1"/>
  <c r="Q165" i="15"/>
  <c r="P165" i="15" s="1"/>
  <c r="O165" i="15" s="1"/>
  <c r="Q92" i="15"/>
  <c r="P92" i="15" s="1"/>
  <c r="O92" i="15" s="1"/>
  <c r="Q43" i="15"/>
  <c r="P43" i="15" s="1"/>
  <c r="W32" i="27"/>
  <c r="L26" i="29"/>
  <c r="O32" i="24"/>
  <c r="M32" i="25"/>
  <c r="T32" i="26"/>
  <c r="Q190" i="15"/>
  <c r="L210" i="29"/>
  <c r="W216" i="27"/>
  <c r="M216" i="25"/>
  <c r="T216" i="26"/>
  <c r="O216" i="24"/>
  <c r="Q104" i="15"/>
  <c r="P104" i="15" s="1"/>
  <c r="Q29" i="15"/>
  <c r="P29" i="15" s="1"/>
  <c r="L23" i="29"/>
  <c r="T29" i="26"/>
  <c r="M29" i="25"/>
  <c r="O29" i="24"/>
  <c r="W29" i="27"/>
  <c r="Q161" i="15"/>
  <c r="P161" i="15" s="1"/>
  <c r="Q166" i="15"/>
  <c r="P166" i="15" s="1"/>
  <c r="Q19" i="15"/>
  <c r="P19" i="15" s="1"/>
  <c r="W56" i="27"/>
  <c r="O56" i="24"/>
  <c r="L50" i="29"/>
  <c r="T56" i="26"/>
  <c r="M56" i="25"/>
  <c r="L170" i="29"/>
  <c r="T176" i="26"/>
  <c r="O176" i="24"/>
  <c r="W176" i="27"/>
  <c r="M176" i="25"/>
  <c r="Q42" i="15"/>
  <c r="P42" i="15" s="1"/>
  <c r="Q172" i="15"/>
  <c r="P172" i="15" s="1"/>
  <c r="Q197" i="15"/>
  <c r="P197" i="15" s="1"/>
  <c r="Q123" i="15"/>
  <c r="P123" i="15" s="1"/>
  <c r="Q61" i="15"/>
  <c r="P61" i="15" s="1"/>
  <c r="Q217" i="15"/>
  <c r="P217" i="15" s="1"/>
  <c r="Q211" i="15"/>
  <c r="P211" i="15" s="1"/>
  <c r="Q109" i="15"/>
  <c r="P109" i="15" s="1"/>
  <c r="Q163" i="15"/>
  <c r="P163" i="15" s="1"/>
  <c r="O163" i="15" s="1"/>
  <c r="Q136" i="15"/>
  <c r="P136" i="15" s="1"/>
  <c r="Q105" i="15"/>
  <c r="P105" i="15" s="1"/>
  <c r="Q78" i="15"/>
  <c r="P78" i="15" s="1"/>
  <c r="L113" i="29"/>
  <c r="M119" i="25"/>
  <c r="W119" i="27"/>
  <c r="O119" i="24"/>
  <c r="T119" i="26"/>
  <c r="Q75" i="15"/>
  <c r="P75" i="15" s="1"/>
  <c r="Q207" i="15"/>
  <c r="P207" i="15" s="1"/>
  <c r="Q205" i="15"/>
  <c r="P205" i="15" s="1"/>
  <c r="Q137" i="15"/>
  <c r="P137" i="15" s="1"/>
  <c r="Q148" i="15"/>
  <c r="P148" i="15" s="1"/>
  <c r="Q134" i="15"/>
  <c r="P134" i="15" s="1"/>
  <c r="Q37" i="15"/>
  <c r="P37" i="15" s="1"/>
  <c r="Q131" i="15"/>
  <c r="P131" i="15" s="1"/>
  <c r="Q36" i="15"/>
  <c r="P36" i="15" s="1"/>
  <c r="Q160" i="15"/>
  <c r="P160" i="15" s="1"/>
  <c r="O160" i="15" s="1"/>
  <c r="Q50" i="15"/>
  <c r="P50" i="15" s="1"/>
  <c r="Q72" i="15"/>
  <c r="P72" i="15" s="1"/>
  <c r="O72" i="15" s="1"/>
  <c r="L68" i="29"/>
  <c r="O74" i="24"/>
  <c r="M74" i="25"/>
  <c r="W74" i="27"/>
  <c r="T74" i="26"/>
  <c r="Q85" i="15"/>
  <c r="P85" i="15" s="1"/>
  <c r="O85" i="15" s="1"/>
  <c r="N85" i="15" s="1"/>
  <c r="Q76" i="15"/>
  <c r="P76" i="15" s="1"/>
  <c r="O76" i="15" s="1"/>
  <c r="N76" i="15" s="1"/>
  <c r="Q202" i="15"/>
  <c r="P202" i="15" s="1"/>
  <c r="O202" i="15" s="1"/>
  <c r="N202" i="15" s="1"/>
  <c r="Q214" i="15"/>
  <c r="P214" i="15"/>
  <c r="O214" i="15" s="1"/>
  <c r="N214" i="15" s="1"/>
  <c r="Q59" i="15"/>
  <c r="P59" i="15" s="1"/>
  <c r="O59" i="15" s="1"/>
  <c r="N59" i="15" s="1"/>
  <c r="Q174" i="15"/>
  <c r="P174" i="15" s="1"/>
  <c r="O174" i="15" s="1"/>
  <c r="N174" i="15" s="1"/>
  <c r="O172" i="24"/>
  <c r="T172" i="26"/>
  <c r="L166" i="29"/>
  <c r="M172" i="25"/>
  <c r="W172" i="27"/>
  <c r="Q58" i="15"/>
  <c r="Q113" i="15"/>
  <c r="Q46" i="15"/>
  <c r="P46" i="15" s="1"/>
  <c r="Q187" i="15"/>
  <c r="P187" i="15" s="1"/>
  <c r="Q20" i="15"/>
  <c r="P20" i="15" s="1"/>
  <c r="Q25" i="15"/>
  <c r="P25" i="15" s="1"/>
  <c r="Q14" i="15"/>
  <c r="P14" i="15"/>
  <c r="Q168" i="15"/>
  <c r="P168" i="15" s="1"/>
  <c r="Q94" i="15"/>
  <c r="P94" i="15" s="1"/>
  <c r="Q195" i="15"/>
  <c r="P195" i="15"/>
  <c r="Q155" i="15"/>
  <c r="Q128" i="15"/>
  <c r="P128" i="15" s="1"/>
  <c r="L101" i="29"/>
  <c r="O107" i="24"/>
  <c r="M107" i="25"/>
  <c r="T107" i="26"/>
  <c r="W107" i="27"/>
  <c r="Q129" i="15"/>
  <c r="P129" i="15" s="1"/>
  <c r="Q49" i="15"/>
  <c r="P49" i="15" s="1"/>
  <c r="Q210" i="15"/>
  <c r="P210" i="15" s="1"/>
  <c r="L5" i="29"/>
  <c r="W11" i="27"/>
  <c r="M11" i="25"/>
  <c r="T11" i="26"/>
  <c r="O11" i="24"/>
  <c r="O205" i="24"/>
  <c r="W205" i="27"/>
  <c r="T205" i="26"/>
  <c r="M205" i="25"/>
  <c r="L199" i="29"/>
  <c r="Q188" i="15"/>
  <c r="P188" i="15" s="1"/>
  <c r="Q68" i="15"/>
  <c r="P68" i="15" s="1"/>
  <c r="Q35" i="15"/>
  <c r="P35" i="15" s="1"/>
  <c r="Q121" i="15"/>
  <c r="P121" i="15" s="1"/>
  <c r="L120" i="29"/>
  <c r="M126" i="25"/>
  <c r="O126" i="24"/>
  <c r="T126" i="26"/>
  <c r="W126" i="27"/>
  <c r="O50" i="24"/>
  <c r="M50" i="25"/>
  <c r="W50" i="27"/>
  <c r="L44" i="29"/>
  <c r="T50" i="26"/>
  <c r="L27" i="29"/>
  <c r="W33" i="27"/>
  <c r="O33" i="24"/>
  <c r="M33" i="25"/>
  <c r="T33" i="26"/>
  <c r="Q47" i="15"/>
  <c r="P47" i="15" s="1"/>
  <c r="O47" i="15" s="1"/>
  <c r="N47" i="15" s="1"/>
  <c r="L98" i="29"/>
  <c r="W104" i="27"/>
  <c r="O104" i="24"/>
  <c r="T104" i="26"/>
  <c r="M104" i="25"/>
  <c r="O16" i="24"/>
  <c r="M16" i="25"/>
  <c r="W16" i="27"/>
  <c r="L10" i="29"/>
  <c r="T16" i="26"/>
  <c r="M202" i="25"/>
  <c r="W202" i="27"/>
  <c r="L196" i="29"/>
  <c r="O202" i="24"/>
  <c r="T202" i="26"/>
  <c r="Q159" i="15"/>
  <c r="P159" i="15" s="1"/>
  <c r="L160" i="29"/>
  <c r="M166" i="25"/>
  <c r="W166" i="27"/>
  <c r="T166" i="26"/>
  <c r="O166" i="24"/>
  <c r="L204" i="29"/>
  <c r="W210" i="27"/>
  <c r="T210" i="26"/>
  <c r="M210" i="25"/>
  <c r="O210" i="24"/>
  <c r="O47" i="24"/>
  <c r="T47" i="26"/>
  <c r="W47" i="27"/>
  <c r="L41" i="29"/>
  <c r="M47" i="25"/>
  <c r="Q81" i="15"/>
  <c r="P81" i="15" s="1"/>
  <c r="O81" i="15" s="1"/>
  <c r="Q189" i="15"/>
  <c r="P189" i="15" s="1"/>
  <c r="Q196" i="15"/>
  <c r="P196" i="15" s="1"/>
  <c r="O196" i="15" s="1"/>
  <c r="Q99" i="15"/>
  <c r="L107" i="29"/>
  <c r="M113" i="25"/>
  <c r="O113" i="24"/>
  <c r="W113" i="27"/>
  <c r="T113" i="26"/>
  <c r="Q135" i="15"/>
  <c r="P135" i="15" s="1"/>
  <c r="O135" i="15" s="1"/>
  <c r="N135" i="15" s="1"/>
  <c r="L53" i="29"/>
  <c r="O59" i="24"/>
  <c r="W59" i="27"/>
  <c r="M59" i="25"/>
  <c r="T59" i="26"/>
  <c r="Q132" i="15"/>
  <c r="P132" i="15" s="1"/>
  <c r="M19" i="25"/>
  <c r="T19" i="26"/>
  <c r="L13" i="29"/>
  <c r="O19" i="24"/>
  <c r="W19" i="27"/>
  <c r="O21" i="24"/>
  <c r="L15" i="29"/>
  <c r="W21" i="27"/>
  <c r="T21" i="26"/>
  <c r="M21" i="25"/>
  <c r="Q82" i="15"/>
  <c r="P82" i="15" s="1"/>
  <c r="O82" i="15" s="1"/>
  <c r="Q200" i="15"/>
  <c r="P200" i="15" s="1"/>
  <c r="O200" i="15" s="1"/>
  <c r="L169" i="29"/>
  <c r="W175" i="27"/>
  <c r="O175" i="24"/>
  <c r="T175" i="26"/>
  <c r="M175" i="25"/>
  <c r="L130" i="29"/>
  <c r="W136" i="27"/>
  <c r="M136" i="25"/>
  <c r="O136" i="24"/>
  <c r="T136" i="26"/>
  <c r="L201" i="29"/>
  <c r="W207" i="27"/>
  <c r="T207" i="26"/>
  <c r="M207" i="25"/>
  <c r="O207" i="24"/>
  <c r="L181" i="29"/>
  <c r="M187" i="25"/>
  <c r="T187" i="26"/>
  <c r="W187" i="27"/>
  <c r="O187" i="24"/>
  <c r="Q28" i="15"/>
  <c r="P28" i="15" s="1"/>
  <c r="L52" i="29"/>
  <c r="T58" i="26"/>
  <c r="O58" i="24"/>
  <c r="W58" i="27"/>
  <c r="M58" i="25"/>
  <c r="Q208" i="15"/>
  <c r="P208" i="15" s="1"/>
  <c r="L159" i="29"/>
  <c r="T165" i="26"/>
  <c r="W165" i="27"/>
  <c r="O165" i="24"/>
  <c r="M165" i="25"/>
  <c r="L78" i="29"/>
  <c r="T84" i="26"/>
  <c r="O84" i="24"/>
  <c r="M84" i="25"/>
  <c r="W84" i="27"/>
  <c r="L105" i="29"/>
  <c r="M111" i="25"/>
  <c r="T111" i="26"/>
  <c r="W111" i="27"/>
  <c r="O111" i="24"/>
  <c r="Q34" i="15"/>
  <c r="P34" i="15" s="1"/>
  <c r="W34" i="27"/>
  <c r="O34" i="24"/>
  <c r="M34" i="25"/>
  <c r="L28" i="29"/>
  <c r="T34" i="26"/>
  <c r="L116" i="29"/>
  <c r="W122" i="27"/>
  <c r="T122" i="26"/>
  <c r="O122" i="24"/>
  <c r="M122" i="25"/>
  <c r="T171" i="26"/>
  <c r="M171" i="25"/>
  <c r="L165" i="29"/>
  <c r="O171" i="24"/>
  <c r="W171" i="27"/>
  <c r="L174" i="29"/>
  <c r="T180" i="26"/>
  <c r="M180" i="25"/>
  <c r="W180" i="27"/>
  <c r="O180" i="24"/>
  <c r="M48" i="25"/>
  <c r="O48" i="24"/>
  <c r="T48" i="26"/>
  <c r="L42" i="29"/>
  <c r="W48" i="27"/>
  <c r="L22" i="29"/>
  <c r="O28" i="24"/>
  <c r="M28" i="25"/>
  <c r="W28" i="27"/>
  <c r="T28" i="26"/>
  <c r="L158" i="29"/>
  <c r="W164" i="27"/>
  <c r="M164" i="25"/>
  <c r="O164" i="24"/>
  <c r="T164" i="26"/>
  <c r="L219" i="29"/>
  <c r="W225" i="27"/>
  <c r="M225" i="25"/>
  <c r="T225" i="26"/>
  <c r="O225" i="24"/>
  <c r="Q150" i="15"/>
  <c r="P150" i="15" s="1"/>
  <c r="L184" i="29"/>
  <c r="O190" i="24"/>
  <c r="M190" i="25"/>
  <c r="T190" i="26"/>
  <c r="W190" i="27"/>
  <c r="L111" i="29"/>
  <c r="M117" i="25"/>
  <c r="T117" i="26"/>
  <c r="O117" i="24"/>
  <c r="W117" i="27"/>
  <c r="Q91" i="15"/>
  <c r="P91" i="15" s="1"/>
  <c r="M41" i="25"/>
  <c r="L35" i="29"/>
  <c r="W41" i="27"/>
  <c r="T41" i="26"/>
  <c r="O41" i="24"/>
  <c r="L203" i="29"/>
  <c r="O209" i="24"/>
  <c r="T209" i="26"/>
  <c r="M209" i="25"/>
  <c r="W209" i="27"/>
  <c r="Q158" i="15"/>
  <c r="L131" i="29"/>
  <c r="O137" i="24"/>
  <c r="M137" i="25"/>
  <c r="W137" i="27"/>
  <c r="T137" i="26"/>
  <c r="L195" i="29"/>
  <c r="O201" i="24"/>
  <c r="T201" i="26"/>
  <c r="W201" i="27"/>
  <c r="M201" i="25"/>
  <c r="Q67" i="15"/>
  <c r="P67" i="15" s="1"/>
  <c r="Q60" i="15"/>
  <c r="Q88" i="15"/>
  <c r="Q213" i="15"/>
  <c r="P213" i="15" s="1"/>
  <c r="L156" i="29"/>
  <c r="M162" i="25"/>
  <c r="O162" i="24"/>
  <c r="T162" i="26"/>
  <c r="W162" i="27"/>
  <c r="Q149" i="15"/>
  <c r="P149" i="15" s="1"/>
  <c r="O149" i="15" s="1"/>
  <c r="W167" i="27"/>
  <c r="M167" i="25"/>
  <c r="T167" i="26"/>
  <c r="L161" i="29"/>
  <c r="O167" i="24"/>
  <c r="L220" i="29"/>
  <c r="O226" i="24"/>
  <c r="W226" i="27"/>
  <c r="T226" i="26"/>
  <c r="M226" i="25"/>
  <c r="Q38" i="15"/>
  <c r="P38" i="15" s="1"/>
  <c r="L148" i="29"/>
  <c r="M154" i="25"/>
  <c r="T154" i="26"/>
  <c r="O154" i="24"/>
  <c r="W154" i="27"/>
  <c r="L163" i="29"/>
  <c r="M169" i="25"/>
  <c r="O169" i="24"/>
  <c r="T169" i="26"/>
  <c r="W169" i="27"/>
  <c r="L140" i="29"/>
  <c r="T146" i="26"/>
  <c r="O146" i="24"/>
  <c r="W146" i="27"/>
  <c r="M146" i="25"/>
  <c r="L172" i="29"/>
  <c r="W178" i="27"/>
  <c r="O178" i="24"/>
  <c r="T178" i="26"/>
  <c r="M178" i="25"/>
  <c r="L147" i="29"/>
  <c r="O153" i="24"/>
  <c r="T153" i="26"/>
  <c r="M153" i="25"/>
  <c r="W153" i="27"/>
  <c r="L154" i="29"/>
  <c r="T160" i="26"/>
  <c r="M160" i="25"/>
  <c r="W160" i="27"/>
  <c r="O160" i="24"/>
  <c r="O36" i="24"/>
  <c r="T36" i="26"/>
  <c r="L30" i="29"/>
  <c r="M36" i="25"/>
  <c r="W36" i="27"/>
  <c r="L70" i="29"/>
  <c r="M76" i="25"/>
  <c r="T76" i="26"/>
  <c r="W76" i="27"/>
  <c r="O76" i="24"/>
  <c r="L88" i="29"/>
  <c r="W94" i="27"/>
  <c r="O94" i="24"/>
  <c r="M94" i="25"/>
  <c r="T94" i="26"/>
  <c r="L212" i="29"/>
  <c r="T218" i="26"/>
  <c r="O218" i="24"/>
  <c r="W218" i="27"/>
  <c r="M218" i="25"/>
  <c r="L168" i="29"/>
  <c r="T174" i="26"/>
  <c r="M174" i="25"/>
  <c r="O174" i="24"/>
  <c r="W174" i="27"/>
  <c r="T31" i="26"/>
  <c r="M31" i="25"/>
  <c r="L25" i="29"/>
  <c r="O31" i="24"/>
  <c r="W31" i="27"/>
  <c r="L198" i="29"/>
  <c r="M204" i="25"/>
  <c r="W204" i="27"/>
  <c r="T204" i="26"/>
  <c r="O204" i="24"/>
  <c r="L187" i="29"/>
  <c r="T193" i="26"/>
  <c r="W193" i="27"/>
  <c r="O193" i="24"/>
  <c r="M193" i="25"/>
  <c r="L218" i="29"/>
  <c r="W224" i="27"/>
  <c r="O224" i="24"/>
  <c r="M224" i="25"/>
  <c r="T224" i="26"/>
  <c r="Q90" i="15"/>
  <c r="P90" i="15" s="1"/>
  <c r="L191" i="29"/>
  <c r="W197" i="27"/>
  <c r="M197" i="25"/>
  <c r="O197" i="24"/>
  <c r="T197" i="26"/>
  <c r="L142" i="29"/>
  <c r="W148" i="27"/>
  <c r="O148" i="24"/>
  <c r="M148" i="25"/>
  <c r="T148" i="26"/>
  <c r="O23" i="24"/>
  <c r="M23" i="25"/>
  <c r="L17" i="29"/>
  <c r="W23" i="27"/>
  <c r="T23" i="26"/>
  <c r="W24" i="27"/>
  <c r="L18" i="29"/>
  <c r="T24" i="26"/>
  <c r="O24" i="24"/>
  <c r="M24" i="25"/>
  <c r="L57" i="29"/>
  <c r="O63" i="24"/>
  <c r="W63" i="27"/>
  <c r="M63" i="25"/>
  <c r="T63" i="26"/>
  <c r="L214" i="29"/>
  <c r="M220" i="25"/>
  <c r="W220" i="27"/>
  <c r="T220" i="26"/>
  <c r="O220" i="24"/>
  <c r="W67" i="27"/>
  <c r="T67" i="26"/>
  <c r="L61" i="29"/>
  <c r="O67" i="24"/>
  <c r="M67" i="25"/>
  <c r="M27" i="25"/>
  <c r="W27" i="27"/>
  <c r="O27" i="24"/>
  <c r="L21" i="29"/>
  <c r="T27" i="26"/>
  <c r="L79" i="29"/>
  <c r="W85" i="27"/>
  <c r="O85" i="24"/>
  <c r="T85" i="26"/>
  <c r="M85" i="25"/>
  <c r="L153" i="29"/>
  <c r="T159" i="26"/>
  <c r="O159" i="24"/>
  <c r="M159" i="25"/>
  <c r="W159" i="27"/>
  <c r="L6" i="29"/>
  <c r="T12" i="26"/>
  <c r="M12" i="25"/>
  <c r="W12" i="27"/>
  <c r="O12" i="24"/>
  <c r="L71" i="29"/>
  <c r="O77" i="24"/>
  <c r="M77" i="25"/>
  <c r="T77" i="26"/>
  <c r="W77" i="27"/>
  <c r="Q26" i="15"/>
  <c r="P26" i="15" s="1"/>
  <c r="Q144" i="15"/>
  <c r="P144" i="15" s="1"/>
  <c r="Q222" i="15"/>
  <c r="P222" i="15" s="1"/>
  <c r="Q71" i="15"/>
  <c r="P71" i="15" s="1"/>
  <c r="Q103" i="15"/>
  <c r="P103" i="15" s="1"/>
  <c r="Q100" i="15"/>
  <c r="P100" i="15" s="1"/>
  <c r="L200" i="29"/>
  <c r="W206" i="27"/>
  <c r="M206" i="25"/>
  <c r="O206" i="24"/>
  <c r="T206" i="26"/>
  <c r="L119" i="29"/>
  <c r="T125" i="26"/>
  <c r="W125" i="27"/>
  <c r="M125" i="25"/>
  <c r="O125" i="24"/>
  <c r="L36" i="29"/>
  <c r="T42" i="26"/>
  <c r="W42" i="27"/>
  <c r="M42" i="25"/>
  <c r="O42" i="24"/>
  <c r="L103" i="29"/>
  <c r="T109" i="26"/>
  <c r="M109" i="25"/>
  <c r="O109" i="24"/>
  <c r="W109" i="27"/>
  <c r="Q173" i="15"/>
  <c r="P173" i="15" s="1"/>
  <c r="Q127" i="15"/>
  <c r="P127" i="15" s="1"/>
  <c r="O127" i="15" s="1"/>
  <c r="L54" i="29"/>
  <c r="O60" i="24"/>
  <c r="W60" i="27"/>
  <c r="M60" i="25"/>
  <c r="T60" i="26"/>
  <c r="Q143" i="15"/>
  <c r="P143" i="15" s="1"/>
  <c r="O143" i="15" s="1"/>
  <c r="L86" i="29"/>
  <c r="T92" i="26"/>
  <c r="W92" i="27"/>
  <c r="O92" i="24"/>
  <c r="M92" i="25"/>
  <c r="L38" i="29"/>
  <c r="O44" i="24"/>
  <c r="M44" i="25"/>
  <c r="W44" i="27"/>
  <c r="T44" i="26"/>
  <c r="L217" i="29"/>
  <c r="M223" i="25"/>
  <c r="T223" i="26"/>
  <c r="W223" i="27"/>
  <c r="O223" i="24"/>
  <c r="T22" i="26"/>
  <c r="L16" i="29"/>
  <c r="O22" i="24"/>
  <c r="M22" i="25"/>
  <c r="W22" i="27"/>
  <c r="Q151" i="15"/>
  <c r="P151" i="15" s="1"/>
  <c r="O151" i="15" s="1"/>
  <c r="N151" i="15" s="1"/>
  <c r="L126" i="29"/>
  <c r="T132" i="26"/>
  <c r="W132" i="27"/>
  <c r="O132" i="24"/>
  <c r="M132" i="25"/>
  <c r="L124" i="29"/>
  <c r="W130" i="27"/>
  <c r="T130" i="26"/>
  <c r="M130" i="25"/>
  <c r="O130" i="24"/>
  <c r="L59" i="29"/>
  <c r="M65" i="25"/>
  <c r="T65" i="26"/>
  <c r="W65" i="27"/>
  <c r="O65" i="24"/>
  <c r="L202" i="29"/>
  <c r="W208" i="27"/>
  <c r="O208" i="24"/>
  <c r="T208" i="26"/>
  <c r="M208" i="25"/>
  <c r="L99" i="29"/>
  <c r="O105" i="24"/>
  <c r="M105" i="25"/>
  <c r="T105" i="26"/>
  <c r="W105" i="27"/>
  <c r="L149" i="29"/>
  <c r="T155" i="26"/>
  <c r="O155" i="24"/>
  <c r="W155" i="27"/>
  <c r="M155" i="25"/>
  <c r="Q13" i="15"/>
  <c r="P13" i="15" s="1"/>
  <c r="O13" i="15" s="1"/>
  <c r="L56" i="29"/>
  <c r="W62" i="27"/>
  <c r="O62" i="24"/>
  <c r="T62" i="26"/>
  <c r="M62" i="25"/>
  <c r="T57" i="26"/>
  <c r="L51" i="29"/>
  <c r="O57" i="24"/>
  <c r="W57" i="27"/>
  <c r="M57" i="25"/>
  <c r="W212" i="27"/>
  <c r="L206" i="29"/>
  <c r="O212" i="24"/>
  <c r="M212" i="25"/>
  <c r="T212" i="26"/>
  <c r="L146" i="29"/>
  <c r="T152" i="26"/>
  <c r="M152" i="25"/>
  <c r="O152" i="24"/>
  <c r="W152" i="27"/>
  <c r="L104" i="29"/>
  <c r="W110" i="27"/>
  <c r="T110" i="26"/>
  <c r="O110" i="24"/>
  <c r="M110" i="25"/>
  <c r="L49" i="29"/>
  <c r="M55" i="25"/>
  <c r="O55" i="24"/>
  <c r="W55" i="27"/>
  <c r="T55" i="26"/>
  <c r="L106" i="29"/>
  <c r="W112" i="27"/>
  <c r="T112" i="26"/>
  <c r="M112" i="25"/>
  <c r="O112" i="24"/>
  <c r="L128" i="29"/>
  <c r="W134" i="27"/>
  <c r="M134" i="25"/>
  <c r="T134" i="26"/>
  <c r="O134" i="24"/>
  <c r="O40" i="24"/>
  <c r="W40" i="27"/>
  <c r="T40" i="26"/>
  <c r="L34" i="29"/>
  <c r="M40" i="25"/>
  <c r="L85" i="29"/>
  <c r="O91" i="24"/>
  <c r="W91" i="27"/>
  <c r="T91" i="26"/>
  <c r="M91" i="25"/>
  <c r="L215" i="29"/>
  <c r="W221" i="27"/>
  <c r="O221" i="24"/>
  <c r="M221" i="25"/>
  <c r="T221" i="26"/>
  <c r="L60" i="29"/>
  <c r="W66" i="27"/>
  <c r="M66" i="25"/>
  <c r="T66" i="26"/>
  <c r="O66" i="24"/>
  <c r="L109" i="29"/>
  <c r="W115" i="27"/>
  <c r="O115" i="24"/>
  <c r="M115" i="25"/>
  <c r="T115" i="26"/>
  <c r="M15" i="25"/>
  <c r="O15" i="24"/>
  <c r="W15" i="27"/>
  <c r="L9" i="29"/>
  <c r="T15" i="26"/>
  <c r="Q86" i="15"/>
  <c r="P86" i="15" s="1"/>
  <c r="Q177" i="15"/>
  <c r="P177" i="15" s="1"/>
  <c r="Q93" i="15"/>
  <c r="P93" i="15" s="1"/>
  <c r="L96" i="29"/>
  <c r="M102" i="25"/>
  <c r="W102" i="27"/>
  <c r="O102" i="24"/>
  <c r="T102" i="26"/>
  <c r="T20" i="26"/>
  <c r="O20" i="24"/>
  <c r="L14" i="29"/>
  <c r="W20" i="27"/>
  <c r="M20" i="25"/>
  <c r="L211" i="29"/>
  <c r="W217" i="27"/>
  <c r="T217" i="26"/>
  <c r="M217" i="25"/>
  <c r="O217" i="24"/>
  <c r="Q147" i="15"/>
  <c r="P147" i="15" s="1"/>
  <c r="L118" i="29"/>
  <c r="W124" i="27"/>
  <c r="T124" i="26"/>
  <c r="O124" i="24"/>
  <c r="M124" i="25"/>
  <c r="L69" i="29"/>
  <c r="T75" i="26"/>
  <c r="M75" i="25"/>
  <c r="O75" i="24"/>
  <c r="W75" i="27"/>
  <c r="L114" i="29"/>
  <c r="M120" i="25"/>
  <c r="W120" i="27"/>
  <c r="O120" i="24"/>
  <c r="T120" i="26"/>
  <c r="W121" i="27"/>
  <c r="L115" i="29"/>
  <c r="O121" i="24"/>
  <c r="M121" i="25"/>
  <c r="T121" i="26"/>
  <c r="T26" i="26"/>
  <c r="M26" i="25"/>
  <c r="W26" i="27"/>
  <c r="O26" i="24"/>
  <c r="L20" i="29"/>
  <c r="T43" i="26"/>
  <c r="W43" i="27"/>
  <c r="M43" i="25"/>
  <c r="O43" i="24"/>
  <c r="L37" i="29"/>
  <c r="L117" i="29"/>
  <c r="O123" i="24"/>
  <c r="W123" i="27"/>
  <c r="T123" i="26"/>
  <c r="M123" i="25"/>
  <c r="L93" i="29"/>
  <c r="T99" i="26"/>
  <c r="M99" i="25"/>
  <c r="O99" i="24"/>
  <c r="W99" i="27"/>
  <c r="L155" i="29"/>
  <c r="W161" i="27"/>
  <c r="M161" i="25"/>
  <c r="O161" i="24"/>
  <c r="T161" i="26"/>
  <c r="L82" i="29"/>
  <c r="O88" i="24"/>
  <c r="W88" i="27"/>
  <c r="M88" i="25"/>
  <c r="T88" i="26"/>
  <c r="L75" i="29"/>
  <c r="O81" i="24"/>
  <c r="M81" i="25"/>
  <c r="T81" i="26"/>
  <c r="W81" i="27"/>
  <c r="L64" i="29"/>
  <c r="T70" i="26"/>
  <c r="M70" i="25"/>
  <c r="W70" i="27"/>
  <c r="O70" i="24"/>
  <c r="L139" i="29"/>
  <c r="T145" i="26"/>
  <c r="O145" i="24"/>
  <c r="M145" i="25"/>
  <c r="W145" i="27"/>
  <c r="L108" i="29"/>
  <c r="O114" i="24"/>
  <c r="W114" i="27"/>
  <c r="M114" i="25"/>
  <c r="T114" i="26"/>
  <c r="L102" i="29"/>
  <c r="M108" i="25"/>
  <c r="O108" i="24"/>
  <c r="W108" i="27"/>
  <c r="T108" i="26"/>
  <c r="M37" i="25"/>
  <c r="W37" i="27"/>
  <c r="T37" i="26"/>
  <c r="O37" i="24"/>
  <c r="L31" i="29"/>
  <c r="L192" i="29"/>
  <c r="M198" i="25"/>
  <c r="W198" i="27"/>
  <c r="T198" i="26"/>
  <c r="O198" i="24"/>
  <c r="L72" i="29"/>
  <c r="T78" i="26"/>
  <c r="M78" i="25"/>
  <c r="O78" i="24"/>
  <c r="W78" i="27"/>
  <c r="L83" i="29"/>
  <c r="T89" i="26"/>
  <c r="O89" i="24"/>
  <c r="M89" i="25"/>
  <c r="W89" i="27"/>
  <c r="W35" i="27"/>
  <c r="L29" i="29"/>
  <c r="T35" i="26"/>
  <c r="M35" i="25"/>
  <c r="O35" i="24"/>
  <c r="L182" i="29"/>
  <c r="O188" i="24"/>
  <c r="W188" i="27"/>
  <c r="T188" i="26"/>
  <c r="M188" i="25"/>
  <c r="L138" i="29"/>
  <c r="T144" i="26"/>
  <c r="W144" i="27"/>
  <c r="M144" i="25"/>
  <c r="O144" i="24"/>
  <c r="L84" i="29"/>
  <c r="T90" i="26"/>
  <c r="O90" i="24"/>
  <c r="M90" i="25"/>
  <c r="W90" i="27"/>
  <c r="L157" i="29"/>
  <c r="M163" i="25"/>
  <c r="O163" i="24"/>
  <c r="T163" i="26"/>
  <c r="W163" i="27"/>
  <c r="L144" i="29"/>
  <c r="W150" i="27"/>
  <c r="M150" i="25"/>
  <c r="O150" i="24"/>
  <c r="T150" i="26"/>
  <c r="L110" i="29"/>
  <c r="O116" i="24"/>
  <c r="W116" i="27"/>
  <c r="T116" i="26"/>
  <c r="M116" i="25"/>
  <c r="L143" i="29"/>
  <c r="T149" i="26"/>
  <c r="M149" i="25"/>
  <c r="O149" i="24"/>
  <c r="W149" i="27"/>
  <c r="L73" i="29"/>
  <c r="T79" i="26"/>
  <c r="O79" i="24"/>
  <c r="M79" i="25"/>
  <c r="W79" i="27"/>
  <c r="L189" i="29"/>
  <c r="M195" i="25"/>
  <c r="T195" i="26"/>
  <c r="W195" i="27"/>
  <c r="O195" i="24"/>
  <c r="Q118" i="15"/>
  <c r="P118" i="15" s="1"/>
  <c r="O118" i="15" s="1"/>
  <c r="N118" i="15" s="1"/>
  <c r="Q156" i="15"/>
  <c r="P156" i="15" s="1"/>
  <c r="O156" i="15" s="1"/>
  <c r="Q80" i="15"/>
  <c r="P80" i="15" s="1"/>
  <c r="O80" i="15" s="1"/>
  <c r="M215" i="25"/>
  <c r="T215" i="26"/>
  <c r="O215" i="24"/>
  <c r="L209" i="29"/>
  <c r="W215" i="27"/>
  <c r="L62" i="29"/>
  <c r="T68" i="26"/>
  <c r="W68" i="27"/>
  <c r="O68" i="24"/>
  <c r="M68" i="25"/>
  <c r="L11" i="29"/>
  <c r="W17" i="27"/>
  <c r="M17" i="25"/>
  <c r="O17" i="24"/>
  <c r="T17" i="26"/>
  <c r="L208" i="29"/>
  <c r="M214" i="25"/>
  <c r="W214" i="27"/>
  <c r="T214" i="26"/>
  <c r="O214" i="24"/>
  <c r="T131" i="26"/>
  <c r="O131" i="24"/>
  <c r="L125" i="29"/>
  <c r="M131" i="25"/>
  <c r="W131" i="27"/>
  <c r="Q69" i="15"/>
  <c r="P69" i="15" s="1"/>
  <c r="L100" i="29"/>
  <c r="W106" i="27"/>
  <c r="O106" i="24"/>
  <c r="T106" i="26"/>
  <c r="M106" i="25"/>
  <c r="L66" i="29"/>
  <c r="W72" i="27"/>
  <c r="M72" i="25"/>
  <c r="T72" i="26"/>
  <c r="O72" i="24"/>
  <c r="Q192" i="15"/>
  <c r="P192" i="15" s="1"/>
  <c r="L171" i="29"/>
  <c r="W177" i="27"/>
  <c r="O177" i="24"/>
  <c r="M177" i="25"/>
  <c r="T177" i="26"/>
  <c r="L81" i="29"/>
  <c r="T87" i="26"/>
  <c r="M87" i="25"/>
  <c r="W87" i="27"/>
  <c r="O87" i="24"/>
  <c r="L132" i="29"/>
  <c r="M138" i="25"/>
  <c r="T138" i="26"/>
  <c r="O138" i="24"/>
  <c r="W138" i="27"/>
  <c r="L127" i="29"/>
  <c r="T133" i="26"/>
  <c r="O133" i="24"/>
  <c r="M133" i="25"/>
  <c r="W133" i="27"/>
  <c r="M25" i="25"/>
  <c r="W25" i="27"/>
  <c r="L19" i="29"/>
  <c r="O25" i="24"/>
  <c r="T25" i="26"/>
  <c r="L151" i="29"/>
  <c r="O157" i="24"/>
  <c r="M157" i="25"/>
  <c r="T157" i="26"/>
  <c r="W157" i="27"/>
  <c r="L162" i="29"/>
  <c r="W168" i="27"/>
  <c r="M168" i="25"/>
  <c r="O168" i="24"/>
  <c r="T168" i="26"/>
  <c r="L55" i="29"/>
  <c r="O61" i="24"/>
  <c r="M61" i="25"/>
  <c r="W61" i="27"/>
  <c r="T61" i="26"/>
  <c r="L121" i="29"/>
  <c r="M127" i="25"/>
  <c r="T127" i="26"/>
  <c r="O127" i="24"/>
  <c r="W127" i="27"/>
  <c r="Q39" i="15"/>
  <c r="P39" i="15" s="1"/>
  <c r="W211" i="27"/>
  <c r="L205" i="29"/>
  <c r="M211" i="25"/>
  <c r="T211" i="26"/>
  <c r="O211" i="24"/>
  <c r="L193" i="29"/>
  <c r="T199" i="26"/>
  <c r="W199" i="27"/>
  <c r="O199" i="24"/>
  <c r="M199" i="25"/>
  <c r="L167" i="29"/>
  <c r="W173" i="27"/>
  <c r="O173" i="24"/>
  <c r="M173" i="25"/>
  <c r="T173" i="26"/>
  <c r="L95" i="29"/>
  <c r="M101" i="25"/>
  <c r="W101" i="27"/>
  <c r="O101" i="24"/>
  <c r="T101" i="26"/>
  <c r="L112" i="29"/>
  <c r="M118" i="25"/>
  <c r="T118" i="26"/>
  <c r="O118" i="24"/>
  <c r="W118" i="27"/>
  <c r="L186" i="29"/>
  <c r="T192" i="26"/>
  <c r="W192" i="27"/>
  <c r="M192" i="25"/>
  <c r="O192" i="24"/>
  <c r="L80" i="29"/>
  <c r="T86" i="26"/>
  <c r="W86" i="27"/>
  <c r="M86" i="25"/>
  <c r="O86" i="24"/>
  <c r="M49" i="25"/>
  <c r="L43" i="29"/>
  <c r="W49" i="27"/>
  <c r="T49" i="26"/>
  <c r="O49" i="24"/>
  <c r="L74" i="29"/>
  <c r="M80" i="25"/>
  <c r="T80" i="26"/>
  <c r="W80" i="27"/>
  <c r="O80" i="24"/>
  <c r="L87" i="29"/>
  <c r="T93" i="26"/>
  <c r="W93" i="27"/>
  <c r="O93" i="24"/>
  <c r="M93" i="25"/>
  <c r="L33" i="29"/>
  <c r="M39" i="25"/>
  <c r="W39" i="27"/>
  <c r="O39" i="24"/>
  <c r="T39" i="26"/>
  <c r="L122" i="29"/>
  <c r="M128" i="25"/>
  <c r="W128" i="27"/>
  <c r="T128" i="26"/>
  <c r="O128" i="24"/>
  <c r="W13" i="27"/>
  <c r="M13" i="25"/>
  <c r="L7" i="29"/>
  <c r="T13" i="26"/>
  <c r="O13" i="24"/>
  <c r="L129" i="29"/>
  <c r="M135" i="25"/>
  <c r="O135" i="24"/>
  <c r="W135" i="27"/>
  <c r="T135" i="26"/>
  <c r="L152" i="29"/>
  <c r="W158" i="27"/>
  <c r="T158" i="26"/>
  <c r="O158" i="24"/>
  <c r="M158" i="25"/>
  <c r="L173" i="29"/>
  <c r="O179" i="24"/>
  <c r="M179" i="25"/>
  <c r="W179" i="27"/>
  <c r="T179" i="26"/>
  <c r="Q83" i="15"/>
  <c r="P83" i="15" s="1"/>
  <c r="O83" i="15" s="1"/>
  <c r="N83" i="15" s="1"/>
  <c r="M83" i="15" s="1"/>
  <c r="Q30" i="15"/>
  <c r="P30" i="15" s="1"/>
  <c r="Q45" i="15"/>
  <c r="P45" i="15" s="1"/>
  <c r="O83" i="24"/>
  <c r="L77" i="29"/>
  <c r="M83" i="25"/>
  <c r="T83" i="26"/>
  <c r="W83" i="27"/>
  <c r="L197" i="29"/>
  <c r="W203" i="27"/>
  <c r="T203" i="26"/>
  <c r="M203" i="25"/>
  <c r="O203" i="24"/>
  <c r="L123" i="29"/>
  <c r="O129" i="24"/>
  <c r="W129" i="27"/>
  <c r="T129" i="26"/>
  <c r="M129" i="25"/>
  <c r="L40" i="29"/>
  <c r="M46" i="25"/>
  <c r="W46" i="27"/>
  <c r="O46" i="24"/>
  <c r="T46" i="26"/>
  <c r="M14" i="25"/>
  <c r="W14" i="27"/>
  <c r="O14" i="24"/>
  <c r="L8" i="29"/>
  <c r="T14" i="26"/>
  <c r="L213" i="29"/>
  <c r="M219" i="25"/>
  <c r="W219" i="27"/>
  <c r="O219" i="24"/>
  <c r="T219" i="26"/>
  <c r="L137" i="29"/>
  <c r="T143" i="26"/>
  <c r="O143" i="24"/>
  <c r="W143" i="27"/>
  <c r="M143" i="25"/>
  <c r="L12" i="29"/>
  <c r="W18" i="27"/>
  <c r="O18" i="24"/>
  <c r="M18" i="25"/>
  <c r="T18" i="26"/>
  <c r="L164" i="29"/>
  <c r="T170" i="26"/>
  <c r="O170" i="24"/>
  <c r="M170" i="25"/>
  <c r="W170" i="27"/>
  <c r="M38" i="25"/>
  <c r="O38" i="24"/>
  <c r="W38" i="27"/>
  <c r="T38" i="26"/>
  <c r="L32" i="29"/>
  <c r="L183" i="29"/>
  <c r="T189" i="26"/>
  <c r="M189" i="25"/>
  <c r="O189" i="24"/>
  <c r="W189" i="27"/>
  <c r="L76" i="29"/>
  <c r="W82" i="27"/>
  <c r="O82" i="24"/>
  <c r="M82" i="25"/>
  <c r="T82" i="26"/>
  <c r="L63" i="29"/>
  <c r="W69" i="27"/>
  <c r="M69" i="25"/>
  <c r="O69" i="24"/>
  <c r="T69" i="26"/>
  <c r="M156" i="25"/>
  <c r="W156" i="27"/>
  <c r="T156" i="26"/>
  <c r="L150" i="29"/>
  <c r="O156" i="24"/>
  <c r="L145" i="29"/>
  <c r="W151" i="27"/>
  <c r="O151" i="24"/>
  <c r="T151" i="26"/>
  <c r="M151" i="25"/>
  <c r="L24" i="29"/>
  <c r="O30" i="24"/>
  <c r="M30" i="25"/>
  <c r="W30" i="27"/>
  <c r="T30" i="26"/>
  <c r="L216" i="29"/>
  <c r="O222" i="24"/>
  <c r="W222" i="27"/>
  <c r="M222" i="25"/>
  <c r="T222" i="26"/>
  <c r="M45" i="25"/>
  <c r="O45" i="24"/>
  <c r="L39" i="29"/>
  <c r="T45" i="26"/>
  <c r="W45" i="27"/>
  <c r="L141" i="29"/>
  <c r="M147" i="25"/>
  <c r="T147" i="26"/>
  <c r="O147" i="24"/>
  <c r="W147" i="27"/>
  <c r="L190" i="29"/>
  <c r="O196" i="24"/>
  <c r="T196" i="26"/>
  <c r="W196" i="27"/>
  <c r="M196" i="25"/>
  <c r="L97" i="29"/>
  <c r="M103" i="25"/>
  <c r="O103" i="24"/>
  <c r="W103" i="27"/>
  <c r="T103" i="26"/>
  <c r="L94" i="29"/>
  <c r="M100" i="25"/>
  <c r="O100" i="24"/>
  <c r="T100" i="26"/>
  <c r="W100" i="27"/>
  <c r="L194" i="29"/>
  <c r="W200" i="27"/>
  <c r="O200" i="24"/>
  <c r="M200" i="25"/>
  <c r="T200" i="26"/>
  <c r="L207" i="29"/>
  <c r="O213" i="24"/>
  <c r="W213" i="27"/>
  <c r="M213" i="25"/>
  <c r="T213" i="26"/>
  <c r="L65" i="29"/>
  <c r="W71" i="27"/>
  <c r="M71" i="25"/>
  <c r="T71" i="26"/>
  <c r="O71" i="24"/>
  <c r="F21" i="9"/>
  <c r="G61" i="9"/>
  <c r="F18" i="9"/>
  <c r="E22" i="9"/>
  <c r="E54" i="9"/>
  <c r="F32" i="9"/>
  <c r="F40" i="9"/>
  <c r="E44" i="9"/>
  <c r="F51" i="9"/>
  <c r="F58" i="9"/>
  <c r="F59" i="9"/>
  <c r="F4" i="9"/>
  <c r="D46" i="9"/>
  <c r="G19" i="9"/>
  <c r="G20" i="9"/>
  <c r="G21" i="9"/>
  <c r="F28" i="9"/>
  <c r="H32" i="9"/>
  <c r="D36" i="9"/>
  <c r="F33" i="9"/>
  <c r="H42" i="9"/>
  <c r="G43" i="9"/>
  <c r="F46" i="9"/>
  <c r="F47" i="9"/>
  <c r="H50" i="9"/>
  <c r="F54" i="9"/>
  <c r="H58" i="9"/>
  <c r="H61" i="9"/>
  <c r="H17" i="9"/>
  <c r="H19" i="9"/>
  <c r="G26" i="9"/>
  <c r="G27" i="9"/>
  <c r="G28" i="9"/>
  <c r="G29" i="9"/>
  <c r="G30" i="9"/>
  <c r="G31" i="9"/>
  <c r="F34" i="9"/>
  <c r="F36" i="9"/>
  <c r="F37" i="9"/>
  <c r="E4" i="9"/>
  <c r="E51" i="9"/>
  <c r="G4" i="9"/>
  <c r="H4" i="9"/>
  <c r="D19" i="9"/>
  <c r="D22" i="9"/>
  <c r="H30" i="9"/>
  <c r="H31" i="9"/>
  <c r="E33" i="9"/>
  <c r="G35" i="9"/>
  <c r="G37" i="9"/>
  <c r="D60" i="9"/>
  <c r="H44" i="9"/>
  <c r="H45" i="9"/>
  <c r="H46" i="9"/>
  <c r="H47" i="9"/>
  <c r="H49" i="9"/>
  <c r="E52" i="9"/>
  <c r="G23" i="9"/>
  <c r="E29" i="9"/>
  <c r="E31" i="9"/>
  <c r="E56" i="9"/>
  <c r="H33" i="9"/>
  <c r="E36" i="9"/>
  <c r="E37" i="9"/>
  <c r="E45" i="9"/>
  <c r="E47" i="9"/>
  <c r="E25" i="9"/>
  <c r="F14" i="9"/>
  <c r="F17" i="9"/>
  <c r="F20" i="9"/>
  <c r="H23" i="9"/>
  <c r="G32" i="9"/>
  <c r="E35" i="9"/>
  <c r="F38" i="9"/>
  <c r="F39" i="9"/>
  <c r="F41" i="9"/>
  <c r="F42" i="9"/>
  <c r="E46" i="9"/>
  <c r="E48" i="9"/>
  <c r="E49" i="9"/>
  <c r="F50" i="9"/>
  <c r="F52" i="9"/>
  <c r="F53" i="9"/>
  <c r="F57" i="9"/>
  <c r="F60" i="9"/>
  <c r="F61" i="9"/>
  <c r="G14" i="9"/>
  <c r="G15" i="9"/>
  <c r="G16" i="9"/>
  <c r="G17" i="9"/>
  <c r="G18" i="9"/>
  <c r="G22" i="9"/>
  <c r="F26" i="9"/>
  <c r="F27" i="9"/>
  <c r="F29" i="9"/>
  <c r="F30" i="9"/>
  <c r="F31" i="9"/>
  <c r="G39" i="9"/>
  <c r="G41" i="9"/>
  <c r="G50" i="9"/>
  <c r="G51" i="9"/>
  <c r="G58" i="9"/>
  <c r="G59" i="9"/>
  <c r="G53" i="9"/>
  <c r="H14" i="9"/>
  <c r="H15" i="9"/>
  <c r="H16" i="9"/>
  <c r="H18" i="9"/>
  <c r="H20" i="9"/>
  <c r="H21" i="9"/>
  <c r="H22" i="9"/>
  <c r="F23" i="9"/>
  <c r="F35" i="9"/>
  <c r="H38" i="9"/>
  <c r="H41" i="9"/>
  <c r="F44" i="9"/>
  <c r="F45" i="9"/>
  <c r="F48" i="9"/>
  <c r="F49" i="9"/>
  <c r="H51" i="9"/>
  <c r="H52" i="9"/>
  <c r="F55" i="9"/>
  <c r="F56" i="9"/>
  <c r="H57" i="9"/>
  <c r="H59" i="9"/>
  <c r="H60" i="9"/>
  <c r="F24" i="9"/>
  <c r="F25" i="9"/>
  <c r="H26" i="9"/>
  <c r="H27" i="9"/>
  <c r="G34" i="9"/>
  <c r="G36" i="9"/>
  <c r="G44" i="9"/>
  <c r="G47" i="9"/>
  <c r="G49" i="9"/>
  <c r="G56" i="9"/>
  <c r="E41" i="9"/>
  <c r="E42" i="9"/>
  <c r="E58" i="9"/>
  <c r="E59" i="9"/>
  <c r="E18" i="9"/>
  <c r="E20" i="9"/>
  <c r="E21" i="9"/>
  <c r="G24" i="9"/>
  <c r="G25" i="9"/>
  <c r="G33" i="9"/>
  <c r="H34" i="9"/>
  <c r="H35" i="9"/>
  <c r="H37" i="9"/>
  <c r="E40" i="9"/>
  <c r="H43" i="9"/>
  <c r="H48" i="9"/>
  <c r="H53" i="9"/>
  <c r="H54" i="9"/>
  <c r="H55" i="9"/>
  <c r="H56" i="9"/>
  <c r="E60" i="9"/>
  <c r="F62" i="9"/>
  <c r="F5" i="9"/>
  <c r="G5" i="9"/>
  <c r="H5" i="9"/>
  <c r="E32" i="9"/>
  <c r="AN111" i="25"/>
  <c r="AN107" i="25"/>
  <c r="P146" i="24"/>
  <c r="P50" i="24"/>
  <c r="P94" i="24"/>
  <c r="AN192" i="25"/>
  <c r="AN204" i="25"/>
  <c r="AN19" i="25"/>
  <c r="AN13" i="25"/>
  <c r="P225" i="24"/>
  <c r="I58" i="15"/>
  <c r="P107" i="24"/>
  <c r="J62" i="15"/>
  <c r="I173" i="15"/>
  <c r="P134" i="24"/>
  <c r="P30" i="24"/>
  <c r="P20" i="24"/>
  <c r="H72" i="15"/>
  <c r="P44" i="24"/>
  <c r="AN158" i="25"/>
  <c r="AN152" i="25"/>
  <c r="G82" i="15"/>
  <c r="P114" i="24"/>
  <c r="P60" i="24"/>
  <c r="AN68" i="25"/>
  <c r="P145" i="24"/>
  <c r="P46" i="24"/>
  <c r="AN69" i="25"/>
  <c r="P205" i="24"/>
  <c r="P179" i="24"/>
  <c r="P26" i="24"/>
  <c r="AN103" i="25"/>
  <c r="AN101" i="25"/>
  <c r="P36" i="24"/>
  <c r="P104" i="24"/>
  <c r="K204" i="15"/>
  <c r="AN203" i="25"/>
  <c r="AN201" i="25"/>
  <c r="AN21" i="25"/>
  <c r="H63" i="15"/>
  <c r="P154" i="24"/>
  <c r="P34" i="24"/>
  <c r="P171" i="24"/>
  <c r="K57" i="15"/>
  <c r="P49" i="24"/>
  <c r="P75" i="24"/>
  <c r="P200" i="24"/>
  <c r="P124" i="24"/>
  <c r="P133" i="24"/>
  <c r="P130" i="24"/>
  <c r="AN148" i="25"/>
  <c r="AN151" i="25"/>
  <c r="P151" i="24"/>
  <c r="P108" i="24"/>
  <c r="P223" i="24"/>
  <c r="AN63" i="25"/>
  <c r="P198" i="24"/>
  <c r="P38" i="24"/>
  <c r="AN67" i="25"/>
  <c r="P175" i="24"/>
  <c r="AN153" i="25"/>
  <c r="AN112" i="25"/>
  <c r="AN114" i="25"/>
  <c r="P218" i="24"/>
  <c r="P202" i="24"/>
  <c r="H193" i="15"/>
  <c r="AN205" i="25"/>
  <c r="AN197" i="25"/>
  <c r="AN11" i="25"/>
  <c r="P27" i="24"/>
  <c r="P153" i="24"/>
  <c r="J225" i="15"/>
  <c r="P180" i="24"/>
  <c r="P115" i="24"/>
  <c r="E219" i="15"/>
  <c r="I43" i="15"/>
  <c r="P22" i="24"/>
  <c r="I121" i="15"/>
  <c r="P168" i="24"/>
  <c r="P105" i="24"/>
  <c r="AN157" i="25"/>
  <c r="P215" i="24"/>
  <c r="P196" i="24"/>
  <c r="P37" i="24"/>
  <c r="P208" i="24"/>
  <c r="AN66" i="25"/>
  <c r="P116" i="24"/>
  <c r="P45" i="24"/>
  <c r="P21" i="24"/>
  <c r="P158" i="24"/>
  <c r="AN110" i="25"/>
  <c r="P172" i="24"/>
  <c r="P174" i="24"/>
  <c r="P166" i="24"/>
  <c r="P148" i="24"/>
  <c r="AN194" i="25"/>
  <c r="AN200" i="25"/>
  <c r="AN23" i="25"/>
  <c r="P182" i="24"/>
  <c r="P76" i="24"/>
  <c r="P190" i="24"/>
  <c r="P117" i="24"/>
  <c r="P120" i="24"/>
  <c r="H143" i="15"/>
  <c r="P88" i="24"/>
  <c r="P132" i="24"/>
  <c r="P123" i="24"/>
  <c r="P118" i="24"/>
  <c r="P155" i="24"/>
  <c r="AN159" i="25"/>
  <c r="P68" i="24"/>
  <c r="P103" i="24"/>
  <c r="P188" i="24"/>
  <c r="P102" i="24"/>
  <c r="AN57" i="25"/>
  <c r="P195" i="24"/>
  <c r="P213" i="24"/>
  <c r="P29" i="24"/>
  <c r="K215" i="15"/>
  <c r="P61" i="24"/>
  <c r="AN105" i="25"/>
  <c r="I50" i="15"/>
  <c r="P204" i="24"/>
  <c r="P47" i="24"/>
  <c r="P85" i="24"/>
  <c r="AN206" i="25"/>
  <c r="H34" i="15"/>
  <c r="AN25" i="25"/>
  <c r="P191" i="24"/>
  <c r="P224" i="24"/>
  <c r="G94" i="15"/>
  <c r="P41" i="24"/>
  <c r="J99" i="15"/>
  <c r="P82" i="24"/>
  <c r="P89" i="24"/>
  <c r="P65" i="24"/>
  <c r="P70" i="24"/>
  <c r="P192" i="24"/>
  <c r="P62" i="24"/>
  <c r="AN161" i="25"/>
  <c r="P138" i="24"/>
  <c r="P206" i="24"/>
  <c r="P79" i="24"/>
  <c r="AN26" i="25"/>
  <c r="P17" i="24"/>
  <c r="AN108" i="25"/>
  <c r="P210" i="24"/>
  <c r="P24" i="24"/>
  <c r="P19" i="24"/>
  <c r="P12" i="24"/>
  <c r="AN196" i="25"/>
  <c r="E122" i="15"/>
  <c r="AN24" i="25"/>
  <c r="P216" i="24"/>
  <c r="P197" i="24"/>
  <c r="P23" i="24"/>
  <c r="P201" i="24"/>
  <c r="P81" i="24"/>
  <c r="P69" i="24"/>
  <c r="P72" i="24"/>
  <c r="P212" i="24"/>
  <c r="J114" i="15"/>
  <c r="P39" i="24"/>
  <c r="P57" i="24"/>
  <c r="AN146" i="25"/>
  <c r="P25" i="24"/>
  <c r="P125" i="24"/>
  <c r="P131" i="24"/>
  <c r="AN64" i="25"/>
  <c r="AN60" i="25"/>
  <c r="P87" i="24"/>
  <c r="AN106" i="25"/>
  <c r="P90" i="24"/>
  <c r="AN113" i="25"/>
  <c r="P59" i="24"/>
  <c r="P220" i="24"/>
  <c r="P58" i="24"/>
  <c r="K206" i="15"/>
  <c r="AN202" i="25"/>
  <c r="P48" i="24"/>
  <c r="AN22" i="25"/>
  <c r="E56" i="15"/>
  <c r="P77" i="24"/>
  <c r="P63" i="24"/>
  <c r="P162" i="24"/>
  <c r="G198" i="15"/>
  <c r="P156" i="24"/>
  <c r="P157" i="24"/>
  <c r="P152" i="24"/>
  <c r="P35" i="24"/>
  <c r="P128" i="24"/>
  <c r="P66" i="24"/>
  <c r="AN155" i="25"/>
  <c r="P173" i="24"/>
  <c r="F130" i="15"/>
  <c r="P177" i="24"/>
  <c r="AN65" i="25"/>
  <c r="AN58" i="25"/>
  <c r="E133" i="15"/>
  <c r="AN193" i="25"/>
  <c r="P100" i="24"/>
  <c r="AN116" i="25"/>
  <c r="P84" i="24"/>
  <c r="P159" i="24"/>
  <c r="P165" i="24"/>
  <c r="P194" i="24"/>
  <c r="AN191" i="25"/>
  <c r="P164" i="24"/>
  <c r="AN17" i="25"/>
  <c r="P126" i="24"/>
  <c r="P73" i="24"/>
  <c r="P67" i="24"/>
  <c r="P178" i="24"/>
  <c r="P144" i="24"/>
  <c r="P222" i="24"/>
  <c r="P86" i="24"/>
  <c r="P110" i="24"/>
  <c r="P163" i="24"/>
  <c r="P203" i="24"/>
  <c r="P161" i="24"/>
  <c r="AN160" i="25"/>
  <c r="P101" i="24"/>
  <c r="E110" i="15"/>
  <c r="P199" i="24"/>
  <c r="AN56" i="25"/>
  <c r="AN70" i="25"/>
  <c r="G25" i="15"/>
  <c r="E48" i="15"/>
  <c r="P40" i="24"/>
  <c r="AN109" i="25"/>
  <c r="P122" i="24"/>
  <c r="P181" i="24"/>
  <c r="P111" i="24"/>
  <c r="P32" i="24"/>
  <c r="AN198" i="25"/>
  <c r="P226" i="24"/>
  <c r="AN18" i="25"/>
  <c r="F202" i="15"/>
  <c r="P16" i="24"/>
  <c r="P56" i="24"/>
  <c r="P160" i="24"/>
  <c r="P149" i="24"/>
  <c r="P147" i="24"/>
  <c r="P13" i="24"/>
  <c r="P112" i="24"/>
  <c r="P150" i="24"/>
  <c r="P18" i="24"/>
  <c r="P78" i="24"/>
  <c r="AN156" i="25"/>
  <c r="P93" i="24"/>
  <c r="E55" i="15"/>
  <c r="P135" i="24"/>
  <c r="AN71" i="25"/>
  <c r="P121" i="24"/>
  <c r="J157" i="15"/>
  <c r="P176" i="24"/>
  <c r="P14" i="24"/>
  <c r="P64" i="24"/>
  <c r="AN115" i="25"/>
  <c r="P137" i="24"/>
  <c r="P74" i="24"/>
  <c r="P209" i="24"/>
  <c r="P33" i="24"/>
  <c r="AN199" i="25"/>
  <c r="AN12" i="25"/>
  <c r="AN20" i="25"/>
  <c r="P187" i="24"/>
  <c r="P136" i="24"/>
  <c r="P119" i="24"/>
  <c r="P193" i="24"/>
  <c r="P127" i="24"/>
  <c r="P109" i="24"/>
  <c r="P170" i="24"/>
  <c r="P91" i="24"/>
  <c r="P214" i="24"/>
  <c r="P42" i="24"/>
  <c r="AN147" i="25"/>
  <c r="AN150" i="25"/>
  <c r="P143" i="24"/>
  <c r="P217" i="24"/>
  <c r="P129" i="24"/>
  <c r="AN62" i="25"/>
  <c r="P43" i="24"/>
  <c r="P80" i="24"/>
  <c r="P106" i="24"/>
  <c r="P28" i="24"/>
  <c r="P31" i="24"/>
  <c r="P15" i="24"/>
  <c r="AN102" i="25"/>
  <c r="AN104" i="25"/>
  <c r="P167" i="24"/>
  <c r="P11" i="24"/>
  <c r="P169" i="24"/>
  <c r="P113" i="24"/>
  <c r="AN195" i="25"/>
  <c r="AN15" i="25"/>
  <c r="AN16" i="25"/>
  <c r="F84" i="15"/>
  <c r="P207" i="24"/>
  <c r="H172" i="15"/>
  <c r="P92" i="24"/>
  <c r="P211" i="24"/>
  <c r="P55" i="24"/>
  <c r="P189" i="24"/>
  <c r="P221" i="24"/>
  <c r="G106" i="15"/>
  <c r="J60" i="15"/>
  <c r="AN149" i="25"/>
  <c r="AN154" i="25"/>
  <c r="I189" i="15"/>
  <c r="P99" i="24"/>
  <c r="P219" i="24"/>
  <c r="AN61" i="25"/>
  <c r="J88" i="15"/>
  <c r="P83" i="24"/>
  <c r="AN14" i="25"/>
  <c r="P71" i="24"/>
  <c r="AN59" i="25"/>
  <c r="Q133" i="15" l="1"/>
  <c r="P133" i="15" s="1"/>
  <c r="O133" i="15" s="1"/>
  <c r="Q55" i="15"/>
  <c r="P55" i="15" s="1"/>
  <c r="O55" i="15" s="1"/>
  <c r="Q110" i="15"/>
  <c r="P110" i="15" s="1"/>
  <c r="O110" i="15" s="1"/>
  <c r="P114" i="15"/>
  <c r="Q219" i="15"/>
  <c r="P219" i="15" s="1"/>
  <c r="Q215" i="15"/>
  <c r="P99" i="15"/>
  <c r="Q57" i="15"/>
  <c r="P62" i="15"/>
  <c r="P225" i="15"/>
  <c r="Q56" i="15"/>
  <c r="P56" i="15" s="1"/>
  <c r="O56" i="15" s="1"/>
  <c r="Q122" i="15"/>
  <c r="P122" i="15" s="1"/>
  <c r="Q206" i="15"/>
  <c r="Q204" i="15"/>
  <c r="Q48" i="15"/>
  <c r="P48" i="15" s="1"/>
  <c r="O48" i="15" s="1"/>
  <c r="P74" i="29"/>
  <c r="X80" i="25"/>
  <c r="Q80" i="25"/>
  <c r="N80" i="15"/>
  <c r="Q63" i="29"/>
  <c r="Y69" i="25"/>
  <c r="R69" i="25"/>
  <c r="O69" i="15"/>
  <c r="Q186" i="29"/>
  <c r="Y192" i="25"/>
  <c r="R192" i="25"/>
  <c r="O192" i="15"/>
  <c r="W118" i="25"/>
  <c r="P118" i="25"/>
  <c r="O112" i="29"/>
  <c r="M118" i="15"/>
  <c r="O173" i="15"/>
  <c r="Q33" i="29"/>
  <c r="Y39" i="25"/>
  <c r="R39" i="25"/>
  <c r="O39" i="15"/>
  <c r="Q87" i="29"/>
  <c r="R93" i="25"/>
  <c r="Y93" i="25"/>
  <c r="O93" i="15"/>
  <c r="N77" i="29"/>
  <c r="V83" i="25"/>
  <c r="O83" i="25"/>
  <c r="L83" i="15"/>
  <c r="P150" i="29"/>
  <c r="X156" i="25"/>
  <c r="Q156" i="25"/>
  <c r="N156" i="15"/>
  <c r="Y177" i="25"/>
  <c r="R177" i="25"/>
  <c r="Q171" i="29"/>
  <c r="O177" i="15"/>
  <c r="P7" i="29"/>
  <c r="X13" i="25"/>
  <c r="Q13" i="25"/>
  <c r="N13" i="15"/>
  <c r="Y86" i="25"/>
  <c r="Q80" i="29"/>
  <c r="R86" i="25"/>
  <c r="O86" i="15"/>
  <c r="P137" i="29"/>
  <c r="X143" i="25"/>
  <c r="Q143" i="25"/>
  <c r="N143" i="15"/>
  <c r="O145" i="29"/>
  <c r="W151" i="25"/>
  <c r="P151" i="25"/>
  <c r="M151" i="15"/>
  <c r="P121" i="29"/>
  <c r="X127" i="25"/>
  <c r="Q127" i="25"/>
  <c r="N127" i="15"/>
  <c r="S45" i="25"/>
  <c r="R39" i="29"/>
  <c r="Z45" i="25"/>
  <c r="R24" i="29"/>
  <c r="S30" i="25"/>
  <c r="Z30" i="25"/>
  <c r="R77" i="29"/>
  <c r="Z83" i="25"/>
  <c r="S83" i="25"/>
  <c r="R141" i="29"/>
  <c r="Z147" i="25"/>
  <c r="S147" i="25"/>
  <c r="R145" i="29"/>
  <c r="S151" i="25"/>
  <c r="Z151" i="25"/>
  <c r="Y103" i="25"/>
  <c r="R103" i="25"/>
  <c r="Q97" i="29"/>
  <c r="O103" i="15"/>
  <c r="Q84" i="29"/>
  <c r="R90" i="25"/>
  <c r="Y90" i="25"/>
  <c r="O90" i="15"/>
  <c r="P60" i="15"/>
  <c r="P76" i="29"/>
  <c r="Q82" i="25"/>
  <c r="X82" i="25"/>
  <c r="N82" i="15"/>
  <c r="Q126" i="29"/>
  <c r="Y132" i="25"/>
  <c r="R132" i="25"/>
  <c r="O132" i="15"/>
  <c r="O129" i="29"/>
  <c r="W135" i="25"/>
  <c r="P135" i="25"/>
  <c r="M135" i="15"/>
  <c r="Q153" i="29"/>
  <c r="R159" i="25"/>
  <c r="Y159" i="25"/>
  <c r="O159" i="15"/>
  <c r="Q62" i="29"/>
  <c r="Y68" i="25"/>
  <c r="R68" i="25"/>
  <c r="O68" i="15"/>
  <c r="Q204" i="29"/>
  <c r="R210" i="25"/>
  <c r="Y210" i="25"/>
  <c r="O210" i="15"/>
  <c r="Q128" i="29"/>
  <c r="R134" i="25"/>
  <c r="Y134" i="25"/>
  <c r="O134" i="15"/>
  <c r="Q99" i="29"/>
  <c r="R105" i="25"/>
  <c r="Y105" i="25"/>
  <c r="O105" i="15"/>
  <c r="Q211" i="29"/>
  <c r="Y217" i="25"/>
  <c r="R217" i="25"/>
  <c r="O217" i="15"/>
  <c r="Q155" i="29"/>
  <c r="Y161" i="25"/>
  <c r="R161" i="25"/>
  <c r="O161" i="15"/>
  <c r="Q23" i="29"/>
  <c r="R29" i="25"/>
  <c r="Y29" i="25"/>
  <c r="O29" i="15"/>
  <c r="P159" i="29"/>
  <c r="Q165" i="25"/>
  <c r="X165" i="25"/>
  <c r="N165" i="15"/>
  <c r="P120" i="29"/>
  <c r="X126" i="25"/>
  <c r="Q126" i="25"/>
  <c r="N126" i="15"/>
  <c r="P157" i="15"/>
  <c r="Q170" i="29"/>
  <c r="R176" i="25"/>
  <c r="Y176" i="25"/>
  <c r="O176" i="15"/>
  <c r="Q212" i="29"/>
  <c r="Y218" i="25"/>
  <c r="R218" i="25"/>
  <c r="O218" i="15"/>
  <c r="P132" i="29"/>
  <c r="Q138" i="25"/>
  <c r="X138" i="25"/>
  <c r="N138" i="15"/>
  <c r="P193" i="29"/>
  <c r="X199" i="25"/>
  <c r="Q199" i="25"/>
  <c r="N199" i="15"/>
  <c r="P26" i="29"/>
  <c r="X32" i="25"/>
  <c r="Q32" i="25"/>
  <c r="N32" i="15"/>
  <c r="P83" i="29"/>
  <c r="X89" i="25"/>
  <c r="Q89" i="25"/>
  <c r="N89" i="15"/>
  <c r="X120" i="25"/>
  <c r="Q120" i="25"/>
  <c r="P114" i="29"/>
  <c r="N120" i="15"/>
  <c r="P71" i="29"/>
  <c r="X77" i="25"/>
  <c r="Q77" i="25"/>
  <c r="N77" i="15"/>
  <c r="P95" i="29"/>
  <c r="X101" i="25"/>
  <c r="Q101" i="25"/>
  <c r="N101" i="15"/>
  <c r="P102" i="29"/>
  <c r="Q108" i="25"/>
  <c r="X108" i="25"/>
  <c r="N108" i="15"/>
  <c r="P96" i="29"/>
  <c r="X102" i="25"/>
  <c r="Q102" i="25"/>
  <c r="N102" i="15"/>
  <c r="P124" i="29"/>
  <c r="Q130" i="25"/>
  <c r="X130" i="25"/>
  <c r="N130" i="15"/>
  <c r="X220" i="25"/>
  <c r="P214" i="29"/>
  <c r="Q220" i="25"/>
  <c r="N220" i="15"/>
  <c r="Q23" i="25"/>
  <c r="X23" i="25"/>
  <c r="P17" i="29"/>
  <c r="N23" i="15"/>
  <c r="P111" i="29"/>
  <c r="X117" i="25"/>
  <c r="Q117" i="25"/>
  <c r="N117" i="15"/>
  <c r="P58" i="29"/>
  <c r="Q64" i="25"/>
  <c r="X64" i="25"/>
  <c r="N64" i="15"/>
  <c r="Q137" i="29"/>
  <c r="R143" i="25"/>
  <c r="Y143" i="25"/>
  <c r="Q121" i="29"/>
  <c r="Y127" i="25"/>
  <c r="R127" i="25"/>
  <c r="Q167" i="29"/>
  <c r="R173" i="25"/>
  <c r="Y173" i="25"/>
  <c r="Q65" i="29"/>
  <c r="R71" i="25"/>
  <c r="Y71" i="25"/>
  <c r="O71" i="15"/>
  <c r="Q61" i="29"/>
  <c r="Y67" i="25"/>
  <c r="R67" i="25"/>
  <c r="O67" i="15"/>
  <c r="Q202" i="29"/>
  <c r="Y208" i="25"/>
  <c r="R208" i="25"/>
  <c r="O208" i="15"/>
  <c r="Y28" i="25"/>
  <c r="R28" i="25"/>
  <c r="Q22" i="29"/>
  <c r="O28" i="15"/>
  <c r="P75" i="29"/>
  <c r="X81" i="25"/>
  <c r="Q81" i="25"/>
  <c r="N81" i="15"/>
  <c r="Q182" i="29"/>
  <c r="Y188" i="25"/>
  <c r="R188" i="25"/>
  <c r="O188" i="15"/>
  <c r="Q43" i="29"/>
  <c r="R49" i="25"/>
  <c r="Y49" i="25"/>
  <c r="O49" i="15"/>
  <c r="O53" i="29"/>
  <c r="W59" i="25"/>
  <c r="P59" i="25"/>
  <c r="M59" i="15"/>
  <c r="W202" i="25"/>
  <c r="P202" i="25"/>
  <c r="O196" i="29"/>
  <c r="M202" i="15"/>
  <c r="O79" i="29"/>
  <c r="P85" i="25"/>
  <c r="W85" i="25"/>
  <c r="M85" i="15"/>
  <c r="P154" i="29"/>
  <c r="X160" i="25"/>
  <c r="Q160" i="25"/>
  <c r="N160" i="15"/>
  <c r="Q142" i="29"/>
  <c r="R148" i="25"/>
  <c r="Y148" i="25"/>
  <c r="O148" i="15"/>
  <c r="Q130" i="29"/>
  <c r="R136" i="25"/>
  <c r="Y136" i="25"/>
  <c r="O136" i="15"/>
  <c r="R61" i="25"/>
  <c r="Y61" i="25"/>
  <c r="Q55" i="29"/>
  <c r="O61" i="15"/>
  <c r="P148" i="29"/>
  <c r="Q154" i="25"/>
  <c r="X154" i="25"/>
  <c r="N154" i="15"/>
  <c r="P158" i="29"/>
  <c r="Q164" i="25"/>
  <c r="X164" i="25"/>
  <c r="N164" i="15"/>
  <c r="Q60" i="29"/>
  <c r="R66" i="25"/>
  <c r="Y66" i="25"/>
  <c r="O66" i="15"/>
  <c r="Q68" i="29"/>
  <c r="Y74" i="25"/>
  <c r="R74" i="25"/>
  <c r="O74" i="15"/>
  <c r="Q73" i="29"/>
  <c r="Y79" i="25"/>
  <c r="R79" i="25"/>
  <c r="O79" i="15"/>
  <c r="P146" i="29"/>
  <c r="X152" i="25"/>
  <c r="Q152" i="25"/>
  <c r="N152" i="15"/>
  <c r="P172" i="29"/>
  <c r="Q178" i="25"/>
  <c r="X178" i="25"/>
  <c r="N178" i="15"/>
  <c r="R137" i="29"/>
  <c r="S143" i="25"/>
  <c r="Z143" i="25"/>
  <c r="R121" i="29"/>
  <c r="S127" i="25"/>
  <c r="Z127" i="25"/>
  <c r="R167" i="29"/>
  <c r="S173" i="25"/>
  <c r="Z173" i="25"/>
  <c r="Q216" i="29"/>
  <c r="R222" i="25"/>
  <c r="Y222" i="25"/>
  <c r="O222" i="15"/>
  <c r="Q123" i="29"/>
  <c r="R129" i="25"/>
  <c r="Y129" i="25"/>
  <c r="O129" i="15"/>
  <c r="Q131" i="29"/>
  <c r="Y137" i="25"/>
  <c r="R137" i="25"/>
  <c r="O137" i="15"/>
  <c r="Q117" i="29"/>
  <c r="R123" i="25"/>
  <c r="Y123" i="25"/>
  <c r="O123" i="15"/>
  <c r="O43" i="15"/>
  <c r="P220" i="29"/>
  <c r="X226" i="25"/>
  <c r="Q226" i="25"/>
  <c r="N226" i="15"/>
  <c r="P147" i="29"/>
  <c r="Q153" i="25"/>
  <c r="X153" i="25"/>
  <c r="N153" i="15"/>
  <c r="Q15" i="29"/>
  <c r="Y21" i="25"/>
  <c r="R21" i="25"/>
  <c r="O21" i="15"/>
  <c r="Q100" i="29"/>
  <c r="R106" i="25"/>
  <c r="Y106" i="25"/>
  <c r="O106" i="15"/>
  <c r="Q169" i="29"/>
  <c r="Y175" i="25"/>
  <c r="R175" i="25"/>
  <c r="O175" i="15"/>
  <c r="Q185" i="29"/>
  <c r="R191" i="25"/>
  <c r="Y191" i="25"/>
  <c r="O191" i="15"/>
  <c r="Q67" i="29"/>
  <c r="R73" i="25"/>
  <c r="Y73" i="25"/>
  <c r="O73" i="15"/>
  <c r="P64" i="29"/>
  <c r="X70" i="25"/>
  <c r="Q70" i="25"/>
  <c r="N70" i="15"/>
  <c r="P165" i="29"/>
  <c r="Q171" i="25"/>
  <c r="X171" i="25"/>
  <c r="N171" i="15"/>
  <c r="P81" i="29"/>
  <c r="Q87" i="25"/>
  <c r="X87" i="25"/>
  <c r="N87" i="15"/>
  <c r="P6" i="29"/>
  <c r="X12" i="25"/>
  <c r="Q12" i="25"/>
  <c r="N12" i="15"/>
  <c r="P78" i="29"/>
  <c r="Q84" i="25"/>
  <c r="X84" i="25"/>
  <c r="N84" i="15"/>
  <c r="P21" i="29"/>
  <c r="X27" i="25"/>
  <c r="Q27" i="25"/>
  <c r="N27" i="15"/>
  <c r="X170" i="25"/>
  <c r="Q170" i="25"/>
  <c r="P164" i="29"/>
  <c r="N170" i="15"/>
  <c r="P110" i="29"/>
  <c r="X116" i="25"/>
  <c r="Q116" i="25"/>
  <c r="N116" i="15"/>
  <c r="P139" i="29"/>
  <c r="Q145" i="25"/>
  <c r="X145" i="25"/>
  <c r="N145" i="15"/>
  <c r="P217" i="29"/>
  <c r="X223" i="25"/>
  <c r="Q223" i="25"/>
  <c r="N223" i="15"/>
  <c r="P57" i="29"/>
  <c r="Q63" i="25"/>
  <c r="X63" i="25"/>
  <c r="N63" i="15"/>
  <c r="O203" i="29"/>
  <c r="P209" i="25"/>
  <c r="W209" i="25"/>
  <c r="M209" i="15"/>
  <c r="P174" i="29"/>
  <c r="Q180" i="25"/>
  <c r="X180" i="25"/>
  <c r="N180" i="15"/>
  <c r="P175" i="29"/>
  <c r="Q181" i="25"/>
  <c r="X181" i="25"/>
  <c r="N181" i="15"/>
  <c r="P77" i="29"/>
  <c r="Q83" i="25"/>
  <c r="X83" i="25"/>
  <c r="Z39" i="25"/>
  <c r="R33" i="29"/>
  <c r="S39" i="25"/>
  <c r="R186" i="29"/>
  <c r="Z192" i="25"/>
  <c r="S192" i="25"/>
  <c r="R63" i="29"/>
  <c r="Z69" i="25"/>
  <c r="S69" i="25"/>
  <c r="Q112" i="29"/>
  <c r="R118" i="25"/>
  <c r="Y118" i="25"/>
  <c r="R87" i="29"/>
  <c r="S93" i="25"/>
  <c r="Z93" i="25"/>
  <c r="R171" i="29"/>
  <c r="S177" i="25"/>
  <c r="Z177" i="25"/>
  <c r="R80" i="29"/>
  <c r="S86" i="25"/>
  <c r="Z86" i="25"/>
  <c r="Q138" i="29"/>
  <c r="R144" i="25"/>
  <c r="Y144" i="25"/>
  <c r="O144" i="15"/>
  <c r="P143" i="29"/>
  <c r="Q149" i="25"/>
  <c r="X149" i="25"/>
  <c r="N149" i="15"/>
  <c r="Q28" i="29"/>
  <c r="R34" i="25"/>
  <c r="Y34" i="25"/>
  <c r="O34" i="15"/>
  <c r="P190" i="29"/>
  <c r="Q196" i="25"/>
  <c r="X196" i="25"/>
  <c r="N196" i="15"/>
  <c r="P66" i="29"/>
  <c r="X72" i="25"/>
  <c r="Q72" i="25"/>
  <c r="N72" i="15"/>
  <c r="Q30" i="29"/>
  <c r="R36" i="25"/>
  <c r="Y36" i="25"/>
  <c r="O36" i="15"/>
  <c r="Q199" i="29"/>
  <c r="R205" i="25"/>
  <c r="Y205" i="25"/>
  <c r="O205" i="15"/>
  <c r="P157" i="29"/>
  <c r="Q163" i="25"/>
  <c r="X163" i="25"/>
  <c r="N163" i="15"/>
  <c r="Q191" i="29"/>
  <c r="R197" i="25"/>
  <c r="Y197" i="25"/>
  <c r="O197" i="15"/>
  <c r="P156" i="29"/>
  <c r="X162" i="25"/>
  <c r="Q162" i="25"/>
  <c r="N162" i="15"/>
  <c r="P12" i="29"/>
  <c r="Q18" i="25"/>
  <c r="X18" i="25"/>
  <c r="N18" i="15"/>
  <c r="Q16" i="29"/>
  <c r="R22" i="25"/>
  <c r="Y22" i="25"/>
  <c r="O22" i="15"/>
  <c r="Q11" i="29"/>
  <c r="R17" i="25"/>
  <c r="Y17" i="25"/>
  <c r="O17" i="15"/>
  <c r="Q218" i="29"/>
  <c r="Y224" i="25"/>
  <c r="R224" i="25"/>
  <c r="O224" i="15"/>
  <c r="P34" i="29"/>
  <c r="Q40" i="25"/>
  <c r="X40" i="25"/>
  <c r="N40" i="15"/>
  <c r="N193" i="15"/>
  <c r="P140" i="29"/>
  <c r="Q146" i="25"/>
  <c r="X146" i="25"/>
  <c r="N146" i="15"/>
  <c r="Q39" i="29"/>
  <c r="R45" i="25"/>
  <c r="Y45" i="25"/>
  <c r="Q24" i="29"/>
  <c r="R30" i="25"/>
  <c r="Y30" i="25"/>
  <c r="O77" i="29"/>
  <c r="W83" i="25"/>
  <c r="P83" i="25"/>
  <c r="Q74" i="29"/>
  <c r="Y80" i="25"/>
  <c r="R80" i="25"/>
  <c r="Q150" i="29"/>
  <c r="Y156" i="25"/>
  <c r="R156" i="25"/>
  <c r="Q118" i="25"/>
  <c r="X118" i="25"/>
  <c r="P112" i="29"/>
  <c r="Q141" i="29"/>
  <c r="R147" i="25"/>
  <c r="Y147" i="25"/>
  <c r="Q7" i="29"/>
  <c r="R13" i="25"/>
  <c r="Y13" i="25"/>
  <c r="Q151" i="25"/>
  <c r="P145" i="29"/>
  <c r="X151" i="25"/>
  <c r="Q32" i="29"/>
  <c r="R38" i="25"/>
  <c r="Y38" i="25"/>
  <c r="O38" i="15"/>
  <c r="Q207" i="29"/>
  <c r="R213" i="25"/>
  <c r="Y213" i="25"/>
  <c r="O213" i="15"/>
  <c r="O150" i="15"/>
  <c r="R150" i="25"/>
  <c r="Y150" i="25"/>
  <c r="Q144" i="29"/>
  <c r="P194" i="29"/>
  <c r="X200" i="25"/>
  <c r="Q200" i="25"/>
  <c r="N200" i="15"/>
  <c r="O41" i="29"/>
  <c r="P47" i="25"/>
  <c r="W47" i="25"/>
  <c r="M47" i="15"/>
  <c r="Q115" i="29"/>
  <c r="Y121" i="25"/>
  <c r="R121" i="25"/>
  <c r="O121" i="15"/>
  <c r="O168" i="29"/>
  <c r="P174" i="25"/>
  <c r="W174" i="25"/>
  <c r="M174" i="15"/>
  <c r="O208" i="29"/>
  <c r="P214" i="25"/>
  <c r="W214" i="25"/>
  <c r="M214" i="15"/>
  <c r="O70" i="29"/>
  <c r="W76" i="25"/>
  <c r="P76" i="25"/>
  <c r="M76" i="15"/>
  <c r="Y131" i="25"/>
  <c r="R131" i="25"/>
  <c r="Q125" i="29"/>
  <c r="O131" i="15"/>
  <c r="Q201" i="29"/>
  <c r="R207" i="25"/>
  <c r="Y207" i="25"/>
  <c r="O207" i="15"/>
  <c r="Q103" i="29"/>
  <c r="Y109" i="25"/>
  <c r="R109" i="25"/>
  <c r="O109" i="15"/>
  <c r="Y172" i="25"/>
  <c r="Q166" i="29"/>
  <c r="R172" i="25"/>
  <c r="O172" i="15"/>
  <c r="R19" i="25"/>
  <c r="Y19" i="25"/>
  <c r="Q13" i="29"/>
  <c r="O19" i="15"/>
  <c r="P86" i="29"/>
  <c r="X92" i="25"/>
  <c r="Q92" i="25"/>
  <c r="N92" i="15"/>
  <c r="P195" i="29"/>
  <c r="Q201" i="25"/>
  <c r="X201" i="25"/>
  <c r="N201" i="15"/>
  <c r="Q163" i="29"/>
  <c r="Y169" i="25"/>
  <c r="R169" i="25"/>
  <c r="O169" i="15"/>
  <c r="Q5" i="29"/>
  <c r="Y11" i="25"/>
  <c r="R11" i="25"/>
  <c r="O11" i="15"/>
  <c r="Q119" i="29"/>
  <c r="R125" i="25"/>
  <c r="Y125" i="25"/>
  <c r="O125" i="15"/>
  <c r="P27" i="29"/>
  <c r="X33" i="25"/>
  <c r="Q33" i="25"/>
  <c r="N33" i="15"/>
  <c r="P206" i="29"/>
  <c r="Q212" i="25"/>
  <c r="X212" i="25"/>
  <c r="N212" i="15"/>
  <c r="P9" i="29"/>
  <c r="Q15" i="25"/>
  <c r="X15" i="25"/>
  <c r="N15" i="15"/>
  <c r="P105" i="29"/>
  <c r="X111" i="25"/>
  <c r="Q111" i="25"/>
  <c r="N111" i="15"/>
  <c r="P113" i="29"/>
  <c r="Q119" i="25"/>
  <c r="X119" i="25"/>
  <c r="N119" i="15"/>
  <c r="P173" i="29"/>
  <c r="X179" i="25"/>
  <c r="Q179" i="25"/>
  <c r="N179" i="15"/>
  <c r="P192" i="29"/>
  <c r="Q198" i="25"/>
  <c r="X198" i="25"/>
  <c r="N198" i="15"/>
  <c r="P118" i="29"/>
  <c r="Q124" i="25"/>
  <c r="X124" i="25"/>
  <c r="N124" i="15"/>
  <c r="P59" i="29"/>
  <c r="Q65" i="25"/>
  <c r="X65" i="25"/>
  <c r="N65" i="15"/>
  <c r="P38" i="29"/>
  <c r="Q44" i="25"/>
  <c r="X44" i="25"/>
  <c r="N44" i="15"/>
  <c r="P18" i="29"/>
  <c r="X24" i="25"/>
  <c r="Q24" i="25"/>
  <c r="N24" i="15"/>
  <c r="P35" i="29"/>
  <c r="X41" i="25"/>
  <c r="Q41" i="25"/>
  <c r="N41" i="15"/>
  <c r="P188" i="29"/>
  <c r="X194" i="25"/>
  <c r="Q194" i="25"/>
  <c r="N194" i="15"/>
  <c r="P176" i="29"/>
  <c r="X182" i="25"/>
  <c r="Q182" i="25"/>
  <c r="N182" i="15"/>
  <c r="O45" i="15"/>
  <c r="O30" i="15"/>
  <c r="Q77" i="29"/>
  <c r="Y83" i="25"/>
  <c r="R83" i="25"/>
  <c r="R74" i="29"/>
  <c r="Z80" i="25"/>
  <c r="S80" i="25"/>
  <c r="R150" i="29"/>
  <c r="S156" i="25"/>
  <c r="Z156" i="25"/>
  <c r="R112" i="29"/>
  <c r="Z118" i="25"/>
  <c r="S118" i="25"/>
  <c r="O147" i="15"/>
  <c r="R7" i="29"/>
  <c r="Z13" i="25"/>
  <c r="S13" i="25"/>
  <c r="R151" i="25"/>
  <c r="Q145" i="29"/>
  <c r="Y151" i="25"/>
  <c r="R100" i="25"/>
  <c r="Y100" i="25"/>
  <c r="Q94" i="29"/>
  <c r="O100" i="15"/>
  <c r="P88" i="15"/>
  <c r="Q85" i="29"/>
  <c r="R91" i="25"/>
  <c r="Y91" i="25"/>
  <c r="O91" i="15"/>
  <c r="O189" i="15"/>
  <c r="Q29" i="29"/>
  <c r="Y35" i="25"/>
  <c r="R35" i="25"/>
  <c r="O35" i="15"/>
  <c r="O50" i="15"/>
  <c r="Q31" i="29"/>
  <c r="R37" i="25"/>
  <c r="Y37" i="25"/>
  <c r="O37" i="15"/>
  <c r="R75" i="25"/>
  <c r="Y75" i="25"/>
  <c r="Q69" i="29"/>
  <c r="O75" i="15"/>
  <c r="Q72" i="29"/>
  <c r="R78" i="25"/>
  <c r="Y78" i="25"/>
  <c r="O78" i="15"/>
  <c r="Q205" i="29"/>
  <c r="Y211" i="25"/>
  <c r="R211" i="25"/>
  <c r="O211" i="15"/>
  <c r="Q36" i="29"/>
  <c r="Y42" i="25"/>
  <c r="R42" i="25"/>
  <c r="O42" i="15"/>
  <c r="Q160" i="29"/>
  <c r="Y166" i="25"/>
  <c r="R166" i="25"/>
  <c r="O166" i="15"/>
  <c r="O197" i="29"/>
  <c r="W203" i="25"/>
  <c r="P203" i="25"/>
  <c r="M203" i="15"/>
  <c r="P109" i="29"/>
  <c r="Q115" i="25"/>
  <c r="X115" i="25"/>
  <c r="N115" i="15"/>
  <c r="P101" i="29"/>
  <c r="Q107" i="25"/>
  <c r="X107" i="25"/>
  <c r="N107" i="15"/>
  <c r="Y16" i="25"/>
  <c r="R16" i="25"/>
  <c r="Q10" i="29"/>
  <c r="O16" i="15"/>
  <c r="Q210" i="29"/>
  <c r="Y216" i="25"/>
  <c r="R216" i="25"/>
  <c r="O216" i="15"/>
  <c r="P106" i="29"/>
  <c r="Q112" i="25"/>
  <c r="X112" i="25"/>
  <c r="N112" i="15"/>
  <c r="P25" i="29"/>
  <c r="Q31" i="25"/>
  <c r="X31" i="25"/>
  <c r="N31" i="15"/>
  <c r="Q167" i="25"/>
  <c r="P161" i="29"/>
  <c r="X167" i="25"/>
  <c r="N167" i="15"/>
  <c r="R152" i="29"/>
  <c r="S158" i="25"/>
  <c r="Z158" i="25"/>
  <c r="R129" i="29"/>
  <c r="Z135" i="25"/>
  <c r="S135" i="25"/>
  <c r="R41" i="29"/>
  <c r="S47" i="25"/>
  <c r="Z47" i="25"/>
  <c r="Y128" i="25"/>
  <c r="R128" i="25"/>
  <c r="Q122" i="29"/>
  <c r="Q189" i="29"/>
  <c r="R195" i="25"/>
  <c r="Y195" i="25"/>
  <c r="Q88" i="29"/>
  <c r="R94" i="25"/>
  <c r="Y94" i="25"/>
  <c r="Y168" i="25"/>
  <c r="Q162" i="29"/>
  <c r="R168" i="25"/>
  <c r="Q8" i="29"/>
  <c r="R14" i="25"/>
  <c r="Y14" i="25"/>
  <c r="Q19" i="29"/>
  <c r="R25" i="25"/>
  <c r="Y25" i="25"/>
  <c r="Q14" i="29"/>
  <c r="R20" i="25"/>
  <c r="Y20" i="25"/>
  <c r="Q181" i="29"/>
  <c r="R187" i="25"/>
  <c r="Y187" i="25"/>
  <c r="Q40" i="29"/>
  <c r="Y46" i="25"/>
  <c r="R46" i="25"/>
  <c r="R107" i="29"/>
  <c r="S113" i="25"/>
  <c r="Z113" i="25"/>
  <c r="R52" i="29"/>
  <c r="Z58" i="25"/>
  <c r="S58" i="25"/>
  <c r="R168" i="29"/>
  <c r="Z174" i="25"/>
  <c r="S174" i="25"/>
  <c r="R53" i="29"/>
  <c r="S59" i="25"/>
  <c r="Z59" i="25"/>
  <c r="R208" i="29"/>
  <c r="S214" i="25"/>
  <c r="Z214" i="25"/>
  <c r="R196" i="29"/>
  <c r="S202" i="25"/>
  <c r="Z202" i="25"/>
  <c r="R70" i="29"/>
  <c r="Z76" i="25"/>
  <c r="S76" i="25"/>
  <c r="R79" i="29"/>
  <c r="Z85" i="25"/>
  <c r="S85" i="25"/>
  <c r="R104" i="25"/>
  <c r="Y104" i="25"/>
  <c r="Q98" i="29"/>
  <c r="R184" i="29"/>
  <c r="S190" i="25"/>
  <c r="Z190" i="25"/>
  <c r="R144" i="29"/>
  <c r="Z150" i="25"/>
  <c r="S150" i="25"/>
  <c r="R202" i="29"/>
  <c r="Z208" i="25"/>
  <c r="S208" i="25"/>
  <c r="R22" i="29"/>
  <c r="Z28" i="25"/>
  <c r="S28" i="25"/>
  <c r="R126" i="29"/>
  <c r="S132" i="25"/>
  <c r="Z132" i="25"/>
  <c r="R122" i="29"/>
  <c r="S128" i="25"/>
  <c r="Z128" i="25"/>
  <c r="R149" i="29"/>
  <c r="S155" i="25"/>
  <c r="Z155" i="25"/>
  <c r="R189" i="29"/>
  <c r="S195" i="25"/>
  <c r="Z195" i="25"/>
  <c r="R88" i="29"/>
  <c r="Z94" i="25"/>
  <c r="S94" i="25"/>
  <c r="R162" i="29"/>
  <c r="Z168" i="25"/>
  <c r="S168" i="25"/>
  <c r="R8" i="29"/>
  <c r="S14" i="25"/>
  <c r="Z14" i="25"/>
  <c r="R19" i="29"/>
  <c r="S25" i="25"/>
  <c r="Z25" i="25"/>
  <c r="R14" i="29"/>
  <c r="S20" i="25"/>
  <c r="Z20" i="25"/>
  <c r="R181" i="29"/>
  <c r="S187" i="25"/>
  <c r="Z187" i="25"/>
  <c r="R40" i="29"/>
  <c r="S46" i="25"/>
  <c r="Z46" i="25"/>
  <c r="R23" i="29"/>
  <c r="Z29" i="25"/>
  <c r="S29" i="25"/>
  <c r="R98" i="29"/>
  <c r="S104" i="25"/>
  <c r="Z104" i="25"/>
  <c r="R67" i="29"/>
  <c r="Z73" i="25"/>
  <c r="S73" i="25"/>
  <c r="R218" i="29"/>
  <c r="Z224" i="25"/>
  <c r="S224" i="25"/>
  <c r="Q20" i="29"/>
  <c r="Y26" i="25"/>
  <c r="R26" i="25"/>
  <c r="Q143" i="29"/>
  <c r="Y149" i="25"/>
  <c r="R149" i="25"/>
  <c r="R207" i="29"/>
  <c r="S213" i="25"/>
  <c r="Z213" i="25"/>
  <c r="R82" i="29"/>
  <c r="Z88" i="25"/>
  <c r="S88" i="25"/>
  <c r="R54" i="29"/>
  <c r="S60" i="25"/>
  <c r="Z60" i="25"/>
  <c r="R61" i="29"/>
  <c r="S67" i="25"/>
  <c r="Z67" i="25"/>
  <c r="R200" i="25"/>
  <c r="Y200" i="25"/>
  <c r="Q194" i="29"/>
  <c r="Q76" i="29"/>
  <c r="R82" i="25"/>
  <c r="Y82" i="25"/>
  <c r="R153" i="29"/>
  <c r="Z159" i="25"/>
  <c r="S159" i="25"/>
  <c r="Z210" i="25"/>
  <c r="R204" i="29"/>
  <c r="S210" i="25"/>
  <c r="R43" i="29"/>
  <c r="Z49" i="25"/>
  <c r="S49" i="25"/>
  <c r="R123" i="29"/>
  <c r="Z129" i="25"/>
  <c r="S129" i="25"/>
  <c r="R157" i="29"/>
  <c r="Z163" i="25"/>
  <c r="S163" i="25"/>
  <c r="R13" i="29"/>
  <c r="S19" i="25"/>
  <c r="Z19" i="25"/>
  <c r="R160" i="29"/>
  <c r="Z166" i="25"/>
  <c r="S166" i="25"/>
  <c r="R155" i="29"/>
  <c r="S161" i="25"/>
  <c r="Z161" i="25"/>
  <c r="R119" i="29"/>
  <c r="Z125" i="25"/>
  <c r="S125" i="25"/>
  <c r="R210" i="29"/>
  <c r="Z216" i="25"/>
  <c r="S216" i="25"/>
  <c r="R212" i="29"/>
  <c r="Z218" i="25"/>
  <c r="S218" i="25"/>
  <c r="R73" i="29"/>
  <c r="Z79" i="25"/>
  <c r="S79" i="25"/>
  <c r="R185" i="29"/>
  <c r="Z191" i="25"/>
  <c r="S191" i="25"/>
  <c r="O26" i="15"/>
  <c r="R143" i="29"/>
  <c r="S149" i="25"/>
  <c r="Z149" i="25"/>
  <c r="R28" i="29"/>
  <c r="Z34" i="25"/>
  <c r="S34" i="25"/>
  <c r="R194" i="29"/>
  <c r="S200" i="25"/>
  <c r="Z200" i="25"/>
  <c r="R76" i="29"/>
  <c r="Z82" i="25"/>
  <c r="S82" i="25"/>
  <c r="R72" i="29"/>
  <c r="S78" i="25"/>
  <c r="Z78" i="25"/>
  <c r="R99" i="29"/>
  <c r="Z105" i="25"/>
  <c r="S105" i="25"/>
  <c r="R130" i="29"/>
  <c r="S136" i="25"/>
  <c r="Z136" i="25"/>
  <c r="R163" i="25"/>
  <c r="Q157" i="29"/>
  <c r="Y163" i="25"/>
  <c r="S109" i="25"/>
  <c r="R103" i="29"/>
  <c r="Z109" i="25"/>
  <c r="R205" i="29"/>
  <c r="S211" i="25"/>
  <c r="Z211" i="25"/>
  <c r="R211" i="29"/>
  <c r="Z217" i="25"/>
  <c r="S217" i="25"/>
  <c r="R55" i="29"/>
  <c r="S61" i="25"/>
  <c r="Z61" i="25"/>
  <c r="Z123" i="25"/>
  <c r="R117" i="29"/>
  <c r="S123" i="25"/>
  <c r="S197" i="25"/>
  <c r="R191" i="29"/>
  <c r="Z197" i="25"/>
  <c r="R166" i="29"/>
  <c r="Z172" i="25"/>
  <c r="S172" i="25"/>
  <c r="R36" i="29"/>
  <c r="S42" i="25"/>
  <c r="Z42" i="25"/>
  <c r="Q197" i="29"/>
  <c r="R203" i="25"/>
  <c r="Y203" i="25"/>
  <c r="R100" i="29"/>
  <c r="S106" i="25"/>
  <c r="Z106" i="25"/>
  <c r="R16" i="29"/>
  <c r="S22" i="25"/>
  <c r="Z22" i="25"/>
  <c r="R163" i="29"/>
  <c r="S169" i="25"/>
  <c r="Z169" i="25"/>
  <c r="R10" i="29"/>
  <c r="Z16" i="25"/>
  <c r="S16" i="25"/>
  <c r="R170" i="29"/>
  <c r="Z176" i="25"/>
  <c r="S176" i="25"/>
  <c r="R68" i="29"/>
  <c r="S74" i="25"/>
  <c r="Z74" i="25"/>
  <c r="R169" i="29"/>
  <c r="S175" i="25"/>
  <c r="Z175" i="25"/>
  <c r="R11" i="29"/>
  <c r="Z17" i="25"/>
  <c r="S17" i="25"/>
  <c r="R5" i="29"/>
  <c r="Z11" i="25"/>
  <c r="S11" i="25"/>
  <c r="Q187" i="29"/>
  <c r="Y193" i="25"/>
  <c r="R193" i="25"/>
  <c r="Q203" i="29"/>
  <c r="R209" i="25"/>
  <c r="Y209" i="25"/>
  <c r="R94" i="29"/>
  <c r="S100" i="25"/>
  <c r="Z100" i="25"/>
  <c r="R97" i="29"/>
  <c r="S103" i="25"/>
  <c r="Z103" i="25"/>
  <c r="R65" i="29"/>
  <c r="S71" i="25"/>
  <c r="Z71" i="25"/>
  <c r="R216" i="29"/>
  <c r="S222" i="25"/>
  <c r="Z222" i="25"/>
  <c r="R138" i="29"/>
  <c r="S144" i="25"/>
  <c r="Z144" i="25"/>
  <c r="Z26" i="25"/>
  <c r="R20" i="29"/>
  <c r="S26" i="25"/>
  <c r="R85" i="29"/>
  <c r="Z91" i="25"/>
  <c r="S91" i="25"/>
  <c r="P129" i="29"/>
  <c r="X135" i="25"/>
  <c r="Q135" i="25"/>
  <c r="Q190" i="29"/>
  <c r="Y196" i="25"/>
  <c r="R196" i="25"/>
  <c r="Q183" i="29"/>
  <c r="R189" i="25"/>
  <c r="Y189" i="25"/>
  <c r="Q75" i="29"/>
  <c r="R81" i="25"/>
  <c r="Y81" i="25"/>
  <c r="P41" i="29"/>
  <c r="Q47" i="25"/>
  <c r="X47" i="25"/>
  <c r="R115" i="29"/>
  <c r="Z121" i="25"/>
  <c r="S121" i="25"/>
  <c r="R29" i="29"/>
  <c r="S35" i="25"/>
  <c r="Z35" i="25"/>
  <c r="R62" i="29"/>
  <c r="S68" i="25"/>
  <c r="Z68" i="25"/>
  <c r="R182" i="29"/>
  <c r="Z188" i="25"/>
  <c r="S188" i="25"/>
  <c r="P168" i="29"/>
  <c r="Q174" i="25"/>
  <c r="X174" i="25"/>
  <c r="P53" i="29"/>
  <c r="X59" i="25"/>
  <c r="Q59" i="25"/>
  <c r="P208" i="29"/>
  <c r="X214" i="25"/>
  <c r="Q214" i="25"/>
  <c r="X202" i="25"/>
  <c r="Q202" i="25"/>
  <c r="P196" i="29"/>
  <c r="P70" i="29"/>
  <c r="X76" i="25"/>
  <c r="Q76" i="25"/>
  <c r="P79" i="29"/>
  <c r="Q85" i="25"/>
  <c r="X85" i="25"/>
  <c r="Q66" i="29"/>
  <c r="R72" i="25"/>
  <c r="Y72" i="25"/>
  <c r="Q44" i="29"/>
  <c r="Y50" i="25"/>
  <c r="R50" i="25"/>
  <c r="Y160" i="25"/>
  <c r="R160" i="25"/>
  <c r="Q154" i="29"/>
  <c r="R30" i="29"/>
  <c r="Z36" i="25"/>
  <c r="S36" i="25"/>
  <c r="R125" i="29"/>
  <c r="S131" i="25"/>
  <c r="Z131" i="25"/>
  <c r="R31" i="29"/>
  <c r="S37" i="25"/>
  <c r="Z37" i="25"/>
  <c r="R128" i="29"/>
  <c r="S134" i="25"/>
  <c r="Z134" i="25"/>
  <c r="R142" i="29"/>
  <c r="S148" i="25"/>
  <c r="Z148" i="25"/>
  <c r="R131" i="29"/>
  <c r="Z137" i="25"/>
  <c r="S137" i="25"/>
  <c r="R199" i="29"/>
  <c r="Z205" i="25"/>
  <c r="S205" i="25"/>
  <c r="R201" i="29"/>
  <c r="S207" i="25"/>
  <c r="Z207" i="25"/>
  <c r="R69" i="29"/>
  <c r="Z75" i="25"/>
  <c r="S75" i="25"/>
  <c r="Y43" i="25"/>
  <c r="R43" i="25"/>
  <c r="Q37" i="29"/>
  <c r="Q86" i="29"/>
  <c r="Y92" i="25"/>
  <c r="R92" i="25"/>
  <c r="Q159" i="29"/>
  <c r="Y165" i="25"/>
  <c r="R165" i="25"/>
  <c r="R226" i="25"/>
  <c r="Y226" i="25"/>
  <c r="Q220" i="29"/>
  <c r="Q195" i="29"/>
  <c r="Y201" i="25"/>
  <c r="R201" i="25"/>
  <c r="R126" i="25"/>
  <c r="Y126" i="25"/>
  <c r="Q120" i="29"/>
  <c r="Q147" i="29"/>
  <c r="Y153" i="25"/>
  <c r="R153" i="25"/>
  <c r="P197" i="29"/>
  <c r="X203" i="25"/>
  <c r="Q203" i="25"/>
  <c r="Q148" i="29"/>
  <c r="Y154" i="25"/>
  <c r="R154" i="25"/>
  <c r="Q156" i="29"/>
  <c r="Y162" i="25"/>
  <c r="R162" i="25"/>
  <c r="Q109" i="29"/>
  <c r="Y115" i="25"/>
  <c r="R115" i="25"/>
  <c r="Q158" i="29"/>
  <c r="R164" i="25"/>
  <c r="Y164" i="25"/>
  <c r="Q12" i="29"/>
  <c r="Y18" i="25"/>
  <c r="R18" i="25"/>
  <c r="Q101" i="29"/>
  <c r="Y107" i="25"/>
  <c r="R107" i="25"/>
  <c r="R151" i="29"/>
  <c r="S157" i="25"/>
  <c r="Z157" i="25"/>
  <c r="R60" i="29"/>
  <c r="S66" i="25"/>
  <c r="Z66" i="25"/>
  <c r="R15" i="29"/>
  <c r="S21" i="25"/>
  <c r="Z21" i="25"/>
  <c r="Y70" i="25"/>
  <c r="Q64" i="29"/>
  <c r="R70" i="25"/>
  <c r="Q27" i="29"/>
  <c r="R33" i="25"/>
  <c r="Y33" i="25"/>
  <c r="Q132" i="29"/>
  <c r="R138" i="25"/>
  <c r="Y138" i="25"/>
  <c r="Q165" i="29"/>
  <c r="R171" i="25"/>
  <c r="Y171" i="25"/>
  <c r="Q206" i="29"/>
  <c r="Y212" i="25"/>
  <c r="R212" i="25"/>
  <c r="Q193" i="29"/>
  <c r="R199" i="25"/>
  <c r="Y199" i="25"/>
  <c r="Q81" i="29"/>
  <c r="R87" i="25"/>
  <c r="Y87" i="25"/>
  <c r="Q9" i="29"/>
  <c r="Y15" i="25"/>
  <c r="R15" i="25"/>
  <c r="Q26" i="29"/>
  <c r="Y32" i="25"/>
  <c r="R32" i="25"/>
  <c r="Y12" i="25"/>
  <c r="R12" i="25"/>
  <c r="Q6" i="29"/>
  <c r="Q105" i="29"/>
  <c r="R111" i="25"/>
  <c r="Y111" i="25"/>
  <c r="Q83" i="29"/>
  <c r="R89" i="25"/>
  <c r="Y89" i="25"/>
  <c r="R84" i="25"/>
  <c r="Y84" i="25"/>
  <c r="Q78" i="29"/>
  <c r="Q113" i="29"/>
  <c r="Y119" i="25"/>
  <c r="R119" i="25"/>
  <c r="Q114" i="29"/>
  <c r="Y120" i="25"/>
  <c r="R120" i="25"/>
  <c r="Q21" i="29"/>
  <c r="R27" i="25"/>
  <c r="Y27" i="25"/>
  <c r="R77" i="25"/>
  <c r="Y77" i="25"/>
  <c r="Q71" i="29"/>
  <c r="Y170" i="25"/>
  <c r="R170" i="25"/>
  <c r="Q164" i="29"/>
  <c r="Q173" i="29"/>
  <c r="Y179" i="25"/>
  <c r="R179" i="25"/>
  <c r="Q95" i="29"/>
  <c r="R101" i="25"/>
  <c r="Y101" i="25"/>
  <c r="Q110" i="29"/>
  <c r="R116" i="25"/>
  <c r="Y116" i="25"/>
  <c r="Q192" i="29"/>
  <c r="R198" i="25"/>
  <c r="Y198" i="25"/>
  <c r="Y108" i="25"/>
  <c r="Q102" i="29"/>
  <c r="R108" i="25"/>
  <c r="Q139" i="29"/>
  <c r="Y145" i="25"/>
  <c r="R145" i="25"/>
  <c r="R124" i="25"/>
  <c r="Y124" i="25"/>
  <c r="Q118" i="29"/>
  <c r="Q96" i="29"/>
  <c r="R102" i="25"/>
  <c r="Y102" i="25"/>
  <c r="R215" i="29"/>
  <c r="S221" i="25"/>
  <c r="Z221" i="25"/>
  <c r="Q34" i="29"/>
  <c r="R40" i="25"/>
  <c r="Y40" i="25"/>
  <c r="Q106" i="29"/>
  <c r="R112" i="25"/>
  <c r="Y112" i="25"/>
  <c r="Q146" i="29"/>
  <c r="R152" i="25"/>
  <c r="Y152" i="25"/>
  <c r="Q59" i="29"/>
  <c r="R65" i="25"/>
  <c r="Y65" i="25"/>
  <c r="Q124" i="29"/>
  <c r="Y130" i="25"/>
  <c r="R130" i="25"/>
  <c r="Q217" i="29"/>
  <c r="R223" i="25"/>
  <c r="Y223" i="25"/>
  <c r="Q38" i="29"/>
  <c r="Y44" i="25"/>
  <c r="R44" i="25"/>
  <c r="Y220" i="25"/>
  <c r="R220" i="25"/>
  <c r="Q214" i="29"/>
  <c r="R63" i="25"/>
  <c r="Q57" i="29"/>
  <c r="Y63" i="25"/>
  <c r="Q18" i="29"/>
  <c r="R24" i="25"/>
  <c r="Y24" i="25"/>
  <c r="Q17" i="29"/>
  <c r="R23" i="25"/>
  <c r="Y23" i="25"/>
  <c r="P187" i="29"/>
  <c r="Q193" i="25"/>
  <c r="X193" i="25"/>
  <c r="Y31" i="25"/>
  <c r="Q25" i="29"/>
  <c r="R31" i="25"/>
  <c r="Q172" i="29"/>
  <c r="R178" i="25"/>
  <c r="Y178" i="25"/>
  <c r="Q140" i="29"/>
  <c r="Y146" i="25"/>
  <c r="R146" i="25"/>
  <c r="Y167" i="25"/>
  <c r="Q161" i="29"/>
  <c r="R167" i="25"/>
  <c r="P203" i="29"/>
  <c r="Q209" i="25"/>
  <c r="X209" i="25"/>
  <c r="Q35" i="29"/>
  <c r="R41" i="25"/>
  <c r="Y41" i="25"/>
  <c r="Q111" i="29"/>
  <c r="Y117" i="25"/>
  <c r="R117" i="25"/>
  <c r="Q174" i="29"/>
  <c r="R180" i="25"/>
  <c r="Y180" i="25"/>
  <c r="Q188" i="29"/>
  <c r="R194" i="25"/>
  <c r="Y194" i="25"/>
  <c r="Q58" i="29"/>
  <c r="Y64" i="25"/>
  <c r="R64" i="25"/>
  <c r="Q175" i="29"/>
  <c r="Y181" i="25"/>
  <c r="R181" i="25"/>
  <c r="Q176" i="29"/>
  <c r="Y182" i="25"/>
  <c r="R182" i="25"/>
  <c r="R84" i="29"/>
  <c r="S90" i="25"/>
  <c r="Z90" i="25"/>
  <c r="R32" i="29"/>
  <c r="S38" i="25"/>
  <c r="Z38" i="25"/>
  <c r="P158" i="15"/>
  <c r="Q129" i="29"/>
  <c r="Y135" i="25"/>
  <c r="R135" i="25"/>
  <c r="R93" i="29"/>
  <c r="Z99" i="25"/>
  <c r="S99" i="25"/>
  <c r="Z196" i="25"/>
  <c r="R190" i="29"/>
  <c r="S196" i="25"/>
  <c r="S189" i="25"/>
  <c r="R183" i="29"/>
  <c r="Z189" i="25"/>
  <c r="R75" i="29"/>
  <c r="S81" i="25"/>
  <c r="Z81" i="25"/>
  <c r="Q41" i="29"/>
  <c r="Y47" i="25"/>
  <c r="R47" i="25"/>
  <c r="O128" i="15"/>
  <c r="P155" i="15"/>
  <c r="O195" i="15"/>
  <c r="O94" i="15"/>
  <c r="O168" i="15"/>
  <c r="O14" i="15"/>
  <c r="O25" i="15"/>
  <c r="O20" i="15"/>
  <c r="O187" i="15"/>
  <c r="O46" i="15"/>
  <c r="P113" i="15"/>
  <c r="P58" i="15"/>
  <c r="Q168" i="29"/>
  <c r="R174" i="25"/>
  <c r="Y174" i="25"/>
  <c r="Q53" i="29"/>
  <c r="Y59" i="25"/>
  <c r="R59" i="25"/>
  <c r="Q208" i="29"/>
  <c r="R214" i="25"/>
  <c r="Y214" i="25"/>
  <c r="Q196" i="29"/>
  <c r="R202" i="25"/>
  <c r="Y202" i="25"/>
  <c r="Q70" i="29"/>
  <c r="Y76" i="25"/>
  <c r="R76" i="25"/>
  <c r="Q79" i="29"/>
  <c r="R85" i="25"/>
  <c r="Y85" i="25"/>
  <c r="R66" i="29"/>
  <c r="S72" i="25"/>
  <c r="Z72" i="25"/>
  <c r="R44" i="29"/>
  <c r="S50" i="25"/>
  <c r="Z50" i="25"/>
  <c r="R154" i="29"/>
  <c r="Z160" i="25"/>
  <c r="S160" i="25"/>
  <c r="O104" i="15"/>
  <c r="P190" i="15"/>
  <c r="R37" i="29"/>
  <c r="S43" i="25"/>
  <c r="Z43" i="25"/>
  <c r="Z92" i="25"/>
  <c r="S92" i="25"/>
  <c r="R86" i="29"/>
  <c r="R159" i="29"/>
  <c r="Z165" i="25"/>
  <c r="S165" i="25"/>
  <c r="R220" i="29"/>
  <c r="S226" i="25"/>
  <c r="Z226" i="25"/>
  <c r="S201" i="25"/>
  <c r="Z201" i="25"/>
  <c r="R195" i="29"/>
  <c r="R120" i="29"/>
  <c r="Z126" i="25"/>
  <c r="S126" i="25"/>
  <c r="R147" i="29"/>
  <c r="Z153" i="25"/>
  <c r="S153" i="25"/>
  <c r="R197" i="29"/>
  <c r="S203" i="25"/>
  <c r="Z203" i="25"/>
  <c r="R148" i="29"/>
  <c r="Z154" i="25"/>
  <c r="S154" i="25"/>
  <c r="R156" i="29"/>
  <c r="S162" i="25"/>
  <c r="Z162" i="25"/>
  <c r="Z115" i="25"/>
  <c r="S115" i="25"/>
  <c r="R109" i="29"/>
  <c r="R158" i="29"/>
  <c r="Z164" i="25"/>
  <c r="S164" i="25"/>
  <c r="R12" i="29"/>
  <c r="S18" i="25"/>
  <c r="Z18" i="25"/>
  <c r="R101" i="29"/>
  <c r="Z107" i="25"/>
  <c r="S107" i="25"/>
  <c r="R64" i="29"/>
  <c r="Z70" i="25"/>
  <c r="S70" i="25"/>
  <c r="R27" i="29"/>
  <c r="S33" i="25"/>
  <c r="Z33" i="25"/>
  <c r="Z138" i="25"/>
  <c r="S138" i="25"/>
  <c r="R132" i="29"/>
  <c r="R165" i="29"/>
  <c r="S171" i="25"/>
  <c r="Z171" i="25"/>
  <c r="R206" i="29"/>
  <c r="Z212" i="25"/>
  <c r="S212" i="25"/>
  <c r="R193" i="29"/>
  <c r="S199" i="25"/>
  <c r="Z199" i="25"/>
  <c r="R81" i="29"/>
  <c r="S87" i="25"/>
  <c r="Z87" i="25"/>
  <c r="R9" i="29"/>
  <c r="S15" i="25"/>
  <c r="Z15" i="25"/>
  <c r="R26" i="29"/>
  <c r="Z32" i="25"/>
  <c r="S32" i="25"/>
  <c r="R6" i="29"/>
  <c r="Z12" i="25"/>
  <c r="S12" i="25"/>
  <c r="S111" i="25"/>
  <c r="R105" i="29"/>
  <c r="Z111" i="25"/>
  <c r="R83" i="29"/>
  <c r="S89" i="25"/>
  <c r="Z89" i="25"/>
  <c r="R78" i="29"/>
  <c r="Z84" i="25"/>
  <c r="S84" i="25"/>
  <c r="R113" i="29"/>
  <c r="Z119" i="25"/>
  <c r="S119" i="25"/>
  <c r="R114" i="29"/>
  <c r="Z120" i="25"/>
  <c r="S120" i="25"/>
  <c r="R21" i="29"/>
  <c r="S27" i="25"/>
  <c r="Z27" i="25"/>
  <c r="R108" i="29"/>
  <c r="Z114" i="25"/>
  <c r="S114" i="25"/>
  <c r="R219" i="29"/>
  <c r="S225" i="25"/>
  <c r="Z225" i="25"/>
  <c r="R71" i="29"/>
  <c r="S77" i="25"/>
  <c r="Z77" i="25"/>
  <c r="R164" i="29"/>
  <c r="S170" i="25"/>
  <c r="Z170" i="25"/>
  <c r="R173" i="29"/>
  <c r="Z179" i="25"/>
  <c r="S179" i="25"/>
  <c r="R95" i="29"/>
  <c r="Z101" i="25"/>
  <c r="S101" i="25"/>
  <c r="R110" i="29"/>
  <c r="Z116" i="25"/>
  <c r="S116" i="25"/>
  <c r="R192" i="29"/>
  <c r="S198" i="25"/>
  <c r="Z198" i="25"/>
  <c r="R102" i="29"/>
  <c r="S108" i="25"/>
  <c r="Z108" i="25"/>
  <c r="R139" i="29"/>
  <c r="S145" i="25"/>
  <c r="Z145" i="25"/>
  <c r="R118" i="29"/>
  <c r="Z124" i="25"/>
  <c r="S124" i="25"/>
  <c r="R96" i="29"/>
  <c r="Z102" i="25"/>
  <c r="S102" i="25"/>
  <c r="P221" i="15"/>
  <c r="R34" i="29"/>
  <c r="S40" i="25"/>
  <c r="Z40" i="25"/>
  <c r="R106" i="29"/>
  <c r="S112" i="25"/>
  <c r="Z112" i="25"/>
  <c r="R146" i="29"/>
  <c r="Z152" i="25"/>
  <c r="S152" i="25"/>
  <c r="R56" i="29"/>
  <c r="S62" i="25"/>
  <c r="Z62" i="25"/>
  <c r="R59" i="29"/>
  <c r="S65" i="25"/>
  <c r="Z65" i="25"/>
  <c r="S130" i="25"/>
  <c r="R124" i="29"/>
  <c r="Z130" i="25"/>
  <c r="R217" i="29"/>
  <c r="S223" i="25"/>
  <c r="Z223" i="25"/>
  <c r="R38" i="29"/>
  <c r="Z44" i="25"/>
  <c r="S44" i="25"/>
  <c r="R214" i="29"/>
  <c r="Z220" i="25"/>
  <c r="S220" i="25"/>
  <c r="R57" i="29"/>
  <c r="S63" i="25"/>
  <c r="Z63" i="25"/>
  <c r="R18" i="29"/>
  <c r="Z24" i="25"/>
  <c r="S24" i="25"/>
  <c r="R17" i="29"/>
  <c r="S23" i="25"/>
  <c r="Z23" i="25"/>
  <c r="R187" i="29"/>
  <c r="S193" i="25"/>
  <c r="Z193" i="25"/>
  <c r="R25" i="29"/>
  <c r="S31" i="25"/>
  <c r="Z31" i="25"/>
  <c r="R172" i="29"/>
  <c r="S178" i="25"/>
  <c r="Z178" i="25"/>
  <c r="R140" i="29"/>
  <c r="S146" i="25"/>
  <c r="Z146" i="25"/>
  <c r="R161" i="29"/>
  <c r="S167" i="25"/>
  <c r="Z167" i="25"/>
  <c r="R203" i="29"/>
  <c r="Z209" i="25"/>
  <c r="S209" i="25"/>
  <c r="R35" i="29"/>
  <c r="Z41" i="25"/>
  <c r="S41" i="25"/>
  <c r="R111" i="29"/>
  <c r="S117" i="25"/>
  <c r="Z117" i="25"/>
  <c r="R174" i="29"/>
  <c r="Z180" i="25"/>
  <c r="S180" i="25"/>
  <c r="R188" i="29"/>
  <c r="S194" i="25"/>
  <c r="Z194" i="25"/>
  <c r="Z64" i="25"/>
  <c r="R58" i="29"/>
  <c r="S64" i="25"/>
  <c r="R175" i="29"/>
  <c r="Z181" i="25"/>
  <c r="S181" i="25"/>
  <c r="S182" i="25"/>
  <c r="R176" i="29"/>
  <c r="Z182" i="25"/>
  <c r="D39" i="9"/>
  <c r="D41" i="9"/>
  <c r="D58" i="9"/>
  <c r="D48" i="9"/>
  <c r="D40" i="9"/>
  <c r="D56" i="9"/>
  <c r="D20" i="9"/>
  <c r="E14" i="9"/>
  <c r="G6" i="9"/>
  <c r="E38" i="9"/>
  <c r="E57" i="9"/>
  <c r="E50" i="9"/>
  <c r="E43" i="9"/>
  <c r="E34" i="9"/>
  <c r="E26" i="9"/>
  <c r="E62" i="9"/>
  <c r="D54" i="9"/>
  <c r="E53" i="9"/>
  <c r="D17" i="9"/>
  <c r="E24" i="9"/>
  <c r="H6" i="9"/>
  <c r="G7" i="9"/>
  <c r="P104" i="29" l="1"/>
  <c r="Q110" i="25"/>
  <c r="X110" i="25"/>
  <c r="N110" i="15"/>
  <c r="Q213" i="29"/>
  <c r="R219" i="25"/>
  <c r="Y219" i="25"/>
  <c r="O219" i="15"/>
  <c r="Q116" i="29"/>
  <c r="Y122" i="25"/>
  <c r="R122" i="25"/>
  <c r="O122" i="15"/>
  <c r="P49" i="29"/>
  <c r="X55" i="25"/>
  <c r="Q55" i="25"/>
  <c r="N55" i="15"/>
  <c r="P42" i="29"/>
  <c r="Q48" i="25"/>
  <c r="X48" i="25"/>
  <c r="N48" i="15"/>
  <c r="P50" i="29"/>
  <c r="X56" i="25"/>
  <c r="Q56" i="25"/>
  <c r="N56" i="15"/>
  <c r="P127" i="29"/>
  <c r="X133" i="25"/>
  <c r="Q133" i="25"/>
  <c r="N133" i="15"/>
  <c r="R221" i="25"/>
  <c r="Q215" i="29"/>
  <c r="Y221" i="25"/>
  <c r="O221" i="15"/>
  <c r="P14" i="29"/>
  <c r="Q20" i="25"/>
  <c r="X20" i="25"/>
  <c r="N20" i="15"/>
  <c r="Q149" i="29"/>
  <c r="Y155" i="25"/>
  <c r="R155" i="25"/>
  <c r="O155" i="15"/>
  <c r="P141" i="29"/>
  <c r="Q147" i="25"/>
  <c r="X147" i="25"/>
  <c r="N147" i="15"/>
  <c r="P144" i="29"/>
  <c r="Q150" i="25"/>
  <c r="X150" i="25"/>
  <c r="N150" i="15"/>
  <c r="O140" i="29"/>
  <c r="W146" i="25"/>
  <c r="P146" i="25"/>
  <c r="M146" i="15"/>
  <c r="P117" i="29"/>
  <c r="X123" i="25"/>
  <c r="Q123" i="25"/>
  <c r="N123" i="15"/>
  <c r="P216" i="29"/>
  <c r="Q222" i="25"/>
  <c r="X222" i="25"/>
  <c r="N222" i="15"/>
  <c r="W23" i="25"/>
  <c r="O17" i="29"/>
  <c r="P23" i="25"/>
  <c r="M23" i="15"/>
  <c r="O96" i="29"/>
  <c r="W102" i="25"/>
  <c r="P102" i="25"/>
  <c r="M102" i="15"/>
  <c r="W77" i="25"/>
  <c r="P77" i="25"/>
  <c r="O71" i="29"/>
  <c r="M77" i="15"/>
  <c r="O26" i="29"/>
  <c r="P32" i="25"/>
  <c r="W32" i="25"/>
  <c r="M32" i="15"/>
  <c r="P212" i="29"/>
  <c r="X218" i="25"/>
  <c r="Q218" i="25"/>
  <c r="N218" i="15"/>
  <c r="P97" i="29"/>
  <c r="Q103" i="25"/>
  <c r="X103" i="25"/>
  <c r="N103" i="15"/>
  <c r="N112" i="29"/>
  <c r="O118" i="25"/>
  <c r="V118" i="25"/>
  <c r="L118" i="15"/>
  <c r="O74" i="29"/>
  <c r="W80" i="25"/>
  <c r="P80" i="25"/>
  <c r="M80" i="15"/>
  <c r="Q219" i="29"/>
  <c r="R225" i="25"/>
  <c r="Y225" i="25"/>
  <c r="O225" i="15"/>
  <c r="P19" i="29"/>
  <c r="Q25" i="25"/>
  <c r="X25" i="25"/>
  <c r="N25" i="15"/>
  <c r="X128" i="25"/>
  <c r="P122" i="29"/>
  <c r="Q128" i="25"/>
  <c r="N128" i="15"/>
  <c r="W167" i="25"/>
  <c r="O161" i="29"/>
  <c r="P167" i="25"/>
  <c r="M167" i="15"/>
  <c r="P210" i="29"/>
  <c r="X216" i="25"/>
  <c r="Q216" i="25"/>
  <c r="N216" i="15"/>
  <c r="O109" i="29"/>
  <c r="W115" i="25"/>
  <c r="P115" i="25"/>
  <c r="M115" i="15"/>
  <c r="P36" i="29"/>
  <c r="Q42" i="25"/>
  <c r="X42" i="25"/>
  <c r="N42" i="15"/>
  <c r="X75" i="25"/>
  <c r="Q75" i="25"/>
  <c r="P69" i="29"/>
  <c r="N75" i="15"/>
  <c r="Q82" i="29"/>
  <c r="R88" i="25"/>
  <c r="Y88" i="25"/>
  <c r="O88" i="15"/>
  <c r="P24" i="29"/>
  <c r="Q30" i="25"/>
  <c r="X30" i="25"/>
  <c r="N30" i="15"/>
  <c r="O188" i="29"/>
  <c r="P194" i="25"/>
  <c r="W194" i="25"/>
  <c r="M194" i="15"/>
  <c r="O38" i="29"/>
  <c r="W44" i="25"/>
  <c r="P44" i="25"/>
  <c r="M44" i="15"/>
  <c r="O192" i="29"/>
  <c r="W198" i="25"/>
  <c r="P198" i="25"/>
  <c r="M198" i="15"/>
  <c r="O105" i="29"/>
  <c r="W111" i="25"/>
  <c r="P111" i="25"/>
  <c r="M111" i="15"/>
  <c r="O27" i="29"/>
  <c r="W33" i="25"/>
  <c r="P33" i="25"/>
  <c r="M33" i="15"/>
  <c r="P163" i="29"/>
  <c r="Q169" i="25"/>
  <c r="X169" i="25"/>
  <c r="N169" i="15"/>
  <c r="Q19" i="25"/>
  <c r="P13" i="29"/>
  <c r="X19" i="25"/>
  <c r="N19" i="15"/>
  <c r="P201" i="29"/>
  <c r="X207" i="25"/>
  <c r="Q207" i="25"/>
  <c r="N207" i="15"/>
  <c r="N208" i="29"/>
  <c r="V214" i="25"/>
  <c r="O214" i="25"/>
  <c r="L214" i="15"/>
  <c r="N41" i="29"/>
  <c r="V47" i="25"/>
  <c r="O47" i="25"/>
  <c r="L47" i="15"/>
  <c r="P207" i="29"/>
  <c r="Q213" i="25"/>
  <c r="X213" i="25"/>
  <c r="N213" i="15"/>
  <c r="P11" i="29"/>
  <c r="X17" i="25"/>
  <c r="Q17" i="25"/>
  <c r="N17" i="15"/>
  <c r="O156" i="29"/>
  <c r="P162" i="25"/>
  <c r="W162" i="25"/>
  <c r="M162" i="15"/>
  <c r="P199" i="29"/>
  <c r="Q205" i="25"/>
  <c r="X205" i="25"/>
  <c r="N205" i="15"/>
  <c r="O190" i="29"/>
  <c r="P196" i="25"/>
  <c r="W196" i="25"/>
  <c r="M196" i="15"/>
  <c r="P138" i="29"/>
  <c r="X144" i="25"/>
  <c r="Q144" i="25"/>
  <c r="N144" i="15"/>
  <c r="N203" i="29"/>
  <c r="V209" i="25"/>
  <c r="O209" i="25"/>
  <c r="L209" i="15"/>
  <c r="O139" i="29"/>
  <c r="W145" i="25"/>
  <c r="P145" i="25"/>
  <c r="M145" i="15"/>
  <c r="O21" i="29"/>
  <c r="W27" i="25"/>
  <c r="P27" i="25"/>
  <c r="M27" i="15"/>
  <c r="O81" i="29"/>
  <c r="P87" i="25"/>
  <c r="W87" i="25"/>
  <c r="M87" i="15"/>
  <c r="P67" i="29"/>
  <c r="X73" i="25"/>
  <c r="Q73" i="25"/>
  <c r="N73" i="15"/>
  <c r="P100" i="29"/>
  <c r="X106" i="25"/>
  <c r="Q106" i="25"/>
  <c r="N106" i="15"/>
  <c r="W226" i="25"/>
  <c r="O220" i="29"/>
  <c r="P226" i="25"/>
  <c r="M226" i="15"/>
  <c r="O172" i="29"/>
  <c r="W178" i="25"/>
  <c r="P178" i="25"/>
  <c r="M178" i="15"/>
  <c r="P68" i="29"/>
  <c r="X74" i="25"/>
  <c r="Q74" i="25"/>
  <c r="N74" i="15"/>
  <c r="O148" i="29"/>
  <c r="W154" i="25"/>
  <c r="P154" i="25"/>
  <c r="M154" i="15"/>
  <c r="P142" i="29"/>
  <c r="X148" i="25"/>
  <c r="Q148" i="25"/>
  <c r="N148" i="15"/>
  <c r="V202" i="25"/>
  <c r="O202" i="25"/>
  <c r="N196" i="29"/>
  <c r="L202" i="15"/>
  <c r="P182" i="29"/>
  <c r="Q188" i="25"/>
  <c r="X188" i="25"/>
  <c r="N188" i="15"/>
  <c r="P202" i="29"/>
  <c r="X208" i="25"/>
  <c r="Q208" i="25"/>
  <c r="N208" i="15"/>
  <c r="O159" i="29"/>
  <c r="P165" i="25"/>
  <c r="W165" i="25"/>
  <c r="M165" i="15"/>
  <c r="P211" i="29"/>
  <c r="X217" i="25"/>
  <c r="Q217" i="25"/>
  <c r="N217" i="15"/>
  <c r="P204" i="29"/>
  <c r="X210" i="25"/>
  <c r="Q210" i="25"/>
  <c r="N210" i="15"/>
  <c r="N129" i="29"/>
  <c r="O135" i="25"/>
  <c r="V135" i="25"/>
  <c r="L135" i="15"/>
  <c r="Q54" i="29"/>
  <c r="Y60" i="25"/>
  <c r="R60" i="25"/>
  <c r="O60" i="15"/>
  <c r="O121" i="29"/>
  <c r="W127" i="25"/>
  <c r="P127" i="25"/>
  <c r="M127" i="15"/>
  <c r="P80" i="29"/>
  <c r="Q86" i="25"/>
  <c r="X86" i="25"/>
  <c r="N86" i="15"/>
  <c r="O150" i="29"/>
  <c r="W156" i="25"/>
  <c r="P156" i="25"/>
  <c r="M156" i="15"/>
  <c r="P33" i="29"/>
  <c r="Q39" i="25"/>
  <c r="X39" i="25"/>
  <c r="N39" i="15"/>
  <c r="Q56" i="29"/>
  <c r="Y62" i="25"/>
  <c r="R62" i="25"/>
  <c r="O62" i="15"/>
  <c r="Q52" i="29"/>
  <c r="R58" i="25"/>
  <c r="Y58" i="25"/>
  <c r="O58" i="15"/>
  <c r="P8" i="29"/>
  <c r="X14" i="25"/>
  <c r="Q14" i="25"/>
  <c r="N14" i="15"/>
  <c r="Q152" i="29"/>
  <c r="R158" i="25"/>
  <c r="Y158" i="25"/>
  <c r="O158" i="15"/>
  <c r="P183" i="29"/>
  <c r="X189" i="25"/>
  <c r="Q189" i="25"/>
  <c r="N189" i="15"/>
  <c r="Q100" i="25"/>
  <c r="X100" i="25"/>
  <c r="P94" i="29"/>
  <c r="N100" i="15"/>
  <c r="P39" i="29"/>
  <c r="Q45" i="25"/>
  <c r="X45" i="25"/>
  <c r="N45" i="15"/>
  <c r="P123" i="29"/>
  <c r="Q129" i="25"/>
  <c r="X129" i="25"/>
  <c r="N129" i="15"/>
  <c r="O111" i="29"/>
  <c r="W117" i="25"/>
  <c r="P117" i="25"/>
  <c r="M117" i="15"/>
  <c r="O124" i="29"/>
  <c r="W130" i="25"/>
  <c r="P130" i="25"/>
  <c r="M130" i="15"/>
  <c r="O95" i="29"/>
  <c r="P101" i="25"/>
  <c r="W101" i="25"/>
  <c r="M101" i="15"/>
  <c r="O83" i="29"/>
  <c r="W89" i="25"/>
  <c r="P89" i="25"/>
  <c r="M89" i="15"/>
  <c r="O132" i="29"/>
  <c r="P138" i="25"/>
  <c r="W138" i="25"/>
  <c r="M138" i="15"/>
  <c r="Q151" i="29"/>
  <c r="R157" i="25"/>
  <c r="Y157" i="25"/>
  <c r="O157" i="15"/>
  <c r="X90" i="25"/>
  <c r="Q90" i="25"/>
  <c r="P84" i="29"/>
  <c r="N90" i="15"/>
  <c r="P63" i="29"/>
  <c r="X69" i="25"/>
  <c r="Q69" i="25"/>
  <c r="N69" i="15"/>
  <c r="Q42" i="29"/>
  <c r="R48" i="25"/>
  <c r="Y48" i="25"/>
  <c r="R51" i="29"/>
  <c r="Z57" i="25"/>
  <c r="S57" i="25"/>
  <c r="P57" i="15"/>
  <c r="Q184" i="29"/>
  <c r="R190" i="25"/>
  <c r="Y190" i="25"/>
  <c r="O190" i="15"/>
  <c r="Q107" i="29"/>
  <c r="Y113" i="25"/>
  <c r="R113" i="25"/>
  <c r="O113" i="15"/>
  <c r="P162" i="29"/>
  <c r="Q168" i="25"/>
  <c r="X168" i="25"/>
  <c r="N168" i="15"/>
  <c r="P20" i="29"/>
  <c r="Q26" i="25"/>
  <c r="X26" i="25"/>
  <c r="N26" i="15"/>
  <c r="O106" i="29"/>
  <c r="P112" i="25"/>
  <c r="W112" i="25"/>
  <c r="M112" i="15"/>
  <c r="O101" i="29"/>
  <c r="W107" i="25"/>
  <c r="P107" i="25"/>
  <c r="M107" i="15"/>
  <c r="P160" i="29"/>
  <c r="X166" i="25"/>
  <c r="Q166" i="25"/>
  <c r="N166" i="15"/>
  <c r="P72" i="29"/>
  <c r="X78" i="25"/>
  <c r="Q78" i="25"/>
  <c r="N78" i="15"/>
  <c r="P44" i="29"/>
  <c r="X50" i="25"/>
  <c r="Q50" i="25"/>
  <c r="N50" i="15"/>
  <c r="P85" i="29"/>
  <c r="X91" i="25"/>
  <c r="Q91" i="25"/>
  <c r="N91" i="15"/>
  <c r="O176" i="29"/>
  <c r="P182" i="25"/>
  <c r="W182" i="25"/>
  <c r="M182" i="15"/>
  <c r="O18" i="29"/>
  <c r="W24" i="25"/>
  <c r="P24" i="25"/>
  <c r="M24" i="15"/>
  <c r="O118" i="29"/>
  <c r="W124" i="25"/>
  <c r="P124" i="25"/>
  <c r="M124" i="15"/>
  <c r="O113" i="29"/>
  <c r="W119" i="25"/>
  <c r="P119" i="25"/>
  <c r="M119" i="15"/>
  <c r="O206" i="29"/>
  <c r="W212" i="25"/>
  <c r="P212" i="25"/>
  <c r="M212" i="15"/>
  <c r="P5" i="29"/>
  <c r="Q11" i="25"/>
  <c r="X11" i="25"/>
  <c r="N11" i="15"/>
  <c r="O86" i="29"/>
  <c r="W92" i="25"/>
  <c r="P92" i="25"/>
  <c r="M92" i="15"/>
  <c r="P103" i="29"/>
  <c r="X109" i="25"/>
  <c r="Q109" i="25"/>
  <c r="N109" i="15"/>
  <c r="N70" i="29"/>
  <c r="O76" i="25"/>
  <c r="V76" i="25"/>
  <c r="L76" i="15"/>
  <c r="P115" i="29"/>
  <c r="Q121" i="25"/>
  <c r="X121" i="25"/>
  <c r="N121" i="15"/>
  <c r="P218" i="29"/>
  <c r="X224" i="25"/>
  <c r="Q224" i="25"/>
  <c r="N224" i="15"/>
  <c r="O12" i="29"/>
  <c r="P18" i="25"/>
  <c r="W18" i="25"/>
  <c r="M18" i="15"/>
  <c r="O157" i="29"/>
  <c r="W163" i="25"/>
  <c r="P163" i="25"/>
  <c r="M163" i="15"/>
  <c r="O66" i="29"/>
  <c r="W72" i="25"/>
  <c r="P72" i="25"/>
  <c r="M72" i="15"/>
  <c r="O143" i="29"/>
  <c r="W149" i="25"/>
  <c r="P149" i="25"/>
  <c r="M149" i="15"/>
  <c r="O174" i="29"/>
  <c r="P180" i="25"/>
  <c r="W180" i="25"/>
  <c r="M180" i="15"/>
  <c r="O217" i="29"/>
  <c r="P223" i="25"/>
  <c r="W223" i="25"/>
  <c r="M223" i="15"/>
  <c r="W170" i="25"/>
  <c r="P170" i="25"/>
  <c r="O164" i="29"/>
  <c r="M170" i="15"/>
  <c r="P12" i="25"/>
  <c r="W12" i="25"/>
  <c r="O6" i="29"/>
  <c r="M12" i="15"/>
  <c r="O64" i="29"/>
  <c r="P70" i="25"/>
  <c r="W70" i="25"/>
  <c r="M70" i="15"/>
  <c r="X175" i="25"/>
  <c r="Q175" i="25"/>
  <c r="P169" i="29"/>
  <c r="N175" i="15"/>
  <c r="O147" i="29"/>
  <c r="P153" i="25"/>
  <c r="W153" i="25"/>
  <c r="M153" i="15"/>
  <c r="P73" i="29"/>
  <c r="X79" i="25"/>
  <c r="Q79" i="25"/>
  <c r="N79" i="15"/>
  <c r="O158" i="29"/>
  <c r="W164" i="25"/>
  <c r="P164" i="25"/>
  <c r="M164" i="15"/>
  <c r="P130" i="29"/>
  <c r="Q136" i="25"/>
  <c r="X136" i="25"/>
  <c r="N136" i="15"/>
  <c r="N79" i="29"/>
  <c r="O85" i="25"/>
  <c r="V85" i="25"/>
  <c r="L85" i="15"/>
  <c r="P43" i="29"/>
  <c r="X49" i="25"/>
  <c r="Q49" i="25"/>
  <c r="N49" i="15"/>
  <c r="P22" i="29"/>
  <c r="X28" i="25"/>
  <c r="Q28" i="25"/>
  <c r="N28" i="15"/>
  <c r="P65" i="29"/>
  <c r="X71" i="25"/>
  <c r="Q71" i="25"/>
  <c r="N71" i="15"/>
  <c r="O120" i="29"/>
  <c r="W126" i="25"/>
  <c r="P126" i="25"/>
  <c r="M126" i="15"/>
  <c r="X161" i="25"/>
  <c r="Q161" i="25"/>
  <c r="P155" i="29"/>
  <c r="N161" i="15"/>
  <c r="P128" i="29"/>
  <c r="Q134" i="25"/>
  <c r="X134" i="25"/>
  <c r="N134" i="15"/>
  <c r="P153" i="29"/>
  <c r="Q159" i="25"/>
  <c r="X159" i="25"/>
  <c r="N159" i="15"/>
  <c r="O76" i="29"/>
  <c r="W82" i="25"/>
  <c r="P82" i="25"/>
  <c r="M82" i="15"/>
  <c r="O137" i="29"/>
  <c r="W143" i="25"/>
  <c r="P143" i="25"/>
  <c r="M143" i="15"/>
  <c r="P171" i="29"/>
  <c r="X177" i="25"/>
  <c r="Q177" i="25"/>
  <c r="N177" i="15"/>
  <c r="Q93" i="25"/>
  <c r="X93" i="25"/>
  <c r="P87" i="29"/>
  <c r="N93" i="15"/>
  <c r="R42" i="29"/>
  <c r="S48" i="25"/>
  <c r="Z48" i="25"/>
  <c r="Q93" i="29"/>
  <c r="R99" i="25"/>
  <c r="Y99" i="25"/>
  <c r="O99" i="15"/>
  <c r="Q104" i="25"/>
  <c r="X104" i="25"/>
  <c r="P98" i="29"/>
  <c r="N104" i="15"/>
  <c r="P40" i="29"/>
  <c r="Q46" i="25"/>
  <c r="X46" i="25"/>
  <c r="N46" i="15"/>
  <c r="P88" i="29"/>
  <c r="Q94" i="25"/>
  <c r="X94" i="25"/>
  <c r="N94" i="15"/>
  <c r="P29" i="29"/>
  <c r="Q35" i="25"/>
  <c r="X35" i="25"/>
  <c r="N35" i="15"/>
  <c r="O187" i="29"/>
  <c r="P193" i="25"/>
  <c r="W193" i="25"/>
  <c r="M193" i="15"/>
  <c r="P131" i="29"/>
  <c r="X137" i="25"/>
  <c r="Q137" i="25"/>
  <c r="N137" i="15"/>
  <c r="O58" i="29"/>
  <c r="P64" i="25"/>
  <c r="W64" i="25"/>
  <c r="M64" i="15"/>
  <c r="O214" i="29"/>
  <c r="P220" i="25"/>
  <c r="W220" i="25"/>
  <c r="M220" i="15"/>
  <c r="O102" i="29"/>
  <c r="W108" i="25"/>
  <c r="P108" i="25"/>
  <c r="M108" i="15"/>
  <c r="P120" i="25"/>
  <c r="O114" i="29"/>
  <c r="W120" i="25"/>
  <c r="M120" i="15"/>
  <c r="O193" i="29"/>
  <c r="W199" i="25"/>
  <c r="P199" i="25"/>
  <c r="M199" i="15"/>
  <c r="P170" i="29"/>
  <c r="Q176" i="25"/>
  <c r="X176" i="25"/>
  <c r="N176" i="15"/>
  <c r="P186" i="29"/>
  <c r="Q192" i="25"/>
  <c r="X192" i="25"/>
  <c r="N192" i="15"/>
  <c r="R198" i="29"/>
  <c r="Z204" i="25"/>
  <c r="S204" i="25"/>
  <c r="P204" i="15"/>
  <c r="Q50" i="29"/>
  <c r="R56" i="25"/>
  <c r="Y56" i="25"/>
  <c r="R209" i="29"/>
  <c r="Z215" i="25"/>
  <c r="S215" i="25"/>
  <c r="P215" i="15"/>
  <c r="R213" i="29"/>
  <c r="S219" i="25"/>
  <c r="Z219" i="25"/>
  <c r="Q104" i="29"/>
  <c r="R110" i="25"/>
  <c r="Y110" i="25"/>
  <c r="Q49" i="29"/>
  <c r="Y55" i="25"/>
  <c r="R55" i="25"/>
  <c r="Q127" i="29"/>
  <c r="R133" i="25"/>
  <c r="Y133" i="25"/>
  <c r="P181" i="29"/>
  <c r="X187" i="25"/>
  <c r="Q187" i="25"/>
  <c r="N187" i="15"/>
  <c r="P189" i="29"/>
  <c r="Q195" i="25"/>
  <c r="X195" i="25"/>
  <c r="N195" i="15"/>
  <c r="O25" i="29"/>
  <c r="P31" i="25"/>
  <c r="W31" i="25"/>
  <c r="M31" i="15"/>
  <c r="P10" i="29"/>
  <c r="Q16" i="25"/>
  <c r="X16" i="25"/>
  <c r="N16" i="15"/>
  <c r="N197" i="29"/>
  <c r="V203" i="25"/>
  <c r="O203" i="25"/>
  <c r="L203" i="15"/>
  <c r="P205" i="29"/>
  <c r="Q211" i="25"/>
  <c r="X211" i="25"/>
  <c r="N211" i="15"/>
  <c r="P31" i="29"/>
  <c r="Q37" i="25"/>
  <c r="X37" i="25"/>
  <c r="N37" i="15"/>
  <c r="O35" i="29"/>
  <c r="W41" i="25"/>
  <c r="P41" i="25"/>
  <c r="M41" i="15"/>
  <c r="O59" i="29"/>
  <c r="P65" i="25"/>
  <c r="W65" i="25"/>
  <c r="M65" i="15"/>
  <c r="O173" i="29"/>
  <c r="W179" i="25"/>
  <c r="P179" i="25"/>
  <c r="M179" i="15"/>
  <c r="O9" i="29"/>
  <c r="P15" i="25"/>
  <c r="W15" i="25"/>
  <c r="M15" i="15"/>
  <c r="P119" i="29"/>
  <c r="Q125" i="25"/>
  <c r="X125" i="25"/>
  <c r="N125" i="15"/>
  <c r="O195" i="29"/>
  <c r="W201" i="25"/>
  <c r="P201" i="25"/>
  <c r="M201" i="15"/>
  <c r="P166" i="29"/>
  <c r="Q172" i="25"/>
  <c r="X172" i="25"/>
  <c r="N172" i="15"/>
  <c r="P125" i="29"/>
  <c r="Q131" i="25"/>
  <c r="X131" i="25"/>
  <c r="N131" i="15"/>
  <c r="N168" i="29"/>
  <c r="V174" i="25"/>
  <c r="O174" i="25"/>
  <c r="L174" i="15"/>
  <c r="O194" i="29"/>
  <c r="P200" i="25"/>
  <c r="W200" i="25"/>
  <c r="M200" i="15"/>
  <c r="P32" i="29"/>
  <c r="X38" i="25"/>
  <c r="Q38" i="25"/>
  <c r="N38" i="15"/>
  <c r="O34" i="29"/>
  <c r="W40" i="25"/>
  <c r="P40" i="25"/>
  <c r="M40" i="15"/>
  <c r="P16" i="29"/>
  <c r="Q22" i="25"/>
  <c r="X22" i="25"/>
  <c r="N22" i="15"/>
  <c r="P191" i="29"/>
  <c r="Q197" i="25"/>
  <c r="X197" i="25"/>
  <c r="N197" i="15"/>
  <c r="P30" i="29"/>
  <c r="X36" i="25"/>
  <c r="Q36" i="25"/>
  <c r="N36" i="15"/>
  <c r="P28" i="29"/>
  <c r="Q34" i="25"/>
  <c r="X34" i="25"/>
  <c r="N34" i="15"/>
  <c r="O175" i="29"/>
  <c r="P181" i="25"/>
  <c r="W181" i="25"/>
  <c r="M181" i="15"/>
  <c r="O57" i="29"/>
  <c r="W63" i="25"/>
  <c r="P63" i="25"/>
  <c r="M63" i="15"/>
  <c r="O110" i="29"/>
  <c r="P116" i="25"/>
  <c r="W116" i="25"/>
  <c r="M116" i="15"/>
  <c r="O78" i="29"/>
  <c r="W84" i="25"/>
  <c r="P84" i="25"/>
  <c r="M84" i="15"/>
  <c r="O165" i="29"/>
  <c r="W171" i="25"/>
  <c r="P171" i="25"/>
  <c r="M171" i="15"/>
  <c r="P185" i="29"/>
  <c r="Q191" i="25"/>
  <c r="X191" i="25"/>
  <c r="N191" i="15"/>
  <c r="P15" i="29"/>
  <c r="X21" i="25"/>
  <c r="Q21" i="25"/>
  <c r="N21" i="15"/>
  <c r="P37" i="29"/>
  <c r="Q43" i="25"/>
  <c r="X43" i="25"/>
  <c r="N43" i="15"/>
  <c r="O146" i="29"/>
  <c r="P152" i="25"/>
  <c r="W152" i="25"/>
  <c r="M152" i="15"/>
  <c r="P60" i="29"/>
  <c r="Q66" i="25"/>
  <c r="X66" i="25"/>
  <c r="N66" i="15"/>
  <c r="P55" i="29"/>
  <c r="Q61" i="25"/>
  <c r="X61" i="25"/>
  <c r="N61" i="15"/>
  <c r="O154" i="29"/>
  <c r="P160" i="25"/>
  <c r="W160" i="25"/>
  <c r="M160" i="15"/>
  <c r="N53" i="29"/>
  <c r="V59" i="25"/>
  <c r="O59" i="25"/>
  <c r="L59" i="15"/>
  <c r="O75" i="29"/>
  <c r="P81" i="25"/>
  <c r="W81" i="25"/>
  <c r="M81" i="15"/>
  <c r="P61" i="29"/>
  <c r="X67" i="25"/>
  <c r="Q67" i="25"/>
  <c r="N67" i="15"/>
  <c r="P23" i="29"/>
  <c r="Q29" i="25"/>
  <c r="X29" i="25"/>
  <c r="N29" i="15"/>
  <c r="P99" i="29"/>
  <c r="X105" i="25"/>
  <c r="Q105" i="25"/>
  <c r="N105" i="15"/>
  <c r="P62" i="29"/>
  <c r="X68" i="25"/>
  <c r="Q68" i="25"/>
  <c r="N68" i="15"/>
  <c r="P126" i="29"/>
  <c r="Q132" i="25"/>
  <c r="X132" i="25"/>
  <c r="N132" i="15"/>
  <c r="O151" i="25"/>
  <c r="N145" i="29"/>
  <c r="V151" i="25"/>
  <c r="L151" i="15"/>
  <c r="O7" i="29"/>
  <c r="P13" i="25"/>
  <c r="W13" i="25"/>
  <c r="M13" i="15"/>
  <c r="M77" i="29"/>
  <c r="S77" i="29" s="1"/>
  <c r="N83" i="25"/>
  <c r="T83" i="25" s="1"/>
  <c r="U83" i="25"/>
  <c r="AA83" i="25" s="1"/>
  <c r="P167" i="29"/>
  <c r="X173" i="25"/>
  <c r="Q173" i="25"/>
  <c r="N173" i="15"/>
  <c r="R200" i="29"/>
  <c r="S206" i="25"/>
  <c r="Z206" i="25"/>
  <c r="P206" i="15"/>
  <c r="R116" i="29"/>
  <c r="S122" i="25"/>
  <c r="Z122" i="25"/>
  <c r="R50" i="29"/>
  <c r="Z56" i="25"/>
  <c r="S56" i="25"/>
  <c r="Q108" i="29"/>
  <c r="Y114" i="25"/>
  <c r="R114" i="25"/>
  <c r="O114" i="15"/>
  <c r="R104" i="29"/>
  <c r="Z110" i="25"/>
  <c r="S110" i="25"/>
  <c r="R49" i="29"/>
  <c r="S55" i="25"/>
  <c r="Z55" i="25"/>
  <c r="R127" i="29"/>
  <c r="Z133" i="25"/>
  <c r="S133" i="25"/>
  <c r="D45" i="9"/>
  <c r="D23" i="9"/>
  <c r="D49" i="9"/>
  <c r="D18" i="9"/>
  <c r="D33" i="9"/>
  <c r="D51" i="9"/>
  <c r="D27" i="9"/>
  <c r="D59" i="9"/>
  <c r="D52" i="9"/>
  <c r="D44" i="9"/>
  <c r="D47" i="9"/>
  <c r="D42" i="9"/>
  <c r="D37" i="9"/>
  <c r="D55" i="9"/>
  <c r="D26" i="9"/>
  <c r="D29" i="9"/>
  <c r="D28" i="9"/>
  <c r="E5" i="9"/>
  <c r="D25" i="9"/>
  <c r="F6" i="9"/>
  <c r="G8" i="9"/>
  <c r="H7" i="9"/>
  <c r="Y206" i="25" l="1"/>
  <c r="R206" i="25"/>
  <c r="Q200" i="29"/>
  <c r="O206" i="15"/>
  <c r="O186" i="29"/>
  <c r="W192" i="25"/>
  <c r="P192" i="25"/>
  <c r="M192" i="15"/>
  <c r="N114" i="29"/>
  <c r="V120" i="25"/>
  <c r="O120" i="25"/>
  <c r="L120" i="15"/>
  <c r="N58" i="29"/>
  <c r="O64" i="25"/>
  <c r="V64" i="25"/>
  <c r="L64" i="15"/>
  <c r="O29" i="29"/>
  <c r="P35" i="25"/>
  <c r="W35" i="25"/>
  <c r="M35" i="15"/>
  <c r="O98" i="29"/>
  <c r="P104" i="25"/>
  <c r="W104" i="25"/>
  <c r="M104" i="15"/>
  <c r="P90" i="25"/>
  <c r="W90" i="25"/>
  <c r="O84" i="29"/>
  <c r="M90" i="15"/>
  <c r="N83" i="29"/>
  <c r="O89" i="25"/>
  <c r="V89" i="25"/>
  <c r="L89" i="15"/>
  <c r="N111" i="29"/>
  <c r="O117" i="25"/>
  <c r="V117" i="25"/>
  <c r="L117" i="15"/>
  <c r="O94" i="29"/>
  <c r="W100" i="25"/>
  <c r="P100" i="25"/>
  <c r="M100" i="15"/>
  <c r="O8" i="29"/>
  <c r="P14" i="25"/>
  <c r="W14" i="25"/>
  <c r="M14" i="15"/>
  <c r="O33" i="29"/>
  <c r="W39" i="25"/>
  <c r="P39" i="25"/>
  <c r="M39" i="15"/>
  <c r="N121" i="29"/>
  <c r="O127" i="25"/>
  <c r="V127" i="25"/>
  <c r="L127" i="15"/>
  <c r="O204" i="29"/>
  <c r="P210" i="25"/>
  <c r="W210" i="25"/>
  <c r="M210" i="15"/>
  <c r="O202" i="29"/>
  <c r="P208" i="25"/>
  <c r="W208" i="25"/>
  <c r="M208" i="15"/>
  <c r="O142" i="29"/>
  <c r="W148" i="25"/>
  <c r="P148" i="25"/>
  <c r="M148" i="15"/>
  <c r="N172" i="29"/>
  <c r="V178" i="25"/>
  <c r="O178" i="25"/>
  <c r="L178" i="15"/>
  <c r="O67" i="29"/>
  <c r="W73" i="25"/>
  <c r="P73" i="25"/>
  <c r="M73" i="15"/>
  <c r="N139" i="29"/>
  <c r="V145" i="25"/>
  <c r="O145" i="25"/>
  <c r="L145" i="15"/>
  <c r="N190" i="29"/>
  <c r="O196" i="25"/>
  <c r="V196" i="25"/>
  <c r="L196" i="15"/>
  <c r="O11" i="29"/>
  <c r="W17" i="25"/>
  <c r="P17" i="25"/>
  <c r="M17" i="15"/>
  <c r="M208" i="29"/>
  <c r="S208" i="29" s="1"/>
  <c r="U214" i="25"/>
  <c r="AA214" i="25" s="1"/>
  <c r="N214" i="25"/>
  <c r="T214" i="25" s="1"/>
  <c r="O163" i="29"/>
  <c r="W169" i="25"/>
  <c r="P169" i="25"/>
  <c r="M169" i="15"/>
  <c r="N192" i="29"/>
  <c r="V198" i="25"/>
  <c r="O198" i="25"/>
  <c r="L198" i="15"/>
  <c r="O24" i="29"/>
  <c r="P30" i="25"/>
  <c r="W30" i="25"/>
  <c r="M30" i="15"/>
  <c r="O36" i="29"/>
  <c r="W42" i="25"/>
  <c r="P42" i="25"/>
  <c r="M42" i="15"/>
  <c r="V167" i="25"/>
  <c r="O167" i="25"/>
  <c r="N161" i="29"/>
  <c r="L167" i="15"/>
  <c r="Q225" i="25"/>
  <c r="P219" i="29"/>
  <c r="X225" i="25"/>
  <c r="N225" i="15"/>
  <c r="O97" i="29"/>
  <c r="W103" i="25"/>
  <c r="P103" i="25"/>
  <c r="M103" i="15"/>
  <c r="O77" i="25"/>
  <c r="N71" i="29"/>
  <c r="V77" i="25"/>
  <c r="L77" i="15"/>
  <c r="O216" i="29"/>
  <c r="P222" i="25"/>
  <c r="W222" i="25"/>
  <c r="M222" i="15"/>
  <c r="O144" i="29"/>
  <c r="W150" i="25"/>
  <c r="P150" i="25"/>
  <c r="M150" i="15"/>
  <c r="O14" i="29"/>
  <c r="W20" i="25"/>
  <c r="P20" i="25"/>
  <c r="M20" i="15"/>
  <c r="O50" i="29"/>
  <c r="P56" i="25"/>
  <c r="W56" i="25"/>
  <c r="M56" i="15"/>
  <c r="P116" i="29"/>
  <c r="X122" i="25"/>
  <c r="Q122" i="25"/>
  <c r="N122" i="15"/>
  <c r="O131" i="29"/>
  <c r="W137" i="25"/>
  <c r="P137" i="25"/>
  <c r="M137" i="15"/>
  <c r="O126" i="29"/>
  <c r="W132" i="25"/>
  <c r="P132" i="25"/>
  <c r="M132" i="15"/>
  <c r="O23" i="29"/>
  <c r="W29" i="25"/>
  <c r="P29" i="25"/>
  <c r="M29" i="15"/>
  <c r="M53" i="29"/>
  <c r="S53" i="29" s="1"/>
  <c r="U59" i="25"/>
  <c r="AA59" i="25" s="1"/>
  <c r="N59" i="25"/>
  <c r="T59" i="25" s="1"/>
  <c r="O60" i="29"/>
  <c r="W66" i="25"/>
  <c r="P66" i="25"/>
  <c r="M66" i="15"/>
  <c r="O15" i="29"/>
  <c r="P21" i="25"/>
  <c r="W21" i="25"/>
  <c r="M21" i="15"/>
  <c r="N78" i="29"/>
  <c r="V84" i="25"/>
  <c r="O84" i="25"/>
  <c r="L84" i="15"/>
  <c r="N175" i="29"/>
  <c r="O181" i="25"/>
  <c r="V181" i="25"/>
  <c r="L181" i="15"/>
  <c r="O191" i="29"/>
  <c r="W197" i="25"/>
  <c r="P197" i="25"/>
  <c r="M197" i="15"/>
  <c r="O32" i="29"/>
  <c r="P38" i="25"/>
  <c r="W38" i="25"/>
  <c r="M38" i="15"/>
  <c r="O125" i="29"/>
  <c r="W131" i="25"/>
  <c r="P131" i="25"/>
  <c r="M131" i="15"/>
  <c r="O119" i="29"/>
  <c r="P125" i="25"/>
  <c r="W125" i="25"/>
  <c r="M125" i="15"/>
  <c r="N59" i="29"/>
  <c r="O65" i="25"/>
  <c r="V65" i="25"/>
  <c r="L65" i="15"/>
  <c r="O205" i="29"/>
  <c r="P211" i="25"/>
  <c r="W211" i="25"/>
  <c r="M211" i="15"/>
  <c r="N25" i="29"/>
  <c r="O31" i="25"/>
  <c r="V31" i="25"/>
  <c r="L31" i="15"/>
  <c r="Q209" i="29"/>
  <c r="Y215" i="25"/>
  <c r="R215" i="25"/>
  <c r="O215" i="15"/>
  <c r="N137" i="29"/>
  <c r="O143" i="25"/>
  <c r="V143" i="25"/>
  <c r="L143" i="15"/>
  <c r="O128" i="29"/>
  <c r="W134" i="25"/>
  <c r="P134" i="25"/>
  <c r="M134" i="15"/>
  <c r="O65" i="29"/>
  <c r="W71" i="25"/>
  <c r="P71" i="25"/>
  <c r="M71" i="15"/>
  <c r="M79" i="29"/>
  <c r="S79" i="29" s="1"/>
  <c r="U85" i="25"/>
  <c r="AA85" i="25" s="1"/>
  <c r="N85" i="25"/>
  <c r="T85" i="25" s="1"/>
  <c r="O73" i="29"/>
  <c r="P79" i="25"/>
  <c r="W79" i="25"/>
  <c r="M79" i="15"/>
  <c r="N64" i="29"/>
  <c r="V70" i="25"/>
  <c r="O70" i="25"/>
  <c r="L70" i="15"/>
  <c r="N217" i="29"/>
  <c r="V223" i="25"/>
  <c r="O223" i="25"/>
  <c r="L223" i="15"/>
  <c r="N66" i="29"/>
  <c r="O72" i="25"/>
  <c r="V72" i="25"/>
  <c r="L72" i="15"/>
  <c r="O218" i="29"/>
  <c r="W224" i="25"/>
  <c r="P224" i="25"/>
  <c r="M224" i="15"/>
  <c r="O103" i="29"/>
  <c r="W109" i="25"/>
  <c r="P109" i="25"/>
  <c r="M109" i="15"/>
  <c r="N206" i="29"/>
  <c r="O212" i="25"/>
  <c r="V212" i="25"/>
  <c r="L212" i="15"/>
  <c r="N18" i="29"/>
  <c r="V24" i="25"/>
  <c r="O24" i="25"/>
  <c r="L24" i="15"/>
  <c r="O44" i="29"/>
  <c r="P50" i="25"/>
  <c r="W50" i="25"/>
  <c r="M50" i="15"/>
  <c r="N101" i="29"/>
  <c r="V107" i="25"/>
  <c r="O107" i="25"/>
  <c r="L107" i="15"/>
  <c r="O162" i="29"/>
  <c r="P168" i="25"/>
  <c r="W168" i="25"/>
  <c r="M168" i="15"/>
  <c r="R57" i="25"/>
  <c r="Y57" i="25"/>
  <c r="Q51" i="29"/>
  <c r="O57" i="15"/>
  <c r="P108" i="29"/>
  <c r="Q114" i="25"/>
  <c r="X114" i="25"/>
  <c r="N114" i="15"/>
  <c r="R204" i="25"/>
  <c r="Q198" i="29"/>
  <c r="Y204" i="25"/>
  <c r="O204" i="15"/>
  <c r="N193" i="29"/>
  <c r="O199" i="25"/>
  <c r="V199" i="25"/>
  <c r="L199" i="15"/>
  <c r="N214" i="29"/>
  <c r="V220" i="25"/>
  <c r="O220" i="25"/>
  <c r="L220" i="15"/>
  <c r="N187" i="29"/>
  <c r="V193" i="25"/>
  <c r="O193" i="25"/>
  <c r="L193" i="15"/>
  <c r="O40" i="29"/>
  <c r="W46" i="25"/>
  <c r="P46" i="25"/>
  <c r="M46" i="15"/>
  <c r="O63" i="29"/>
  <c r="W69" i="25"/>
  <c r="P69" i="25"/>
  <c r="M69" i="15"/>
  <c r="N132" i="29"/>
  <c r="V138" i="25"/>
  <c r="O138" i="25"/>
  <c r="L138" i="15"/>
  <c r="N124" i="29"/>
  <c r="O130" i="25"/>
  <c r="V130" i="25"/>
  <c r="L130" i="15"/>
  <c r="O39" i="29"/>
  <c r="W45" i="25"/>
  <c r="P45" i="25"/>
  <c r="M45" i="15"/>
  <c r="P152" i="29"/>
  <c r="Q158" i="25"/>
  <c r="X158" i="25"/>
  <c r="N158" i="15"/>
  <c r="P56" i="29"/>
  <c r="X62" i="25"/>
  <c r="Q62" i="25"/>
  <c r="N62" i="15"/>
  <c r="O80" i="29"/>
  <c r="P86" i="25"/>
  <c r="W86" i="25"/>
  <c r="M86" i="15"/>
  <c r="M129" i="29"/>
  <c r="S129" i="29" s="1"/>
  <c r="N135" i="25"/>
  <c r="T135" i="25" s="1"/>
  <c r="U135" i="25"/>
  <c r="AA135" i="25" s="1"/>
  <c r="N159" i="29"/>
  <c r="V165" i="25"/>
  <c r="O165" i="25"/>
  <c r="L165" i="15"/>
  <c r="N202" i="25"/>
  <c r="T202" i="25" s="1"/>
  <c r="M196" i="29"/>
  <c r="S196" i="29" s="1"/>
  <c r="U202" i="25"/>
  <c r="AA202" i="25" s="1"/>
  <c r="O68" i="29"/>
  <c r="P74" i="25"/>
  <c r="W74" i="25"/>
  <c r="M74" i="15"/>
  <c r="O100" i="29"/>
  <c r="P106" i="25"/>
  <c r="W106" i="25"/>
  <c r="M106" i="15"/>
  <c r="N21" i="29"/>
  <c r="O27" i="25"/>
  <c r="V27" i="25"/>
  <c r="L27" i="15"/>
  <c r="O138" i="29"/>
  <c r="P144" i="25"/>
  <c r="W144" i="25"/>
  <c r="M144" i="15"/>
  <c r="N156" i="29"/>
  <c r="V162" i="25"/>
  <c r="O162" i="25"/>
  <c r="L162" i="15"/>
  <c r="M41" i="29"/>
  <c r="S41" i="29" s="1"/>
  <c r="N47" i="25"/>
  <c r="T47" i="25" s="1"/>
  <c r="U47" i="25"/>
  <c r="AA47" i="25" s="1"/>
  <c r="P19" i="25"/>
  <c r="O13" i="29"/>
  <c r="W19" i="25"/>
  <c r="M19" i="15"/>
  <c r="N105" i="29"/>
  <c r="V111" i="25"/>
  <c r="O111" i="25"/>
  <c r="L111" i="15"/>
  <c r="N188" i="29"/>
  <c r="O194" i="25"/>
  <c r="V194" i="25"/>
  <c r="L194" i="15"/>
  <c r="P75" i="25"/>
  <c r="O69" i="29"/>
  <c r="W75" i="25"/>
  <c r="M75" i="15"/>
  <c r="O210" i="29"/>
  <c r="W216" i="25"/>
  <c r="P216" i="25"/>
  <c r="M216" i="15"/>
  <c r="O19" i="29"/>
  <c r="W25" i="25"/>
  <c r="P25" i="25"/>
  <c r="M25" i="15"/>
  <c r="M112" i="29"/>
  <c r="S112" i="29" s="1"/>
  <c r="U118" i="25"/>
  <c r="AA118" i="25" s="1"/>
  <c r="N118" i="25"/>
  <c r="T118" i="25" s="1"/>
  <c r="N26" i="29"/>
  <c r="V32" i="25"/>
  <c r="O32" i="25"/>
  <c r="L32" i="15"/>
  <c r="N17" i="29"/>
  <c r="O23" i="25"/>
  <c r="V23" i="25"/>
  <c r="L23" i="15"/>
  <c r="N140" i="29"/>
  <c r="V146" i="25"/>
  <c r="O146" i="25"/>
  <c r="L146" i="15"/>
  <c r="P149" i="29"/>
  <c r="Q155" i="25"/>
  <c r="X155" i="25"/>
  <c r="N155" i="15"/>
  <c r="O127" i="29"/>
  <c r="P133" i="25"/>
  <c r="W133" i="25"/>
  <c r="M133" i="15"/>
  <c r="O49" i="29"/>
  <c r="W55" i="25"/>
  <c r="P55" i="25"/>
  <c r="M55" i="15"/>
  <c r="O104" i="29"/>
  <c r="P110" i="25"/>
  <c r="W110" i="25"/>
  <c r="M110" i="15"/>
  <c r="P93" i="29"/>
  <c r="X99" i="25"/>
  <c r="Q99" i="25"/>
  <c r="N99" i="15"/>
  <c r="M145" i="29"/>
  <c r="S145" i="29" s="1"/>
  <c r="U151" i="25"/>
  <c r="AA151" i="25" s="1"/>
  <c r="N151" i="25"/>
  <c r="T151" i="25" s="1"/>
  <c r="O99" i="29"/>
  <c r="P105" i="25"/>
  <c r="W105" i="25"/>
  <c r="M105" i="15"/>
  <c r="N75" i="29"/>
  <c r="O81" i="25"/>
  <c r="V81" i="25"/>
  <c r="L81" i="15"/>
  <c r="O55" i="29"/>
  <c r="W61" i="25"/>
  <c r="P61" i="25"/>
  <c r="M61" i="15"/>
  <c r="O37" i="29"/>
  <c r="P43" i="25"/>
  <c r="W43" i="25"/>
  <c r="M43" i="15"/>
  <c r="N165" i="29"/>
  <c r="V171" i="25"/>
  <c r="O171" i="25"/>
  <c r="L171" i="15"/>
  <c r="N57" i="29"/>
  <c r="V63" i="25"/>
  <c r="O63" i="25"/>
  <c r="L63" i="15"/>
  <c r="M36" i="15"/>
  <c r="O30" i="29"/>
  <c r="P36" i="25"/>
  <c r="W36" i="25"/>
  <c r="N34" i="29"/>
  <c r="V40" i="25"/>
  <c r="O40" i="25"/>
  <c r="L40" i="15"/>
  <c r="M168" i="29"/>
  <c r="S168" i="29" s="1"/>
  <c r="U174" i="25"/>
  <c r="AA174" i="25" s="1"/>
  <c r="N174" i="25"/>
  <c r="T174" i="25" s="1"/>
  <c r="N195" i="29"/>
  <c r="V201" i="25"/>
  <c r="O201" i="25"/>
  <c r="L201" i="15"/>
  <c r="N173" i="29"/>
  <c r="O179" i="25"/>
  <c r="V179" i="25"/>
  <c r="L179" i="15"/>
  <c r="O31" i="29"/>
  <c r="P37" i="25"/>
  <c r="W37" i="25"/>
  <c r="M37" i="15"/>
  <c r="O10" i="29"/>
  <c r="W16" i="25"/>
  <c r="P16" i="25"/>
  <c r="M16" i="15"/>
  <c r="O181" i="29"/>
  <c r="P187" i="25"/>
  <c r="W187" i="25"/>
  <c r="M187" i="15"/>
  <c r="O171" i="29"/>
  <c r="P177" i="25"/>
  <c r="W177" i="25"/>
  <c r="M177" i="15"/>
  <c r="O153" i="29"/>
  <c r="W159" i="25"/>
  <c r="P159" i="25"/>
  <c r="M159" i="15"/>
  <c r="V126" i="25"/>
  <c r="O126" i="25"/>
  <c r="N120" i="29"/>
  <c r="L126" i="15"/>
  <c r="O43" i="29"/>
  <c r="W49" i="25"/>
  <c r="P49" i="25"/>
  <c r="M49" i="15"/>
  <c r="N158" i="29"/>
  <c r="V164" i="25"/>
  <c r="O164" i="25"/>
  <c r="L164" i="15"/>
  <c r="W175" i="25"/>
  <c r="P175" i="25"/>
  <c r="O169" i="29"/>
  <c r="M175" i="15"/>
  <c r="N164" i="29"/>
  <c r="O170" i="25"/>
  <c r="V170" i="25"/>
  <c r="L170" i="15"/>
  <c r="N143" i="29"/>
  <c r="V149" i="25"/>
  <c r="O149" i="25"/>
  <c r="L149" i="15"/>
  <c r="N12" i="29"/>
  <c r="O18" i="25"/>
  <c r="V18" i="25"/>
  <c r="L18" i="15"/>
  <c r="M70" i="29"/>
  <c r="S70" i="29" s="1"/>
  <c r="U76" i="25"/>
  <c r="AA76" i="25" s="1"/>
  <c r="N76" i="25"/>
  <c r="T76" i="25" s="1"/>
  <c r="O5" i="29"/>
  <c r="P11" i="25"/>
  <c r="W11" i="25"/>
  <c r="M11" i="15"/>
  <c r="N118" i="29"/>
  <c r="V124" i="25"/>
  <c r="O124" i="25"/>
  <c r="L124" i="15"/>
  <c r="O85" i="29"/>
  <c r="P91" i="25"/>
  <c r="W91" i="25"/>
  <c r="M91" i="15"/>
  <c r="O160" i="29"/>
  <c r="W166" i="25"/>
  <c r="P166" i="25"/>
  <c r="M166" i="15"/>
  <c r="O20" i="29"/>
  <c r="W26" i="25"/>
  <c r="P26" i="25"/>
  <c r="M26" i="15"/>
  <c r="P184" i="29"/>
  <c r="X190" i="25"/>
  <c r="Q190" i="25"/>
  <c r="N190" i="15"/>
  <c r="N102" i="29"/>
  <c r="O108" i="25"/>
  <c r="V108" i="25"/>
  <c r="L108" i="15"/>
  <c r="O88" i="29"/>
  <c r="P94" i="25"/>
  <c r="W94" i="25"/>
  <c r="M94" i="15"/>
  <c r="P151" i="29"/>
  <c r="Q157" i="25"/>
  <c r="X157" i="25"/>
  <c r="N157" i="15"/>
  <c r="N95" i="29"/>
  <c r="V101" i="25"/>
  <c r="O101" i="25"/>
  <c r="L101" i="15"/>
  <c r="O123" i="29"/>
  <c r="W129" i="25"/>
  <c r="P129" i="25"/>
  <c r="M129" i="15"/>
  <c r="O183" i="29"/>
  <c r="W189" i="25"/>
  <c r="P189" i="25"/>
  <c r="M189" i="15"/>
  <c r="P52" i="29"/>
  <c r="X58" i="25"/>
  <c r="Q58" i="25"/>
  <c r="N58" i="15"/>
  <c r="N150" i="29"/>
  <c r="O156" i="25"/>
  <c r="V156" i="25"/>
  <c r="L156" i="15"/>
  <c r="P54" i="29"/>
  <c r="X60" i="25"/>
  <c r="Q60" i="25"/>
  <c r="N60" i="15"/>
  <c r="O211" i="29"/>
  <c r="P217" i="25"/>
  <c r="W217" i="25"/>
  <c r="M217" i="15"/>
  <c r="O182" i="29"/>
  <c r="W188" i="25"/>
  <c r="P188" i="25"/>
  <c r="M188" i="15"/>
  <c r="N148" i="29"/>
  <c r="O154" i="25"/>
  <c r="V154" i="25"/>
  <c r="L154" i="15"/>
  <c r="N220" i="29"/>
  <c r="V226" i="25"/>
  <c r="O226" i="25"/>
  <c r="L226" i="15"/>
  <c r="N81" i="29"/>
  <c r="O87" i="25"/>
  <c r="V87" i="25"/>
  <c r="L87" i="15"/>
  <c r="M203" i="29"/>
  <c r="S203" i="29" s="1"/>
  <c r="U209" i="25"/>
  <c r="AA209" i="25" s="1"/>
  <c r="N209" i="25"/>
  <c r="T209" i="25" s="1"/>
  <c r="O199" i="29"/>
  <c r="P205" i="25"/>
  <c r="W205" i="25"/>
  <c r="M205" i="15"/>
  <c r="O207" i="29"/>
  <c r="W213" i="25"/>
  <c r="P213" i="25"/>
  <c r="M213" i="15"/>
  <c r="O201" i="29"/>
  <c r="P207" i="25"/>
  <c r="W207" i="25"/>
  <c r="M207" i="15"/>
  <c r="N27" i="29"/>
  <c r="V33" i="25"/>
  <c r="O33" i="25"/>
  <c r="L33" i="15"/>
  <c r="N38" i="29"/>
  <c r="V44" i="25"/>
  <c r="O44" i="25"/>
  <c r="L44" i="15"/>
  <c r="P82" i="29"/>
  <c r="Q88" i="25"/>
  <c r="X88" i="25"/>
  <c r="N88" i="15"/>
  <c r="N109" i="29"/>
  <c r="O115" i="25"/>
  <c r="V115" i="25"/>
  <c r="L115" i="15"/>
  <c r="O122" i="29"/>
  <c r="W128" i="25"/>
  <c r="P128" i="25"/>
  <c r="M128" i="15"/>
  <c r="N74" i="29"/>
  <c r="V80" i="25"/>
  <c r="O80" i="25"/>
  <c r="L80" i="15"/>
  <c r="O212" i="29"/>
  <c r="P218" i="25"/>
  <c r="W218" i="25"/>
  <c r="M218" i="15"/>
  <c r="N96" i="29"/>
  <c r="O102" i="25"/>
  <c r="V102" i="25"/>
  <c r="L102" i="15"/>
  <c r="O117" i="29"/>
  <c r="W123" i="25"/>
  <c r="P123" i="25"/>
  <c r="M123" i="15"/>
  <c r="O141" i="29"/>
  <c r="W147" i="25"/>
  <c r="P147" i="25"/>
  <c r="M147" i="15"/>
  <c r="P215" i="29"/>
  <c r="Q221" i="25"/>
  <c r="X221" i="25"/>
  <c r="N221" i="15"/>
  <c r="O42" i="29"/>
  <c r="P48" i="25"/>
  <c r="W48" i="25"/>
  <c r="M48" i="15"/>
  <c r="P213" i="29"/>
  <c r="X219" i="25"/>
  <c r="Q219" i="25"/>
  <c r="N219" i="15"/>
  <c r="O167" i="29"/>
  <c r="P173" i="25"/>
  <c r="W173" i="25"/>
  <c r="M173" i="15"/>
  <c r="O170" i="29"/>
  <c r="W176" i="25"/>
  <c r="P176" i="25"/>
  <c r="M176" i="15"/>
  <c r="N7" i="29"/>
  <c r="V13" i="25"/>
  <c r="O13" i="25"/>
  <c r="L13" i="15"/>
  <c r="O62" i="29"/>
  <c r="W68" i="25"/>
  <c r="P68" i="25"/>
  <c r="M68" i="15"/>
  <c r="O61" i="29"/>
  <c r="W67" i="25"/>
  <c r="P67" i="25"/>
  <c r="M67" i="15"/>
  <c r="N154" i="29"/>
  <c r="O160" i="25"/>
  <c r="V160" i="25"/>
  <c r="L160" i="15"/>
  <c r="N146" i="29"/>
  <c r="O152" i="25"/>
  <c r="V152" i="25"/>
  <c r="L152" i="15"/>
  <c r="O185" i="29"/>
  <c r="P191" i="25"/>
  <c r="W191" i="25"/>
  <c r="M191" i="15"/>
  <c r="N110" i="29"/>
  <c r="V116" i="25"/>
  <c r="O116" i="25"/>
  <c r="L116" i="15"/>
  <c r="O28" i="29"/>
  <c r="P34" i="25"/>
  <c r="W34" i="25"/>
  <c r="M34" i="15"/>
  <c r="O16" i="29"/>
  <c r="W22" i="25"/>
  <c r="P22" i="25"/>
  <c r="M22" i="15"/>
  <c r="N194" i="29"/>
  <c r="O200" i="25"/>
  <c r="V200" i="25"/>
  <c r="L200" i="15"/>
  <c r="O166" i="29"/>
  <c r="W172" i="25"/>
  <c r="P172" i="25"/>
  <c r="M172" i="15"/>
  <c r="N9" i="29"/>
  <c r="V15" i="25"/>
  <c r="O15" i="25"/>
  <c r="L15" i="15"/>
  <c r="N35" i="29"/>
  <c r="O41" i="25"/>
  <c r="V41" i="25"/>
  <c r="L41" i="15"/>
  <c r="M197" i="29"/>
  <c r="S197" i="29" s="1"/>
  <c r="N203" i="25"/>
  <c r="T203" i="25" s="1"/>
  <c r="U203" i="25"/>
  <c r="AA203" i="25" s="1"/>
  <c r="O189" i="29"/>
  <c r="W195" i="25"/>
  <c r="P195" i="25"/>
  <c r="M195" i="15"/>
  <c r="O87" i="29"/>
  <c r="W93" i="25"/>
  <c r="P93" i="25"/>
  <c r="M93" i="15"/>
  <c r="N76" i="29"/>
  <c r="O82" i="25"/>
  <c r="V82" i="25"/>
  <c r="L82" i="15"/>
  <c r="W161" i="25"/>
  <c r="O155" i="29"/>
  <c r="P161" i="25"/>
  <c r="M161" i="15"/>
  <c r="O22" i="29"/>
  <c r="P28" i="25"/>
  <c r="W28" i="25"/>
  <c r="M28" i="15"/>
  <c r="O130" i="29"/>
  <c r="P136" i="25"/>
  <c r="W136" i="25"/>
  <c r="M136" i="15"/>
  <c r="N147" i="29"/>
  <c r="V153" i="25"/>
  <c r="O153" i="25"/>
  <c r="L153" i="15"/>
  <c r="V12" i="25"/>
  <c r="O12" i="25"/>
  <c r="N6" i="29"/>
  <c r="L12" i="15"/>
  <c r="N174" i="29"/>
  <c r="V180" i="25"/>
  <c r="O180" i="25"/>
  <c r="L180" i="15"/>
  <c r="N157" i="29"/>
  <c r="O163" i="25"/>
  <c r="V163" i="25"/>
  <c r="L163" i="15"/>
  <c r="O115" i="29"/>
  <c r="W121" i="25"/>
  <c r="P121" i="25"/>
  <c r="M121" i="15"/>
  <c r="N86" i="29"/>
  <c r="V92" i="25"/>
  <c r="O92" i="25"/>
  <c r="L92" i="15"/>
  <c r="N113" i="29"/>
  <c r="O119" i="25"/>
  <c r="V119" i="25"/>
  <c r="L119" i="15"/>
  <c r="N176" i="29"/>
  <c r="V182" i="25"/>
  <c r="O182" i="25"/>
  <c r="L182" i="15"/>
  <c r="O72" i="29"/>
  <c r="P78" i="25"/>
  <c r="W78" i="25"/>
  <c r="M78" i="15"/>
  <c r="N106" i="29"/>
  <c r="O112" i="25"/>
  <c r="V112" i="25"/>
  <c r="L112" i="15"/>
  <c r="N113" i="15"/>
  <c r="P107" i="29"/>
  <c r="X113" i="25"/>
  <c r="Q113" i="25"/>
  <c r="D32" i="9"/>
  <c r="D57" i="9"/>
  <c r="D53" i="9"/>
  <c r="D4" i="9"/>
  <c r="D35" i="9"/>
  <c r="D15" i="9"/>
  <c r="D38" i="9"/>
  <c r="D14" i="9"/>
  <c r="D43" i="9"/>
  <c r="D24" i="9"/>
  <c r="D62" i="9"/>
  <c r="D30" i="9"/>
  <c r="D50" i="9"/>
  <c r="D34" i="9"/>
  <c r="D16" i="9"/>
  <c r="D21" i="9"/>
  <c r="F7" i="9"/>
  <c r="E6" i="9"/>
  <c r="M174" i="29" l="1"/>
  <c r="S174" i="29" s="1"/>
  <c r="N180" i="25"/>
  <c r="T180" i="25" s="1"/>
  <c r="U180" i="25"/>
  <c r="AA180" i="25" s="1"/>
  <c r="O184" i="29"/>
  <c r="P190" i="25"/>
  <c r="W190" i="25"/>
  <c r="M190" i="15"/>
  <c r="W113" i="25"/>
  <c r="O107" i="29"/>
  <c r="P113" i="25"/>
  <c r="M113" i="15"/>
  <c r="M9" i="29"/>
  <c r="S9" i="29" s="1"/>
  <c r="U15" i="25"/>
  <c r="AA15" i="25" s="1"/>
  <c r="N15" i="25"/>
  <c r="T15" i="25" s="1"/>
  <c r="N201" i="29"/>
  <c r="V207" i="25"/>
  <c r="O207" i="25"/>
  <c r="L207" i="15"/>
  <c r="M106" i="29"/>
  <c r="S106" i="29" s="1"/>
  <c r="N112" i="25"/>
  <c r="T112" i="25" s="1"/>
  <c r="U112" i="25"/>
  <c r="AA112" i="25" s="1"/>
  <c r="M113" i="29"/>
  <c r="S113" i="29" s="1"/>
  <c r="N119" i="25"/>
  <c r="T119" i="25" s="1"/>
  <c r="U119" i="25"/>
  <c r="AA119" i="25" s="1"/>
  <c r="M157" i="29"/>
  <c r="S157" i="29" s="1"/>
  <c r="U163" i="25"/>
  <c r="AA163" i="25" s="1"/>
  <c r="N163" i="25"/>
  <c r="T163" i="25" s="1"/>
  <c r="M147" i="29"/>
  <c r="S147" i="29" s="1"/>
  <c r="N153" i="25"/>
  <c r="T153" i="25" s="1"/>
  <c r="U153" i="25"/>
  <c r="AA153" i="25" s="1"/>
  <c r="N155" i="29"/>
  <c r="O161" i="25"/>
  <c r="V161" i="25"/>
  <c r="L161" i="15"/>
  <c r="N189" i="29"/>
  <c r="O195" i="25"/>
  <c r="V195" i="25"/>
  <c r="L195" i="15"/>
  <c r="M220" i="29"/>
  <c r="S220" i="29" s="1"/>
  <c r="U226" i="25"/>
  <c r="AA226" i="25" s="1"/>
  <c r="N226" i="25"/>
  <c r="T226" i="25" s="1"/>
  <c r="N211" i="29"/>
  <c r="O217" i="25"/>
  <c r="V217" i="25"/>
  <c r="L217" i="15"/>
  <c r="O52" i="29"/>
  <c r="W58" i="25"/>
  <c r="P58" i="25"/>
  <c r="M58" i="15"/>
  <c r="M95" i="29"/>
  <c r="S95" i="29" s="1"/>
  <c r="U101" i="25"/>
  <c r="AA101" i="25" s="1"/>
  <c r="N101" i="25"/>
  <c r="T101" i="25" s="1"/>
  <c r="M102" i="29"/>
  <c r="S102" i="29" s="1"/>
  <c r="U108" i="25"/>
  <c r="AA108" i="25" s="1"/>
  <c r="N108" i="25"/>
  <c r="T108" i="25" s="1"/>
  <c r="N160" i="29"/>
  <c r="O166" i="25"/>
  <c r="V166" i="25"/>
  <c r="L166" i="15"/>
  <c r="N5" i="29"/>
  <c r="V11" i="25"/>
  <c r="O11" i="25"/>
  <c r="L11" i="15"/>
  <c r="M34" i="29"/>
  <c r="S34" i="29" s="1"/>
  <c r="U40" i="25"/>
  <c r="AA40" i="25" s="1"/>
  <c r="N40" i="25"/>
  <c r="T40" i="25" s="1"/>
  <c r="M165" i="29"/>
  <c r="S165" i="29" s="1"/>
  <c r="U171" i="25"/>
  <c r="AA171" i="25" s="1"/>
  <c r="N171" i="25"/>
  <c r="T171" i="25" s="1"/>
  <c r="M75" i="29"/>
  <c r="S75" i="29" s="1"/>
  <c r="N81" i="25"/>
  <c r="T81" i="25" s="1"/>
  <c r="U81" i="25"/>
  <c r="AA81" i="25" s="1"/>
  <c r="N69" i="29"/>
  <c r="O75" i="25"/>
  <c r="V75" i="25"/>
  <c r="L75" i="15"/>
  <c r="N13" i="29"/>
  <c r="V19" i="25"/>
  <c r="O19" i="25"/>
  <c r="L19" i="15"/>
  <c r="M159" i="29"/>
  <c r="S159" i="29" s="1"/>
  <c r="U165" i="25"/>
  <c r="AA165" i="25" s="1"/>
  <c r="N165" i="25"/>
  <c r="T165" i="25" s="1"/>
  <c r="N128" i="29"/>
  <c r="V134" i="25"/>
  <c r="O134" i="25"/>
  <c r="L134" i="15"/>
  <c r="M25" i="29"/>
  <c r="S25" i="29" s="1"/>
  <c r="N31" i="25"/>
  <c r="T31" i="25" s="1"/>
  <c r="U31" i="25"/>
  <c r="AA31" i="25" s="1"/>
  <c r="N119" i="29"/>
  <c r="V125" i="25"/>
  <c r="O125" i="25"/>
  <c r="L125" i="15"/>
  <c r="N191" i="29"/>
  <c r="V197" i="25"/>
  <c r="O197" i="25"/>
  <c r="L197" i="15"/>
  <c r="N15" i="29"/>
  <c r="V21" i="25"/>
  <c r="O21" i="25"/>
  <c r="L21" i="15"/>
  <c r="N11" i="29"/>
  <c r="V17" i="25"/>
  <c r="O17" i="25"/>
  <c r="L17" i="15"/>
  <c r="N67" i="29"/>
  <c r="O73" i="25"/>
  <c r="V73" i="25"/>
  <c r="L73" i="15"/>
  <c r="N202" i="29"/>
  <c r="O208" i="25"/>
  <c r="V208" i="25"/>
  <c r="L208" i="15"/>
  <c r="N33" i="29"/>
  <c r="O39" i="25"/>
  <c r="V39" i="25"/>
  <c r="L39" i="15"/>
  <c r="M111" i="29"/>
  <c r="S111" i="29" s="1"/>
  <c r="U117" i="25"/>
  <c r="AA117" i="25" s="1"/>
  <c r="N117" i="25"/>
  <c r="T117" i="25" s="1"/>
  <c r="N98" i="29"/>
  <c r="O104" i="25"/>
  <c r="V104" i="25"/>
  <c r="L104" i="15"/>
  <c r="U120" i="25"/>
  <c r="AA120" i="25" s="1"/>
  <c r="N120" i="25"/>
  <c r="T120" i="25" s="1"/>
  <c r="M114" i="29"/>
  <c r="S114" i="29" s="1"/>
  <c r="N72" i="29"/>
  <c r="V78" i="25"/>
  <c r="O78" i="25"/>
  <c r="L78" i="15"/>
  <c r="N130" i="29"/>
  <c r="O136" i="25"/>
  <c r="V136" i="25"/>
  <c r="L136" i="15"/>
  <c r="O151" i="29"/>
  <c r="W157" i="25"/>
  <c r="P157" i="25"/>
  <c r="M157" i="15"/>
  <c r="N185" i="29"/>
  <c r="O191" i="25"/>
  <c r="V191" i="25"/>
  <c r="L191" i="15"/>
  <c r="M109" i="29"/>
  <c r="S109" i="29" s="1"/>
  <c r="N115" i="25"/>
  <c r="T115" i="25" s="1"/>
  <c r="U115" i="25"/>
  <c r="AA115" i="25" s="1"/>
  <c r="M27" i="29"/>
  <c r="S27" i="29" s="1"/>
  <c r="U33" i="25"/>
  <c r="AA33" i="25" s="1"/>
  <c r="N33" i="25"/>
  <c r="T33" i="25" s="1"/>
  <c r="M12" i="29"/>
  <c r="S12" i="29" s="1"/>
  <c r="U18" i="25"/>
  <c r="AA18" i="25" s="1"/>
  <c r="N18" i="25"/>
  <c r="T18" i="25" s="1"/>
  <c r="V175" i="25"/>
  <c r="O175" i="25"/>
  <c r="N169" i="29"/>
  <c r="L175" i="15"/>
  <c r="M120" i="29"/>
  <c r="S120" i="29" s="1"/>
  <c r="U126" i="25"/>
  <c r="AA126" i="25" s="1"/>
  <c r="N126" i="25"/>
  <c r="T126" i="25" s="1"/>
  <c r="N181" i="29"/>
  <c r="V187" i="25"/>
  <c r="O187" i="25"/>
  <c r="L187" i="15"/>
  <c r="M173" i="29"/>
  <c r="S173" i="29" s="1"/>
  <c r="N179" i="25"/>
  <c r="T179" i="25" s="1"/>
  <c r="U179" i="25"/>
  <c r="AA179" i="25" s="1"/>
  <c r="O36" i="25"/>
  <c r="N30" i="29"/>
  <c r="V36" i="25"/>
  <c r="L36" i="15"/>
  <c r="N49" i="29"/>
  <c r="V55" i="25"/>
  <c r="O55" i="25"/>
  <c r="L55" i="15"/>
  <c r="M140" i="29"/>
  <c r="S140" i="29" s="1"/>
  <c r="N146" i="25"/>
  <c r="T146" i="25" s="1"/>
  <c r="U146" i="25"/>
  <c r="AA146" i="25" s="1"/>
  <c r="M156" i="29"/>
  <c r="S156" i="29" s="1"/>
  <c r="U162" i="25"/>
  <c r="AA162" i="25" s="1"/>
  <c r="N162" i="25"/>
  <c r="T162" i="25" s="1"/>
  <c r="N100" i="29"/>
  <c r="V106" i="25"/>
  <c r="O106" i="25"/>
  <c r="L106" i="15"/>
  <c r="N80" i="29"/>
  <c r="O86" i="25"/>
  <c r="V86" i="25"/>
  <c r="L86" i="15"/>
  <c r="N39" i="29"/>
  <c r="V45" i="25"/>
  <c r="O45" i="25"/>
  <c r="L45" i="15"/>
  <c r="N63" i="29"/>
  <c r="V69" i="25"/>
  <c r="O69" i="25"/>
  <c r="L69" i="15"/>
  <c r="M214" i="29"/>
  <c r="S214" i="29" s="1"/>
  <c r="U220" i="25"/>
  <c r="AA220" i="25" s="1"/>
  <c r="N220" i="25"/>
  <c r="T220" i="25" s="1"/>
  <c r="O108" i="29"/>
  <c r="W114" i="25"/>
  <c r="P114" i="25"/>
  <c r="M114" i="15"/>
  <c r="M101" i="29"/>
  <c r="S101" i="29" s="1"/>
  <c r="U107" i="25"/>
  <c r="AA107" i="25" s="1"/>
  <c r="N107" i="25"/>
  <c r="T107" i="25" s="1"/>
  <c r="M206" i="29"/>
  <c r="S206" i="29" s="1"/>
  <c r="N212" i="25"/>
  <c r="T212" i="25" s="1"/>
  <c r="U212" i="25"/>
  <c r="AA212" i="25" s="1"/>
  <c r="M66" i="29"/>
  <c r="S66" i="29" s="1"/>
  <c r="U72" i="25"/>
  <c r="AA72" i="25" s="1"/>
  <c r="N72" i="25"/>
  <c r="T72" i="25" s="1"/>
  <c r="N73" i="29"/>
  <c r="O79" i="25"/>
  <c r="V79" i="25"/>
  <c r="L79" i="15"/>
  <c r="N131" i="29"/>
  <c r="O137" i="25"/>
  <c r="V137" i="25"/>
  <c r="L137" i="15"/>
  <c r="N14" i="29"/>
  <c r="V20" i="25"/>
  <c r="O20" i="25"/>
  <c r="L20" i="15"/>
  <c r="N77" i="25"/>
  <c r="T77" i="25" s="1"/>
  <c r="U77" i="25"/>
  <c r="AA77" i="25" s="1"/>
  <c r="M71" i="29"/>
  <c r="S71" i="29" s="1"/>
  <c r="M161" i="29"/>
  <c r="S161" i="29" s="1"/>
  <c r="U167" i="25"/>
  <c r="AA167" i="25" s="1"/>
  <c r="N167" i="25"/>
  <c r="T167" i="25" s="1"/>
  <c r="M192" i="29"/>
  <c r="S192" i="29" s="1"/>
  <c r="U198" i="25"/>
  <c r="AA198" i="25" s="1"/>
  <c r="N198" i="25"/>
  <c r="T198" i="25" s="1"/>
  <c r="M86" i="29"/>
  <c r="S86" i="29" s="1"/>
  <c r="U92" i="25"/>
  <c r="AA92" i="25" s="1"/>
  <c r="N92" i="25"/>
  <c r="T92" i="25" s="1"/>
  <c r="N16" i="29"/>
  <c r="O22" i="25"/>
  <c r="V22" i="25"/>
  <c r="L22" i="15"/>
  <c r="N61" i="29"/>
  <c r="O67" i="25"/>
  <c r="V67" i="25"/>
  <c r="L67" i="15"/>
  <c r="N42" i="29"/>
  <c r="V48" i="25"/>
  <c r="O48" i="25"/>
  <c r="L48" i="15"/>
  <c r="O82" i="29"/>
  <c r="W88" i="25"/>
  <c r="P88" i="25"/>
  <c r="M88" i="15"/>
  <c r="M35" i="29"/>
  <c r="S35" i="29" s="1"/>
  <c r="U41" i="25"/>
  <c r="AA41" i="25" s="1"/>
  <c r="N41" i="25"/>
  <c r="T41" i="25" s="1"/>
  <c r="M194" i="29"/>
  <c r="S194" i="29" s="1"/>
  <c r="U200" i="25"/>
  <c r="AA200" i="25" s="1"/>
  <c r="N200" i="25"/>
  <c r="T200" i="25" s="1"/>
  <c r="M110" i="29"/>
  <c r="S110" i="29" s="1"/>
  <c r="N116" i="25"/>
  <c r="T116" i="25" s="1"/>
  <c r="U116" i="25"/>
  <c r="AA116" i="25" s="1"/>
  <c r="M7" i="29"/>
  <c r="S7" i="29" s="1"/>
  <c r="N13" i="25"/>
  <c r="T13" i="25" s="1"/>
  <c r="U13" i="25"/>
  <c r="AA13" i="25" s="1"/>
  <c r="O213" i="29"/>
  <c r="W219" i="25"/>
  <c r="P219" i="25"/>
  <c r="M219" i="15"/>
  <c r="N141" i="29"/>
  <c r="V147" i="25"/>
  <c r="O147" i="25"/>
  <c r="L147" i="15"/>
  <c r="N212" i="29"/>
  <c r="V218" i="25"/>
  <c r="O218" i="25"/>
  <c r="L218" i="15"/>
  <c r="N199" i="29"/>
  <c r="V205" i="25"/>
  <c r="O205" i="25"/>
  <c r="L205" i="15"/>
  <c r="M176" i="29"/>
  <c r="S176" i="29" s="1"/>
  <c r="N182" i="25"/>
  <c r="T182" i="25" s="1"/>
  <c r="U182" i="25"/>
  <c r="AA182" i="25" s="1"/>
  <c r="N115" i="29"/>
  <c r="O121" i="25"/>
  <c r="V121" i="25"/>
  <c r="L121" i="15"/>
  <c r="U12" i="25"/>
  <c r="AA12" i="25" s="1"/>
  <c r="N12" i="25"/>
  <c r="T12" i="25" s="1"/>
  <c r="M6" i="29"/>
  <c r="S6" i="29" s="1"/>
  <c r="V28" i="25"/>
  <c r="O28" i="25"/>
  <c r="N22" i="29"/>
  <c r="L28" i="15"/>
  <c r="O93" i="25"/>
  <c r="V93" i="25"/>
  <c r="N87" i="29"/>
  <c r="L93" i="15"/>
  <c r="M81" i="29"/>
  <c r="S81" i="29" s="1"/>
  <c r="U87" i="25"/>
  <c r="AA87" i="25" s="1"/>
  <c r="N87" i="25"/>
  <c r="T87" i="25" s="1"/>
  <c r="N182" i="29"/>
  <c r="O188" i="25"/>
  <c r="V188" i="25"/>
  <c r="L188" i="15"/>
  <c r="M150" i="29"/>
  <c r="S150" i="29" s="1"/>
  <c r="N156" i="25"/>
  <c r="T156" i="25" s="1"/>
  <c r="U156" i="25"/>
  <c r="AA156" i="25" s="1"/>
  <c r="N123" i="29"/>
  <c r="O129" i="25"/>
  <c r="V129" i="25"/>
  <c r="L129" i="15"/>
  <c r="N88" i="29"/>
  <c r="V94" i="25"/>
  <c r="O94" i="25"/>
  <c r="L94" i="15"/>
  <c r="N20" i="29"/>
  <c r="V26" i="25"/>
  <c r="O26" i="25"/>
  <c r="L26" i="15"/>
  <c r="N124" i="25"/>
  <c r="T124" i="25" s="1"/>
  <c r="M118" i="29"/>
  <c r="S118" i="29" s="1"/>
  <c r="U124" i="25"/>
  <c r="AA124" i="25" s="1"/>
  <c r="M57" i="29"/>
  <c r="S57" i="29" s="1"/>
  <c r="U63" i="25"/>
  <c r="AA63" i="25" s="1"/>
  <c r="N63" i="25"/>
  <c r="T63" i="25" s="1"/>
  <c r="N55" i="29"/>
  <c r="O61" i="25"/>
  <c r="V61" i="25"/>
  <c r="L61" i="15"/>
  <c r="N210" i="29"/>
  <c r="O216" i="25"/>
  <c r="V216" i="25"/>
  <c r="L216" i="15"/>
  <c r="M105" i="29"/>
  <c r="S105" i="29" s="1"/>
  <c r="U111" i="25"/>
  <c r="AA111" i="25" s="1"/>
  <c r="N111" i="25"/>
  <c r="T111" i="25" s="1"/>
  <c r="N65" i="29"/>
  <c r="O71" i="25"/>
  <c r="V71" i="25"/>
  <c r="L71" i="15"/>
  <c r="P209" i="29"/>
  <c r="Q215" i="25"/>
  <c r="X215" i="25"/>
  <c r="N215" i="15"/>
  <c r="M59" i="29"/>
  <c r="S59" i="29" s="1"/>
  <c r="N65" i="25"/>
  <c r="T65" i="25" s="1"/>
  <c r="U65" i="25"/>
  <c r="AA65" i="25" s="1"/>
  <c r="N32" i="29"/>
  <c r="O38" i="25"/>
  <c r="V38" i="25"/>
  <c r="L38" i="15"/>
  <c r="M78" i="29"/>
  <c r="S78" i="29" s="1"/>
  <c r="N84" i="25"/>
  <c r="T84" i="25" s="1"/>
  <c r="U84" i="25"/>
  <c r="AA84" i="25" s="1"/>
  <c r="M139" i="29"/>
  <c r="S139" i="29" s="1"/>
  <c r="N145" i="25"/>
  <c r="T145" i="25" s="1"/>
  <c r="U145" i="25"/>
  <c r="AA145" i="25" s="1"/>
  <c r="N142" i="29"/>
  <c r="O148" i="25"/>
  <c r="V148" i="25"/>
  <c r="L148" i="15"/>
  <c r="M121" i="29"/>
  <c r="S121" i="29" s="1"/>
  <c r="N127" i="25"/>
  <c r="T127" i="25" s="1"/>
  <c r="U127" i="25"/>
  <c r="AA127" i="25" s="1"/>
  <c r="N94" i="29"/>
  <c r="V100" i="25"/>
  <c r="O100" i="25"/>
  <c r="L100" i="15"/>
  <c r="V90" i="25"/>
  <c r="O90" i="25"/>
  <c r="N84" i="29"/>
  <c r="L90" i="15"/>
  <c r="M58" i="29"/>
  <c r="S58" i="29" s="1"/>
  <c r="U64" i="25"/>
  <c r="AA64" i="25" s="1"/>
  <c r="N64" i="25"/>
  <c r="T64" i="25" s="1"/>
  <c r="P200" i="29"/>
  <c r="Q206" i="25"/>
  <c r="X206" i="25"/>
  <c r="N206" i="15"/>
  <c r="N183" i="29"/>
  <c r="V189" i="25"/>
  <c r="O189" i="25"/>
  <c r="L189" i="15"/>
  <c r="N170" i="29"/>
  <c r="V176" i="25"/>
  <c r="O176" i="25"/>
  <c r="L176" i="15"/>
  <c r="M74" i="29"/>
  <c r="S74" i="29" s="1"/>
  <c r="U80" i="25"/>
  <c r="AA80" i="25" s="1"/>
  <c r="N80" i="25"/>
  <c r="T80" i="25" s="1"/>
  <c r="M154" i="29"/>
  <c r="S154" i="29" s="1"/>
  <c r="U160" i="25"/>
  <c r="AA160" i="25" s="1"/>
  <c r="N160" i="25"/>
  <c r="T160" i="25" s="1"/>
  <c r="N166" i="29"/>
  <c r="O172" i="25"/>
  <c r="V172" i="25"/>
  <c r="L172" i="15"/>
  <c r="N28" i="29"/>
  <c r="O34" i="25"/>
  <c r="V34" i="25"/>
  <c r="L34" i="15"/>
  <c r="M146" i="29"/>
  <c r="S146" i="29" s="1"/>
  <c r="U152" i="25"/>
  <c r="AA152" i="25" s="1"/>
  <c r="N152" i="25"/>
  <c r="T152" i="25" s="1"/>
  <c r="N62" i="29"/>
  <c r="V68" i="25"/>
  <c r="O68" i="25"/>
  <c r="L68" i="15"/>
  <c r="N167" i="29"/>
  <c r="V173" i="25"/>
  <c r="O173" i="25"/>
  <c r="L173" i="15"/>
  <c r="O215" i="29"/>
  <c r="W221" i="25"/>
  <c r="P221" i="25"/>
  <c r="M221" i="15"/>
  <c r="M96" i="29"/>
  <c r="S96" i="29" s="1"/>
  <c r="N102" i="25"/>
  <c r="T102" i="25" s="1"/>
  <c r="U102" i="25"/>
  <c r="AA102" i="25" s="1"/>
  <c r="O128" i="25"/>
  <c r="N122" i="29"/>
  <c r="V128" i="25"/>
  <c r="L128" i="15"/>
  <c r="M38" i="29"/>
  <c r="S38" i="29" s="1"/>
  <c r="N44" i="25"/>
  <c r="T44" i="25" s="1"/>
  <c r="U44" i="25"/>
  <c r="AA44" i="25" s="1"/>
  <c r="N207" i="29"/>
  <c r="V213" i="25"/>
  <c r="O213" i="25"/>
  <c r="L213" i="15"/>
  <c r="N170" i="25"/>
  <c r="T170" i="25" s="1"/>
  <c r="U170" i="25"/>
  <c r="AA170" i="25" s="1"/>
  <c r="M164" i="29"/>
  <c r="S164" i="29" s="1"/>
  <c r="N43" i="29"/>
  <c r="V49" i="25"/>
  <c r="O49" i="25"/>
  <c r="L49" i="15"/>
  <c r="V177" i="25"/>
  <c r="O177" i="25"/>
  <c r="N171" i="29"/>
  <c r="L177" i="15"/>
  <c r="N31" i="29"/>
  <c r="O37" i="25"/>
  <c r="V37" i="25"/>
  <c r="L37" i="15"/>
  <c r="N104" i="29"/>
  <c r="V110" i="25"/>
  <c r="O110" i="25"/>
  <c r="L110" i="15"/>
  <c r="O149" i="29"/>
  <c r="P155" i="25"/>
  <c r="W155" i="25"/>
  <c r="M155" i="15"/>
  <c r="M26" i="29"/>
  <c r="S26" i="29" s="1"/>
  <c r="U32" i="25"/>
  <c r="AA32" i="25" s="1"/>
  <c r="N32" i="25"/>
  <c r="T32" i="25" s="1"/>
  <c r="M21" i="29"/>
  <c r="S21" i="29" s="1"/>
  <c r="N27" i="25"/>
  <c r="T27" i="25" s="1"/>
  <c r="U27" i="25"/>
  <c r="AA27" i="25" s="1"/>
  <c r="O152" i="29"/>
  <c r="W158" i="25"/>
  <c r="P158" i="25"/>
  <c r="M158" i="15"/>
  <c r="M132" i="29"/>
  <c r="S132" i="29" s="1"/>
  <c r="N138" i="25"/>
  <c r="T138" i="25" s="1"/>
  <c r="U138" i="25"/>
  <c r="AA138" i="25" s="1"/>
  <c r="M187" i="29"/>
  <c r="S187" i="29" s="1"/>
  <c r="N193" i="25"/>
  <c r="T193" i="25" s="1"/>
  <c r="U193" i="25"/>
  <c r="AA193" i="25" s="1"/>
  <c r="P198" i="29"/>
  <c r="Q204" i="25"/>
  <c r="X204" i="25"/>
  <c r="N204" i="15"/>
  <c r="N162" i="29"/>
  <c r="V168" i="25"/>
  <c r="O168" i="25"/>
  <c r="L168" i="15"/>
  <c r="M18" i="29"/>
  <c r="S18" i="29" s="1"/>
  <c r="N24" i="25"/>
  <c r="T24" i="25" s="1"/>
  <c r="U24" i="25"/>
  <c r="AA24" i="25" s="1"/>
  <c r="N218" i="29"/>
  <c r="O224" i="25"/>
  <c r="V224" i="25"/>
  <c r="L224" i="15"/>
  <c r="M64" i="29"/>
  <c r="S64" i="29" s="1"/>
  <c r="N70" i="25"/>
  <c r="T70" i="25" s="1"/>
  <c r="U70" i="25"/>
  <c r="AA70" i="25" s="1"/>
  <c r="N126" i="29"/>
  <c r="O132" i="25"/>
  <c r="V132" i="25"/>
  <c r="L132" i="15"/>
  <c r="N50" i="29"/>
  <c r="O56" i="25"/>
  <c r="V56" i="25"/>
  <c r="L56" i="15"/>
  <c r="N216" i="29"/>
  <c r="O222" i="25"/>
  <c r="V222" i="25"/>
  <c r="L222" i="15"/>
  <c r="W225" i="25"/>
  <c r="P225" i="25"/>
  <c r="O219" i="29"/>
  <c r="M225" i="15"/>
  <c r="N24" i="29"/>
  <c r="V30" i="25"/>
  <c r="O30" i="25"/>
  <c r="L30" i="15"/>
  <c r="M148" i="29"/>
  <c r="S148" i="29" s="1"/>
  <c r="N154" i="25"/>
  <c r="T154" i="25" s="1"/>
  <c r="U154" i="25"/>
  <c r="AA154" i="25" s="1"/>
  <c r="N85" i="29"/>
  <c r="V91" i="25"/>
  <c r="O91" i="25"/>
  <c r="L91" i="15"/>
  <c r="V43" i="25"/>
  <c r="N37" i="29"/>
  <c r="O43" i="25"/>
  <c r="L43" i="15"/>
  <c r="N99" i="29"/>
  <c r="V105" i="25"/>
  <c r="O105" i="25"/>
  <c r="L105" i="15"/>
  <c r="N19" i="29"/>
  <c r="O25" i="25"/>
  <c r="V25" i="25"/>
  <c r="L25" i="15"/>
  <c r="M188" i="29"/>
  <c r="S188" i="29" s="1"/>
  <c r="U194" i="25"/>
  <c r="AA194" i="25" s="1"/>
  <c r="N194" i="25"/>
  <c r="T194" i="25" s="1"/>
  <c r="M137" i="29"/>
  <c r="S137" i="29" s="1"/>
  <c r="U143" i="25"/>
  <c r="AA143" i="25" s="1"/>
  <c r="N143" i="25"/>
  <c r="T143" i="25" s="1"/>
  <c r="N205" i="29"/>
  <c r="O211" i="25"/>
  <c r="V211" i="25"/>
  <c r="L211" i="15"/>
  <c r="O131" i="25"/>
  <c r="V131" i="25"/>
  <c r="N125" i="29"/>
  <c r="L131" i="15"/>
  <c r="M175" i="29"/>
  <c r="S175" i="29" s="1"/>
  <c r="U181" i="25"/>
  <c r="AA181" i="25" s="1"/>
  <c r="N181" i="25"/>
  <c r="T181" i="25" s="1"/>
  <c r="N60" i="29"/>
  <c r="V66" i="25"/>
  <c r="O66" i="25"/>
  <c r="L66" i="15"/>
  <c r="M190" i="29"/>
  <c r="S190" i="29" s="1"/>
  <c r="U196" i="25"/>
  <c r="AA196" i="25" s="1"/>
  <c r="N196" i="25"/>
  <c r="T196" i="25" s="1"/>
  <c r="M172" i="29"/>
  <c r="S172" i="29" s="1"/>
  <c r="N178" i="25"/>
  <c r="T178" i="25" s="1"/>
  <c r="U178" i="25"/>
  <c r="AA178" i="25" s="1"/>
  <c r="N204" i="29"/>
  <c r="O210" i="25"/>
  <c r="V210" i="25"/>
  <c r="L210" i="15"/>
  <c r="N8" i="29"/>
  <c r="V14" i="25"/>
  <c r="O14" i="25"/>
  <c r="L14" i="15"/>
  <c r="M83" i="29"/>
  <c r="S83" i="29" s="1"/>
  <c r="N89" i="25"/>
  <c r="T89" i="25" s="1"/>
  <c r="U89" i="25"/>
  <c r="AA89" i="25" s="1"/>
  <c r="N29" i="29"/>
  <c r="V35" i="25"/>
  <c r="O35" i="25"/>
  <c r="L35" i="15"/>
  <c r="N186" i="29"/>
  <c r="V192" i="25"/>
  <c r="O192" i="25"/>
  <c r="L192" i="15"/>
  <c r="M76" i="29"/>
  <c r="S76" i="29" s="1"/>
  <c r="N82" i="25"/>
  <c r="T82" i="25" s="1"/>
  <c r="U82" i="25"/>
  <c r="AA82" i="25" s="1"/>
  <c r="O54" i="29"/>
  <c r="W60" i="25"/>
  <c r="P60" i="25"/>
  <c r="M60" i="15"/>
  <c r="N117" i="29"/>
  <c r="O123" i="25"/>
  <c r="V123" i="25"/>
  <c r="L123" i="15"/>
  <c r="M143" i="29"/>
  <c r="S143" i="29" s="1"/>
  <c r="U149" i="25"/>
  <c r="AA149" i="25" s="1"/>
  <c r="N149" i="25"/>
  <c r="T149" i="25" s="1"/>
  <c r="M158" i="29"/>
  <c r="S158" i="29" s="1"/>
  <c r="U164" i="25"/>
  <c r="AA164" i="25" s="1"/>
  <c r="N164" i="25"/>
  <c r="T164" i="25" s="1"/>
  <c r="N153" i="29"/>
  <c r="V159" i="25"/>
  <c r="O159" i="25"/>
  <c r="L159" i="15"/>
  <c r="V16" i="25"/>
  <c r="O16" i="25"/>
  <c r="N10" i="29"/>
  <c r="L16" i="15"/>
  <c r="M195" i="29"/>
  <c r="S195" i="29" s="1"/>
  <c r="U201" i="25"/>
  <c r="AA201" i="25" s="1"/>
  <c r="N201" i="25"/>
  <c r="T201" i="25" s="1"/>
  <c r="O93" i="29"/>
  <c r="P99" i="25"/>
  <c r="W99" i="25"/>
  <c r="M99" i="15"/>
  <c r="N127" i="29"/>
  <c r="O133" i="25"/>
  <c r="V133" i="25"/>
  <c r="L133" i="15"/>
  <c r="N23" i="25"/>
  <c r="T23" i="25" s="1"/>
  <c r="U23" i="25"/>
  <c r="AA23" i="25" s="1"/>
  <c r="M17" i="29"/>
  <c r="S17" i="29" s="1"/>
  <c r="N138" i="29"/>
  <c r="V144" i="25"/>
  <c r="O144" i="25"/>
  <c r="L144" i="15"/>
  <c r="N68" i="29"/>
  <c r="O74" i="25"/>
  <c r="V74" i="25"/>
  <c r="L74" i="15"/>
  <c r="O56" i="29"/>
  <c r="P62" i="25"/>
  <c r="W62" i="25"/>
  <c r="M62" i="15"/>
  <c r="M124" i="29"/>
  <c r="S124" i="29" s="1"/>
  <c r="N130" i="25"/>
  <c r="T130" i="25" s="1"/>
  <c r="U130" i="25"/>
  <c r="AA130" i="25" s="1"/>
  <c r="N40" i="29"/>
  <c r="V46" i="25"/>
  <c r="O46" i="25"/>
  <c r="L46" i="15"/>
  <c r="M193" i="29"/>
  <c r="S193" i="29" s="1"/>
  <c r="N199" i="25"/>
  <c r="T199" i="25" s="1"/>
  <c r="U199" i="25"/>
  <c r="AA199" i="25" s="1"/>
  <c r="Q57" i="25"/>
  <c r="P51" i="29"/>
  <c r="X57" i="25"/>
  <c r="N57" i="15"/>
  <c r="N44" i="29"/>
  <c r="V50" i="25"/>
  <c r="O50" i="25"/>
  <c r="L50" i="15"/>
  <c r="N103" i="29"/>
  <c r="O109" i="25"/>
  <c r="V109" i="25"/>
  <c r="L109" i="15"/>
  <c r="M217" i="29"/>
  <c r="S217" i="29" s="1"/>
  <c r="N223" i="25"/>
  <c r="T223" i="25" s="1"/>
  <c r="U223" i="25"/>
  <c r="AA223" i="25" s="1"/>
  <c r="N23" i="29"/>
  <c r="O29" i="25"/>
  <c r="V29" i="25"/>
  <c r="L29" i="15"/>
  <c r="O116" i="29"/>
  <c r="W122" i="25"/>
  <c r="P122" i="25"/>
  <c r="M122" i="15"/>
  <c r="N144" i="29"/>
  <c r="O150" i="25"/>
  <c r="V150" i="25"/>
  <c r="L150" i="15"/>
  <c r="N97" i="29"/>
  <c r="O103" i="25"/>
  <c r="V103" i="25"/>
  <c r="L103" i="15"/>
  <c r="N36" i="29"/>
  <c r="V42" i="25"/>
  <c r="O42" i="25"/>
  <c r="L42" i="15"/>
  <c r="N163" i="29"/>
  <c r="O169" i="25"/>
  <c r="V169" i="25"/>
  <c r="L169" i="15"/>
  <c r="D5" i="9"/>
  <c r="D61" i="9"/>
  <c r="D31" i="9"/>
  <c r="H8" i="9"/>
  <c r="G9" i="9"/>
  <c r="F8" i="9"/>
  <c r="E7" i="9"/>
  <c r="Y35" i="29"/>
  <c r="Y164" i="29"/>
  <c r="Y152" i="29"/>
  <c r="Y141" i="29"/>
  <c r="Y42" i="29"/>
  <c r="Y6" i="29"/>
  <c r="Y133" i="29"/>
  <c r="Y31" i="29"/>
  <c r="BE16" i="25"/>
  <c r="BE53" i="25"/>
  <c r="BE47" i="25"/>
  <c r="BE168" i="25"/>
  <c r="BE43" i="25"/>
  <c r="BE50" i="25"/>
  <c r="BE46" i="25"/>
  <c r="BE94" i="25"/>
  <c r="BE30" i="25"/>
  <c r="AZ47" i="25"/>
  <c r="AZ76" i="25"/>
  <c r="AZ155" i="25"/>
  <c r="AZ43" i="25"/>
  <c r="AZ12" i="25"/>
  <c r="AZ29" i="25"/>
  <c r="AZ14" i="25"/>
  <c r="AZ37" i="25"/>
  <c r="AJ158" i="25"/>
  <c r="Y155" i="29"/>
  <c r="Y17" i="29"/>
  <c r="Y138" i="29"/>
  <c r="Y39" i="29"/>
  <c r="Y109" i="29"/>
  <c r="Y28" i="29"/>
  <c r="BE169" i="25"/>
  <c r="BE13" i="25"/>
  <c r="BE96" i="25"/>
  <c r="BE14" i="25"/>
  <c r="BE143" i="25"/>
  <c r="AZ40" i="25"/>
  <c r="AZ19" i="25"/>
  <c r="AZ94" i="25"/>
  <c r="AZ18" i="25"/>
  <c r="AZ116" i="25"/>
  <c r="Y36" i="29"/>
  <c r="BE34" i="25"/>
  <c r="BE29" i="25"/>
  <c r="AZ75" i="25"/>
  <c r="AZ26" i="25"/>
  <c r="AJ146" i="25"/>
  <c r="Y144" i="29"/>
  <c r="BE97" i="25"/>
  <c r="AZ48" i="25"/>
  <c r="Y8" i="29"/>
  <c r="Y5" i="29"/>
  <c r="BE17" i="25"/>
  <c r="BE75" i="25"/>
  <c r="BE38" i="25"/>
  <c r="AK159" i="25"/>
  <c r="AZ167" i="25"/>
  <c r="AZ141" i="25"/>
  <c r="AZ149" i="25"/>
  <c r="Y91" i="29"/>
  <c r="BE115" i="25"/>
  <c r="BE139" i="25"/>
  <c r="AK161" i="25"/>
  <c r="AZ31" i="25"/>
  <c r="AZ160" i="25"/>
  <c r="BE25" i="25"/>
  <c r="AZ41" i="25"/>
  <c r="Y162" i="29"/>
  <c r="Y146" i="29"/>
  <c r="Y156" i="29"/>
  <c r="Y135" i="29"/>
  <c r="Y163" i="29"/>
  <c r="Y25" i="29"/>
  <c r="BE31" i="25"/>
  <c r="BE33" i="25"/>
  <c r="BE159" i="25"/>
  <c r="BE20" i="25"/>
  <c r="AZ58" i="25"/>
  <c r="AZ77" i="25"/>
  <c r="AJ148" i="25"/>
  <c r="Y136" i="29"/>
  <c r="BE28" i="25"/>
  <c r="Y161" i="29"/>
  <c r="Y137" i="29"/>
  <c r="Y158" i="29"/>
  <c r="Y111" i="29"/>
  <c r="Y33" i="29"/>
  <c r="Y160" i="29"/>
  <c r="Y88" i="29"/>
  <c r="Y22" i="29"/>
  <c r="BE158" i="25"/>
  <c r="BE98" i="25"/>
  <c r="BE51" i="25"/>
  <c r="BE144" i="25"/>
  <c r="BE22" i="25"/>
  <c r="BE142" i="25"/>
  <c r="BE95" i="25"/>
  <c r="BE149" i="25"/>
  <c r="AK158" i="25"/>
  <c r="AZ157" i="25"/>
  <c r="AZ21" i="25"/>
  <c r="AZ50" i="25"/>
  <c r="AZ28" i="25"/>
  <c r="AZ162" i="25"/>
  <c r="AZ153" i="25"/>
  <c r="AZ169" i="25"/>
  <c r="AZ13" i="25"/>
  <c r="Y149" i="29"/>
  <c r="Y119" i="29"/>
  <c r="Y134" i="29"/>
  <c r="Y30" i="29"/>
  <c r="Y157" i="29"/>
  <c r="Y70" i="29"/>
  <c r="Y19" i="29"/>
  <c r="BE55" i="25"/>
  <c r="BE154" i="25"/>
  <c r="BE24" i="25"/>
  <c r="BE163" i="25"/>
  <c r="BE45" i="25"/>
  <c r="AK160" i="25"/>
  <c r="AZ45" i="25"/>
  <c r="AZ161" i="25"/>
  <c r="AZ24" i="25"/>
  <c r="AZ49" i="25"/>
  <c r="BE153" i="25"/>
  <c r="BE140" i="25"/>
  <c r="AZ20" i="25"/>
  <c r="AZ51" i="25"/>
  <c r="AZ139" i="25"/>
  <c r="Y45" i="29"/>
  <c r="BE152" i="25"/>
  <c r="AZ152" i="25"/>
  <c r="Y108" i="29"/>
  <c r="BE52" i="25"/>
  <c r="BE58" i="25"/>
  <c r="BE151" i="25"/>
  <c r="AZ16" i="25"/>
  <c r="AZ57" i="25"/>
  <c r="AZ53" i="25"/>
  <c r="AZ158" i="25"/>
  <c r="BE156" i="25"/>
  <c r="AZ125" i="25"/>
  <c r="AZ98" i="25"/>
  <c r="AZ34" i="25"/>
  <c r="AZ11" i="25"/>
  <c r="Y9" i="29"/>
  <c r="BE40" i="25"/>
  <c r="AZ38" i="25"/>
  <c r="Y140" i="29"/>
  <c r="Y110" i="29"/>
  <c r="Y89" i="29"/>
  <c r="Y90" i="29"/>
  <c r="Y27" i="29"/>
  <c r="Y154" i="29"/>
  <c r="Y52" i="29"/>
  <c r="Y16" i="29"/>
  <c r="BE155" i="25"/>
  <c r="BE15" i="25"/>
  <c r="BE37" i="25"/>
  <c r="BE164" i="25"/>
  <c r="BE32" i="25"/>
  <c r="AZ156" i="25"/>
  <c r="AZ25" i="25"/>
  <c r="Y34" i="29"/>
  <c r="BE167" i="25"/>
  <c r="AJ161" i="25"/>
  <c r="Y86" i="29"/>
  <c r="Y92" i="29"/>
  <c r="Y71" i="29"/>
  <c r="Y87" i="29"/>
  <c r="Y24" i="29"/>
  <c r="Y151" i="29"/>
  <c r="Y49" i="29"/>
  <c r="Y13" i="29"/>
  <c r="BE18" i="25"/>
  <c r="BE114" i="25"/>
  <c r="BE78" i="25"/>
  <c r="AK146" i="25"/>
  <c r="AK147" i="25"/>
  <c r="BE161" i="25"/>
  <c r="BE157" i="25"/>
  <c r="BE148" i="25"/>
  <c r="AZ114" i="25"/>
  <c r="AZ115" i="25"/>
  <c r="AZ56" i="25"/>
  <c r="AZ39" i="25"/>
  <c r="AZ23" i="25"/>
  <c r="AZ78" i="25"/>
  <c r="AZ147" i="25"/>
  <c r="AZ27" i="25"/>
  <c r="AZ15" i="25"/>
  <c r="Y10" i="29"/>
  <c r="BE57" i="25"/>
  <c r="BE44" i="25"/>
  <c r="BE12" i="25"/>
  <c r="AZ159" i="25"/>
  <c r="AZ117" i="25"/>
  <c r="AZ36" i="25"/>
  <c r="AZ93" i="25"/>
  <c r="AJ147" i="25"/>
  <c r="Y139" i="29"/>
  <c r="BE146" i="25"/>
  <c r="AZ30" i="25"/>
  <c r="Y14" i="29"/>
  <c r="AZ146" i="25"/>
  <c r="Y50" i="29"/>
  <c r="Y47" i="29"/>
  <c r="Y26" i="29"/>
  <c r="Y72" i="29"/>
  <c r="Y21" i="29"/>
  <c r="Y148" i="29"/>
  <c r="Y46" i="29"/>
  <c r="BE117" i="25"/>
  <c r="BE165" i="25"/>
  <c r="BE11" i="25"/>
  <c r="BE93" i="25"/>
  <c r="BE162" i="25"/>
  <c r="AZ54" i="25"/>
  <c r="AZ154" i="25"/>
  <c r="AZ32" i="25"/>
  <c r="AZ52" i="25"/>
  <c r="Y20" i="29"/>
  <c r="AK148" i="25"/>
  <c r="BE26" i="25"/>
  <c r="AZ140" i="25"/>
  <c r="AJ159" i="25"/>
  <c r="AZ144" i="25"/>
  <c r="Y41" i="29"/>
  <c r="Y38" i="29"/>
  <c r="Y153" i="29"/>
  <c r="Y69" i="29"/>
  <c r="Y18" i="29"/>
  <c r="Y145" i="29"/>
  <c r="Y43" i="29"/>
  <c r="Y7" i="29"/>
  <c r="BE27" i="25"/>
  <c r="BE39" i="25"/>
  <c r="BE21" i="25"/>
  <c r="BE42" i="25"/>
  <c r="BE49" i="25"/>
  <c r="BE48" i="25"/>
  <c r="BE54" i="25"/>
  <c r="BE56" i="25"/>
  <c r="AZ22" i="25"/>
  <c r="AZ95" i="25"/>
  <c r="AZ170" i="25"/>
  <c r="AZ55" i="25"/>
  <c r="AZ150" i="25"/>
  <c r="AZ143" i="25"/>
  <c r="AJ149" i="25"/>
  <c r="AZ35" i="25"/>
  <c r="AZ92" i="25"/>
  <c r="Y143" i="29"/>
  <c r="Y147" i="29"/>
  <c r="Y12" i="29"/>
  <c r="BE160" i="25"/>
  <c r="BE77" i="25"/>
  <c r="BE76" i="25"/>
  <c r="AZ168" i="25"/>
  <c r="AZ33" i="25"/>
  <c r="AZ142" i="25"/>
  <c r="Y44" i="29"/>
  <c r="BE170" i="25"/>
  <c r="BE150" i="25"/>
  <c r="AZ44" i="25"/>
  <c r="Y159" i="29"/>
  <c r="Y32" i="29"/>
  <c r="Y29" i="29"/>
  <c r="Y150" i="29"/>
  <c r="Y51" i="29"/>
  <c r="Y15" i="29"/>
  <c r="Y142" i="29"/>
  <c r="Y40" i="29"/>
  <c r="BE125" i="25"/>
  <c r="BE145" i="25"/>
  <c r="BE92" i="25"/>
  <c r="BE41" i="25"/>
  <c r="BE147" i="25"/>
  <c r="BE141" i="25"/>
  <c r="BE23" i="25"/>
  <c r="AK149" i="25"/>
  <c r="BE116" i="25"/>
  <c r="AZ42" i="25"/>
  <c r="AZ148" i="25"/>
  <c r="AZ145" i="25"/>
  <c r="AZ46" i="25"/>
  <c r="AZ97" i="25"/>
  <c r="AZ96" i="25"/>
  <c r="AZ165" i="25"/>
  <c r="AZ163" i="25"/>
  <c r="AJ160" i="25"/>
  <c r="Y23" i="29"/>
  <c r="Y48" i="29"/>
  <c r="Y37" i="29"/>
  <c r="BE36" i="25"/>
  <c r="BE19" i="25"/>
  <c r="BE166" i="25"/>
  <c r="AZ164" i="25"/>
  <c r="AZ166" i="25"/>
  <c r="AZ151" i="25"/>
  <c r="Y11" i="29"/>
  <c r="BE35" i="25"/>
  <c r="AZ17" i="25"/>
  <c r="AL146" i="25" l="1"/>
  <c r="AL147" i="25" s="1"/>
  <c r="AL148" i="25" s="1"/>
  <c r="AL149" i="25" s="1"/>
  <c r="AM146" i="25"/>
  <c r="AM147" i="25" s="1"/>
  <c r="AM148" i="25" s="1"/>
  <c r="AM149" i="25" s="1"/>
  <c r="N116" i="29"/>
  <c r="V122" i="25"/>
  <c r="O122" i="25"/>
  <c r="L122" i="15"/>
  <c r="M37" i="29"/>
  <c r="S37" i="29" s="1"/>
  <c r="U43" i="25"/>
  <c r="AA43" i="25" s="1"/>
  <c r="N43" i="25"/>
  <c r="T43" i="25" s="1"/>
  <c r="M144" i="29"/>
  <c r="S144" i="29" s="1"/>
  <c r="N150" i="25"/>
  <c r="T150" i="25" s="1"/>
  <c r="U150" i="25"/>
  <c r="AA150" i="25" s="1"/>
  <c r="M97" i="29"/>
  <c r="S97" i="29" s="1"/>
  <c r="U103" i="25"/>
  <c r="AA103" i="25" s="1"/>
  <c r="N103" i="25"/>
  <c r="T103" i="25" s="1"/>
  <c r="M23" i="29"/>
  <c r="S23" i="29" s="1"/>
  <c r="N29" i="25"/>
  <c r="T29" i="25" s="1"/>
  <c r="U29" i="25"/>
  <c r="AA29" i="25" s="1"/>
  <c r="N93" i="29"/>
  <c r="V99" i="25"/>
  <c r="O99" i="25"/>
  <c r="L99" i="15"/>
  <c r="M29" i="29"/>
  <c r="S29" i="29" s="1"/>
  <c r="N35" i="25"/>
  <c r="T35" i="25" s="1"/>
  <c r="U35" i="25"/>
  <c r="AA35" i="25" s="1"/>
  <c r="M19" i="29"/>
  <c r="S19" i="29" s="1"/>
  <c r="U25" i="25"/>
  <c r="AA25" i="25" s="1"/>
  <c r="N25" i="25"/>
  <c r="T25" i="25" s="1"/>
  <c r="M85" i="29"/>
  <c r="S85" i="29" s="1"/>
  <c r="U91" i="25"/>
  <c r="AA91" i="25" s="1"/>
  <c r="N91" i="25"/>
  <c r="T91" i="25" s="1"/>
  <c r="M218" i="29"/>
  <c r="S218" i="29" s="1"/>
  <c r="U224" i="25"/>
  <c r="AA224" i="25" s="1"/>
  <c r="N224" i="25"/>
  <c r="T224" i="25" s="1"/>
  <c r="M207" i="29"/>
  <c r="S207" i="29" s="1"/>
  <c r="N213" i="25"/>
  <c r="T213" i="25" s="1"/>
  <c r="U213" i="25"/>
  <c r="AA213" i="25" s="1"/>
  <c r="M167" i="29"/>
  <c r="S167" i="29" s="1"/>
  <c r="U173" i="25"/>
  <c r="AA173" i="25" s="1"/>
  <c r="N173" i="25"/>
  <c r="T173" i="25" s="1"/>
  <c r="M65" i="29"/>
  <c r="S65" i="29" s="1"/>
  <c r="N71" i="25"/>
  <c r="T71" i="25" s="1"/>
  <c r="U71" i="25"/>
  <c r="AA71" i="25" s="1"/>
  <c r="M182" i="29"/>
  <c r="S182" i="29" s="1"/>
  <c r="U188" i="25"/>
  <c r="AA188" i="25" s="1"/>
  <c r="N188" i="25"/>
  <c r="T188" i="25" s="1"/>
  <c r="M115" i="29"/>
  <c r="S115" i="29" s="1"/>
  <c r="U121" i="25"/>
  <c r="AA121" i="25" s="1"/>
  <c r="N121" i="25"/>
  <c r="T121" i="25" s="1"/>
  <c r="N108" i="29"/>
  <c r="V114" i="25"/>
  <c r="O114" i="25"/>
  <c r="L114" i="15"/>
  <c r="M185" i="29"/>
  <c r="S185" i="29" s="1"/>
  <c r="N191" i="25"/>
  <c r="T191" i="25" s="1"/>
  <c r="U191" i="25"/>
  <c r="AA191" i="25" s="1"/>
  <c r="M72" i="29"/>
  <c r="S72" i="29" s="1"/>
  <c r="U78" i="25"/>
  <c r="AA78" i="25" s="1"/>
  <c r="N78" i="25"/>
  <c r="T78" i="25" s="1"/>
  <c r="M202" i="29"/>
  <c r="S202" i="29" s="1"/>
  <c r="N208" i="25"/>
  <c r="T208" i="25" s="1"/>
  <c r="U208" i="25"/>
  <c r="AA208" i="25" s="1"/>
  <c r="M15" i="29"/>
  <c r="S15" i="29" s="1"/>
  <c r="N21" i="25"/>
  <c r="T21" i="25" s="1"/>
  <c r="U21" i="25"/>
  <c r="AA21" i="25" s="1"/>
  <c r="M201" i="29"/>
  <c r="S201" i="29" s="1"/>
  <c r="N207" i="25"/>
  <c r="T207" i="25" s="1"/>
  <c r="U207" i="25"/>
  <c r="AA207" i="25" s="1"/>
  <c r="M127" i="29"/>
  <c r="S127" i="29" s="1"/>
  <c r="N133" i="25"/>
  <c r="T133" i="25" s="1"/>
  <c r="U133" i="25"/>
  <c r="AA133" i="25" s="1"/>
  <c r="M103" i="29"/>
  <c r="S103" i="29" s="1"/>
  <c r="U109" i="25"/>
  <c r="AA109" i="25" s="1"/>
  <c r="N109" i="25"/>
  <c r="T109" i="25" s="1"/>
  <c r="M138" i="29"/>
  <c r="S138" i="29" s="1"/>
  <c r="U144" i="25"/>
  <c r="AA144" i="25" s="1"/>
  <c r="N144" i="25"/>
  <c r="T144" i="25" s="1"/>
  <c r="U16" i="25"/>
  <c r="AA16" i="25" s="1"/>
  <c r="M10" i="29"/>
  <c r="S10" i="29" s="1"/>
  <c r="N16" i="25"/>
  <c r="T16" i="25" s="1"/>
  <c r="N54" i="29"/>
  <c r="V60" i="25"/>
  <c r="O60" i="25"/>
  <c r="L60" i="15"/>
  <c r="M8" i="29"/>
  <c r="S8" i="29" s="1"/>
  <c r="N14" i="25"/>
  <c r="T14" i="25" s="1"/>
  <c r="U14" i="25"/>
  <c r="AA14" i="25" s="1"/>
  <c r="M24" i="29"/>
  <c r="S24" i="29" s="1"/>
  <c r="N30" i="25"/>
  <c r="T30" i="25" s="1"/>
  <c r="U30" i="25"/>
  <c r="AA30" i="25" s="1"/>
  <c r="M50" i="29"/>
  <c r="S50" i="29" s="1"/>
  <c r="N56" i="25"/>
  <c r="T56" i="25" s="1"/>
  <c r="U56" i="25"/>
  <c r="AA56" i="25" s="1"/>
  <c r="M162" i="29"/>
  <c r="S162" i="29" s="1"/>
  <c r="N168" i="25"/>
  <c r="T168" i="25" s="1"/>
  <c r="U168" i="25"/>
  <c r="AA168" i="25" s="1"/>
  <c r="N149" i="29"/>
  <c r="V155" i="25"/>
  <c r="O155" i="25"/>
  <c r="L155" i="15"/>
  <c r="U177" i="25"/>
  <c r="AA177" i="25" s="1"/>
  <c r="N177" i="25"/>
  <c r="T177" i="25" s="1"/>
  <c r="M171" i="29"/>
  <c r="S171" i="29" s="1"/>
  <c r="N128" i="25"/>
  <c r="T128" i="25" s="1"/>
  <c r="M122" i="29"/>
  <c r="S122" i="29" s="1"/>
  <c r="U128" i="25"/>
  <c r="AA128" i="25" s="1"/>
  <c r="M170" i="29"/>
  <c r="S170" i="29" s="1"/>
  <c r="N176" i="25"/>
  <c r="T176" i="25" s="1"/>
  <c r="U176" i="25"/>
  <c r="AA176" i="25" s="1"/>
  <c r="M32" i="29"/>
  <c r="S32" i="29" s="1"/>
  <c r="U38" i="25"/>
  <c r="AA38" i="25" s="1"/>
  <c r="N38" i="25"/>
  <c r="T38" i="25" s="1"/>
  <c r="M210" i="29"/>
  <c r="S210" i="29" s="1"/>
  <c r="N216" i="25"/>
  <c r="T216" i="25" s="1"/>
  <c r="U216" i="25"/>
  <c r="AA216" i="25" s="1"/>
  <c r="M88" i="29"/>
  <c r="S88" i="29" s="1"/>
  <c r="N94" i="25"/>
  <c r="T94" i="25" s="1"/>
  <c r="U94" i="25"/>
  <c r="AA94" i="25" s="1"/>
  <c r="M87" i="29"/>
  <c r="S87" i="29" s="1"/>
  <c r="N93" i="25"/>
  <c r="T93" i="25" s="1"/>
  <c r="U93" i="25"/>
  <c r="AA93" i="25" s="1"/>
  <c r="M199" i="29"/>
  <c r="S199" i="29" s="1"/>
  <c r="N205" i="25"/>
  <c r="T205" i="25" s="1"/>
  <c r="U205" i="25"/>
  <c r="AA205" i="25" s="1"/>
  <c r="N213" i="29"/>
  <c r="O219" i="25"/>
  <c r="V219" i="25"/>
  <c r="L219" i="15"/>
  <c r="M61" i="29"/>
  <c r="S61" i="29" s="1"/>
  <c r="U67" i="25"/>
  <c r="AA67" i="25" s="1"/>
  <c r="N67" i="25"/>
  <c r="T67" i="25" s="1"/>
  <c r="M131" i="29"/>
  <c r="S131" i="29" s="1"/>
  <c r="N137" i="25"/>
  <c r="T137" i="25" s="1"/>
  <c r="U137" i="25"/>
  <c r="AA137" i="25" s="1"/>
  <c r="M63" i="29"/>
  <c r="S63" i="29" s="1"/>
  <c r="N69" i="25"/>
  <c r="T69" i="25" s="1"/>
  <c r="U69" i="25"/>
  <c r="AA69" i="25" s="1"/>
  <c r="M100" i="29"/>
  <c r="S100" i="29" s="1"/>
  <c r="N106" i="25"/>
  <c r="T106" i="25" s="1"/>
  <c r="U106" i="25"/>
  <c r="AA106" i="25" s="1"/>
  <c r="N104" i="25"/>
  <c r="T104" i="25" s="1"/>
  <c r="M98" i="29"/>
  <c r="S98" i="29" s="1"/>
  <c r="U104" i="25"/>
  <c r="AA104" i="25" s="1"/>
  <c r="M160" i="29"/>
  <c r="S160" i="29" s="1"/>
  <c r="N166" i="25"/>
  <c r="T166" i="25" s="1"/>
  <c r="U166" i="25"/>
  <c r="AA166" i="25" s="1"/>
  <c r="N107" i="29"/>
  <c r="O113" i="25"/>
  <c r="V113" i="25"/>
  <c r="L113" i="15"/>
  <c r="M205" i="29"/>
  <c r="S205" i="29" s="1"/>
  <c r="N211" i="25"/>
  <c r="T211" i="25" s="1"/>
  <c r="U211" i="25"/>
  <c r="AA211" i="25" s="1"/>
  <c r="N215" i="29"/>
  <c r="V221" i="25"/>
  <c r="O221" i="25"/>
  <c r="L221" i="15"/>
  <c r="M94" i="29"/>
  <c r="S94" i="29" s="1"/>
  <c r="U100" i="25"/>
  <c r="AA100" i="25" s="1"/>
  <c r="N100" i="25"/>
  <c r="T100" i="25" s="1"/>
  <c r="O209" i="29"/>
  <c r="P215" i="25"/>
  <c r="W215" i="25"/>
  <c r="M215" i="15"/>
  <c r="M130" i="29"/>
  <c r="S130" i="29" s="1"/>
  <c r="N136" i="25"/>
  <c r="T136" i="25" s="1"/>
  <c r="U136" i="25"/>
  <c r="AA136" i="25" s="1"/>
  <c r="M33" i="29"/>
  <c r="S33" i="29" s="1"/>
  <c r="U39" i="25"/>
  <c r="AA39" i="25" s="1"/>
  <c r="N39" i="25"/>
  <c r="T39" i="25" s="1"/>
  <c r="M11" i="29"/>
  <c r="S11" i="29" s="1"/>
  <c r="N17" i="25"/>
  <c r="T17" i="25" s="1"/>
  <c r="U17" i="25"/>
  <c r="AA17" i="25" s="1"/>
  <c r="M119" i="29"/>
  <c r="S119" i="29" s="1"/>
  <c r="U125" i="25"/>
  <c r="AA125" i="25" s="1"/>
  <c r="N125" i="25"/>
  <c r="T125" i="25" s="1"/>
  <c r="U75" i="25"/>
  <c r="AA75" i="25" s="1"/>
  <c r="N75" i="25"/>
  <c r="T75" i="25" s="1"/>
  <c r="M69" i="29"/>
  <c r="S69" i="29" s="1"/>
  <c r="M155" i="29"/>
  <c r="S155" i="29" s="1"/>
  <c r="N161" i="25"/>
  <c r="T161" i="25" s="1"/>
  <c r="U161" i="25"/>
  <c r="AA161" i="25" s="1"/>
  <c r="P57" i="25"/>
  <c r="W57" i="25"/>
  <c r="O51" i="29"/>
  <c r="M57" i="15"/>
  <c r="M68" i="29"/>
  <c r="S68" i="29" s="1"/>
  <c r="U74" i="25"/>
  <c r="AA74" i="25" s="1"/>
  <c r="N74" i="25"/>
  <c r="T74" i="25" s="1"/>
  <c r="M117" i="29"/>
  <c r="S117" i="29" s="1"/>
  <c r="N123" i="25"/>
  <c r="T123" i="25" s="1"/>
  <c r="U123" i="25"/>
  <c r="AA123" i="25" s="1"/>
  <c r="M60" i="29"/>
  <c r="S60" i="29" s="1"/>
  <c r="N66" i="25"/>
  <c r="T66" i="25" s="1"/>
  <c r="U66" i="25"/>
  <c r="AA66" i="25" s="1"/>
  <c r="M216" i="29"/>
  <c r="S216" i="29" s="1"/>
  <c r="U222" i="25"/>
  <c r="AA222" i="25" s="1"/>
  <c r="N222" i="25"/>
  <c r="T222" i="25" s="1"/>
  <c r="N152" i="29"/>
  <c r="V158" i="25"/>
  <c r="O158" i="25"/>
  <c r="L158" i="15"/>
  <c r="M31" i="29"/>
  <c r="S31" i="29" s="1"/>
  <c r="N37" i="25"/>
  <c r="T37" i="25" s="1"/>
  <c r="U37" i="25"/>
  <c r="AA37" i="25" s="1"/>
  <c r="M166" i="29"/>
  <c r="S166" i="29" s="1"/>
  <c r="U172" i="25"/>
  <c r="AA172" i="25" s="1"/>
  <c r="N172" i="25"/>
  <c r="T172" i="25" s="1"/>
  <c r="O200" i="29"/>
  <c r="W206" i="25"/>
  <c r="P206" i="25"/>
  <c r="M206" i="15"/>
  <c r="M142" i="29"/>
  <c r="S142" i="29" s="1"/>
  <c r="N148" i="25"/>
  <c r="T148" i="25" s="1"/>
  <c r="U148" i="25"/>
  <c r="AA148" i="25" s="1"/>
  <c r="M20" i="29"/>
  <c r="S20" i="29" s="1"/>
  <c r="U26" i="25"/>
  <c r="AA26" i="25" s="1"/>
  <c r="N26" i="25"/>
  <c r="T26" i="25" s="1"/>
  <c r="M141" i="29"/>
  <c r="S141" i="29" s="1"/>
  <c r="U147" i="25"/>
  <c r="AA147" i="25" s="1"/>
  <c r="N147" i="25"/>
  <c r="T147" i="25" s="1"/>
  <c r="M42" i="29"/>
  <c r="S42" i="29" s="1"/>
  <c r="U48" i="25"/>
  <c r="AA48" i="25" s="1"/>
  <c r="N48" i="25"/>
  <c r="T48" i="25" s="1"/>
  <c r="M14" i="29"/>
  <c r="S14" i="29" s="1"/>
  <c r="N20" i="25"/>
  <c r="T20" i="25" s="1"/>
  <c r="U20" i="25"/>
  <c r="AA20" i="25" s="1"/>
  <c r="M80" i="29"/>
  <c r="S80" i="29" s="1"/>
  <c r="U86" i="25"/>
  <c r="AA86" i="25" s="1"/>
  <c r="N86" i="25"/>
  <c r="T86" i="25" s="1"/>
  <c r="U36" i="25"/>
  <c r="AA36" i="25" s="1"/>
  <c r="N36" i="25"/>
  <c r="T36" i="25" s="1"/>
  <c r="M30" i="29"/>
  <c r="S30" i="29" s="1"/>
  <c r="M128" i="29"/>
  <c r="S128" i="29" s="1"/>
  <c r="U134" i="25"/>
  <c r="AA134" i="25" s="1"/>
  <c r="N134" i="25"/>
  <c r="T134" i="25" s="1"/>
  <c r="M5" i="29"/>
  <c r="S5" i="29" s="1"/>
  <c r="N11" i="25"/>
  <c r="T11" i="25" s="1"/>
  <c r="U11" i="25"/>
  <c r="AA11" i="25" s="1"/>
  <c r="M211" i="29"/>
  <c r="S211" i="29" s="1"/>
  <c r="U217" i="25"/>
  <c r="AA217" i="25" s="1"/>
  <c r="N217" i="25"/>
  <c r="T217" i="25" s="1"/>
  <c r="M186" i="29"/>
  <c r="S186" i="29" s="1"/>
  <c r="U192" i="25"/>
  <c r="AA192" i="25" s="1"/>
  <c r="N192" i="25"/>
  <c r="T192" i="25" s="1"/>
  <c r="U90" i="25"/>
  <c r="AA90" i="25" s="1"/>
  <c r="M84" i="29"/>
  <c r="S84" i="29" s="1"/>
  <c r="N90" i="25"/>
  <c r="T90" i="25" s="1"/>
  <c r="M181" i="29"/>
  <c r="S181" i="29" s="1"/>
  <c r="U187" i="25"/>
  <c r="AA187" i="25" s="1"/>
  <c r="N187" i="25"/>
  <c r="T187" i="25" s="1"/>
  <c r="N151" i="29"/>
  <c r="O157" i="25"/>
  <c r="V157" i="25"/>
  <c r="L157" i="15"/>
  <c r="M67" i="29"/>
  <c r="S67" i="29" s="1"/>
  <c r="U73" i="25"/>
  <c r="AA73" i="25" s="1"/>
  <c r="N73" i="25"/>
  <c r="T73" i="25" s="1"/>
  <c r="M191" i="29"/>
  <c r="S191" i="29" s="1"/>
  <c r="N197" i="25"/>
  <c r="T197" i="25" s="1"/>
  <c r="U197" i="25"/>
  <c r="AA197" i="25" s="1"/>
  <c r="M13" i="29"/>
  <c r="S13" i="29" s="1"/>
  <c r="N19" i="25"/>
  <c r="T19" i="25" s="1"/>
  <c r="U19" i="25"/>
  <c r="AA19" i="25" s="1"/>
  <c r="M189" i="29"/>
  <c r="S189" i="29" s="1"/>
  <c r="U195" i="25"/>
  <c r="AA195" i="25" s="1"/>
  <c r="N195" i="25"/>
  <c r="T195" i="25" s="1"/>
  <c r="M36" i="29"/>
  <c r="S36" i="29" s="1"/>
  <c r="N42" i="25"/>
  <c r="T42" i="25" s="1"/>
  <c r="U42" i="25"/>
  <c r="AA42" i="25" s="1"/>
  <c r="M163" i="29"/>
  <c r="S163" i="29" s="1"/>
  <c r="U169" i="25"/>
  <c r="AA169" i="25" s="1"/>
  <c r="N169" i="25"/>
  <c r="T169" i="25" s="1"/>
  <c r="M40" i="29"/>
  <c r="S40" i="29" s="1"/>
  <c r="U46" i="25"/>
  <c r="AA46" i="25" s="1"/>
  <c r="N46" i="25"/>
  <c r="T46" i="25" s="1"/>
  <c r="U131" i="25"/>
  <c r="AA131" i="25" s="1"/>
  <c r="M125" i="29"/>
  <c r="S125" i="29" s="1"/>
  <c r="N131" i="25"/>
  <c r="T131" i="25" s="1"/>
  <c r="M99" i="29"/>
  <c r="S99" i="29" s="1"/>
  <c r="U105" i="25"/>
  <c r="AA105" i="25" s="1"/>
  <c r="N105" i="25"/>
  <c r="T105" i="25" s="1"/>
  <c r="M62" i="29"/>
  <c r="S62" i="29" s="1"/>
  <c r="U68" i="25"/>
  <c r="AA68" i="25" s="1"/>
  <c r="N68" i="25"/>
  <c r="T68" i="25" s="1"/>
  <c r="M44" i="29"/>
  <c r="S44" i="29" s="1"/>
  <c r="U50" i="25"/>
  <c r="AA50" i="25" s="1"/>
  <c r="N50" i="25"/>
  <c r="T50" i="25" s="1"/>
  <c r="N56" i="29"/>
  <c r="O62" i="25"/>
  <c r="V62" i="25"/>
  <c r="L62" i="15"/>
  <c r="M153" i="29"/>
  <c r="S153" i="29" s="1"/>
  <c r="U159" i="25"/>
  <c r="AA159" i="25" s="1"/>
  <c r="N159" i="25"/>
  <c r="T159" i="25" s="1"/>
  <c r="M204" i="29"/>
  <c r="S204" i="29" s="1"/>
  <c r="N210" i="25"/>
  <c r="T210" i="25" s="1"/>
  <c r="U210" i="25"/>
  <c r="AA210" i="25" s="1"/>
  <c r="V225" i="25"/>
  <c r="N219" i="29"/>
  <c r="O225" i="25"/>
  <c r="L225" i="15"/>
  <c r="M126" i="29"/>
  <c r="S126" i="29" s="1"/>
  <c r="U132" i="25"/>
  <c r="AA132" i="25" s="1"/>
  <c r="N132" i="25"/>
  <c r="T132" i="25" s="1"/>
  <c r="O198" i="29"/>
  <c r="P204" i="25"/>
  <c r="W204" i="25"/>
  <c r="M204" i="15"/>
  <c r="M104" i="29"/>
  <c r="S104" i="29" s="1"/>
  <c r="U110" i="25"/>
  <c r="AA110" i="25" s="1"/>
  <c r="N110" i="25"/>
  <c r="T110" i="25" s="1"/>
  <c r="M43" i="29"/>
  <c r="S43" i="29" s="1"/>
  <c r="U49" i="25"/>
  <c r="AA49" i="25" s="1"/>
  <c r="N49" i="25"/>
  <c r="T49" i="25" s="1"/>
  <c r="M28" i="29"/>
  <c r="S28" i="29" s="1"/>
  <c r="N34" i="25"/>
  <c r="T34" i="25" s="1"/>
  <c r="U34" i="25"/>
  <c r="AA34" i="25" s="1"/>
  <c r="M183" i="29"/>
  <c r="S183" i="29" s="1"/>
  <c r="N189" i="25"/>
  <c r="T189" i="25" s="1"/>
  <c r="U189" i="25"/>
  <c r="AA189" i="25" s="1"/>
  <c r="M55" i="29"/>
  <c r="S55" i="29" s="1"/>
  <c r="N61" i="25"/>
  <c r="T61" i="25" s="1"/>
  <c r="U61" i="25"/>
  <c r="AA61" i="25" s="1"/>
  <c r="M123" i="29"/>
  <c r="S123" i="29" s="1"/>
  <c r="U129" i="25"/>
  <c r="AA129" i="25" s="1"/>
  <c r="N129" i="25"/>
  <c r="T129" i="25" s="1"/>
  <c r="M22" i="29"/>
  <c r="S22" i="29" s="1"/>
  <c r="U28" i="25"/>
  <c r="AA28" i="25" s="1"/>
  <c r="N28" i="25"/>
  <c r="T28" i="25" s="1"/>
  <c r="M212" i="29"/>
  <c r="S212" i="29" s="1"/>
  <c r="U218" i="25"/>
  <c r="AA218" i="25" s="1"/>
  <c r="N218" i="25"/>
  <c r="T218" i="25" s="1"/>
  <c r="N82" i="29"/>
  <c r="O88" i="25"/>
  <c r="V88" i="25"/>
  <c r="L88" i="15"/>
  <c r="M16" i="29"/>
  <c r="S16" i="29" s="1"/>
  <c r="N22" i="25"/>
  <c r="T22" i="25" s="1"/>
  <c r="U22" i="25"/>
  <c r="AA22" i="25" s="1"/>
  <c r="M73" i="29"/>
  <c r="S73" i="29" s="1"/>
  <c r="U79" i="25"/>
  <c r="AA79" i="25" s="1"/>
  <c r="N79" i="25"/>
  <c r="T79" i="25" s="1"/>
  <c r="M39" i="29"/>
  <c r="S39" i="29" s="1"/>
  <c r="U45" i="25"/>
  <c r="AA45" i="25" s="1"/>
  <c r="N45" i="25"/>
  <c r="T45" i="25" s="1"/>
  <c r="M49" i="29"/>
  <c r="S49" i="29" s="1"/>
  <c r="U55" i="25"/>
  <c r="AA55" i="25" s="1"/>
  <c r="N55" i="25"/>
  <c r="T55" i="25" s="1"/>
  <c r="M169" i="29"/>
  <c r="S169" i="29" s="1"/>
  <c r="U175" i="25"/>
  <c r="AA175" i="25" s="1"/>
  <c r="N175" i="25"/>
  <c r="T175" i="25" s="1"/>
  <c r="N52" i="29"/>
  <c r="O58" i="25"/>
  <c r="V58" i="25"/>
  <c r="L58" i="15"/>
  <c r="N184" i="29"/>
  <c r="V190" i="25"/>
  <c r="O190" i="25"/>
  <c r="L190" i="15"/>
  <c r="D6" i="9"/>
  <c r="H9" i="9"/>
  <c r="E8" i="9"/>
  <c r="F9" i="9"/>
  <c r="G10" i="9"/>
  <c r="Y120" i="29"/>
  <c r="Y57" i="29"/>
  <c r="Y73" i="29"/>
  <c r="V135" i="29"/>
  <c r="V126" i="29"/>
  <c r="V132" i="29"/>
  <c r="V106" i="29"/>
  <c r="V143" i="29"/>
  <c r="V149" i="29"/>
  <c r="V152" i="29"/>
  <c r="V115" i="29"/>
  <c r="V37" i="29"/>
  <c r="V47" i="29"/>
  <c r="V75" i="29"/>
  <c r="V122" i="29"/>
  <c r="V50" i="29"/>
  <c r="Z152" i="29"/>
  <c r="Z98" i="29"/>
  <c r="Z56" i="29"/>
  <c r="Z20" i="29"/>
  <c r="Z135" i="29"/>
  <c r="Z90" i="29"/>
  <c r="Z45" i="29"/>
  <c r="Z9" i="29"/>
  <c r="Z121" i="29"/>
  <c r="Z70" i="29"/>
  <c r="Z34" i="29"/>
  <c r="Y85" i="29"/>
  <c r="W22" i="29"/>
  <c r="W43" i="29"/>
  <c r="W13" i="29"/>
  <c r="W19" i="29"/>
  <c r="W152" i="29"/>
  <c r="W113" i="29"/>
  <c r="W53" i="29"/>
  <c r="W17" i="29"/>
  <c r="W138" i="29"/>
  <c r="W99" i="29"/>
  <c r="W39" i="29"/>
  <c r="Y112" i="29"/>
  <c r="AZ111" i="25"/>
  <c r="AX122" i="25"/>
  <c r="AX96" i="25"/>
  <c r="AX111" i="25"/>
  <c r="AX136" i="25"/>
  <c r="AX148" i="25"/>
  <c r="AX45" i="25"/>
  <c r="AX27" i="25"/>
  <c r="AX139" i="25"/>
  <c r="AX13" i="25"/>
  <c r="AX156" i="25"/>
  <c r="AX85" i="25"/>
  <c r="AJ66" i="25"/>
  <c r="AZ81" i="25"/>
  <c r="BA95" i="25"/>
  <c r="BA96" i="25"/>
  <c r="BA160" i="25"/>
  <c r="BA125" i="25"/>
  <c r="BA113" i="25"/>
  <c r="BA57" i="25"/>
  <c r="BA52" i="25"/>
  <c r="BA15" i="25"/>
  <c r="BA71" i="25"/>
  <c r="BA117" i="25"/>
  <c r="BA62" i="25"/>
  <c r="Y123" i="29"/>
  <c r="Y60" i="29"/>
  <c r="Y76" i="29"/>
  <c r="V112" i="29"/>
  <c r="V118" i="29"/>
  <c r="V125" i="29"/>
  <c r="V22" i="29"/>
  <c r="V76" i="29"/>
  <c r="V114" i="29"/>
  <c r="V134" i="29"/>
  <c r="V109" i="29"/>
  <c r="V31" i="29"/>
  <c r="V41" i="29"/>
  <c r="V69" i="29"/>
  <c r="V116" i="29"/>
  <c r="V44" i="29"/>
  <c r="Z149" i="29"/>
  <c r="Z95" i="29"/>
  <c r="Z53" i="29"/>
  <c r="Z17" i="29"/>
  <c r="Z132" i="29"/>
  <c r="Z87" i="29"/>
  <c r="Z42" i="29"/>
  <c r="Z6" i="29"/>
  <c r="Z112" i="29"/>
  <c r="Z67" i="29"/>
  <c r="Z31" i="29"/>
  <c r="Y81" i="29"/>
  <c r="W127" i="29"/>
  <c r="W34" i="29"/>
  <c r="W164" i="29"/>
  <c r="W10" i="29"/>
  <c r="W149" i="29"/>
  <c r="W110" i="29"/>
  <c r="W50" i="29"/>
  <c r="W14" i="29"/>
  <c r="W135" i="29"/>
  <c r="W96" i="29"/>
  <c r="W36" i="29"/>
  <c r="Y114" i="29"/>
  <c r="AZ112" i="25"/>
  <c r="AX121" i="25"/>
  <c r="Y122" i="29"/>
  <c r="Y63" i="29"/>
  <c r="Y75" i="29"/>
  <c r="V52" i="29"/>
  <c r="V96" i="29"/>
  <c r="V117" i="29"/>
  <c r="V148" i="29"/>
  <c r="V160" i="29"/>
  <c r="V58" i="29"/>
  <c r="V111" i="29"/>
  <c r="V103" i="29"/>
  <c r="V25" i="29"/>
  <c r="V35" i="29"/>
  <c r="V63" i="29"/>
  <c r="V110" i="29"/>
  <c r="V38" i="29"/>
  <c r="Z146" i="29"/>
  <c r="Z92" i="29"/>
  <c r="Z50" i="29"/>
  <c r="Z14" i="29"/>
  <c r="Z126" i="29"/>
  <c r="Z75" i="29"/>
  <c r="Z39" i="29"/>
  <c r="Z163" i="29"/>
  <c r="Z109" i="29"/>
  <c r="Z64" i="29"/>
  <c r="Z28" i="29"/>
  <c r="Y84" i="29"/>
  <c r="W163" i="29"/>
  <c r="W25" i="29"/>
  <c r="W154" i="29"/>
  <c r="W161" i="29"/>
  <c r="W146" i="29"/>
  <c r="W107" i="29"/>
  <c r="W47" i="29"/>
  <c r="W11" i="29"/>
  <c r="W132" i="29"/>
  <c r="W93" i="29"/>
  <c r="W33" i="29"/>
  <c r="Y113" i="29"/>
  <c r="AZ113" i="25"/>
  <c r="AX110" i="25"/>
  <c r="AJ59" i="25"/>
  <c r="AX167" i="25"/>
  <c r="AX31" i="25"/>
  <c r="AX94" i="25"/>
  <c r="AX168" i="25"/>
  <c r="Y127" i="29"/>
  <c r="Y66" i="29"/>
  <c r="Y78" i="29"/>
  <c r="V158" i="29"/>
  <c r="V82" i="29"/>
  <c r="V107" i="29"/>
  <c r="V113" i="29"/>
  <c r="V130" i="29"/>
  <c r="V154" i="29"/>
  <c r="V84" i="29"/>
  <c r="V91" i="29"/>
  <c r="V19" i="29"/>
  <c r="V29" i="29"/>
  <c r="V57" i="29"/>
  <c r="V104" i="29"/>
  <c r="V32" i="29"/>
  <c r="Z143" i="29"/>
  <c r="Z89" i="29"/>
  <c r="Z47" i="29"/>
  <c r="Z11" i="29"/>
  <c r="Z123" i="29"/>
  <c r="Z72" i="29"/>
  <c r="Z36" i="29"/>
  <c r="Z160" i="29"/>
  <c r="Z106" i="29"/>
  <c r="Z61" i="29"/>
  <c r="Z25" i="29"/>
  <c r="Y83" i="29"/>
  <c r="W151" i="29"/>
  <c r="W16" i="29"/>
  <c r="W118" i="29"/>
  <c r="W112" i="29"/>
  <c r="W143" i="29"/>
  <c r="W104" i="29"/>
  <c r="W44" i="29"/>
  <c r="W8" i="29"/>
  <c r="W129" i="29"/>
  <c r="W90" i="29"/>
  <c r="W30" i="29"/>
  <c r="Y106" i="29"/>
  <c r="AJ155" i="25"/>
  <c r="AX118" i="25"/>
  <c r="AX166" i="25"/>
  <c r="AX113" i="25"/>
  <c r="AX38" i="25"/>
  <c r="AX161" i="25"/>
  <c r="AX35" i="25"/>
  <c r="AX163" i="25"/>
  <c r="AX48" i="25"/>
  <c r="AJ56" i="25"/>
  <c r="AX150" i="25"/>
  <c r="AX17" i="25"/>
  <c r="AJ68" i="25"/>
  <c r="AZ80" i="25"/>
  <c r="BA99" i="25"/>
  <c r="BA112" i="25"/>
  <c r="BA157" i="25"/>
  <c r="BA155" i="25"/>
  <c r="BA17" i="25"/>
  <c r="BA61" i="25"/>
  <c r="BA118" i="25"/>
  <c r="BA78" i="25"/>
  <c r="AJ192" i="25"/>
  <c r="BA53" i="25"/>
  <c r="BA45" i="25"/>
  <c r="BA114" i="25"/>
  <c r="BE111" i="25"/>
  <c r="BE126" i="25"/>
  <c r="AZ91" i="25"/>
  <c r="AZ64" i="25"/>
  <c r="BE70" i="25"/>
  <c r="BE61" i="25"/>
  <c r="AK152" i="25"/>
  <c r="AJ19" i="25"/>
  <c r="AW165" i="25"/>
  <c r="AW27" i="25"/>
  <c r="AW97" i="25"/>
  <c r="AJ17" i="25"/>
  <c r="AW43" i="25"/>
  <c r="AW148" i="25"/>
  <c r="AJ26" i="25"/>
  <c r="AW80" i="25"/>
  <c r="AW86" i="25"/>
  <c r="AW38" i="25"/>
  <c r="AW16" i="25"/>
  <c r="AW81" i="25"/>
  <c r="AW104" i="25"/>
  <c r="AW44" i="25"/>
  <c r="BF157" i="25"/>
  <c r="BF99" i="25"/>
  <c r="BF154" i="25"/>
  <c r="BF112" i="25"/>
  <c r="BF168" i="25"/>
  <c r="BF64" i="25"/>
  <c r="BF28" i="25"/>
  <c r="BF27" i="25"/>
  <c r="BF41" i="25"/>
  <c r="BF18" i="25"/>
  <c r="BF77" i="25"/>
  <c r="BF83" i="25"/>
  <c r="BB100" i="25"/>
  <c r="BB64" i="25"/>
  <c r="BB124" i="25"/>
  <c r="BB136" i="25"/>
  <c r="BB21" i="25"/>
  <c r="BB160" i="25"/>
  <c r="BB94" i="25"/>
  <c r="BB70" i="25"/>
  <c r="BB12" i="25"/>
  <c r="AK11" i="25"/>
  <c r="BB53" i="25"/>
  <c r="BB96" i="25"/>
  <c r="BB91" i="25"/>
  <c r="BB14" i="25"/>
  <c r="BB37" i="25"/>
  <c r="BE123" i="25"/>
  <c r="BC130" i="25"/>
  <c r="BC28" i="25"/>
  <c r="BC142" i="25"/>
  <c r="BC114" i="25"/>
  <c r="BC33" i="25"/>
  <c r="BC145" i="25"/>
  <c r="BC108" i="25"/>
  <c r="BC148" i="25"/>
  <c r="BC104" i="25"/>
  <c r="Y129" i="29"/>
  <c r="Y53" i="29"/>
  <c r="Y74" i="29"/>
  <c r="V140" i="29"/>
  <c r="V64" i="29"/>
  <c r="V95" i="29"/>
  <c r="V72" i="29"/>
  <c r="V36" i="29"/>
  <c r="V123" i="29"/>
  <c r="V30" i="29"/>
  <c r="V85" i="29"/>
  <c r="V13" i="29"/>
  <c r="V23" i="29"/>
  <c r="V51" i="29"/>
  <c r="V98" i="29"/>
  <c r="V26" i="29"/>
  <c r="Z134" i="29"/>
  <c r="Z86" i="29"/>
  <c r="Z44" i="29"/>
  <c r="Z8" i="29"/>
  <c r="Z120" i="29"/>
  <c r="Z69" i="29"/>
  <c r="Z33" i="29"/>
  <c r="Z157" i="29"/>
  <c r="Z103" i="29"/>
  <c r="Z58" i="29"/>
  <c r="Z22" i="29"/>
  <c r="Y115" i="29"/>
  <c r="W142" i="29"/>
  <c r="W7" i="29"/>
  <c r="W109" i="29"/>
  <c r="W40" i="29"/>
  <c r="W140" i="29"/>
  <c r="W101" i="29"/>
  <c r="W41" i="29"/>
  <c r="W162" i="29"/>
  <c r="W126" i="29"/>
  <c r="W87" i="29"/>
  <c r="W27" i="29"/>
  <c r="Y105" i="29"/>
  <c r="AZ110" i="25"/>
  <c r="AX152" i="25"/>
  <c r="AX57" i="25"/>
  <c r="AX115" i="25"/>
  <c r="AX22" i="25"/>
  <c r="AX49" i="25"/>
  <c r="AX26" i="25"/>
  <c r="AX51" i="25"/>
  <c r="AX20" i="25"/>
  <c r="AX15" i="25"/>
  <c r="AX138" i="25"/>
  <c r="AX88" i="25"/>
  <c r="AJ65" i="25"/>
  <c r="BA94" i="25"/>
  <c r="BA92" i="25"/>
  <c r="BA141" i="25"/>
  <c r="BA126" i="25"/>
  <c r="BA163" i="25"/>
  <c r="BA31" i="25"/>
  <c r="BA41" i="25"/>
  <c r="BA79" i="25"/>
  <c r="BA44" i="25"/>
  <c r="V7" i="29"/>
  <c r="Y128" i="29"/>
  <c r="Y56" i="29"/>
  <c r="Y77" i="29"/>
  <c r="V128" i="29"/>
  <c r="V28" i="29"/>
  <c r="V78" i="29"/>
  <c r="V18" i="29"/>
  <c r="V141" i="29"/>
  <c r="V54" i="29"/>
  <c r="V163" i="29"/>
  <c r="V79" i="29"/>
  <c r="V89" i="29"/>
  <c r="V17" i="29"/>
  <c r="V45" i="29"/>
  <c r="V92" i="29"/>
  <c r="V20" i="29"/>
  <c r="Z125" i="29"/>
  <c r="Z77" i="29"/>
  <c r="Z41" i="29"/>
  <c r="Z162" i="29"/>
  <c r="Z111" i="29"/>
  <c r="Z66" i="29"/>
  <c r="Z30" i="29"/>
  <c r="Z154" i="29"/>
  <c r="Z100" i="29"/>
  <c r="Z55" i="29"/>
  <c r="Z19" i="29"/>
  <c r="Y117" i="29"/>
  <c r="W133" i="29"/>
  <c r="W157" i="29"/>
  <c r="W100" i="29"/>
  <c r="W145" i="29"/>
  <c r="W137" i="29"/>
  <c r="W98" i="29"/>
  <c r="W38" i="29"/>
  <c r="W159" i="29"/>
  <c r="W120" i="29"/>
  <c r="W84" i="29"/>
  <c r="W24" i="29"/>
  <c r="Y107" i="29"/>
  <c r="AX119" i="25"/>
  <c r="AX97" i="25"/>
  <c r="AJ58" i="25"/>
  <c r="AJ57" i="25"/>
  <c r="AX101" i="25"/>
  <c r="AX53" i="25"/>
  <c r="AX100" i="25"/>
  <c r="Y132" i="29"/>
  <c r="Y55" i="29"/>
  <c r="Y65" i="29"/>
  <c r="V161" i="29"/>
  <c r="V100" i="29"/>
  <c r="V10" i="29"/>
  <c r="V60" i="29"/>
  <c r="V124" i="29"/>
  <c r="V120" i="29"/>
  <c r="V159" i="29"/>
  <c r="V151" i="29"/>
  <c r="V73" i="29"/>
  <c r="V83" i="29"/>
  <c r="V11" i="29"/>
  <c r="V39" i="29"/>
  <c r="V86" i="29"/>
  <c r="V14" i="29"/>
  <c r="Z122" i="29"/>
  <c r="Z74" i="29"/>
  <c r="Z38" i="29"/>
  <c r="Z159" i="29"/>
  <c r="Z108" i="29"/>
  <c r="Z63" i="29"/>
  <c r="Z27" i="29"/>
  <c r="Z151" i="29"/>
  <c r="Z94" i="29"/>
  <c r="Z52" i="29"/>
  <c r="Z16" i="29"/>
  <c r="Y116" i="29"/>
  <c r="W124" i="29"/>
  <c r="W148" i="29"/>
  <c r="W91" i="29"/>
  <c r="W31" i="29"/>
  <c r="W134" i="29"/>
  <c r="W95" i="29"/>
  <c r="W35" i="29"/>
  <c r="W156" i="29"/>
  <c r="W117" i="29"/>
  <c r="W81" i="29"/>
  <c r="W21" i="29"/>
  <c r="BE136" i="25"/>
  <c r="AX92" i="25"/>
  <c r="AX132" i="25"/>
  <c r="AX134" i="25"/>
  <c r="AX52" i="25"/>
  <c r="AX149" i="25"/>
  <c r="AX131" i="25"/>
  <c r="AX33" i="25"/>
  <c r="AX24" i="25"/>
  <c r="AX137" i="25"/>
  <c r="AX105" i="25"/>
  <c r="AX19" i="25"/>
  <c r="AX86" i="25"/>
  <c r="AJ63" i="25"/>
  <c r="AJ199" i="25"/>
  <c r="BA140" i="25"/>
  <c r="BA91" i="25"/>
  <c r="BA161" i="25"/>
  <c r="BA168" i="25"/>
  <c r="BA34" i="25"/>
  <c r="AJ193" i="25"/>
  <c r="BA14" i="25"/>
  <c r="BA27" i="25"/>
  <c r="AJ191" i="25"/>
  <c r="BA48" i="25"/>
  <c r="BA56" i="25"/>
  <c r="BA22" i="25"/>
  <c r="AZ123" i="25"/>
  <c r="BE127" i="25"/>
  <c r="AJ151" i="25"/>
  <c r="AZ65" i="25"/>
  <c r="BE63" i="25"/>
  <c r="BE71" i="25"/>
  <c r="BE81" i="25"/>
  <c r="AW106" i="25"/>
  <c r="AW37" i="25"/>
  <c r="AW71" i="25"/>
  <c r="AW150" i="25"/>
  <c r="AW32" i="25"/>
  <c r="AW60" i="25"/>
  <c r="AW64" i="25"/>
  <c r="AW94" i="25"/>
  <c r="AW55" i="25"/>
  <c r="AW158" i="25"/>
  <c r="AJ23" i="25"/>
  <c r="AW123" i="25"/>
  <c r="AW56" i="25"/>
  <c r="AW65" i="25"/>
  <c r="BF95" i="25"/>
  <c r="BF101" i="25"/>
  <c r="BF104" i="25"/>
  <c r="AK202" i="25"/>
  <c r="BF164" i="25"/>
  <c r="BF54" i="25"/>
  <c r="BF35" i="25"/>
  <c r="BF57" i="25"/>
  <c r="BF31" i="25"/>
  <c r="BF53" i="25"/>
  <c r="BF43" i="25"/>
  <c r="BF50" i="25"/>
  <c r="BF67" i="25"/>
  <c r="BB98" i="25"/>
  <c r="BB112" i="25"/>
  <c r="BB54" i="25"/>
  <c r="BB43" i="25"/>
  <c r="BB95" i="25"/>
  <c r="BB51" i="25"/>
  <c r="BB163" i="25"/>
  <c r="BB66" i="25"/>
  <c r="BB81" i="25"/>
  <c r="BB31" i="25"/>
  <c r="BB25" i="25"/>
  <c r="BB118" i="25"/>
  <c r="BB133" i="25"/>
  <c r="BB134" i="25"/>
  <c r="BB149" i="25"/>
  <c r="AZ138" i="25"/>
  <c r="BC92" i="25"/>
  <c r="BC30" i="25"/>
  <c r="BC23" i="25"/>
  <c r="BC144" i="25"/>
  <c r="BC60" i="25"/>
  <c r="BC42" i="25"/>
  <c r="BC101" i="25"/>
  <c r="BC24" i="25"/>
  <c r="BC139" i="25"/>
  <c r="BC86" i="25"/>
  <c r="Y118" i="29"/>
  <c r="Y58" i="29"/>
  <c r="Y59" i="29"/>
  <c r="V131" i="29"/>
  <c r="V66" i="29"/>
  <c r="V162" i="29"/>
  <c r="V42" i="29"/>
  <c r="V40" i="29"/>
  <c r="V88" i="29"/>
  <c r="V147" i="29"/>
  <c r="V139" i="29"/>
  <c r="V67" i="29"/>
  <c r="V77" i="29"/>
  <c r="V105" i="29"/>
  <c r="V33" i="29"/>
  <c r="V80" i="29"/>
  <c r="V8" i="29"/>
  <c r="Z119" i="29"/>
  <c r="Z71" i="29"/>
  <c r="Z35" i="29"/>
  <c r="Z156" i="29"/>
  <c r="Z105" i="29"/>
  <c r="Z60" i="29"/>
  <c r="Z24" i="29"/>
  <c r="Z148" i="29"/>
  <c r="Z91" i="29"/>
  <c r="Z49" i="29"/>
  <c r="Z13" i="29"/>
  <c r="Y130" i="29"/>
  <c r="W115" i="29"/>
  <c r="W103" i="29"/>
  <c r="W82" i="29"/>
  <c r="W136" i="29"/>
  <c r="W131" i="29"/>
  <c r="W92" i="29"/>
  <c r="W32" i="29"/>
  <c r="W153" i="29"/>
  <c r="W114" i="29"/>
  <c r="W54" i="29"/>
  <c r="W18" i="29"/>
  <c r="BE137" i="25"/>
  <c r="AX130" i="25"/>
  <c r="AX160" i="25"/>
  <c r="AX140" i="25"/>
  <c r="AX55" i="25"/>
  <c r="AX25" i="25"/>
  <c r="AX157" i="25"/>
  <c r="AX142" i="25"/>
  <c r="AX23" i="25"/>
  <c r="AX89" i="25"/>
  <c r="AX37" i="25"/>
  <c r="AX12" i="25"/>
  <c r="AX158" i="25"/>
  <c r="AJ70" i="25"/>
  <c r="AJ204" i="25"/>
  <c r="BA131" i="25"/>
  <c r="BA100" i="25"/>
  <c r="BA130" i="25"/>
  <c r="BA101" i="25"/>
  <c r="BA76" i="25"/>
  <c r="BA25" i="25"/>
  <c r="BA74" i="25"/>
  <c r="BA54" i="25"/>
  <c r="BA33" i="25"/>
  <c r="BA115" i="25"/>
  <c r="BA59" i="25"/>
  <c r="BA50" i="25"/>
  <c r="AZ121" i="25"/>
  <c r="AZ124" i="25"/>
  <c r="AZ66" i="25"/>
  <c r="AZ67" i="25"/>
  <c r="BE65" i="25"/>
  <c r="AJ157" i="25"/>
  <c r="BE83" i="25"/>
  <c r="AW139" i="25"/>
  <c r="AW132" i="25"/>
  <c r="AW92" i="25"/>
  <c r="AW26" i="25"/>
  <c r="AW46" i="25"/>
  <c r="AW160" i="25"/>
  <c r="AW163" i="25"/>
  <c r="AW42" i="25"/>
  <c r="AW156" i="25"/>
  <c r="AJ18" i="25"/>
  <c r="V97" i="29"/>
  <c r="Z97" i="29"/>
  <c r="Y126" i="29"/>
  <c r="Y61" i="29"/>
  <c r="Y68" i="29"/>
  <c r="V94" i="29"/>
  <c r="V12" i="29"/>
  <c r="V156" i="29"/>
  <c r="V24" i="29"/>
  <c r="V136" i="29"/>
  <c r="V34" i="29"/>
  <c r="V129" i="29"/>
  <c r="V108" i="29"/>
  <c r="V61" i="29"/>
  <c r="V71" i="29"/>
  <c r="V99" i="29"/>
  <c r="V27" i="29"/>
  <c r="V74" i="29"/>
  <c r="Z164" i="29"/>
  <c r="Z110" i="29"/>
  <c r="Z68" i="29"/>
  <c r="Z32" i="29"/>
  <c r="Z153" i="29"/>
  <c r="Z102" i="29"/>
  <c r="Z57" i="29"/>
  <c r="Z21" i="29"/>
  <c r="Z142" i="29"/>
  <c r="Z88" i="29"/>
  <c r="Z46" i="29"/>
  <c r="Z10" i="29"/>
  <c r="Y131" i="29"/>
  <c r="W106" i="29"/>
  <c r="W49" i="29"/>
  <c r="W55" i="29"/>
  <c r="W158" i="29"/>
  <c r="W128" i="29"/>
  <c r="W89" i="29"/>
  <c r="W29" i="29"/>
  <c r="W150" i="29"/>
  <c r="W111" i="29"/>
  <c r="W51" i="29"/>
  <c r="W15" i="29"/>
  <c r="AJ156" i="25"/>
  <c r="AX120" i="25"/>
  <c r="AX143" i="25"/>
  <c r="AX42" i="25"/>
  <c r="AX44" i="25"/>
  <c r="AX144" i="25"/>
  <c r="AX16" i="25"/>
  <c r="AX43" i="25"/>
  <c r="AX39" i="25"/>
  <c r="AX151" i="25"/>
  <c r="AX116" i="25"/>
  <c r="AX61" i="25"/>
  <c r="AX108" i="25"/>
  <c r="AJ67" i="25"/>
  <c r="BA132" i="25"/>
  <c r="AJ203" i="25"/>
  <c r="BA108" i="25"/>
  <c r="BA138" i="25"/>
  <c r="BA111" i="25"/>
  <c r="BA49" i="25"/>
  <c r="BA77" i="25"/>
  <c r="BA67" i="25"/>
  <c r="BA26" i="25"/>
  <c r="BA28" i="25"/>
  <c r="AJ195" i="25"/>
  <c r="BA55" i="25"/>
  <c r="Y125" i="29"/>
  <c r="Y64" i="29"/>
  <c r="Y62" i="29"/>
  <c r="V142" i="29"/>
  <c r="V157" i="29"/>
  <c r="V150" i="29"/>
  <c r="V6" i="29"/>
  <c r="V102" i="29"/>
  <c r="V146" i="29"/>
  <c r="V70" i="29"/>
  <c r="V46" i="29"/>
  <c r="V55" i="29"/>
  <c r="V65" i="29"/>
  <c r="V93" i="29"/>
  <c r="V21" i="29"/>
  <c r="V68" i="29"/>
  <c r="Z161" i="29"/>
  <c r="Z107" i="29"/>
  <c r="Z65" i="29"/>
  <c r="Z29" i="29"/>
  <c r="Z150" i="29"/>
  <c r="Z99" i="29"/>
  <c r="Z54" i="29"/>
  <c r="Z18" i="29"/>
  <c r="Z133" i="29"/>
  <c r="Z85" i="29"/>
  <c r="Z43" i="29"/>
  <c r="Z7" i="29"/>
  <c r="Y104" i="29"/>
  <c r="W97" i="29"/>
  <c r="W160" i="29"/>
  <c r="W46" i="29"/>
  <c r="W79" i="29"/>
  <c r="W125" i="29"/>
  <c r="W86" i="29"/>
  <c r="W26" i="29"/>
  <c r="W147" i="29"/>
  <c r="W108" i="29"/>
  <c r="W48" i="29"/>
  <c r="W12" i="29"/>
  <c r="AZ118" i="25"/>
  <c r="AX90" i="25"/>
  <c r="AX46" i="25"/>
  <c r="AX14" i="25"/>
  <c r="AX114" i="25"/>
  <c r="AX59" i="25"/>
  <c r="AX124" i="25"/>
  <c r="AX133" i="25"/>
  <c r="AX112" i="25"/>
  <c r="AX18" i="25"/>
  <c r="AX60" i="25"/>
  <c r="AX153" i="25"/>
  <c r="AX56" i="25"/>
  <c r="AJ152" i="25"/>
  <c r="BA129" i="25"/>
  <c r="BA149" i="25"/>
  <c r="BA158" i="25"/>
  <c r="BA165" i="25"/>
  <c r="BA167" i="25"/>
  <c r="BA13" i="25"/>
  <c r="BA170" i="25"/>
  <c r="BA16" i="25"/>
  <c r="BA35" i="25"/>
  <c r="BA81" i="25"/>
  <c r="BA23" i="25"/>
  <c r="BA12" i="25"/>
  <c r="BA38" i="25"/>
  <c r="BE85" i="25"/>
  <c r="BE133" i="25"/>
  <c r="AZ68" i="25"/>
  <c r="AZ59" i="25"/>
  <c r="BE62" i="25"/>
  <c r="AZ128" i="25"/>
  <c r="BE79" i="25"/>
  <c r="AW166" i="25"/>
  <c r="AW20" i="25"/>
  <c r="AW105" i="25"/>
  <c r="AW90" i="25"/>
  <c r="AW19" i="25"/>
  <c r="AW116" i="25"/>
  <c r="AJ22" i="25"/>
  <c r="AW168" i="25"/>
  <c r="AW53" i="25"/>
  <c r="AW145" i="25"/>
  <c r="AW122" i="25"/>
  <c r="AW63" i="25"/>
  <c r="AW119" i="25"/>
  <c r="AW22" i="25"/>
  <c r="BF91" i="25"/>
  <c r="BF109" i="25"/>
  <c r="BF153" i="25"/>
  <c r="BF158" i="25"/>
  <c r="AK205" i="25"/>
  <c r="BF117" i="25"/>
  <c r="BF115" i="25"/>
  <c r="BF26" i="25"/>
  <c r="BF72" i="25"/>
  <c r="AK196" i="25"/>
  <c r="BF75" i="25"/>
  <c r="BF170" i="25"/>
  <c r="BF48" i="25"/>
  <c r="BB78" i="25"/>
  <c r="BB164" i="25"/>
  <c r="BB126" i="25"/>
  <c r="BB67" i="25"/>
  <c r="AK22" i="25"/>
  <c r="BB145" i="25"/>
  <c r="BB151" i="25"/>
  <c r="BB71" i="25"/>
  <c r="AK17" i="25"/>
  <c r="BB60" i="25"/>
  <c r="BB86" i="25"/>
  <c r="BB128" i="25"/>
  <c r="BB131" i="25"/>
  <c r="AK12" i="25"/>
  <c r="AK153" i="25"/>
  <c r="AK155" i="25"/>
  <c r="BC118" i="25"/>
  <c r="BC13" i="25"/>
  <c r="BC100" i="25"/>
  <c r="BC46" i="25"/>
  <c r="BC143" i="25"/>
  <c r="BC20" i="25"/>
  <c r="BC51" i="25"/>
  <c r="BC25" i="25"/>
  <c r="Y80" i="29"/>
  <c r="V48" i="29"/>
  <c r="V9" i="29"/>
  <c r="Z144" i="29"/>
  <c r="Z37" i="29"/>
  <c r="W155" i="29"/>
  <c r="W42" i="29"/>
  <c r="AX58" i="25"/>
  <c r="AX29" i="25"/>
  <c r="AX123" i="25"/>
  <c r="AJ64" i="25"/>
  <c r="AJ202" i="25"/>
  <c r="AJ205" i="25"/>
  <c r="BA47" i="25"/>
  <c r="BA32" i="25"/>
  <c r="BA19" i="25"/>
  <c r="BA75" i="25"/>
  <c r="BE131" i="25"/>
  <c r="AZ89" i="25"/>
  <c r="AZ132" i="25"/>
  <c r="BE66" i="25"/>
  <c r="AW99" i="25"/>
  <c r="AW15" i="25"/>
  <c r="AW75" i="25"/>
  <c r="AW151" i="25"/>
  <c r="AW138" i="25"/>
  <c r="AJ25" i="25"/>
  <c r="AW167" i="25"/>
  <c r="AW25" i="25"/>
  <c r="AW142" i="25"/>
  <c r="AW54" i="25"/>
  <c r="AW120" i="25"/>
  <c r="BF131" i="25"/>
  <c r="BF169" i="25"/>
  <c r="BF110" i="25"/>
  <c r="BF22" i="25"/>
  <c r="BF45" i="25"/>
  <c r="BF118" i="25"/>
  <c r="BF40" i="25"/>
  <c r="AK206" i="25"/>
  <c r="BF46" i="25"/>
  <c r="AK19" i="25"/>
  <c r="BB80" i="25"/>
  <c r="BB74" i="25"/>
  <c r="BB41" i="25"/>
  <c r="BB30" i="25"/>
  <c r="AK24" i="25"/>
  <c r="BB141" i="25"/>
  <c r="BB87" i="25"/>
  <c r="BB143" i="25"/>
  <c r="BB139" i="25"/>
  <c r="BB89" i="25"/>
  <c r="BE121" i="25"/>
  <c r="BC91" i="25"/>
  <c r="BC41" i="25"/>
  <c r="BC167" i="25"/>
  <c r="AK59" i="25"/>
  <c r="BC152" i="25"/>
  <c r="BC117" i="25"/>
  <c r="BC146" i="25"/>
  <c r="BC140" i="25"/>
  <c r="BC48" i="25"/>
  <c r="AK71" i="25"/>
  <c r="AZ131" i="25"/>
  <c r="BE68" i="25"/>
  <c r="AW79" i="25"/>
  <c r="AW40" i="25"/>
  <c r="AW50" i="25"/>
  <c r="AW31" i="25"/>
  <c r="AW111" i="25"/>
  <c r="BF141" i="25"/>
  <c r="BF21" i="25"/>
  <c r="BF12" i="25"/>
  <c r="BB97" i="25"/>
  <c r="BB65" i="25"/>
  <c r="BC125" i="25"/>
  <c r="V90" i="29"/>
  <c r="V16" i="29"/>
  <c r="V62" i="29"/>
  <c r="Z96" i="29"/>
  <c r="Z5" i="29"/>
  <c r="W119" i="29"/>
  <c r="W9" i="29"/>
  <c r="AX107" i="25"/>
  <c r="AX41" i="25"/>
  <c r="AX165" i="25"/>
  <c r="AJ60" i="25"/>
  <c r="BA164" i="25"/>
  <c r="BA133" i="25"/>
  <c r="BA29" i="25"/>
  <c r="BA46" i="25"/>
  <c r="BA80" i="25"/>
  <c r="BA21" i="25"/>
  <c r="BE132" i="25"/>
  <c r="AJ150" i="25"/>
  <c r="BB32" i="25"/>
  <c r="V5" i="29"/>
  <c r="V164" i="29"/>
  <c r="V56" i="29"/>
  <c r="Z93" i="29"/>
  <c r="Y82" i="29"/>
  <c r="W116" i="29"/>
  <c r="W6" i="29"/>
  <c r="AX141" i="25"/>
  <c r="AX87" i="25"/>
  <c r="AX164" i="25"/>
  <c r="AJ71" i="25"/>
  <c r="BA93" i="25"/>
  <c r="BA156" i="25"/>
  <c r="BA40" i="25"/>
  <c r="BA58" i="25"/>
  <c r="BA30" i="25"/>
  <c r="BA106" i="25"/>
  <c r="AK157" i="25"/>
  <c r="AZ74" i="25"/>
  <c r="AK151" i="25"/>
  <c r="AZ127" i="25"/>
  <c r="AW98" i="25"/>
  <c r="AW125" i="25"/>
  <c r="AW52" i="25"/>
  <c r="AW109" i="25"/>
  <c r="AJ14" i="25"/>
  <c r="AW68" i="25"/>
  <c r="AW23" i="25"/>
  <c r="AJ16" i="25"/>
  <c r="AW169" i="25"/>
  <c r="AW108" i="25"/>
  <c r="BF100" i="25"/>
  <c r="AK203" i="25"/>
  <c r="BF166" i="25"/>
  <c r="BF148" i="25"/>
  <c r="AK194" i="25"/>
  <c r="BF23" i="25"/>
  <c r="AK195" i="25"/>
  <c r="BF15" i="25"/>
  <c r="BF59" i="25"/>
  <c r="BF62" i="25"/>
  <c r="BB52" i="25"/>
  <c r="BB106" i="25"/>
  <c r="BB36" i="25"/>
  <c r="BB146" i="25"/>
  <c r="BB103" i="25"/>
  <c r="BB59" i="25"/>
  <c r="BB85" i="25"/>
  <c r="AK13" i="25"/>
  <c r="BB11" i="25"/>
  <c r="BB147" i="25"/>
  <c r="BB27" i="25"/>
  <c r="AZ136" i="25"/>
  <c r="BC161" i="25"/>
  <c r="BC38" i="25"/>
  <c r="BC50" i="25"/>
  <c r="BC26" i="25"/>
  <c r="BC27" i="25"/>
  <c r="BC85" i="25"/>
  <c r="BC21" i="25"/>
  <c r="BC131" i="25"/>
  <c r="BC111" i="25"/>
  <c r="AK65" i="25"/>
  <c r="AX104" i="25"/>
  <c r="AZ61" i="25"/>
  <c r="AW100" i="25"/>
  <c r="AW14" i="25"/>
  <c r="AW89" i="25"/>
  <c r="AW36" i="25"/>
  <c r="AW45" i="25"/>
  <c r="BF138" i="25"/>
  <c r="BF160" i="25"/>
  <c r="BF58" i="25"/>
  <c r="BF82" i="25"/>
  <c r="BF79" i="25"/>
  <c r="BB44" i="25"/>
  <c r="BB129" i="25"/>
  <c r="BB127" i="25"/>
  <c r="BB102" i="25"/>
  <c r="BB104" i="25"/>
  <c r="BB39" i="25"/>
  <c r="AZ137" i="25"/>
  <c r="BC112" i="25"/>
  <c r="BC89" i="25"/>
  <c r="BC16" i="25"/>
  <c r="BC29" i="25"/>
  <c r="AK70" i="25"/>
  <c r="BA98" i="25"/>
  <c r="AZ130" i="25"/>
  <c r="AW103" i="25"/>
  <c r="AW35" i="25"/>
  <c r="AW48" i="25"/>
  <c r="BF97" i="25"/>
  <c r="BF78" i="25"/>
  <c r="BF69" i="25"/>
  <c r="BF106" i="25"/>
  <c r="BB82" i="25"/>
  <c r="BB155" i="25"/>
  <c r="BB35" i="25"/>
  <c r="BB116" i="25"/>
  <c r="BC158" i="25"/>
  <c r="BC40" i="25"/>
  <c r="BC59" i="25"/>
  <c r="BC135" i="25"/>
  <c r="Z40" i="29"/>
  <c r="BB18" i="25"/>
  <c r="BF133" i="25"/>
  <c r="BB105" i="25"/>
  <c r="BC57" i="25"/>
  <c r="V145" i="29"/>
  <c r="V127" i="29"/>
  <c r="Z158" i="29"/>
  <c r="Z51" i="29"/>
  <c r="W130" i="29"/>
  <c r="W83" i="29"/>
  <c r="AZ119" i="25"/>
  <c r="AX28" i="25"/>
  <c r="AX99" i="25"/>
  <c r="AJ69" i="25"/>
  <c r="BA150" i="25"/>
  <c r="BA154" i="25"/>
  <c r="BA73" i="25"/>
  <c r="BA39" i="25"/>
  <c r="BA18" i="25"/>
  <c r="AK156" i="25"/>
  <c r="BE129" i="25"/>
  <c r="AK150" i="25"/>
  <c r="AZ126" i="25"/>
  <c r="AW143" i="25"/>
  <c r="AW152" i="25"/>
  <c r="AW117" i="25"/>
  <c r="AW87" i="25"/>
  <c r="AW58" i="25"/>
  <c r="BF162" i="25"/>
  <c r="BF126" i="25"/>
  <c r="BF71" i="25"/>
  <c r="BF25" i="25"/>
  <c r="BF47" i="25"/>
  <c r="BB22" i="25"/>
  <c r="AK26" i="25"/>
  <c r="BB49" i="25"/>
  <c r="BB152" i="25"/>
  <c r="BB117" i="25"/>
  <c r="BC136" i="25"/>
  <c r="BC165" i="25"/>
  <c r="BC45" i="25"/>
  <c r="BC49" i="25"/>
  <c r="BC39" i="25"/>
  <c r="BA110" i="25"/>
  <c r="AZ71" i="25"/>
  <c r="AW76" i="25"/>
  <c r="AW127" i="25"/>
  <c r="AW17" i="25"/>
  <c r="AW146" i="25"/>
  <c r="BF111" i="25"/>
  <c r="BF159" i="25"/>
  <c r="BF114" i="25"/>
  <c r="BF16" i="25"/>
  <c r="BB63" i="25"/>
  <c r="BB92" i="25"/>
  <c r="BB138" i="25"/>
  <c r="BB135" i="25"/>
  <c r="BB107" i="25"/>
  <c r="BC35" i="25"/>
  <c r="BC137" i="25"/>
  <c r="BC113" i="25"/>
  <c r="AK67" i="25"/>
  <c r="W45" i="29"/>
  <c r="BA70" i="25"/>
  <c r="AW159" i="25"/>
  <c r="BF93" i="25"/>
  <c r="BF74" i="25"/>
  <c r="BB125" i="25"/>
  <c r="BC141" i="25"/>
  <c r="BC170" i="25"/>
  <c r="BC18" i="25"/>
  <c r="AW112" i="25"/>
  <c r="BF128" i="25"/>
  <c r="BF19" i="25"/>
  <c r="BB122" i="25"/>
  <c r="BE122" i="25"/>
  <c r="BC93" i="25"/>
  <c r="V133" i="29"/>
  <c r="V121" i="29"/>
  <c r="Z155" i="29"/>
  <c r="Z48" i="29"/>
  <c r="W85" i="29"/>
  <c r="W80" i="29"/>
  <c r="AZ120" i="25"/>
  <c r="AX102" i="25"/>
  <c r="AX147" i="25"/>
  <c r="AX54" i="25"/>
  <c r="AZ83" i="25"/>
  <c r="BA105" i="25"/>
  <c r="BA83" i="25"/>
  <c r="BA64" i="25"/>
  <c r="BE119" i="25"/>
  <c r="BE128" i="25"/>
  <c r="BE64" i="25"/>
  <c r="AW49" i="25"/>
  <c r="AW154" i="25"/>
  <c r="AW134" i="25"/>
  <c r="BF155" i="25"/>
  <c r="BF33" i="25"/>
  <c r="BB166" i="25"/>
  <c r="BB101" i="25"/>
  <c r="BE110" i="25"/>
  <c r="BC123" i="25"/>
  <c r="BC154" i="25"/>
  <c r="Y79" i="29"/>
  <c r="AJ200" i="25"/>
  <c r="AW18" i="25"/>
  <c r="BF36" i="25"/>
  <c r="BB16" i="25"/>
  <c r="BC17" i="25"/>
  <c r="AK20" i="25"/>
  <c r="BC132" i="25"/>
  <c r="V144" i="29"/>
  <c r="V49" i="29"/>
  <c r="Z104" i="29"/>
  <c r="Z15" i="29"/>
  <c r="W88" i="29"/>
  <c r="W23" i="29"/>
  <c r="AX109" i="25"/>
  <c r="AX21" i="25"/>
  <c r="AX93" i="25"/>
  <c r="AX103" i="25"/>
  <c r="AZ82" i="25"/>
  <c r="BA104" i="25"/>
  <c r="BA159" i="25"/>
  <c r="BA20" i="25"/>
  <c r="BA63" i="25"/>
  <c r="AJ194" i="25"/>
  <c r="BE120" i="25"/>
  <c r="BE130" i="25"/>
  <c r="AZ60" i="25"/>
  <c r="BE69" i="25"/>
  <c r="AZ129" i="25"/>
  <c r="AW77" i="25"/>
  <c r="AW66" i="25"/>
  <c r="AW12" i="25"/>
  <c r="AJ20" i="25"/>
  <c r="AW153" i="25"/>
  <c r="AW61" i="25"/>
  <c r="AW51" i="25"/>
  <c r="AW135" i="25"/>
  <c r="AW102" i="25"/>
  <c r="AW91" i="25"/>
  <c r="BF150" i="25"/>
  <c r="BF132" i="25"/>
  <c r="BF94" i="25"/>
  <c r="BF92" i="25"/>
  <c r="BF63" i="25"/>
  <c r="AK192" i="25"/>
  <c r="BF66" i="25"/>
  <c r="BF32" i="25"/>
  <c r="BF42" i="25"/>
  <c r="AZ134" i="25"/>
  <c r="BB162" i="25"/>
  <c r="AK16" i="25"/>
  <c r="BB150" i="25"/>
  <c r="BB168" i="25"/>
  <c r="BB132" i="25"/>
  <c r="BB75" i="25"/>
  <c r="BB61" i="25"/>
  <c r="BB45" i="25"/>
  <c r="BB84" i="25"/>
  <c r="AK23" i="25"/>
  <c r="BB72" i="25"/>
  <c r="BC90" i="25"/>
  <c r="BC134" i="25"/>
  <c r="BC124" i="25"/>
  <c r="BC97" i="25"/>
  <c r="BC43" i="25"/>
  <c r="BC151" i="25"/>
  <c r="BC31" i="25"/>
  <c r="BC44" i="25"/>
  <c r="BC58" i="25"/>
  <c r="BC163" i="25"/>
  <c r="AK64" i="25"/>
  <c r="BB33" i="25"/>
  <c r="BC126" i="25"/>
  <c r="BC32" i="25"/>
  <c r="BC11" i="25"/>
  <c r="BC103" i="25"/>
  <c r="BE138" i="25"/>
  <c r="BB120" i="25"/>
  <c r="BC12" i="25"/>
  <c r="BC99" i="25"/>
  <c r="BC115" i="25"/>
  <c r="BC119" i="25"/>
  <c r="BC133" i="25"/>
  <c r="BC34" i="25"/>
  <c r="BC47" i="25"/>
  <c r="V101" i="29"/>
  <c r="W28" i="29"/>
  <c r="AX117" i="25"/>
  <c r="BA102" i="25"/>
  <c r="BA11" i="25"/>
  <c r="AZ62" i="25"/>
  <c r="AW69" i="25"/>
  <c r="AW126" i="25"/>
  <c r="AW124" i="25"/>
  <c r="BF96" i="25"/>
  <c r="BF127" i="25"/>
  <c r="BF51" i="25"/>
  <c r="BB157" i="25"/>
  <c r="BB42" i="25"/>
  <c r="BE89" i="25"/>
  <c r="BC37" i="25"/>
  <c r="BC95" i="25"/>
  <c r="V15" i="29"/>
  <c r="AX95" i="25"/>
  <c r="BA68" i="25"/>
  <c r="BE59" i="25"/>
  <c r="AW147" i="25"/>
  <c r="BF11" i="25"/>
  <c r="BB93" i="25"/>
  <c r="AK60" i="25"/>
  <c r="AW29" i="25"/>
  <c r="BF65" i="25"/>
  <c r="BC164" i="25"/>
  <c r="AK68" i="25"/>
  <c r="V138" i="29"/>
  <c r="V43" i="29"/>
  <c r="Z101" i="29"/>
  <c r="Z12" i="29"/>
  <c r="W52" i="29"/>
  <c r="W20" i="29"/>
  <c r="AX91" i="25"/>
  <c r="AX162" i="25"/>
  <c r="AX126" i="25"/>
  <c r="AX154" i="25"/>
  <c r="AZ84" i="25"/>
  <c r="BA148" i="25"/>
  <c r="BA139" i="25"/>
  <c r="BA66" i="25"/>
  <c r="BA116" i="25"/>
  <c r="BA42" i="25"/>
  <c r="BE118" i="25"/>
  <c r="BE135" i="25"/>
  <c r="AZ63" i="25"/>
  <c r="BE73" i="25"/>
  <c r="AZ86" i="25"/>
  <c r="AW155" i="25"/>
  <c r="AW110" i="25"/>
  <c r="AW170" i="25"/>
  <c r="AW121" i="25"/>
  <c r="AW133" i="25"/>
  <c r="AW164" i="25"/>
  <c r="AW74" i="25"/>
  <c r="AJ13" i="25"/>
  <c r="AW113" i="25"/>
  <c r="AW73" i="25"/>
  <c r="BF108" i="25"/>
  <c r="BF129" i="25"/>
  <c r="BF152" i="25"/>
  <c r="AK199" i="25"/>
  <c r="AK191" i="25"/>
  <c r="BF81" i="25"/>
  <c r="BF20" i="25"/>
  <c r="BF17" i="25"/>
  <c r="BF34" i="25"/>
  <c r="AZ133" i="25"/>
  <c r="BB156" i="25"/>
  <c r="BB50" i="25"/>
  <c r="BB13" i="25"/>
  <c r="BB113" i="25"/>
  <c r="AK25" i="25"/>
  <c r="BB40" i="25"/>
  <c r="BB140" i="25"/>
  <c r="BB58" i="25"/>
  <c r="BB137" i="25"/>
  <c r="BB90" i="25"/>
  <c r="BC120" i="25"/>
  <c r="BC159" i="25"/>
  <c r="BC168" i="25"/>
  <c r="BC87" i="25"/>
  <c r="BC15" i="25"/>
  <c r="BC116" i="25"/>
  <c r="BE88" i="25"/>
  <c r="BC55" i="25"/>
  <c r="BC36" i="25"/>
  <c r="BC157" i="25"/>
  <c r="BC169" i="25"/>
  <c r="BC88" i="25"/>
  <c r="BE91" i="25"/>
  <c r="BC156" i="25"/>
  <c r="BC153" i="25"/>
  <c r="BC162" i="25"/>
  <c r="AK69" i="25"/>
  <c r="BE84" i="25"/>
  <c r="BF24" i="25"/>
  <c r="BB19" i="25"/>
  <c r="BC106" i="25"/>
  <c r="W5" i="29"/>
  <c r="AX32" i="25"/>
  <c r="BA97" i="25"/>
  <c r="BE86" i="25"/>
  <c r="AW136" i="25"/>
  <c r="AW88" i="25"/>
  <c r="AW137" i="25"/>
  <c r="BF37" i="25"/>
  <c r="BB99" i="25"/>
  <c r="BB130" i="25"/>
  <c r="BE90" i="25"/>
  <c r="AW114" i="25"/>
  <c r="BB154" i="25"/>
  <c r="BC98" i="25"/>
  <c r="Y121" i="29"/>
  <c r="V155" i="29"/>
  <c r="V59" i="29"/>
  <c r="Z62" i="29"/>
  <c r="Z127" i="29"/>
  <c r="W139" i="29"/>
  <c r="W144" i="29"/>
  <c r="AX146" i="25"/>
  <c r="AX30" i="25"/>
  <c r="AX36" i="25"/>
  <c r="AX47" i="25"/>
  <c r="AZ79" i="25"/>
  <c r="BA109" i="25"/>
  <c r="BA169" i="25"/>
  <c r="BA65" i="25"/>
  <c r="AJ196" i="25"/>
  <c r="BA37" i="25"/>
  <c r="BE113" i="25"/>
  <c r="BE134" i="25"/>
  <c r="AZ70" i="25"/>
  <c r="BE74" i="25"/>
  <c r="AZ85" i="25"/>
  <c r="AW96" i="25"/>
  <c r="AW101" i="25"/>
  <c r="AW33" i="25"/>
  <c r="AW72" i="25"/>
  <c r="AW93" i="25"/>
  <c r="AW57" i="25"/>
  <c r="AW39" i="25"/>
  <c r="AW115" i="25"/>
  <c r="AW70" i="25"/>
  <c r="AW13" i="25"/>
  <c r="BF103" i="25"/>
  <c r="BF98" i="25"/>
  <c r="BF113" i="25"/>
  <c r="AK200" i="25"/>
  <c r="BF60" i="25"/>
  <c r="BF80" i="25"/>
  <c r="BF55" i="25"/>
  <c r="BF105" i="25"/>
  <c r="BF107" i="25"/>
  <c r="AZ135" i="25"/>
  <c r="BB153" i="25"/>
  <c r="BB34" i="25"/>
  <c r="BB109" i="25"/>
  <c r="BB169" i="25"/>
  <c r="BB161" i="25"/>
  <c r="BB148" i="25"/>
  <c r="BB17" i="25"/>
  <c r="BB24" i="25"/>
  <c r="BB68" i="25"/>
  <c r="BC121" i="25"/>
  <c r="BC54" i="25"/>
  <c r="AK204" i="25"/>
  <c r="AW78" i="25"/>
  <c r="BB46" i="25"/>
  <c r="BB115" i="25"/>
  <c r="BC22" i="25"/>
  <c r="Y124" i="29"/>
  <c r="V137" i="29"/>
  <c r="V53" i="29"/>
  <c r="Z59" i="29"/>
  <c r="Z124" i="29"/>
  <c r="W94" i="29"/>
  <c r="W141" i="29"/>
  <c r="AX135" i="25"/>
  <c r="AX169" i="25"/>
  <c r="AX170" i="25"/>
  <c r="AX159" i="25"/>
  <c r="BA103" i="25"/>
  <c r="BA153" i="25"/>
  <c r="BA166" i="25"/>
  <c r="BA82" i="25"/>
  <c r="AJ206" i="25"/>
  <c r="BA107" i="25"/>
  <c r="BE112" i="25"/>
  <c r="AJ153" i="25"/>
  <c r="AZ69" i="25"/>
  <c r="BE60" i="25"/>
  <c r="BE82" i="25"/>
  <c r="AW85" i="25"/>
  <c r="AW128" i="25"/>
  <c r="AW28" i="25"/>
  <c r="AW118" i="25"/>
  <c r="AW21" i="25"/>
  <c r="AW11" i="25"/>
  <c r="AW24" i="25"/>
  <c r="AJ24" i="25"/>
  <c r="AW162" i="25"/>
  <c r="AW161" i="25"/>
  <c r="BF140" i="25"/>
  <c r="BF102" i="25"/>
  <c r="BF165" i="25"/>
  <c r="BF156" i="25"/>
  <c r="BF14" i="25"/>
  <c r="AK193" i="25"/>
  <c r="BF30" i="25"/>
  <c r="BF39" i="25"/>
  <c r="BF52" i="25"/>
  <c r="BB76" i="25"/>
  <c r="BB28" i="25"/>
  <c r="BB73" i="25"/>
  <c r="BB165" i="25"/>
  <c r="BB48" i="25"/>
  <c r="BB111" i="25"/>
  <c r="BB83" i="25"/>
  <c r="BB123" i="25"/>
  <c r="BB158" i="25"/>
  <c r="BB142" i="25"/>
  <c r="BB167" i="25"/>
  <c r="BC56" i="25"/>
  <c r="BC61" i="25"/>
  <c r="Y54" i="29"/>
  <c r="Z23" i="29"/>
  <c r="W102" i="29"/>
  <c r="AX11" i="25"/>
  <c r="BA152" i="25"/>
  <c r="BA72" i="25"/>
  <c r="AZ122" i="25"/>
  <c r="BE72" i="25"/>
  <c r="AW30" i="25"/>
  <c r="AW140" i="25"/>
  <c r="AW83" i="25"/>
  <c r="BF161" i="25"/>
  <c r="BF68" i="25"/>
  <c r="BB77" i="25"/>
  <c r="BB159" i="25"/>
  <c r="BB47" i="25"/>
  <c r="BB15" i="25"/>
  <c r="BC122" i="25"/>
  <c r="BC160" i="25"/>
  <c r="BC107" i="25"/>
  <c r="AK63" i="25"/>
  <c r="V119" i="29"/>
  <c r="AX145" i="25"/>
  <c r="BA24" i="25"/>
  <c r="AZ88" i="25"/>
  <c r="AW82" i="25"/>
  <c r="AW41" i="25"/>
  <c r="BF167" i="25"/>
  <c r="BF116" i="25"/>
  <c r="AK14" i="25"/>
  <c r="BB144" i="25"/>
  <c r="BC110" i="25"/>
  <c r="BC166" i="25"/>
  <c r="BC147" i="25"/>
  <c r="AW129" i="25"/>
  <c r="BF13" i="25"/>
  <c r="BB110" i="25"/>
  <c r="BB57" i="25"/>
  <c r="BC96" i="25"/>
  <c r="Y67" i="29"/>
  <c r="V153" i="29"/>
  <c r="V87" i="29"/>
  <c r="Z26" i="29"/>
  <c r="Z76" i="29"/>
  <c r="W37" i="29"/>
  <c r="W105" i="29"/>
  <c r="AX40" i="25"/>
  <c r="AX106" i="25"/>
  <c r="AX34" i="25"/>
  <c r="AX125" i="25"/>
  <c r="BA162" i="25"/>
  <c r="BA128" i="25"/>
  <c r="AJ197" i="25"/>
  <c r="BA36" i="25"/>
  <c r="BA43" i="25"/>
  <c r="BA127" i="25"/>
  <c r="BE124" i="25"/>
  <c r="AZ90" i="25"/>
  <c r="AZ72" i="25"/>
  <c r="BE67" i="25"/>
  <c r="BE80" i="25"/>
  <c r="AW141" i="25"/>
  <c r="AJ11" i="25"/>
  <c r="AW47" i="25"/>
  <c r="AW34" i="25"/>
  <c r="AW144" i="25"/>
  <c r="AW131" i="25"/>
  <c r="AJ21" i="25"/>
  <c r="AW107" i="25"/>
  <c r="AW62" i="25"/>
  <c r="AW130" i="25"/>
  <c r="BF130" i="25"/>
  <c r="BF139" i="25"/>
  <c r="BF125" i="25"/>
  <c r="BF76" i="25"/>
  <c r="BF73" i="25"/>
  <c r="BF29" i="25"/>
  <c r="BF70" i="25"/>
  <c r="BF56" i="25"/>
  <c r="BF44" i="25"/>
  <c r="BB79" i="25"/>
  <c r="BB114" i="25"/>
  <c r="BB38" i="25"/>
  <c r="BB108" i="25"/>
  <c r="AK21" i="25"/>
  <c r="BB55" i="25"/>
  <c r="BB62" i="25"/>
  <c r="BB56" i="25"/>
  <c r="BB69" i="25"/>
  <c r="AK18" i="25"/>
  <c r="BB23" i="25"/>
  <c r="BE87" i="25"/>
  <c r="BC109" i="25"/>
  <c r="BC150" i="25"/>
  <c r="BC52" i="25"/>
  <c r="BC14" i="25"/>
  <c r="BC102" i="25"/>
  <c r="BC19" i="25"/>
  <c r="BC105" i="25"/>
  <c r="BC53" i="25"/>
  <c r="AK56" i="25"/>
  <c r="AK66" i="25"/>
  <c r="V81" i="29"/>
  <c r="Z73" i="29"/>
  <c r="AX155" i="25"/>
  <c r="AX50" i="25"/>
  <c r="BA69" i="25"/>
  <c r="BA51" i="25"/>
  <c r="AZ87" i="25"/>
  <c r="AW157" i="25"/>
  <c r="AW95" i="25"/>
  <c r="AW84" i="25"/>
  <c r="AW67" i="25"/>
  <c r="AK197" i="25"/>
  <c r="BF49" i="25"/>
  <c r="BB88" i="25"/>
  <c r="BB20" i="25"/>
  <c r="BB170" i="25"/>
  <c r="BB121" i="25"/>
  <c r="BC94" i="25"/>
  <c r="BC149" i="25"/>
  <c r="AK57" i="25"/>
  <c r="Z147" i="29"/>
  <c r="AX98" i="25"/>
  <c r="BA60" i="25"/>
  <c r="AZ73" i="25"/>
  <c r="AW59" i="25"/>
  <c r="AJ12" i="25"/>
  <c r="BF163" i="25"/>
  <c r="BF61" i="25"/>
  <c r="BB29" i="25"/>
  <c r="BB119" i="25"/>
  <c r="BC138" i="25"/>
  <c r="AK58" i="25"/>
  <c r="AW149" i="25"/>
  <c r="BF149" i="25"/>
  <c r="BF38" i="25"/>
  <c r="BB26" i="25"/>
  <c r="BC155" i="25"/>
  <c r="AM56" i="25" l="1"/>
  <c r="AM57" i="25" s="1"/>
  <c r="AM58" i="25" s="1"/>
  <c r="AM59" i="25" s="1"/>
  <c r="AM60" i="25" s="1"/>
  <c r="AM11" i="25"/>
  <c r="AM12" i="25" s="1"/>
  <c r="AM13" i="25" s="1"/>
  <c r="AM14" i="25" s="1"/>
  <c r="AM15" i="25" s="1"/>
  <c r="AM191" i="25"/>
  <c r="AM192" i="25" s="1"/>
  <c r="AM193" i="25" s="1"/>
  <c r="AM194" i="25" s="1"/>
  <c r="AM195" i="25" s="1"/>
  <c r="AM196" i="25" s="1"/>
  <c r="AM197" i="25" s="1"/>
  <c r="AL11" i="25"/>
  <c r="AL12" i="25" s="1"/>
  <c r="AL13" i="25" s="1"/>
  <c r="AL14" i="25" s="1"/>
  <c r="AL15" i="25" s="1"/>
  <c r="AL16" i="25" s="1"/>
  <c r="AL17" i="25" s="1"/>
  <c r="AL18" i="25" s="1"/>
  <c r="AL19" i="25" s="1"/>
  <c r="AL20" i="25" s="1"/>
  <c r="AL21" i="25" s="1"/>
  <c r="AL22" i="25" s="1"/>
  <c r="AL23" i="25" s="1"/>
  <c r="AL24" i="25" s="1"/>
  <c r="AL25" i="25" s="1"/>
  <c r="AL26" i="25" s="1"/>
  <c r="AL191" i="25"/>
  <c r="AL192" i="25" s="1"/>
  <c r="AL193" i="25" s="1"/>
  <c r="AL194" i="25" s="1"/>
  <c r="AL195" i="25" s="1"/>
  <c r="AL196" i="25" s="1"/>
  <c r="AL197" i="25" s="1"/>
  <c r="AL56" i="25"/>
  <c r="AL57" i="25" s="1"/>
  <c r="AL58" i="25" s="1"/>
  <c r="AL59" i="25" s="1"/>
  <c r="AL60" i="25" s="1"/>
  <c r="M184" i="29"/>
  <c r="S184" i="29" s="1"/>
  <c r="N190" i="25"/>
  <c r="T190" i="25" s="1"/>
  <c r="U190" i="25"/>
  <c r="AA190" i="25" s="1"/>
  <c r="N51" i="29"/>
  <c r="V57" i="25"/>
  <c r="O57" i="25"/>
  <c r="L57" i="15"/>
  <c r="M107" i="29"/>
  <c r="S107" i="29" s="1"/>
  <c r="U113" i="25"/>
  <c r="AA113" i="25" s="1"/>
  <c r="N113" i="25"/>
  <c r="T113" i="25" s="1"/>
  <c r="M54" i="29"/>
  <c r="S54" i="29" s="1"/>
  <c r="U60" i="25"/>
  <c r="AA60" i="25" s="1"/>
  <c r="N60" i="25"/>
  <c r="T60" i="25" s="1"/>
  <c r="M116" i="29"/>
  <c r="S116" i="29" s="1"/>
  <c r="U122" i="25"/>
  <c r="AA122" i="25" s="1"/>
  <c r="N122" i="25"/>
  <c r="T122" i="25" s="1"/>
  <c r="M56" i="29"/>
  <c r="S56" i="29" s="1"/>
  <c r="N62" i="25"/>
  <c r="T62" i="25" s="1"/>
  <c r="U62" i="25"/>
  <c r="AA62" i="25" s="1"/>
  <c r="M152" i="29"/>
  <c r="S152" i="29" s="1"/>
  <c r="N158" i="25"/>
  <c r="T158" i="25" s="1"/>
  <c r="U158" i="25"/>
  <c r="AA158" i="25" s="1"/>
  <c r="M149" i="29"/>
  <c r="S149" i="29" s="1"/>
  <c r="U155" i="25"/>
  <c r="AA155" i="25" s="1"/>
  <c r="N155" i="25"/>
  <c r="T155" i="25" s="1"/>
  <c r="M93" i="29"/>
  <c r="S93" i="29" s="1"/>
  <c r="U99" i="25"/>
  <c r="AA99" i="25" s="1"/>
  <c r="N99" i="25"/>
  <c r="T99" i="25" s="1"/>
  <c r="N198" i="29"/>
  <c r="O204" i="25"/>
  <c r="V204" i="25"/>
  <c r="L204" i="15"/>
  <c r="M151" i="29"/>
  <c r="S151" i="29" s="1"/>
  <c r="U157" i="25"/>
  <c r="AA157" i="25" s="1"/>
  <c r="N157" i="25"/>
  <c r="T157" i="25" s="1"/>
  <c r="M108" i="29"/>
  <c r="S108" i="29" s="1"/>
  <c r="U114" i="25"/>
  <c r="AA114" i="25" s="1"/>
  <c r="N114" i="25"/>
  <c r="T114" i="25" s="1"/>
  <c r="M52" i="29"/>
  <c r="S52" i="29" s="1"/>
  <c r="U58" i="25"/>
  <c r="AA58" i="25" s="1"/>
  <c r="N58" i="25"/>
  <c r="T58" i="25" s="1"/>
  <c r="U225" i="25"/>
  <c r="AA225" i="25" s="1"/>
  <c r="N225" i="25"/>
  <c r="T225" i="25" s="1"/>
  <c r="M219" i="29"/>
  <c r="S219" i="29" s="1"/>
  <c r="N200" i="29"/>
  <c r="V206" i="25"/>
  <c r="O206" i="25"/>
  <c r="L206" i="15"/>
  <c r="N209" i="29"/>
  <c r="O215" i="25"/>
  <c r="V215" i="25"/>
  <c r="L215" i="15"/>
  <c r="M213" i="29"/>
  <c r="S213" i="29" s="1"/>
  <c r="U219" i="25"/>
  <c r="AA219" i="25" s="1"/>
  <c r="N219" i="25"/>
  <c r="T219" i="25" s="1"/>
  <c r="AM150" i="25"/>
  <c r="AM151" i="25" s="1"/>
  <c r="AM152" i="25" s="1"/>
  <c r="AM153" i="25" s="1"/>
  <c r="M82" i="29"/>
  <c r="S82" i="29" s="1"/>
  <c r="U88" i="25"/>
  <c r="AA88" i="25" s="1"/>
  <c r="N88" i="25"/>
  <c r="T88" i="25" s="1"/>
  <c r="M215" i="29"/>
  <c r="S215" i="29" s="1"/>
  <c r="U221" i="25"/>
  <c r="AA221" i="25" s="1"/>
  <c r="N221" i="25"/>
  <c r="T221" i="25" s="1"/>
  <c r="AL150" i="25"/>
  <c r="AL151" i="25" s="1"/>
  <c r="AL152" i="25" s="1"/>
  <c r="AL153" i="25" s="1"/>
  <c r="D7" i="9"/>
  <c r="H10" i="9"/>
  <c r="F10" i="9"/>
  <c r="G11" i="9"/>
  <c r="E9" i="9"/>
  <c r="Y94" i="29"/>
  <c r="Z79" i="29"/>
  <c r="X151" i="29"/>
  <c r="X115" i="29"/>
  <c r="X79" i="29"/>
  <c r="X43" i="29"/>
  <c r="X95" i="29"/>
  <c r="X59" i="29"/>
  <c r="X23" i="29"/>
  <c r="X144" i="29"/>
  <c r="X108" i="29"/>
  <c r="X72" i="29"/>
  <c r="Y97" i="29"/>
  <c r="BD105" i="25"/>
  <c r="BD98" i="25"/>
  <c r="BD92" i="25"/>
  <c r="AK107" i="25"/>
  <c r="AY14" i="25"/>
  <c r="AY56" i="25"/>
  <c r="AY39" i="25"/>
  <c r="BE101" i="25"/>
  <c r="AJ198" i="25"/>
  <c r="BD20" i="25"/>
  <c r="AY83" i="25"/>
  <c r="AY34" i="25"/>
  <c r="AY106" i="25"/>
  <c r="BC78" i="25"/>
  <c r="BA88" i="25"/>
  <c r="BC75" i="25"/>
  <c r="BD104" i="25"/>
  <c r="BD56" i="25"/>
  <c r="AY60" i="25"/>
  <c r="AY132" i="25"/>
  <c r="BF145" i="25"/>
  <c r="BD164" i="25"/>
  <c r="AY141" i="25"/>
  <c r="AJ113" i="25"/>
  <c r="Y93" i="29"/>
  <c r="Z82" i="29"/>
  <c r="X148" i="29"/>
  <c r="X112" i="29"/>
  <c r="X76" i="29"/>
  <c r="X40" i="29"/>
  <c r="X164" i="29"/>
  <c r="X128" i="29"/>
  <c r="X92" i="29"/>
  <c r="X56" i="29"/>
  <c r="X20" i="29"/>
  <c r="X141" i="29"/>
  <c r="X105" i="29"/>
  <c r="X69" i="29"/>
  <c r="X33" i="29"/>
  <c r="Y100" i="29"/>
  <c r="BF84" i="25"/>
  <c r="BD127" i="25"/>
  <c r="BD113" i="25"/>
  <c r="BD50" i="25"/>
  <c r="BD100" i="25"/>
  <c r="BD170" i="25"/>
  <c r="BD35" i="25"/>
  <c r="BD114" i="25"/>
  <c r="BD119" i="25"/>
  <c r="BD64" i="25"/>
  <c r="BD120" i="25"/>
  <c r="BD85" i="25"/>
  <c r="AK115" i="25"/>
  <c r="AY26" i="25"/>
  <c r="AY138" i="25"/>
  <c r="AY22" i="25"/>
  <c r="AY105" i="25"/>
  <c r="BE99" i="25"/>
  <c r="AZ107" i="25"/>
  <c r="BA89" i="25"/>
  <c r="BD150" i="25"/>
  <c r="BD123" i="25"/>
  <c r="BD115" i="25"/>
  <c r="AY32" i="25"/>
  <c r="AY159" i="25"/>
  <c r="AZ104" i="25"/>
  <c r="BA84" i="25"/>
  <c r="BD86" i="25"/>
  <c r="AY21" i="25"/>
  <c r="AX73" i="25"/>
  <c r="W69" i="29"/>
  <c r="Y96" i="29"/>
  <c r="Z78" i="29"/>
  <c r="X145" i="29"/>
  <c r="X109" i="29"/>
  <c r="X73" i="29"/>
  <c r="X37" i="29"/>
  <c r="X161" i="29"/>
  <c r="X125" i="29"/>
  <c r="X89" i="29"/>
  <c r="X53" i="29"/>
  <c r="X17" i="29"/>
  <c r="X138" i="29"/>
  <c r="X102" i="29"/>
  <c r="X66" i="29"/>
  <c r="X30" i="29"/>
  <c r="Y99" i="29"/>
  <c r="BF86" i="25"/>
  <c r="BD101" i="25"/>
  <c r="BD108" i="25"/>
  <c r="BD118" i="25"/>
  <c r="BD45" i="25"/>
  <c r="BD70" i="25"/>
  <c r="BD168" i="25"/>
  <c r="BD152" i="25"/>
  <c r="BD59" i="25"/>
  <c r="BD145" i="25"/>
  <c r="BD159" i="25"/>
  <c r="BD84" i="25"/>
  <c r="BD149" i="25"/>
  <c r="BD167" i="25"/>
  <c r="BD91" i="25"/>
  <c r="AK112" i="25"/>
  <c r="AY101" i="25"/>
  <c r="AY153" i="25"/>
  <c r="AY128" i="25"/>
  <c r="AY107" i="25"/>
  <c r="AY36" i="25"/>
  <c r="AY123" i="25"/>
  <c r="AY30" i="25"/>
  <c r="AY65" i="25"/>
  <c r="AY18" i="25"/>
  <c r="AY52" i="25"/>
  <c r="AY28" i="25"/>
  <c r="AY97" i="25"/>
  <c r="AJ109" i="25"/>
  <c r="BA142" i="25"/>
  <c r="BF90" i="25"/>
  <c r="BD22" i="25"/>
  <c r="AY126" i="25"/>
  <c r="AY152" i="25"/>
  <c r="AY23" i="25"/>
  <c r="BE107" i="25"/>
  <c r="BA143" i="25"/>
  <c r="BD83" i="25"/>
  <c r="AY145" i="25"/>
  <c r="AK154" i="25"/>
  <c r="W72" i="29"/>
  <c r="Y95" i="29"/>
  <c r="Z81" i="29"/>
  <c r="X142" i="29"/>
  <c r="X106" i="29"/>
  <c r="X70" i="29"/>
  <c r="X34" i="29"/>
  <c r="X158" i="29"/>
  <c r="X122" i="29"/>
  <c r="X86" i="29"/>
  <c r="X50" i="29"/>
  <c r="X14" i="29"/>
  <c r="X135" i="29"/>
  <c r="X99" i="29"/>
  <c r="X63" i="29"/>
  <c r="X27" i="29"/>
  <c r="Y101" i="29"/>
  <c r="BD94" i="25"/>
  <c r="BD74" i="25"/>
  <c r="BD61" i="25"/>
  <c r="AK109" i="25"/>
  <c r="AY62" i="25"/>
  <c r="AY42" i="25"/>
  <c r="AK62" i="25"/>
  <c r="BD41" i="25"/>
  <c r="AY19" i="25"/>
  <c r="AY44" i="25"/>
  <c r="W71" i="29"/>
  <c r="Z136" i="29"/>
  <c r="Z84" i="29"/>
  <c r="X139" i="29"/>
  <c r="X103" i="29"/>
  <c r="X67" i="29"/>
  <c r="X31" i="29"/>
  <c r="X155" i="29"/>
  <c r="X119" i="29"/>
  <c r="X83" i="29"/>
  <c r="X47" i="29"/>
  <c r="X11" i="29"/>
  <c r="X132" i="29"/>
  <c r="X96" i="29"/>
  <c r="X60" i="29"/>
  <c r="X24" i="29"/>
  <c r="Y98" i="29"/>
  <c r="AK198" i="25"/>
  <c r="BD126" i="25"/>
  <c r="BD88" i="25"/>
  <c r="BD58" i="25"/>
  <c r="BD96" i="25"/>
  <c r="AK101" i="25"/>
  <c r="BD66" i="25"/>
  <c r="BD27" i="25"/>
  <c r="BD161" i="25"/>
  <c r="BD160" i="25"/>
  <c r="BD19" i="25"/>
  <c r="BD78" i="25"/>
  <c r="BD130" i="25"/>
  <c r="BD25" i="25"/>
  <c r="BD147" i="25"/>
  <c r="AK106" i="25"/>
  <c r="AY110" i="25"/>
  <c r="AY140" i="25"/>
  <c r="AY99" i="25"/>
  <c r="AY17" i="25"/>
  <c r="AY135" i="25"/>
  <c r="AY137" i="25"/>
  <c r="AY31" i="25"/>
  <c r="AY50" i="25"/>
  <c r="AY168" i="25"/>
  <c r="AY96" i="25"/>
  <c r="AY78" i="25"/>
  <c r="AJ104" i="25"/>
  <c r="AY79" i="25"/>
  <c r="AJ112" i="25"/>
  <c r="BE105" i="25"/>
  <c r="AZ105" i="25"/>
  <c r="AX84" i="25"/>
  <c r="BF142" i="25"/>
  <c r="BC84" i="25"/>
  <c r="BA145" i="25"/>
  <c r="BA87" i="25"/>
  <c r="BD155" i="25"/>
  <c r="AY155" i="25"/>
  <c r="AY95" i="25"/>
  <c r="AY163" i="25"/>
  <c r="AJ116" i="25"/>
  <c r="AX83" i="25"/>
  <c r="BC80" i="25"/>
  <c r="X124" i="29"/>
  <c r="X104" i="29"/>
  <c r="X153" i="29"/>
  <c r="X9" i="29"/>
  <c r="BD34" i="25"/>
  <c r="BD60" i="25"/>
  <c r="AY121" i="25"/>
  <c r="AY120" i="25"/>
  <c r="AJ154" i="25"/>
  <c r="W73" i="29"/>
  <c r="Z139" i="29"/>
  <c r="Z80" i="29"/>
  <c r="X136" i="29"/>
  <c r="X100" i="29"/>
  <c r="X64" i="29"/>
  <c r="X28" i="29"/>
  <c r="X152" i="29"/>
  <c r="X116" i="29"/>
  <c r="X80" i="29"/>
  <c r="X44" i="29"/>
  <c r="X8" i="29"/>
  <c r="X129" i="29"/>
  <c r="X93" i="29"/>
  <c r="X57" i="29"/>
  <c r="X21" i="29"/>
  <c r="W66" i="29"/>
  <c r="BF89" i="25"/>
  <c r="BD103" i="25"/>
  <c r="BD21" i="25"/>
  <c r="BD55" i="25"/>
  <c r="BD40" i="25"/>
  <c r="BD116" i="25"/>
  <c r="BD73" i="25"/>
  <c r="BD95" i="25"/>
  <c r="BD37" i="25"/>
  <c r="BD142" i="25"/>
  <c r="BD97" i="25"/>
  <c r="BD89" i="25"/>
  <c r="BD133" i="25"/>
  <c r="BD139" i="25"/>
  <c r="AK114" i="25"/>
  <c r="BE109" i="25"/>
  <c r="AY54" i="25"/>
  <c r="AY16" i="25"/>
  <c r="AY109" i="25"/>
  <c r="AY116" i="25"/>
  <c r="AY162" i="25"/>
  <c r="AY122" i="25"/>
  <c r="AY61" i="25"/>
  <c r="AY165" i="25"/>
  <c r="AY118" i="25"/>
  <c r="AY88" i="25"/>
  <c r="AY91" i="25"/>
  <c r="AY46" i="25"/>
  <c r="AY67" i="25"/>
  <c r="AJ106" i="25"/>
  <c r="BE103" i="25"/>
  <c r="AZ106" i="25"/>
  <c r="AX82" i="25"/>
  <c r="BF143" i="25"/>
  <c r="BC81" i="25"/>
  <c r="BA144" i="25"/>
  <c r="BA147" i="25"/>
  <c r="BC83" i="25"/>
  <c r="Z141" i="29"/>
  <c r="X127" i="29"/>
  <c r="X19" i="29"/>
  <c r="X71" i="29"/>
  <c r="X120" i="29"/>
  <c r="X12" i="29"/>
  <c r="BD15" i="25"/>
  <c r="BD129" i="25"/>
  <c r="BD51" i="25"/>
  <c r="BD69" i="25"/>
  <c r="AY85" i="25"/>
  <c r="AX129" i="25"/>
  <c r="W74" i="29"/>
  <c r="Z140" i="29"/>
  <c r="X160" i="29"/>
  <c r="X88" i="29"/>
  <c r="X140" i="29"/>
  <c r="X68" i="29"/>
  <c r="X81" i="29"/>
  <c r="BD110" i="25"/>
  <c r="BD33" i="25"/>
  <c r="AK116" i="25"/>
  <c r="AY92" i="25"/>
  <c r="BC73" i="25"/>
  <c r="W70" i="29"/>
  <c r="Z138" i="29"/>
  <c r="Z83" i="29"/>
  <c r="X133" i="29"/>
  <c r="X97" i="29"/>
  <c r="X61" i="29"/>
  <c r="X25" i="29"/>
  <c r="X149" i="29"/>
  <c r="X113" i="29"/>
  <c r="X77" i="29"/>
  <c r="X41" i="29"/>
  <c r="X162" i="29"/>
  <c r="X126" i="29"/>
  <c r="X90" i="29"/>
  <c r="X54" i="29"/>
  <c r="X18" i="29"/>
  <c r="W68" i="29"/>
  <c r="BF88" i="25"/>
  <c r="BD102" i="25"/>
  <c r="BD169" i="25"/>
  <c r="BD156" i="25"/>
  <c r="BD24" i="25"/>
  <c r="BD23" i="25"/>
  <c r="BD18" i="25"/>
  <c r="BD49" i="25"/>
  <c r="BD68" i="25"/>
  <c r="BD146" i="25"/>
  <c r="BD117" i="25"/>
  <c r="BD14" i="25"/>
  <c r="BD165" i="25"/>
  <c r="BD72" i="25"/>
  <c r="AK111" i="25"/>
  <c r="BE108" i="25"/>
  <c r="AY37" i="25"/>
  <c r="AY82" i="25"/>
  <c r="AY86" i="25"/>
  <c r="AY170" i="25"/>
  <c r="AY70" i="25"/>
  <c r="AY169" i="25"/>
  <c r="AY43" i="25"/>
  <c r="AY13" i="25"/>
  <c r="AY48" i="25"/>
  <c r="AY40" i="25"/>
  <c r="AY157" i="25"/>
  <c r="AY80" i="25"/>
  <c r="AY64" i="25"/>
  <c r="AJ108" i="25"/>
  <c r="BE104" i="25"/>
  <c r="AZ103" i="25"/>
  <c r="AX80" i="25"/>
  <c r="BF144" i="25"/>
  <c r="BC82" i="25"/>
  <c r="AX127" i="25"/>
  <c r="BA146" i="25"/>
  <c r="AX128" i="25"/>
  <c r="W78" i="29"/>
  <c r="X163" i="29"/>
  <c r="X91" i="29"/>
  <c r="X55" i="29"/>
  <c r="X107" i="29"/>
  <c r="X35" i="29"/>
  <c r="X156" i="29"/>
  <c r="X48" i="29"/>
  <c r="W123" i="29"/>
  <c r="AK104" i="25"/>
  <c r="BD46" i="25"/>
  <c r="BD52" i="25"/>
  <c r="BD106" i="25"/>
  <c r="BD109" i="25"/>
  <c r="AK105" i="25"/>
  <c r="AY124" i="25"/>
  <c r="AY112" i="25"/>
  <c r="AY20" i="25"/>
  <c r="AY166" i="25"/>
  <c r="AY71" i="25"/>
  <c r="AY158" i="25"/>
  <c r="AY25" i="25"/>
  <c r="BC72" i="25"/>
  <c r="BF147" i="25"/>
  <c r="X16" i="29"/>
  <c r="X32" i="29"/>
  <c r="X45" i="29"/>
  <c r="W122" i="29"/>
  <c r="BD79" i="25"/>
  <c r="BD136" i="25"/>
  <c r="AY111" i="25"/>
  <c r="AY114" i="25"/>
  <c r="W75" i="29"/>
  <c r="Z137" i="29"/>
  <c r="X5" i="29"/>
  <c r="X130" i="29"/>
  <c r="X94" i="29"/>
  <c r="X58" i="29"/>
  <c r="X22" i="29"/>
  <c r="X146" i="29"/>
  <c r="X110" i="29"/>
  <c r="X74" i="29"/>
  <c r="X38" i="29"/>
  <c r="X159" i="29"/>
  <c r="X123" i="29"/>
  <c r="X87" i="29"/>
  <c r="X51" i="29"/>
  <c r="X15" i="29"/>
  <c r="W67" i="29"/>
  <c r="AZ108" i="25"/>
  <c r="BD39" i="25"/>
  <c r="BD12" i="25"/>
  <c r="BD134" i="25"/>
  <c r="BD30" i="25"/>
  <c r="AK102" i="25"/>
  <c r="BD11" i="25"/>
  <c r="BD17" i="25"/>
  <c r="BD77" i="25"/>
  <c r="BD140" i="25"/>
  <c r="BD163" i="25"/>
  <c r="BD54" i="25"/>
  <c r="BD87" i="25"/>
  <c r="BD107" i="25"/>
  <c r="AK108" i="25"/>
  <c r="AY103" i="25"/>
  <c r="AY156" i="25"/>
  <c r="AY53" i="25"/>
  <c r="AY15" i="25"/>
  <c r="AY130" i="25"/>
  <c r="AY167" i="25"/>
  <c r="AY100" i="25"/>
  <c r="AY66" i="25"/>
  <c r="AY149" i="25"/>
  <c r="AY136" i="25"/>
  <c r="AY75" i="25"/>
  <c r="AY41" i="25"/>
  <c r="AY150" i="25"/>
  <c r="AY12" i="25"/>
  <c r="AJ105" i="25"/>
  <c r="BE106" i="25"/>
  <c r="AX74" i="25"/>
  <c r="AX81" i="25"/>
  <c r="BA151" i="25"/>
  <c r="X143" i="29"/>
  <c r="X84" i="29"/>
  <c r="AZ109" i="25"/>
  <c r="BD13" i="25"/>
  <c r="BD67" i="25"/>
  <c r="BD76" i="25"/>
  <c r="AY115" i="25"/>
  <c r="AY11" i="25"/>
  <c r="AY151" i="25"/>
  <c r="AX72" i="25"/>
  <c r="X52" i="29"/>
  <c r="X117" i="29"/>
  <c r="BD36" i="25"/>
  <c r="BD44" i="25"/>
  <c r="AY154" i="25"/>
  <c r="W77" i="29"/>
  <c r="Y103" i="29"/>
  <c r="X157" i="29"/>
  <c r="X121" i="29"/>
  <c r="X85" i="29"/>
  <c r="X49" i="29"/>
  <c r="X13" i="29"/>
  <c r="X137" i="29"/>
  <c r="X101" i="29"/>
  <c r="X65" i="29"/>
  <c r="X29" i="29"/>
  <c r="X150" i="29"/>
  <c r="X114" i="29"/>
  <c r="X78" i="29"/>
  <c r="X42" i="29"/>
  <c r="X6" i="29"/>
  <c r="W121" i="29"/>
  <c r="BD124" i="25"/>
  <c r="BD151" i="25"/>
  <c r="BD121" i="25"/>
  <c r="BD28" i="25"/>
  <c r="BD16" i="25"/>
  <c r="BD144" i="25"/>
  <c r="BD32" i="25"/>
  <c r="BD138" i="25"/>
  <c r="BD62" i="25"/>
  <c r="BD131" i="25"/>
  <c r="BD65" i="25"/>
  <c r="BD153" i="25"/>
  <c r="BD63" i="25"/>
  <c r="BD162" i="25"/>
  <c r="AK113" i="25"/>
  <c r="AY102" i="25"/>
  <c r="AY144" i="25"/>
  <c r="AY24" i="25"/>
  <c r="AY51" i="25"/>
  <c r="AY58" i="25"/>
  <c r="AY84" i="25"/>
  <c r="AY134" i="25"/>
  <c r="AY133" i="25"/>
  <c r="AY33" i="25"/>
  <c r="AJ102" i="25"/>
  <c r="AY49" i="25"/>
  <c r="AY77" i="25"/>
  <c r="AY147" i="25"/>
  <c r="AY55" i="25"/>
  <c r="AJ110" i="25"/>
  <c r="BC74" i="25"/>
  <c r="BC79" i="25"/>
  <c r="BE100" i="25"/>
  <c r="AX79" i="25"/>
  <c r="AZ101" i="25"/>
  <c r="BA90" i="25"/>
  <c r="X7" i="29"/>
  <c r="BF85" i="25"/>
  <c r="BD143" i="25"/>
  <c r="BD57" i="25"/>
  <c r="BD132" i="25"/>
  <c r="BD135" i="25"/>
  <c r="BD43" i="25"/>
  <c r="BD166" i="25"/>
  <c r="AY68" i="25"/>
  <c r="AY29" i="25"/>
  <c r="AY164" i="25"/>
  <c r="AY94" i="25"/>
  <c r="AY90" i="25"/>
  <c r="AY59" i="25"/>
  <c r="BC129" i="25"/>
  <c r="AX78" i="25"/>
  <c r="BD154" i="25"/>
  <c r="AY72" i="25"/>
  <c r="AY89" i="25"/>
  <c r="AY57" i="25"/>
  <c r="BC128" i="25"/>
  <c r="AZ99" i="25"/>
  <c r="AY108" i="25"/>
  <c r="AX75" i="25"/>
  <c r="BD137" i="25"/>
  <c r="BD158" i="25"/>
  <c r="AY45" i="25"/>
  <c r="AY73" i="25"/>
  <c r="AJ111" i="25"/>
  <c r="BD157" i="25"/>
  <c r="AY27" i="25"/>
  <c r="BF146" i="25"/>
  <c r="W76" i="29"/>
  <c r="Y102" i="29"/>
  <c r="X154" i="29"/>
  <c r="X118" i="29"/>
  <c r="X82" i="29"/>
  <c r="X46" i="29"/>
  <c r="X10" i="29"/>
  <c r="X134" i="29"/>
  <c r="X98" i="29"/>
  <c r="X62" i="29"/>
  <c r="X26" i="29"/>
  <c r="X147" i="29"/>
  <c r="X111" i="29"/>
  <c r="X75" i="29"/>
  <c r="X39" i="29"/>
  <c r="Z145" i="29"/>
  <c r="BF87" i="25"/>
  <c r="BD125" i="25"/>
  <c r="BD38" i="25"/>
  <c r="BD82" i="25"/>
  <c r="BD81" i="25"/>
  <c r="BD26" i="25"/>
  <c r="BD53" i="25"/>
  <c r="BD112" i="25"/>
  <c r="BD128" i="25"/>
  <c r="BD71" i="25"/>
  <c r="BD93" i="25"/>
  <c r="BD148" i="25"/>
  <c r="BD80" i="25"/>
  <c r="BD75" i="25"/>
  <c r="BD90" i="25"/>
  <c r="AK110" i="25"/>
  <c r="AY104" i="25"/>
  <c r="AY93" i="25"/>
  <c r="AJ103" i="25"/>
  <c r="AY63" i="25"/>
  <c r="AY142" i="25"/>
  <c r="AY81" i="25"/>
  <c r="AY129" i="25"/>
  <c r="AY143" i="25"/>
  <c r="AY139" i="25"/>
  <c r="AY131" i="25"/>
  <c r="AY98" i="25"/>
  <c r="AY47" i="25"/>
  <c r="AY119" i="25"/>
  <c r="AY38" i="25"/>
  <c r="AJ107" i="25"/>
  <c r="BC127" i="25"/>
  <c r="BC77" i="25"/>
  <c r="BE102" i="25"/>
  <c r="AX76" i="25"/>
  <c r="AZ100" i="25"/>
  <c r="BA86" i="25"/>
  <c r="X131" i="29"/>
  <c r="X36" i="29"/>
  <c r="BD111" i="25"/>
  <c r="AK103" i="25"/>
  <c r="BD48" i="25"/>
  <c r="BD122" i="25"/>
  <c r="BD29" i="25"/>
  <c r="AY127" i="25"/>
  <c r="AY161" i="25"/>
  <c r="AJ101" i="25"/>
  <c r="AY76" i="25"/>
  <c r="AY74" i="25"/>
  <c r="AJ114" i="25"/>
  <c r="BC76" i="25"/>
  <c r="AZ102" i="25"/>
  <c r="BD31" i="25"/>
  <c r="AY125" i="25"/>
  <c r="AY146" i="25"/>
  <c r="AY113" i="25"/>
  <c r="AY160" i="25"/>
  <c r="AJ115" i="25"/>
  <c r="AX77" i="25"/>
  <c r="AY35" i="25"/>
  <c r="BF151" i="25"/>
  <c r="BD99" i="25"/>
  <c r="BD141" i="25"/>
  <c r="BD47" i="25"/>
  <c r="AY148" i="25"/>
  <c r="AY69" i="25"/>
  <c r="AJ62" i="25"/>
  <c r="BD42" i="25"/>
  <c r="AY87" i="25"/>
  <c r="AY117" i="25"/>
  <c r="BA85" i="25"/>
  <c r="AL198" i="25" l="1"/>
  <c r="AL199" i="25" s="1"/>
  <c r="AL200" i="25" s="1"/>
  <c r="AL101" i="25"/>
  <c r="AL102" i="25" s="1"/>
  <c r="AL103" i="25" s="1"/>
  <c r="AL104" i="25" s="1"/>
  <c r="AL105" i="25" s="1"/>
  <c r="AL106" i="25" s="1"/>
  <c r="AL107" i="25" s="1"/>
  <c r="AL108" i="25" s="1"/>
  <c r="AL109" i="25" s="1"/>
  <c r="AL110" i="25" s="1"/>
  <c r="AL111" i="25" s="1"/>
  <c r="AL112" i="25" s="1"/>
  <c r="AL113" i="25" s="1"/>
  <c r="AL114" i="25" s="1"/>
  <c r="AL115" i="25" s="1"/>
  <c r="AL116" i="25" s="1"/>
  <c r="AM101" i="25"/>
  <c r="AM102" i="25" s="1"/>
  <c r="AM103" i="25" s="1"/>
  <c r="AM104" i="25" s="1"/>
  <c r="AM105" i="25" s="1"/>
  <c r="AM106" i="25" s="1"/>
  <c r="AM107" i="25" s="1"/>
  <c r="AM108" i="25" s="1"/>
  <c r="AM109" i="25" s="1"/>
  <c r="AM110" i="25" s="1"/>
  <c r="AM111" i="25" s="1"/>
  <c r="AM112" i="25" s="1"/>
  <c r="AM113" i="25" s="1"/>
  <c r="AM114" i="25" s="1"/>
  <c r="AM115" i="25" s="1"/>
  <c r="AM116" i="25" s="1"/>
  <c r="AM198" i="25"/>
  <c r="AM199" i="25" s="1"/>
  <c r="AM200" i="25" s="1"/>
  <c r="AM154" i="25"/>
  <c r="AM155" i="25" s="1"/>
  <c r="AM156" i="25" s="1"/>
  <c r="AM157" i="25" s="1"/>
  <c r="AM158" i="25" s="1"/>
  <c r="AM159" i="25" s="1"/>
  <c r="AM160" i="25" s="1"/>
  <c r="AM161" i="25" s="1"/>
  <c r="M198" i="29"/>
  <c r="S198" i="29" s="1"/>
  <c r="N204" i="25"/>
  <c r="T204" i="25" s="1"/>
  <c r="U204" i="25"/>
  <c r="AA204" i="25" s="1"/>
  <c r="M51" i="29"/>
  <c r="S51" i="29" s="1"/>
  <c r="N57" i="25"/>
  <c r="T57" i="25" s="1"/>
  <c r="U57" i="25"/>
  <c r="AA57" i="25" s="1"/>
  <c r="M200" i="29"/>
  <c r="S200" i="29" s="1"/>
  <c r="N206" i="25"/>
  <c r="T206" i="25" s="1"/>
  <c r="U206" i="25"/>
  <c r="AA206" i="25" s="1"/>
  <c r="AM16" i="25"/>
  <c r="AM17" i="25" s="1"/>
  <c r="AM18" i="25" s="1"/>
  <c r="AM19" i="25" s="1"/>
  <c r="AM20" i="25" s="1"/>
  <c r="AM21" i="25" s="1"/>
  <c r="AM22" i="25" s="1"/>
  <c r="AM23" i="25" s="1"/>
  <c r="AM24" i="25" s="1"/>
  <c r="AM25" i="25" s="1"/>
  <c r="AM26" i="25" s="1"/>
  <c r="AM28" i="25"/>
  <c r="M209" i="29"/>
  <c r="S209" i="29" s="1"/>
  <c r="U215" i="25"/>
  <c r="AA215" i="25" s="1"/>
  <c r="N215" i="25"/>
  <c r="T215" i="25" s="1"/>
  <c r="AL154" i="25"/>
  <c r="AL155" i="25" s="1"/>
  <c r="AL156" i="25" s="1"/>
  <c r="AL157" i="25" s="1"/>
  <c r="AL158" i="25" s="1"/>
  <c r="AL159" i="25" s="1"/>
  <c r="AL160" i="25" s="1"/>
  <c r="AL161" i="25" s="1"/>
  <c r="D8" i="9"/>
  <c r="E10" i="9"/>
  <c r="H11" i="9"/>
  <c r="F11" i="9"/>
  <c r="G12" i="9"/>
  <c r="Z128" i="29"/>
  <c r="Z115" i="29"/>
  <c r="AX66" i="25"/>
  <c r="AK61" i="25"/>
  <c r="AK201" i="25"/>
  <c r="BA135" i="25"/>
  <c r="Z114" i="29"/>
  <c r="BC65" i="25"/>
  <c r="BA134" i="25"/>
  <c r="W57" i="29"/>
  <c r="AX65" i="25"/>
  <c r="BF121" i="25"/>
  <c r="Z130" i="29"/>
  <c r="BC71" i="25"/>
  <c r="AX70" i="25"/>
  <c r="BF119" i="25"/>
  <c r="Z131" i="29"/>
  <c r="AX62" i="25"/>
  <c r="BF120" i="25"/>
  <c r="Z113" i="29"/>
  <c r="BC66" i="25"/>
  <c r="BF134" i="25"/>
  <c r="BA123" i="25"/>
  <c r="W61" i="29"/>
  <c r="BA136" i="25"/>
  <c r="W60" i="29"/>
  <c r="Z118" i="29"/>
  <c r="AX63" i="25"/>
  <c r="BC67" i="25"/>
  <c r="BF124" i="25"/>
  <c r="W63" i="29"/>
  <c r="Z117" i="29"/>
  <c r="AX71" i="25"/>
  <c r="BC63" i="25"/>
  <c r="BF122" i="25"/>
  <c r="W56" i="29"/>
  <c r="Z116" i="29"/>
  <c r="BC62" i="25"/>
  <c r="BF123" i="25"/>
  <c r="W58" i="29"/>
  <c r="AX68" i="25"/>
  <c r="BA119" i="25"/>
  <c r="BA137" i="25"/>
  <c r="BA122" i="25"/>
  <c r="W59" i="29"/>
  <c r="AJ61" i="25"/>
  <c r="BA120" i="25"/>
  <c r="BC70" i="25"/>
  <c r="BF135" i="25"/>
  <c r="BF137" i="25"/>
  <c r="W65" i="29"/>
  <c r="AX64" i="25"/>
  <c r="AJ201" i="25"/>
  <c r="BF136" i="25"/>
  <c r="Z129" i="29"/>
  <c r="W62" i="29"/>
  <c r="AX67" i="25"/>
  <c r="BA121" i="25"/>
  <c r="BC64" i="25"/>
  <c r="BC68" i="25"/>
  <c r="W64" i="29"/>
  <c r="AX69" i="25"/>
  <c r="BA124" i="25"/>
  <c r="BC69" i="25"/>
  <c r="AM61" i="25" l="1"/>
  <c r="AM62" i="25" s="1"/>
  <c r="AM63" i="25" s="1"/>
  <c r="AM64" i="25" s="1"/>
  <c r="AM65" i="25" s="1"/>
  <c r="AM66" i="25" s="1"/>
  <c r="AM67" i="25" s="1"/>
  <c r="AM68" i="25" s="1"/>
  <c r="AM69" i="25" s="1"/>
  <c r="AM70" i="25" s="1"/>
  <c r="AM71" i="25" s="1"/>
  <c r="AL61" i="25"/>
  <c r="AL62" i="25" s="1"/>
  <c r="AL63" i="25" s="1"/>
  <c r="AL64" i="25" s="1"/>
  <c r="AL65" i="25" s="1"/>
  <c r="AL66" i="25" s="1"/>
  <c r="AL67" i="25" s="1"/>
  <c r="AL68" i="25" s="1"/>
  <c r="AL69" i="25" s="1"/>
  <c r="AL70" i="25" s="1"/>
  <c r="AL71" i="25" s="1"/>
  <c r="AM201" i="25"/>
  <c r="AM202" i="25" s="1"/>
  <c r="AM203" i="25" s="1"/>
  <c r="AM204" i="25" s="1"/>
  <c r="AM205" i="25" s="1"/>
  <c r="AM206" i="25" s="1"/>
  <c r="AL201" i="25"/>
  <c r="AL202" i="25" s="1"/>
  <c r="AL203" i="25" s="1"/>
  <c r="AL204" i="25" s="1"/>
  <c r="AL205" i="25" s="1"/>
  <c r="AL206" i="25" s="1"/>
  <c r="D9" i="9"/>
  <c r="G13" i="9"/>
  <c r="F12" i="9"/>
  <c r="H12" i="9"/>
  <c r="E11" i="9"/>
  <c r="D10" i="9" l="1"/>
  <c r="F13" i="9"/>
  <c r="D11" i="9"/>
  <c r="H13" i="9"/>
  <c r="E12" i="9"/>
  <c r="D12" i="9" l="1"/>
  <c r="E13" i="9"/>
  <c r="D13" i="9" l="1"/>
  <c r="E65" i="9" l="1"/>
  <c r="E64" i="9"/>
  <c r="E68" i="9"/>
  <c r="E71" i="9"/>
  <c r="H70" i="9"/>
  <c r="H64" i="9" l="1"/>
  <c r="H67" i="9"/>
  <c r="E137" i="9"/>
  <c r="E138" i="9"/>
  <c r="E129" i="9"/>
  <c r="E69" i="9"/>
  <c r="E66" i="9"/>
  <c r="E114" i="9"/>
  <c r="E95" i="9"/>
  <c r="H68" i="9"/>
  <c r="E63" i="9"/>
  <c r="E161" i="9"/>
  <c r="E67" i="9"/>
  <c r="E72" i="9"/>
  <c r="E162" i="9"/>
  <c r="H69" i="9"/>
  <c r="E70" i="9"/>
  <c r="E131" i="9"/>
  <c r="E125" i="9"/>
  <c r="E157" i="9"/>
  <c r="E148" i="9"/>
  <c r="E130" i="9"/>
  <c r="E158" i="9"/>
  <c r="H65" i="9"/>
  <c r="H66" i="9"/>
  <c r="E146" i="9"/>
  <c r="H71" i="9"/>
  <c r="E105" i="9"/>
  <c r="H72" i="9"/>
  <c r="H63" i="9"/>
  <c r="E150" i="9" l="1"/>
  <c r="E113" i="9"/>
  <c r="E111" i="9"/>
  <c r="E106" i="9"/>
  <c r="E139" i="9"/>
  <c r="E140" i="9"/>
  <c r="E155" i="9"/>
  <c r="G63" i="9"/>
  <c r="E90" i="9"/>
  <c r="E93" i="9"/>
  <c r="E115" i="9"/>
  <c r="E127" i="9"/>
  <c r="E110" i="9"/>
  <c r="E107" i="9"/>
  <c r="G64" i="9"/>
  <c r="E122" i="9"/>
  <c r="E134" i="9"/>
  <c r="E147" i="9"/>
  <c r="E89" i="9"/>
  <c r="E116" i="9"/>
  <c r="E142" i="9"/>
  <c r="E100" i="9"/>
  <c r="E97" i="9"/>
  <c r="E126" i="9"/>
  <c r="E119" i="9"/>
  <c r="E160" i="9"/>
  <c r="E103" i="9"/>
  <c r="E141" i="9"/>
  <c r="E120" i="9"/>
  <c r="E104" i="9"/>
  <c r="E91" i="9"/>
  <c r="E132" i="9"/>
  <c r="E112" i="9"/>
  <c r="E81" i="9"/>
  <c r="G67" i="9"/>
  <c r="G71" i="9"/>
  <c r="E101" i="9"/>
  <c r="E151" i="9"/>
  <c r="E108" i="9"/>
  <c r="E80" i="9"/>
  <c r="E124" i="9"/>
  <c r="E109" i="9"/>
  <c r="E149" i="9"/>
  <c r="E85" i="9"/>
  <c r="E159" i="9"/>
  <c r="E83" i="9"/>
  <c r="E78" i="9"/>
  <c r="E143" i="9"/>
  <c r="E77" i="9"/>
  <c r="E135" i="9"/>
  <c r="E121" i="9"/>
  <c r="H155" i="9"/>
  <c r="G66" i="9"/>
  <c r="E82" i="9"/>
  <c r="E88" i="9"/>
  <c r="E86" i="9"/>
  <c r="E84" i="9"/>
  <c r="E136" i="9"/>
  <c r="E76" i="9"/>
  <c r="E156" i="9"/>
  <c r="E99" i="9"/>
  <c r="E128" i="9"/>
  <c r="H143" i="9"/>
  <c r="H159" i="9"/>
  <c r="E98" i="9"/>
  <c r="E117" i="9"/>
  <c r="E79" i="9"/>
  <c r="E145" i="9"/>
  <c r="E94" i="9"/>
  <c r="E118" i="9"/>
  <c r="E96" i="9"/>
  <c r="E154" i="9"/>
  <c r="H158" i="9"/>
  <c r="E87" i="9"/>
  <c r="E92" i="9"/>
  <c r="E153" i="9"/>
  <c r="E123" i="9"/>
  <c r="E163" i="9"/>
  <c r="E144" i="9"/>
  <c r="E133" i="9"/>
  <c r="E152" i="9"/>
  <c r="E102" i="9"/>
  <c r="H130" i="9"/>
  <c r="G65" i="9"/>
  <c r="G68" i="9"/>
  <c r="G7" i="30"/>
  <c r="G8" i="30"/>
  <c r="F7" i="27"/>
  <c r="F9" i="27"/>
  <c r="F8" i="27"/>
  <c r="G70" i="9" l="1"/>
  <c r="H145" i="9"/>
  <c r="H140" i="9"/>
  <c r="G69" i="9"/>
  <c r="H133" i="9"/>
  <c r="G123" i="9"/>
  <c r="H157" i="9"/>
  <c r="H162" i="9"/>
  <c r="H163" i="9"/>
  <c r="H142" i="9"/>
  <c r="E73" i="9"/>
  <c r="H138" i="9"/>
  <c r="H125" i="9"/>
  <c r="H148" i="9"/>
  <c r="H151" i="9"/>
  <c r="H136" i="9"/>
  <c r="H134" i="9"/>
  <c r="E74" i="9"/>
  <c r="G127" i="9"/>
  <c r="H127" i="9"/>
  <c r="H126" i="9"/>
  <c r="H154" i="9"/>
  <c r="H149" i="9"/>
  <c r="H153" i="9"/>
  <c r="H135" i="9"/>
  <c r="H139" i="9"/>
  <c r="H161" i="9"/>
  <c r="H124" i="9"/>
  <c r="H160" i="9"/>
  <c r="G122" i="9"/>
  <c r="H150" i="9"/>
  <c r="H129" i="9"/>
  <c r="H152" i="9"/>
  <c r="E75" i="9"/>
  <c r="H141" i="9"/>
  <c r="H131" i="9"/>
  <c r="H137" i="9"/>
  <c r="H144" i="9"/>
  <c r="G141" i="9"/>
  <c r="H146" i="9"/>
  <c r="H156" i="9"/>
  <c r="H132" i="9"/>
  <c r="G124" i="9"/>
  <c r="H147" i="9"/>
  <c r="H128" i="9"/>
  <c r="G72" i="9"/>
  <c r="G74" i="9"/>
  <c r="G82" i="9"/>
  <c r="G133" i="9" l="1"/>
  <c r="G130" i="9"/>
  <c r="G105" i="9"/>
  <c r="G145" i="9"/>
  <c r="G146" i="9"/>
  <c r="G84" i="9"/>
  <c r="G90" i="9"/>
  <c r="G147" i="9"/>
  <c r="G101" i="9"/>
  <c r="G94" i="9"/>
  <c r="G139" i="9"/>
  <c r="G73" i="9"/>
  <c r="G135" i="9"/>
  <c r="G117" i="9"/>
  <c r="G155" i="9"/>
  <c r="G80" i="9"/>
  <c r="G152" i="9"/>
  <c r="H122" i="9"/>
  <c r="G113" i="9"/>
  <c r="G107" i="9"/>
  <c r="G162" i="9"/>
  <c r="G83" i="9"/>
  <c r="H116" i="9"/>
  <c r="G142" i="9"/>
  <c r="G100" i="9"/>
  <c r="G112" i="9"/>
  <c r="G156" i="9"/>
  <c r="H101" i="9"/>
  <c r="G109" i="9"/>
  <c r="H120" i="9"/>
  <c r="H118" i="9"/>
  <c r="G96" i="9"/>
  <c r="G144" i="9"/>
  <c r="G160" i="9"/>
  <c r="G89" i="9"/>
  <c r="G85" i="9"/>
  <c r="H107" i="9"/>
  <c r="G88" i="9"/>
  <c r="G102" i="9"/>
  <c r="G92" i="9"/>
  <c r="G125" i="9"/>
  <c r="G91" i="9"/>
  <c r="G103" i="9"/>
  <c r="G121" i="9"/>
  <c r="G157" i="9"/>
  <c r="G97" i="9"/>
  <c r="H105" i="9"/>
  <c r="H123" i="9"/>
  <c r="G78" i="9"/>
  <c r="G150" i="9"/>
  <c r="G87" i="9"/>
  <c r="G110" i="9"/>
  <c r="G161" i="9"/>
  <c r="G99" i="9"/>
  <c r="H121" i="9"/>
  <c r="G119" i="9"/>
  <c r="G131" i="9"/>
  <c r="G111" i="9"/>
  <c r="G151" i="9"/>
  <c r="G132" i="9"/>
  <c r="G104" i="9"/>
  <c r="G149" i="9"/>
  <c r="H109" i="9"/>
  <c r="G148" i="9"/>
  <c r="H96" i="9"/>
  <c r="G75" i="9"/>
  <c r="G114" i="9"/>
  <c r="G77" i="9"/>
  <c r="H97" i="9"/>
  <c r="G118" i="9"/>
  <c r="G134" i="9"/>
  <c r="G143" i="9"/>
  <c r="G158" i="9"/>
  <c r="G128" i="9"/>
  <c r="G106" i="9"/>
  <c r="G126" i="9"/>
  <c r="G140" i="9"/>
  <c r="H104" i="9"/>
  <c r="G136" i="9"/>
  <c r="H108" i="9"/>
  <c r="G137" i="9"/>
  <c r="G95" i="9"/>
  <c r="H114" i="9"/>
  <c r="H115" i="9"/>
  <c r="G159" i="9"/>
  <c r="G153" i="9"/>
  <c r="G120" i="9"/>
  <c r="G116" i="9"/>
  <c r="G154" i="9"/>
  <c r="G115" i="9"/>
  <c r="G76" i="9"/>
  <c r="H117" i="9"/>
  <c r="G86" i="9"/>
  <c r="G163" i="9"/>
  <c r="G138" i="9"/>
  <c r="G93" i="9"/>
  <c r="G79" i="9"/>
  <c r="G108" i="9"/>
  <c r="G98" i="9"/>
  <c r="G129" i="9"/>
  <c r="G81" i="9"/>
  <c r="H112" i="9"/>
  <c r="I7" i="30"/>
  <c r="I8" i="30"/>
  <c r="H9" i="27"/>
  <c r="H8" i="27"/>
  <c r="H7" i="27"/>
  <c r="H89" i="9" l="1"/>
  <c r="H103" i="9"/>
  <c r="H111" i="9"/>
  <c r="H106" i="9"/>
  <c r="H84" i="9"/>
  <c r="H85" i="9"/>
  <c r="H86" i="9"/>
  <c r="H99" i="9"/>
  <c r="H87" i="9"/>
  <c r="H119" i="9"/>
  <c r="H76" i="9"/>
  <c r="H88" i="9"/>
  <c r="H110" i="9"/>
  <c r="H78" i="9"/>
  <c r="H90" i="9"/>
  <c r="H82" i="9"/>
  <c r="H80" i="9"/>
  <c r="H83" i="9"/>
  <c r="H98" i="9"/>
  <c r="H113" i="9"/>
  <c r="H92" i="9"/>
  <c r="H94" i="9"/>
  <c r="H75" i="9"/>
  <c r="H100" i="9"/>
  <c r="H73" i="9"/>
  <c r="H81" i="9"/>
  <c r="H91" i="9"/>
  <c r="H102" i="9"/>
  <c r="H74" i="9"/>
  <c r="H79" i="9"/>
  <c r="H77" i="9"/>
  <c r="H95" i="9"/>
  <c r="H93" i="9"/>
  <c r="J7" i="30"/>
  <c r="J8" i="30"/>
  <c r="I9" i="27"/>
  <c r="I8" i="27"/>
  <c r="I7" i="27"/>
  <c r="D67" i="9" l="1"/>
  <c r="D63" i="9"/>
  <c r="D72" i="9"/>
  <c r="D156" i="9" l="1"/>
  <c r="D81" i="9"/>
  <c r="D66" i="9"/>
  <c r="D153" i="9"/>
  <c r="D139" i="9"/>
  <c r="D149" i="9"/>
  <c r="D110" i="9"/>
  <c r="D105" i="9"/>
  <c r="D121" i="9"/>
  <c r="D116" i="9"/>
  <c r="D82" i="9"/>
  <c r="D92" i="9"/>
  <c r="D162" i="9"/>
  <c r="D70" i="9"/>
  <c r="D152" i="9"/>
  <c r="D100" i="9"/>
  <c r="D119" i="9"/>
  <c r="D90" i="9"/>
  <c r="D135" i="9"/>
  <c r="D89" i="9"/>
  <c r="D140" i="9"/>
  <c r="D134" i="9"/>
  <c r="D146" i="9"/>
  <c r="D94" i="9"/>
  <c r="D163" i="9"/>
  <c r="D88" i="9"/>
  <c r="D157" i="9"/>
  <c r="D130" i="9"/>
  <c r="D97" i="9"/>
  <c r="D104" i="9"/>
  <c r="D91" i="9"/>
  <c r="D77" i="9"/>
  <c r="D158" i="9"/>
  <c r="D141" i="9"/>
  <c r="D83" i="9"/>
  <c r="D155" i="9"/>
  <c r="D87" i="9"/>
  <c r="D78" i="9"/>
  <c r="D80" i="9"/>
  <c r="G11" i="30"/>
  <c r="J11" i="30"/>
  <c r="I11" i="30"/>
  <c r="F7" i="30"/>
  <c r="F8" i="30"/>
  <c r="E8" i="27"/>
  <c r="F16" i="27"/>
  <c r="E7" i="27"/>
  <c r="I13" i="27"/>
  <c r="E9" i="27"/>
  <c r="H16" i="27"/>
  <c r="F13" i="27"/>
  <c r="I16" i="27"/>
  <c r="H14" i="27"/>
  <c r="F14" i="27"/>
  <c r="H13" i="27"/>
  <c r="I14" i="27"/>
  <c r="AH55" i="30" l="1"/>
  <c r="AR55" i="30" s="1"/>
  <c r="AP56" i="30"/>
  <c r="AH56" i="30"/>
  <c r="AR56" i="30" s="1"/>
  <c r="AI55" i="30"/>
  <c r="AS55" i="30" s="1"/>
  <c r="AP55" i="30"/>
  <c r="D68" i="9"/>
  <c r="D69" i="9"/>
  <c r="D160" i="9"/>
  <c r="D148" i="9"/>
  <c r="D161" i="9"/>
  <c r="D111" i="9"/>
  <c r="D73" i="9"/>
  <c r="D117" i="9"/>
  <c r="D98" i="9"/>
  <c r="D126" i="9"/>
  <c r="J9" i="30"/>
  <c r="I9" i="30"/>
  <c r="G9" i="30"/>
  <c r="F9" i="30"/>
  <c r="I11" i="27"/>
  <c r="H11" i="27"/>
  <c r="E14" i="27"/>
  <c r="F11" i="27"/>
  <c r="E11" i="27"/>
  <c r="AO56" i="30" l="1"/>
  <c r="AO55" i="30"/>
  <c r="AL56" i="30"/>
  <c r="AV56" i="30" s="1"/>
  <c r="AK55" i="30"/>
  <c r="AU55" i="30" s="1"/>
  <c r="AL55" i="30"/>
  <c r="AV55" i="30" s="1"/>
  <c r="AG56" i="30"/>
  <c r="AQ56" i="30" s="1"/>
  <c r="AG55" i="30"/>
  <c r="AQ55" i="30" s="1"/>
  <c r="AJ56" i="30"/>
  <c r="AT56" i="30" s="1"/>
  <c r="AJ55" i="30"/>
  <c r="AT55" i="30" s="1"/>
  <c r="AO187" i="30"/>
  <c r="AP187" i="30"/>
  <c r="AH187" i="30"/>
  <c r="AR187" i="30" s="1"/>
  <c r="AJ187" i="30"/>
  <c r="AT187" i="30" s="1"/>
  <c r="D65" i="9"/>
  <c r="D129" i="9"/>
  <c r="D142" i="9"/>
  <c r="D150" i="9"/>
  <c r="D120" i="9"/>
  <c r="D103" i="9"/>
  <c r="D64" i="9"/>
  <c r="D151" i="9"/>
  <c r="D108" i="9"/>
  <c r="D127" i="9"/>
  <c r="D85" i="9"/>
  <c r="D74" i="9"/>
  <c r="D147" i="9"/>
  <c r="D143" i="9"/>
  <c r="D86" i="9"/>
  <c r="D84" i="9"/>
  <c r="D133" i="9"/>
  <c r="D112" i="9"/>
  <c r="D124" i="9"/>
  <c r="D75" i="9"/>
  <c r="D138" i="9"/>
  <c r="D154" i="9"/>
  <c r="D96" i="9"/>
  <c r="D79" i="9"/>
  <c r="D115" i="9"/>
  <c r="D107" i="9"/>
  <c r="D114" i="9"/>
  <c r="D102" i="9"/>
  <c r="D76" i="9"/>
  <c r="D137" i="9"/>
  <c r="D125" i="9"/>
  <c r="D136" i="9"/>
  <c r="D131" i="9"/>
  <c r="D128" i="9"/>
  <c r="D113" i="9"/>
  <c r="D118" i="9"/>
  <c r="D123" i="9"/>
  <c r="D106" i="9"/>
  <c r="D144" i="9"/>
  <c r="D93" i="9"/>
  <c r="D95" i="9"/>
  <c r="D109" i="9"/>
  <c r="D101" i="9"/>
  <c r="D159" i="9"/>
  <c r="D132" i="9"/>
  <c r="D122" i="9"/>
  <c r="D145" i="9"/>
  <c r="D71" i="9"/>
  <c r="D99" i="9"/>
  <c r="J12" i="30"/>
  <c r="I12" i="30"/>
  <c r="G12" i="30"/>
  <c r="F12" i="30"/>
  <c r="J14" i="30"/>
  <c r="I14" i="30"/>
  <c r="G14" i="30"/>
  <c r="F14" i="30"/>
  <c r="J15" i="30"/>
  <c r="I15" i="30"/>
  <c r="G15" i="30"/>
  <c r="F15" i="30"/>
  <c r="J16" i="30"/>
  <c r="I16" i="30"/>
  <c r="G16" i="30"/>
  <c r="F16" i="30"/>
  <c r="F11" i="30"/>
  <c r="J13" i="30"/>
  <c r="F13" i="30"/>
  <c r="G13" i="30"/>
  <c r="I13" i="30"/>
  <c r="F10" i="30"/>
  <c r="G10" i="30"/>
  <c r="I10" i="30"/>
  <c r="J10" i="30"/>
  <c r="I27" i="27"/>
  <c r="I19" i="27"/>
  <c r="I24" i="27"/>
  <c r="E22" i="27"/>
  <c r="I15" i="27"/>
  <c r="H18" i="27"/>
  <c r="F27" i="27"/>
  <c r="F19" i="27"/>
  <c r="H23" i="27"/>
  <c r="F26" i="27"/>
  <c r="E21" i="27"/>
  <c r="I17" i="27"/>
  <c r="E15" i="27"/>
  <c r="F10" i="27"/>
  <c r="I22" i="27"/>
  <c r="I25" i="27"/>
  <c r="F18" i="27"/>
  <c r="E27" i="27"/>
  <c r="I26" i="27"/>
  <c r="F21" i="27"/>
  <c r="E12" i="27"/>
  <c r="I10" i="27"/>
  <c r="F17" i="27"/>
  <c r="E17" i="27"/>
  <c r="H15" i="27"/>
  <c r="I18" i="27"/>
  <c r="I12" i="27"/>
  <c r="E13" i="27"/>
  <c r="I21" i="27"/>
  <c r="H26" i="27"/>
  <c r="H24" i="27"/>
  <c r="E26" i="27"/>
  <c r="F23" i="27"/>
  <c r="E23" i="27"/>
  <c r="F25" i="27"/>
  <c r="F24" i="27"/>
  <c r="H19" i="27"/>
  <c r="H20" i="27"/>
  <c r="E18" i="27"/>
  <c r="I20" i="27"/>
  <c r="E24" i="27"/>
  <c r="F20" i="27"/>
  <c r="E25" i="27"/>
  <c r="F22" i="27"/>
  <c r="H25" i="27"/>
  <c r="F12" i="27"/>
  <c r="E19" i="27"/>
  <c r="E10" i="27"/>
  <c r="H22" i="27"/>
  <c r="H21" i="27"/>
  <c r="E20" i="27"/>
  <c r="H12" i="27"/>
  <c r="H17" i="27"/>
  <c r="I23" i="27"/>
  <c r="H10" i="27"/>
  <c r="E16" i="27"/>
  <c r="F15" i="27"/>
  <c r="H27" i="27"/>
  <c r="AO57" i="30" l="1"/>
  <c r="AG187" i="30"/>
  <c r="AQ187" i="30" s="1"/>
  <c r="AJ57" i="30"/>
  <c r="AT57" i="30" s="1"/>
  <c r="AP144" i="30"/>
  <c r="AP143" i="30"/>
  <c r="AO144" i="30"/>
  <c r="AO143" i="30"/>
  <c r="AP58" i="30"/>
  <c r="AP57" i="30"/>
  <c r="AG57" i="30"/>
  <c r="AQ57" i="30" s="1"/>
  <c r="AK56" i="30"/>
  <c r="AU56" i="30" s="1"/>
  <c r="AI56" i="30"/>
  <c r="AS56" i="30" s="1"/>
  <c r="AI187" i="30"/>
  <c r="AS187" i="30" s="1"/>
  <c r="AL187" i="30"/>
  <c r="AV187" i="30" s="1"/>
  <c r="AK187" i="30"/>
  <c r="AU187" i="30" s="1"/>
  <c r="AG143" i="30"/>
  <c r="AQ143" i="30" s="1"/>
  <c r="AL143" i="30"/>
  <c r="AV143" i="30" s="1"/>
  <c r="AK143" i="30"/>
  <c r="AU143" i="30" s="1"/>
  <c r="AH144" i="30"/>
  <c r="AR144" i="30" s="1"/>
  <c r="AH143" i="30"/>
  <c r="AR143" i="30" s="1"/>
  <c r="AJ144" i="30"/>
  <c r="AT144" i="30" s="1"/>
  <c r="AJ143" i="30"/>
  <c r="AT143" i="30" s="1"/>
  <c r="AI143" i="30"/>
  <c r="AS143" i="30" s="1"/>
  <c r="AL57" i="30"/>
  <c r="AV57" i="30" s="1"/>
  <c r="AK57" i="30"/>
  <c r="AU57" i="30" s="1"/>
  <c r="AH58" i="30"/>
  <c r="AR58" i="30" s="1"/>
  <c r="AH57" i="30"/>
  <c r="AR57" i="30" s="1"/>
  <c r="X143" i="27"/>
  <c r="Y143" i="27"/>
  <c r="Y144" i="27" s="1"/>
  <c r="Y145" i="27" s="1"/>
  <c r="Y146" i="27" s="1"/>
  <c r="Y147" i="27" s="1"/>
  <c r="Y148" i="27" s="1"/>
  <c r="Y149" i="27" s="1"/>
  <c r="Y150" i="27" s="1"/>
  <c r="Y151" i="27" s="1"/>
  <c r="Y152" i="27" s="1"/>
  <c r="Y153" i="27" s="1"/>
  <c r="Y154" i="27" s="1"/>
  <c r="Y155" i="27" s="1"/>
  <c r="Y156" i="27" s="1"/>
  <c r="Y157" i="27" s="1"/>
  <c r="Y158" i="27" s="1"/>
  <c r="Y159" i="27" s="1"/>
  <c r="Y160" i="27" s="1"/>
  <c r="Y161" i="27" s="1"/>
  <c r="Y162" i="27" s="1"/>
  <c r="Y163" i="27" s="1"/>
  <c r="Y164" i="27" s="1"/>
  <c r="Y165" i="27" s="1"/>
  <c r="Y166" i="27" s="1"/>
  <c r="Y167" i="27" s="1"/>
  <c r="Y168" i="27" s="1"/>
  <c r="Y169" i="27" s="1"/>
  <c r="Y170" i="27" s="1"/>
  <c r="Y171" i="27" s="1"/>
  <c r="Y172" i="27" s="1"/>
  <c r="Y173" i="27" s="1"/>
  <c r="Y174" i="27" s="1"/>
  <c r="Y175" i="27" s="1"/>
  <c r="Y176" i="27" s="1"/>
  <c r="Y177" i="27" s="1"/>
  <c r="Y178" i="27" s="1"/>
  <c r="Y179" i="27" s="1"/>
  <c r="Y180" i="27" s="1"/>
  <c r="Y181" i="27" s="1"/>
  <c r="Y182" i="27" s="1"/>
  <c r="Y183" i="27" s="1"/>
  <c r="Z143" i="27"/>
  <c r="Z144" i="27" s="1"/>
  <c r="Z145" i="27" s="1"/>
  <c r="Z146" i="27" s="1"/>
  <c r="Z147" i="27" s="1"/>
  <c r="Z148" i="27" s="1"/>
  <c r="Z149" i="27" s="1"/>
  <c r="Z150" i="27" s="1"/>
  <c r="Z151" i="27" s="1"/>
  <c r="Z152" i="27" s="1"/>
  <c r="Z153" i="27" s="1"/>
  <c r="Z154" i="27" s="1"/>
  <c r="Z155" i="27" s="1"/>
  <c r="Z156" i="27" s="1"/>
  <c r="Z157" i="27" s="1"/>
  <c r="Z158" i="27" s="1"/>
  <c r="Z159" i="27" s="1"/>
  <c r="Z160" i="27" s="1"/>
  <c r="Z161" i="27" s="1"/>
  <c r="Z162" i="27" s="1"/>
  <c r="Z163" i="27" s="1"/>
  <c r="Z164" i="27" s="1"/>
  <c r="Z165" i="27" s="1"/>
  <c r="Z166" i="27" s="1"/>
  <c r="Z167" i="27" s="1"/>
  <c r="Z168" i="27" s="1"/>
  <c r="Z169" i="27" s="1"/>
  <c r="Z170" i="27" s="1"/>
  <c r="Z171" i="27" s="1"/>
  <c r="Z172" i="27" s="1"/>
  <c r="Z173" i="27" s="1"/>
  <c r="Z174" i="27" s="1"/>
  <c r="Z175" i="27" s="1"/>
  <c r="Z176" i="27" s="1"/>
  <c r="Z177" i="27" s="1"/>
  <c r="Z178" i="27" s="1"/>
  <c r="Z179" i="27" s="1"/>
  <c r="Z180" i="27" s="1"/>
  <c r="Z181" i="27" s="1"/>
  <c r="Z182" i="27" s="1"/>
  <c r="Z183" i="27" s="1"/>
  <c r="AB143" i="27"/>
  <c r="AA143" i="27"/>
  <c r="Z11" i="27"/>
  <c r="Z12" i="27" s="1"/>
  <c r="Z13" i="27" s="1"/>
  <c r="Z14" i="27" s="1"/>
  <c r="Z15" i="27" s="1"/>
  <c r="Z16" i="27" s="1"/>
  <c r="Z17" i="27" s="1"/>
  <c r="Z18" i="27" s="1"/>
  <c r="Z19" i="27" s="1"/>
  <c r="Z20" i="27" s="1"/>
  <c r="Z21" i="27" s="1"/>
  <c r="Z22" i="27" s="1"/>
  <c r="Z23" i="27" s="1"/>
  <c r="Z24" i="27" s="1"/>
  <c r="Z25" i="27" s="1"/>
  <c r="Z26" i="27" s="1"/>
  <c r="Z27" i="27" s="1"/>
  <c r="Z28" i="27" s="1"/>
  <c r="Z29" i="27" s="1"/>
  <c r="Z30" i="27" s="1"/>
  <c r="Z31" i="27" s="1"/>
  <c r="Z32" i="27" s="1"/>
  <c r="Z33" i="27" s="1"/>
  <c r="Z34" i="27" s="1"/>
  <c r="Z35" i="27" s="1"/>
  <c r="Z36" i="27" s="1"/>
  <c r="Z37" i="27" s="1"/>
  <c r="Z38" i="27" s="1"/>
  <c r="Z39" i="27" s="1"/>
  <c r="Z40" i="27" s="1"/>
  <c r="Z41" i="27" s="1"/>
  <c r="Z42" i="27" s="1"/>
  <c r="Z43" i="27" s="1"/>
  <c r="Z44" i="27" s="1"/>
  <c r="Z45" i="27" s="1"/>
  <c r="Z46" i="27" s="1"/>
  <c r="Z47" i="27" s="1"/>
  <c r="Z48" i="27" s="1"/>
  <c r="Z49" i="27" s="1"/>
  <c r="Z50" i="27" s="1"/>
  <c r="Z51" i="27" s="1"/>
  <c r="AB11" i="27"/>
  <c r="X11" i="27"/>
  <c r="X12" i="27" s="1"/>
  <c r="X13" i="27" s="1"/>
  <c r="Y11" i="27"/>
  <c r="Y12" i="27" s="1"/>
  <c r="Y13" i="27" s="1"/>
  <c r="Y14" i="27" s="1"/>
  <c r="Y15" i="27" s="1"/>
  <c r="Y16" i="27" s="1"/>
  <c r="Y17" i="27" s="1"/>
  <c r="Y18" i="27" s="1"/>
  <c r="Y19" i="27" s="1"/>
  <c r="Y20" i="27" s="1"/>
  <c r="Y21" i="27" s="1"/>
  <c r="Y22" i="27" s="1"/>
  <c r="Y23" i="27" s="1"/>
  <c r="Y24" i="27" s="1"/>
  <c r="Y25" i="27" s="1"/>
  <c r="Y26" i="27" s="1"/>
  <c r="Y27" i="27" s="1"/>
  <c r="Y28" i="27" s="1"/>
  <c r="Y29" i="27" s="1"/>
  <c r="Y30" i="27" s="1"/>
  <c r="Y31" i="27" s="1"/>
  <c r="Y32" i="27" s="1"/>
  <c r="Y33" i="27" s="1"/>
  <c r="Y34" i="27" s="1"/>
  <c r="Y35" i="27" s="1"/>
  <c r="Y36" i="27" s="1"/>
  <c r="Y37" i="27" s="1"/>
  <c r="Y38" i="27" s="1"/>
  <c r="Y39" i="27" s="1"/>
  <c r="Y40" i="27" s="1"/>
  <c r="Y41" i="27" s="1"/>
  <c r="Y42" i="27" s="1"/>
  <c r="Y43" i="27" s="1"/>
  <c r="Y44" i="27" s="1"/>
  <c r="Y45" i="27" s="1"/>
  <c r="Y46" i="27" s="1"/>
  <c r="Y47" i="27" s="1"/>
  <c r="Y48" i="27" s="1"/>
  <c r="Y49" i="27" s="1"/>
  <c r="Y50" i="27" s="1"/>
  <c r="Y51" i="27" s="1"/>
  <c r="AA11" i="27"/>
  <c r="AA12" i="27" s="1"/>
  <c r="AA13" i="27" s="1"/>
  <c r="Y55" i="27"/>
  <c r="Y56" i="27" s="1"/>
  <c r="Y57" i="27" s="1"/>
  <c r="Y58" i="27" s="1"/>
  <c r="Y59" i="27" s="1"/>
  <c r="Y60" i="27" s="1"/>
  <c r="Y61" i="27" s="1"/>
  <c r="Y62" i="27" s="1"/>
  <c r="Y63" i="27" s="1"/>
  <c r="Y64" i="27" s="1"/>
  <c r="Y65" i="27" s="1"/>
  <c r="Y66" i="27" s="1"/>
  <c r="Y67" i="27" s="1"/>
  <c r="Y68" i="27" s="1"/>
  <c r="Y69" i="27" s="1"/>
  <c r="Y70" i="27" s="1"/>
  <c r="Y71" i="27" s="1"/>
  <c r="Y72" i="27" s="1"/>
  <c r="Y73" i="27" s="1"/>
  <c r="Y74" i="27" s="1"/>
  <c r="Y75" i="27" s="1"/>
  <c r="Y76" i="27" s="1"/>
  <c r="Y77" i="27" s="1"/>
  <c r="Y78" i="27" s="1"/>
  <c r="Y79" i="27" s="1"/>
  <c r="Y80" i="27" s="1"/>
  <c r="Y81" i="27" s="1"/>
  <c r="Y82" i="27" s="1"/>
  <c r="Y83" i="27" s="1"/>
  <c r="Y84" i="27" s="1"/>
  <c r="Y85" i="27" s="1"/>
  <c r="Y86" i="27" s="1"/>
  <c r="Y87" i="27" s="1"/>
  <c r="Y88" i="27" s="1"/>
  <c r="Y89" i="27" s="1"/>
  <c r="Y90" i="27" s="1"/>
  <c r="Y91" i="27" s="1"/>
  <c r="Y92" i="27" s="1"/>
  <c r="Y93" i="27" s="1"/>
  <c r="Y94" i="27" s="1"/>
  <c r="Y95" i="27" s="1"/>
  <c r="X55" i="27"/>
  <c r="X56" i="27" s="1"/>
  <c r="AA55" i="27"/>
  <c r="AA56" i="27" s="1"/>
  <c r="AA57" i="27" s="1"/>
  <c r="Z55" i="27"/>
  <c r="Z56" i="27" s="1"/>
  <c r="Z57" i="27" s="1"/>
  <c r="Z58" i="27" s="1"/>
  <c r="Z59" i="27" s="1"/>
  <c r="Z60" i="27" s="1"/>
  <c r="Z61" i="27" s="1"/>
  <c r="Z62" i="27" s="1"/>
  <c r="Z63" i="27" s="1"/>
  <c r="Z64" i="27" s="1"/>
  <c r="Z65" i="27" s="1"/>
  <c r="Z66" i="27" s="1"/>
  <c r="Z67" i="27" s="1"/>
  <c r="Z68" i="27" s="1"/>
  <c r="Z69" i="27" s="1"/>
  <c r="Z70" i="27" s="1"/>
  <c r="Z71" i="27" s="1"/>
  <c r="Z72" i="27" s="1"/>
  <c r="Z73" i="27" s="1"/>
  <c r="Z74" i="27" s="1"/>
  <c r="Z75" i="27" s="1"/>
  <c r="Z76" i="27" s="1"/>
  <c r="Z77" i="27" s="1"/>
  <c r="Z78" i="27" s="1"/>
  <c r="Z79" i="27" s="1"/>
  <c r="Z80" i="27" s="1"/>
  <c r="Z81" i="27" s="1"/>
  <c r="Z82" i="27" s="1"/>
  <c r="Z83" i="27" s="1"/>
  <c r="Z84" i="27" s="1"/>
  <c r="Z85" i="27" s="1"/>
  <c r="Z86" i="27" s="1"/>
  <c r="Z87" i="27" s="1"/>
  <c r="Z88" i="27" s="1"/>
  <c r="Z89" i="27" s="1"/>
  <c r="Z90" i="27" s="1"/>
  <c r="Z91" i="27" s="1"/>
  <c r="Z92" i="27" s="1"/>
  <c r="Z93" i="27" s="1"/>
  <c r="Z94" i="27" s="1"/>
  <c r="Z95" i="27" s="1"/>
  <c r="AB55" i="27"/>
  <c r="Y187" i="27"/>
  <c r="Y188" i="27" s="1"/>
  <c r="Y189" i="27" s="1"/>
  <c r="Y190" i="27" s="1"/>
  <c r="Y191" i="27" s="1"/>
  <c r="Y192" i="27" s="1"/>
  <c r="Y193" i="27" s="1"/>
  <c r="Y194" i="27" s="1"/>
  <c r="Y195" i="27" s="1"/>
  <c r="Y196" i="27" s="1"/>
  <c r="Y197" i="27" s="1"/>
  <c r="Y198" i="27" s="1"/>
  <c r="Y199" i="27" s="1"/>
  <c r="Y200" i="27" s="1"/>
  <c r="Y201" i="27" s="1"/>
  <c r="Y202" i="27" s="1"/>
  <c r="Y203" i="27" s="1"/>
  <c r="Y204" i="27" s="1"/>
  <c r="Y205" i="27" s="1"/>
  <c r="Y206" i="27" s="1"/>
  <c r="Y207" i="27" s="1"/>
  <c r="Y208" i="27" s="1"/>
  <c r="Y209" i="27" s="1"/>
  <c r="Y210" i="27" s="1"/>
  <c r="Y211" i="27" s="1"/>
  <c r="Y212" i="27" s="1"/>
  <c r="Y213" i="27" s="1"/>
  <c r="Y214" i="27" s="1"/>
  <c r="Y215" i="27" s="1"/>
  <c r="Y216" i="27" s="1"/>
  <c r="Y217" i="27" s="1"/>
  <c r="Y218" i="27" s="1"/>
  <c r="Y219" i="27" s="1"/>
  <c r="Y220" i="27" s="1"/>
  <c r="Y221" i="27" s="1"/>
  <c r="Y222" i="27" s="1"/>
  <c r="Y223" i="27" s="1"/>
  <c r="Y224" i="27" s="1"/>
  <c r="Y225" i="27" s="1"/>
  <c r="Y226" i="27" s="1"/>
  <c r="Y227" i="27" s="1"/>
  <c r="AB187" i="27"/>
  <c r="AA187" i="27"/>
  <c r="AA188" i="27" s="1"/>
  <c r="X187" i="27"/>
  <c r="Z187" i="27"/>
  <c r="Z188" i="27" s="1"/>
  <c r="Z189" i="27" s="1"/>
  <c r="Z190" i="27" s="1"/>
  <c r="Z191" i="27" s="1"/>
  <c r="Z192" i="27" s="1"/>
  <c r="Z193" i="27" s="1"/>
  <c r="Z194" i="27" s="1"/>
  <c r="Z195" i="27" s="1"/>
  <c r="Z196" i="27" s="1"/>
  <c r="Z197" i="27" s="1"/>
  <c r="Z198" i="27" s="1"/>
  <c r="Z199" i="27" s="1"/>
  <c r="Z200" i="27" s="1"/>
  <c r="Z201" i="27" s="1"/>
  <c r="Z202" i="27" s="1"/>
  <c r="Z203" i="27" s="1"/>
  <c r="Z204" i="27" s="1"/>
  <c r="Z205" i="27" s="1"/>
  <c r="Z206" i="27" s="1"/>
  <c r="Z207" i="27" s="1"/>
  <c r="Z208" i="27" s="1"/>
  <c r="Z209" i="27" s="1"/>
  <c r="Z210" i="27" s="1"/>
  <c r="Z211" i="27" s="1"/>
  <c r="Z212" i="27" s="1"/>
  <c r="Z213" i="27" s="1"/>
  <c r="Z214" i="27" s="1"/>
  <c r="Z215" i="27" s="1"/>
  <c r="Z216" i="27" s="1"/>
  <c r="Z217" i="27" s="1"/>
  <c r="Z218" i="27" s="1"/>
  <c r="Z219" i="27" s="1"/>
  <c r="Z220" i="27" s="1"/>
  <c r="Z221" i="27" s="1"/>
  <c r="Z222" i="27" s="1"/>
  <c r="Z223" i="27" s="1"/>
  <c r="Z224" i="27" s="1"/>
  <c r="Z225" i="27" s="1"/>
  <c r="Z226" i="27" s="1"/>
  <c r="Z227" i="27" s="1"/>
  <c r="F65" i="9"/>
  <c r="AM30" i="27"/>
  <c r="AM13" i="27"/>
  <c r="AM31" i="27"/>
  <c r="AP55" i="27"/>
  <c r="AP11" i="27"/>
  <c r="AP43" i="27"/>
  <c r="AP25" i="27"/>
  <c r="AN30" i="27"/>
  <c r="AN48" i="27"/>
  <c r="AN26" i="27"/>
  <c r="AN27" i="27"/>
  <c r="AQ26" i="27"/>
  <c r="AQ65" i="27"/>
  <c r="AQ37" i="27"/>
  <c r="AQ14" i="27"/>
  <c r="AQ64" i="27"/>
  <c r="AM49" i="27"/>
  <c r="AM14" i="27"/>
  <c r="AM34" i="27"/>
  <c r="AP12" i="27"/>
  <c r="AP37" i="27"/>
  <c r="AP17" i="27"/>
  <c r="AP28" i="27"/>
  <c r="AN47" i="27"/>
  <c r="AN45" i="27"/>
  <c r="AN43" i="27"/>
  <c r="AN17" i="27"/>
  <c r="AQ47" i="27"/>
  <c r="AM42" i="27"/>
  <c r="AM23" i="27"/>
  <c r="AM12" i="27"/>
  <c r="AP31" i="27"/>
  <c r="AP36" i="27"/>
  <c r="AP45" i="27"/>
  <c r="AP24" i="27"/>
  <c r="AN32" i="27"/>
  <c r="AN23" i="27"/>
  <c r="AN16" i="27"/>
  <c r="AN35" i="27"/>
  <c r="AQ21" i="27"/>
  <c r="AQ55" i="27"/>
  <c r="AQ51" i="27"/>
  <c r="AQ32" i="27"/>
  <c r="AQ67" i="27"/>
  <c r="AQ11" i="27"/>
  <c r="AM15" i="27"/>
  <c r="AM21" i="27"/>
  <c r="AM25" i="27"/>
  <c r="AP52" i="27"/>
  <c r="AP58" i="27"/>
  <c r="AP51" i="27"/>
  <c r="AP35" i="27"/>
  <c r="AN11" i="27"/>
  <c r="AN38" i="27"/>
  <c r="AN12" i="27"/>
  <c r="AN14" i="27"/>
  <c r="AQ49" i="27"/>
  <c r="AQ19" i="27"/>
  <c r="AQ31" i="27"/>
  <c r="AQ24" i="27"/>
  <c r="AM28" i="27"/>
  <c r="AM26" i="27"/>
  <c r="AM45" i="27"/>
  <c r="AP29" i="27"/>
  <c r="AP54" i="27"/>
  <c r="AP22" i="27"/>
  <c r="AP20" i="27"/>
  <c r="AN42" i="27"/>
  <c r="AN21" i="27"/>
  <c r="AN13" i="27"/>
  <c r="AQ46" i="27"/>
  <c r="AQ53" i="27"/>
  <c r="AQ25" i="27"/>
  <c r="AQ42" i="27"/>
  <c r="AQ33" i="27"/>
  <c r="AN41" i="27"/>
  <c r="AQ22" i="27"/>
  <c r="AQ56" i="27"/>
  <c r="AQ15" i="27"/>
  <c r="AM35" i="27"/>
  <c r="AM17" i="27"/>
  <c r="AM20" i="27"/>
  <c r="AP40" i="27"/>
  <c r="AP15" i="27"/>
  <c r="AP44" i="27"/>
  <c r="AN49" i="27"/>
  <c r="AN34" i="27"/>
  <c r="AQ38" i="27"/>
  <c r="AQ60" i="27"/>
  <c r="AQ28" i="27"/>
  <c r="AP53" i="27"/>
  <c r="AN50" i="27"/>
  <c r="AQ20" i="27"/>
  <c r="AQ44" i="27"/>
  <c r="AQ57" i="27"/>
  <c r="AM18" i="27"/>
  <c r="AM36" i="27"/>
  <c r="AM19" i="27"/>
  <c r="AP41" i="27"/>
  <c r="AP39" i="27"/>
  <c r="AN24" i="27"/>
  <c r="AN19" i="27"/>
  <c r="AQ59" i="27"/>
  <c r="AQ62" i="27"/>
  <c r="AQ41" i="27"/>
  <c r="AP13" i="27"/>
  <c r="AP18" i="27"/>
  <c r="AN18" i="27"/>
  <c r="AN28" i="27"/>
  <c r="AQ16" i="27"/>
  <c r="AQ66" i="27"/>
  <c r="AM27" i="27"/>
  <c r="AM48" i="27"/>
  <c r="AP47" i="27"/>
  <c r="AP21" i="27"/>
  <c r="AP56" i="27"/>
  <c r="AN39" i="27"/>
  <c r="AN46" i="27"/>
  <c r="AQ48" i="27"/>
  <c r="AQ18" i="27"/>
  <c r="AQ13" i="27"/>
  <c r="AM16" i="27"/>
  <c r="AP19" i="27"/>
  <c r="AN22" i="27"/>
  <c r="AN51" i="27"/>
  <c r="AQ50" i="27"/>
  <c r="AQ35" i="27"/>
  <c r="AQ36" i="27"/>
  <c r="AQ12" i="27"/>
  <c r="AM22" i="27"/>
  <c r="AM46" i="27"/>
  <c r="AM44" i="27"/>
  <c r="AP27" i="27"/>
  <c r="AP32" i="27"/>
  <c r="AP30" i="27"/>
  <c r="AP42" i="27"/>
  <c r="AN25" i="27"/>
  <c r="AN20" i="27"/>
  <c r="AN33" i="27"/>
  <c r="AQ43" i="27"/>
  <c r="AQ61" i="27"/>
  <c r="AQ52" i="27"/>
  <c r="AQ58" i="27"/>
  <c r="AQ45" i="27"/>
  <c r="AM47" i="27"/>
  <c r="AM32" i="27"/>
  <c r="AM39" i="27"/>
  <c r="AP50" i="27"/>
  <c r="AP14" i="27"/>
  <c r="AP46" i="27"/>
  <c r="AP49" i="27"/>
  <c r="AN29" i="27"/>
  <c r="AN15" i="27"/>
  <c r="AQ40" i="27"/>
  <c r="AQ34" i="27"/>
  <c r="AP57" i="27"/>
  <c r="AN40" i="27"/>
  <c r="AQ29" i="27"/>
  <c r="AQ17" i="27"/>
  <c r="AM38" i="27"/>
  <c r="AM33" i="27"/>
  <c r="AM11" i="27"/>
  <c r="AM24" i="27"/>
  <c r="AP16" i="27"/>
  <c r="AP38" i="27"/>
  <c r="AP23" i="27"/>
  <c r="AN37" i="27"/>
  <c r="AN44" i="27"/>
  <c r="AQ27" i="27"/>
  <c r="AQ23" i="27"/>
  <c r="AM41" i="27"/>
  <c r="AP34" i="27"/>
  <c r="AP26" i="27"/>
  <c r="AN36" i="27"/>
  <c r="AQ30" i="27"/>
  <c r="AQ39" i="27"/>
  <c r="AM40" i="27"/>
  <c r="AM37" i="27"/>
  <c r="AM29" i="27"/>
  <c r="AM43" i="27"/>
  <c r="AP33" i="27"/>
  <c r="AP48" i="27"/>
  <c r="AN31" i="27"/>
  <c r="AQ54" i="27"/>
  <c r="AQ63" i="27"/>
  <c r="AO58" i="30" l="1"/>
  <c r="AJ58" i="30"/>
  <c r="AT58" i="30" s="1"/>
  <c r="AI57" i="30"/>
  <c r="AS57" i="30" s="1"/>
  <c r="AO145" i="30"/>
  <c r="AP145" i="30"/>
  <c r="AO188" i="30"/>
  <c r="AP188" i="30"/>
  <c r="AJ12" i="30"/>
  <c r="AT12" i="30" s="1"/>
  <c r="AJ11" i="30"/>
  <c r="AT11" i="30" s="1"/>
  <c r="AI11" i="30"/>
  <c r="AS11" i="30" s="1"/>
  <c r="AP12" i="30"/>
  <c r="AP11" i="30"/>
  <c r="AG11" i="30"/>
  <c r="AQ11" i="30" s="1"/>
  <c r="AH11" i="30"/>
  <c r="AR11" i="30" s="1"/>
  <c r="AK11" i="30"/>
  <c r="AU11" i="30" s="1"/>
  <c r="AL11" i="30"/>
  <c r="AV11" i="30" s="1"/>
  <c r="AO12" i="30"/>
  <c r="AO11" i="30"/>
  <c r="AI144" i="30"/>
  <c r="AS144" i="30" s="1"/>
  <c r="AL188" i="30"/>
  <c r="AV188" i="30" s="1"/>
  <c r="AK188" i="30"/>
  <c r="AU188" i="30" s="1"/>
  <c r="AJ188" i="30"/>
  <c r="AT188" i="30" s="1"/>
  <c r="AG188" i="30"/>
  <c r="AQ188" i="30" s="1"/>
  <c r="AH188" i="30"/>
  <c r="AR188" i="30" s="1"/>
  <c r="AI145" i="30"/>
  <c r="AS145" i="30" s="1"/>
  <c r="AI188" i="30"/>
  <c r="AS188" i="30" s="1"/>
  <c r="AK145" i="30"/>
  <c r="AU145" i="30" s="1"/>
  <c r="AL145" i="30"/>
  <c r="AV145" i="30" s="1"/>
  <c r="AL144" i="30"/>
  <c r="AV144" i="30" s="1"/>
  <c r="AK144" i="30"/>
  <c r="AU144" i="30" s="1"/>
  <c r="AG144" i="30"/>
  <c r="AQ144" i="30" s="1"/>
  <c r="AL58" i="30"/>
  <c r="AV58" i="30" s="1"/>
  <c r="AK58" i="30"/>
  <c r="AU58" i="30" s="1"/>
  <c r="AL59" i="30"/>
  <c r="AV59" i="30" s="1"/>
  <c r="AK59" i="30"/>
  <c r="AU59" i="30" s="1"/>
  <c r="AB144" i="27"/>
  <c r="AA14" i="27"/>
  <c r="AC13" i="27"/>
  <c r="R13" i="15" s="1"/>
  <c r="X13" i="15" s="1"/>
  <c r="AD13" i="15" s="1"/>
  <c r="AF13" i="27"/>
  <c r="AE13" i="27"/>
  <c r="T13" i="15" s="1"/>
  <c r="Z13" i="15" s="1"/>
  <c r="AF13" i="15" s="1"/>
  <c r="AG13" i="27"/>
  <c r="V13" i="15" s="1"/>
  <c r="AB13" i="15" s="1"/>
  <c r="AH13" i="15" s="1"/>
  <c r="AD13" i="27"/>
  <c r="S13" i="15" s="1"/>
  <c r="Y13" i="15" s="1"/>
  <c r="AE13" i="15" s="1"/>
  <c r="AH13" i="27"/>
  <c r="X14" i="27"/>
  <c r="AA58" i="27"/>
  <c r="X57" i="27"/>
  <c r="AC56" i="27"/>
  <c r="R56" i="15" s="1"/>
  <c r="X56" i="15" s="1"/>
  <c r="AD56" i="15" s="1"/>
  <c r="AE56" i="27"/>
  <c r="T56" i="15" s="1"/>
  <c r="Z56" i="15" s="1"/>
  <c r="AF56" i="15" s="1"/>
  <c r="AH56" i="27"/>
  <c r="AD56" i="27"/>
  <c r="S56" i="15" s="1"/>
  <c r="Y56" i="15" s="1"/>
  <c r="AE56" i="15" s="1"/>
  <c r="AG56" i="27"/>
  <c r="V56" i="15" s="1"/>
  <c r="AB56" i="15" s="1"/>
  <c r="AH56" i="15" s="1"/>
  <c r="AF56" i="27"/>
  <c r="AA189" i="27"/>
  <c r="AB188" i="27"/>
  <c r="AG55" i="27"/>
  <c r="V55" i="15" s="1"/>
  <c r="AB55" i="15" s="1"/>
  <c r="AH55" i="15" s="1"/>
  <c r="AD55" i="27"/>
  <c r="S55" i="15" s="1"/>
  <c r="Y55" i="15" s="1"/>
  <c r="AE55" i="15" s="1"/>
  <c r="AC55" i="27"/>
  <c r="R55" i="15" s="1"/>
  <c r="X55" i="15" s="1"/>
  <c r="AD55" i="15" s="1"/>
  <c r="AE55" i="27"/>
  <c r="T55" i="15" s="1"/>
  <c r="Z55" i="15" s="1"/>
  <c r="AF55" i="15" s="1"/>
  <c r="AH55" i="27"/>
  <c r="AF55" i="27"/>
  <c r="AG11" i="27"/>
  <c r="V11" i="15" s="1"/>
  <c r="AB11" i="15" s="1"/>
  <c r="AH11" i="15" s="1"/>
  <c r="AH11" i="27"/>
  <c r="AC11" i="27"/>
  <c r="R11" i="15" s="1"/>
  <c r="X11" i="15" s="1"/>
  <c r="AD11" i="15" s="1"/>
  <c r="AF11" i="27"/>
  <c r="U11" i="15" s="1"/>
  <c r="AE11" i="27"/>
  <c r="T11" i="15" s="1"/>
  <c r="Z11" i="15" s="1"/>
  <c r="AF11" i="15" s="1"/>
  <c r="AD11" i="27"/>
  <c r="S11" i="15" s="1"/>
  <c r="Y11" i="15" s="1"/>
  <c r="AE11" i="15" s="1"/>
  <c r="AA144" i="27"/>
  <c r="AB56" i="27"/>
  <c r="AB12" i="27"/>
  <c r="AC12" i="27"/>
  <c r="R12" i="15" s="1"/>
  <c r="X12" i="15" s="1"/>
  <c r="AD12" i="15" s="1"/>
  <c r="AE12" i="27"/>
  <c r="T12" i="15" s="1"/>
  <c r="Z12" i="15" s="1"/>
  <c r="AF12" i="15" s="1"/>
  <c r="AF12" i="27"/>
  <c r="AD12" i="27"/>
  <c r="S12" i="15" s="1"/>
  <c r="Y12" i="15" s="1"/>
  <c r="AE12" i="15" s="1"/>
  <c r="AG12" i="27"/>
  <c r="V12" i="15" s="1"/>
  <c r="AB12" i="15" s="1"/>
  <c r="AH12" i="15" s="1"/>
  <c r="AH12" i="27"/>
  <c r="X188" i="27"/>
  <c r="AC187" i="27"/>
  <c r="R187" i="15" s="1"/>
  <c r="X187" i="15" s="1"/>
  <c r="AD187" i="15" s="1"/>
  <c r="AH187" i="27"/>
  <c r="AF187" i="27"/>
  <c r="U187" i="15" s="1"/>
  <c r="AG187" i="27"/>
  <c r="V187" i="15" s="1"/>
  <c r="AB187" i="15" s="1"/>
  <c r="AH187" i="15" s="1"/>
  <c r="AE187" i="27"/>
  <c r="T187" i="15" s="1"/>
  <c r="Z187" i="15" s="1"/>
  <c r="AF187" i="15" s="1"/>
  <c r="AD187" i="27"/>
  <c r="S187" i="15" s="1"/>
  <c r="Y187" i="15" s="1"/>
  <c r="AE187" i="15" s="1"/>
  <c r="X144" i="27"/>
  <c r="AC143" i="27"/>
  <c r="R143" i="15" s="1"/>
  <c r="X143" i="15" s="1"/>
  <c r="AD143" i="15" s="1"/>
  <c r="AF143" i="27"/>
  <c r="AE143" i="27"/>
  <c r="T143" i="15" s="1"/>
  <c r="Z143" i="15" s="1"/>
  <c r="AF143" i="15" s="1"/>
  <c r="AG143" i="27"/>
  <c r="V143" i="15" s="1"/>
  <c r="AB143" i="15" s="1"/>
  <c r="AH143" i="15" s="1"/>
  <c r="AD143" i="27"/>
  <c r="S143" i="15" s="1"/>
  <c r="Y143" i="15" s="1"/>
  <c r="AE143" i="15" s="1"/>
  <c r="AH143" i="27"/>
  <c r="F71" i="9"/>
  <c r="F72" i="9"/>
  <c r="F112" i="9"/>
  <c r="F159" i="9"/>
  <c r="F115" i="9"/>
  <c r="F134" i="9"/>
  <c r="F126" i="9"/>
  <c r="F68" i="9"/>
  <c r="F161" i="9"/>
  <c r="F129" i="9"/>
  <c r="F158" i="9"/>
  <c r="F80" i="9"/>
  <c r="F66" i="9"/>
  <c r="F156" i="9"/>
  <c r="F155" i="9"/>
  <c r="F79" i="9"/>
  <c r="F70" i="9"/>
  <c r="F143" i="9"/>
  <c r="F139" i="9"/>
  <c r="F67" i="9"/>
  <c r="F141" i="9"/>
  <c r="F162" i="9"/>
  <c r="F128" i="9"/>
  <c r="F124" i="9"/>
  <c r="F130" i="9"/>
  <c r="F117" i="9"/>
  <c r="F64" i="9"/>
  <c r="F69" i="9"/>
  <c r="F152" i="9"/>
  <c r="F120" i="9"/>
  <c r="F153" i="9"/>
  <c r="F127" i="9"/>
  <c r="F63" i="9"/>
  <c r="AM59" i="27"/>
  <c r="AM54" i="27"/>
  <c r="AM57" i="27"/>
  <c r="AM56" i="27"/>
  <c r="AP62" i="27"/>
  <c r="AM58" i="27"/>
  <c r="AQ70" i="27"/>
  <c r="AQ68" i="27"/>
  <c r="AM52" i="27"/>
  <c r="AP68" i="27"/>
  <c r="AN60" i="27"/>
  <c r="AP61" i="27"/>
  <c r="AP60" i="27"/>
  <c r="AQ75" i="27"/>
  <c r="AP67" i="27"/>
  <c r="AM51" i="27"/>
  <c r="AQ74" i="27"/>
  <c r="AQ72" i="27"/>
  <c r="AP63" i="27"/>
  <c r="AN52" i="27"/>
  <c r="AQ73" i="27"/>
  <c r="AN59" i="27"/>
  <c r="AN58" i="27"/>
  <c r="AQ77" i="27"/>
  <c r="AN61" i="27"/>
  <c r="AP66" i="27"/>
  <c r="AN55" i="27"/>
  <c r="AM55" i="27"/>
  <c r="AP59" i="27"/>
  <c r="AM53" i="27"/>
  <c r="AN54" i="27"/>
  <c r="AQ76" i="27"/>
  <c r="AN53" i="27"/>
  <c r="AP65" i="27"/>
  <c r="AN56" i="27"/>
  <c r="AP64" i="27"/>
  <c r="AQ69" i="27"/>
  <c r="AQ71" i="27"/>
  <c r="AN57" i="27"/>
  <c r="AM50" i="27"/>
  <c r="AI59" i="30" l="1"/>
  <c r="AS59" i="30" s="1"/>
  <c r="AI58" i="30"/>
  <c r="AS58" i="30" s="1"/>
  <c r="AP146" i="30"/>
  <c r="AP59" i="30"/>
  <c r="AG58" i="30"/>
  <c r="AQ58" i="30" s="1"/>
  <c r="AP189" i="30"/>
  <c r="AO189" i="30"/>
  <c r="AO146" i="30"/>
  <c r="AO13" i="30"/>
  <c r="AG145" i="30"/>
  <c r="AQ145" i="30" s="1"/>
  <c r="AI12" i="30"/>
  <c r="AS12" i="30" s="1"/>
  <c r="AH145" i="30"/>
  <c r="AR145" i="30" s="1"/>
  <c r="AP60" i="30"/>
  <c r="AL12" i="30"/>
  <c r="AV12" i="30" s="1"/>
  <c r="AK12" i="30"/>
  <c r="AU12" i="30" s="1"/>
  <c r="AG12" i="30"/>
  <c r="AQ12" i="30" s="1"/>
  <c r="AP13" i="30"/>
  <c r="AH12" i="30"/>
  <c r="AR12" i="30" s="1"/>
  <c r="AG59" i="30"/>
  <c r="AQ59" i="30" s="1"/>
  <c r="AH59" i="30"/>
  <c r="AR59" i="30" s="1"/>
  <c r="AI189" i="30"/>
  <c r="AS189" i="30" s="1"/>
  <c r="AH189" i="30"/>
  <c r="AR189" i="30" s="1"/>
  <c r="AG189" i="30"/>
  <c r="AQ189" i="30" s="1"/>
  <c r="AJ145" i="30"/>
  <c r="AT145" i="30" s="1"/>
  <c r="AJ189" i="30"/>
  <c r="AT189" i="30" s="1"/>
  <c r="AL189" i="30"/>
  <c r="AV189" i="30" s="1"/>
  <c r="AK189" i="30"/>
  <c r="AU189" i="30" s="1"/>
  <c r="AL146" i="30"/>
  <c r="AV146" i="30" s="1"/>
  <c r="AK146" i="30"/>
  <c r="AU146" i="30" s="1"/>
  <c r="AG146" i="30"/>
  <c r="AQ146" i="30" s="1"/>
  <c r="AH146" i="30"/>
  <c r="AR146" i="30" s="1"/>
  <c r="AL60" i="30"/>
  <c r="AV60" i="30" s="1"/>
  <c r="AK60" i="30"/>
  <c r="AU60" i="30" s="1"/>
  <c r="AG60" i="30"/>
  <c r="AQ60" i="30" s="1"/>
  <c r="AH60" i="30"/>
  <c r="AR60" i="30" s="1"/>
  <c r="AL13" i="30"/>
  <c r="AV13" i="30" s="1"/>
  <c r="AK13" i="30"/>
  <c r="AU13" i="30" s="1"/>
  <c r="AH13" i="30"/>
  <c r="AR13" i="30" s="1"/>
  <c r="AG13" i="30"/>
  <c r="AQ13" i="30" s="1"/>
  <c r="AB145" i="27"/>
  <c r="X145" i="27"/>
  <c r="AE144" i="27"/>
  <c r="T144" i="15" s="1"/>
  <c r="Z144" i="15" s="1"/>
  <c r="AF144" i="15" s="1"/>
  <c r="AD144" i="27"/>
  <c r="S144" i="15" s="1"/>
  <c r="Y144" i="15" s="1"/>
  <c r="AE144" i="15" s="1"/>
  <c r="AC144" i="27"/>
  <c r="R144" i="15" s="1"/>
  <c r="X144" i="15" s="1"/>
  <c r="AD144" i="15" s="1"/>
  <c r="AF144" i="27"/>
  <c r="AG144" i="27"/>
  <c r="V144" i="15" s="1"/>
  <c r="AB144" i="15" s="1"/>
  <c r="AH144" i="15" s="1"/>
  <c r="AH144" i="27"/>
  <c r="W144" i="15" s="1"/>
  <c r="AB13" i="27"/>
  <c r="AC14" i="27"/>
  <c r="R14" i="15" s="1"/>
  <c r="X14" i="15" s="1"/>
  <c r="AD14" i="15" s="1"/>
  <c r="AD14" i="27"/>
  <c r="S14" i="15" s="1"/>
  <c r="Y14" i="15" s="1"/>
  <c r="AE14" i="15" s="1"/>
  <c r="AH14" i="27"/>
  <c r="W14" i="15" s="1"/>
  <c r="AF14" i="27"/>
  <c r="U14" i="15" s="1"/>
  <c r="AG14" i="27"/>
  <c r="V14" i="15" s="1"/>
  <c r="AB14" i="15" s="1"/>
  <c r="AH14" i="15" s="1"/>
  <c r="AE14" i="27"/>
  <c r="T14" i="15" s="1"/>
  <c r="Z14" i="15" s="1"/>
  <c r="AF14" i="15" s="1"/>
  <c r="X15" i="27"/>
  <c r="W187" i="15"/>
  <c r="AM187" i="15" s="1"/>
  <c r="AQ187" i="15" s="1"/>
  <c r="X189" i="27"/>
  <c r="AG188" i="27"/>
  <c r="V188" i="15" s="1"/>
  <c r="AB188" i="15" s="1"/>
  <c r="AH188" i="15" s="1"/>
  <c r="AD188" i="27"/>
  <c r="S188" i="15" s="1"/>
  <c r="Y188" i="15" s="1"/>
  <c r="AE188" i="15" s="1"/>
  <c r="AE188" i="27"/>
  <c r="T188" i="15" s="1"/>
  <c r="Z188" i="15" s="1"/>
  <c r="AF188" i="15" s="1"/>
  <c r="AH188" i="27"/>
  <c r="AF188" i="27"/>
  <c r="AC188" i="27"/>
  <c r="R188" i="15" s="1"/>
  <c r="U12" i="15"/>
  <c r="AK12" i="15" s="1"/>
  <c r="AO12" i="15" s="1"/>
  <c r="W55" i="15"/>
  <c r="AM55" i="15" s="1"/>
  <c r="AQ55" i="15" s="1"/>
  <c r="AA190" i="27"/>
  <c r="U13" i="15"/>
  <c r="AK13" i="15" s="1"/>
  <c r="AO13" i="15" s="1"/>
  <c r="U56" i="15"/>
  <c r="AK56" i="15" s="1"/>
  <c r="AO56" i="15" s="1"/>
  <c r="AH57" i="27"/>
  <c r="W57" i="15" s="1"/>
  <c r="AE57" i="27"/>
  <c r="T57" i="15" s="1"/>
  <c r="Z57" i="15" s="1"/>
  <c r="AF57" i="15" s="1"/>
  <c r="AD57" i="27"/>
  <c r="S57" i="15" s="1"/>
  <c r="Y57" i="15" s="1"/>
  <c r="AE57" i="15" s="1"/>
  <c r="AF57" i="27"/>
  <c r="AC57" i="27"/>
  <c r="R57" i="15" s="1"/>
  <c r="AG57" i="27"/>
  <c r="V57" i="15" s="1"/>
  <c r="AB57" i="15" s="1"/>
  <c r="AH57" i="15" s="1"/>
  <c r="X58" i="27"/>
  <c r="W13" i="15"/>
  <c r="AM13" i="15" s="1"/>
  <c r="AQ13" i="15" s="1"/>
  <c r="AA15" i="27"/>
  <c r="W11" i="15"/>
  <c r="AM11" i="15" s="1"/>
  <c r="AQ11" i="15" s="1"/>
  <c r="W143" i="15"/>
  <c r="AM143" i="15" s="1"/>
  <c r="AQ143" i="15" s="1"/>
  <c r="W12" i="15"/>
  <c r="AM12" i="15" s="1"/>
  <c r="AQ12" i="15" s="1"/>
  <c r="AA145" i="27"/>
  <c r="AK187" i="15"/>
  <c r="AO187" i="15" s="1"/>
  <c r="AA187" i="15"/>
  <c r="AG187" i="15" s="1"/>
  <c r="AL187" i="15"/>
  <c r="AP187" i="15" s="1"/>
  <c r="AK11" i="15"/>
  <c r="AO11" i="15" s="1"/>
  <c r="AA11" i="15"/>
  <c r="AG11" i="15" s="1"/>
  <c r="AL11" i="15"/>
  <c r="AP11" i="15" s="1"/>
  <c r="AB57" i="27"/>
  <c r="U143" i="15"/>
  <c r="AK143" i="15" s="1"/>
  <c r="AO143" i="15" s="1"/>
  <c r="U55" i="15"/>
  <c r="AK55" i="15" s="1"/>
  <c r="AO55" i="15" s="1"/>
  <c r="AB189" i="27"/>
  <c r="W56" i="15"/>
  <c r="AM56" i="15" s="1"/>
  <c r="AQ56" i="15" s="1"/>
  <c r="AA59" i="27"/>
  <c r="F111" i="9"/>
  <c r="F146" i="9"/>
  <c r="F136" i="9"/>
  <c r="F132" i="9"/>
  <c r="F145" i="9"/>
  <c r="F154" i="9"/>
  <c r="F123" i="9"/>
  <c r="F150" i="9"/>
  <c r="F133" i="9"/>
  <c r="F138" i="9"/>
  <c r="F114" i="9"/>
  <c r="F116" i="9"/>
  <c r="F144" i="9"/>
  <c r="F148" i="9"/>
  <c r="F122" i="9"/>
  <c r="F118" i="9"/>
  <c r="F95" i="9"/>
  <c r="F90" i="9"/>
  <c r="F149" i="9"/>
  <c r="F100" i="9"/>
  <c r="F85" i="9"/>
  <c r="F107" i="9"/>
  <c r="F105" i="9"/>
  <c r="F98" i="9"/>
  <c r="F82" i="9"/>
  <c r="F131" i="9"/>
  <c r="F93" i="9"/>
  <c r="F81" i="9"/>
  <c r="F125" i="9"/>
  <c r="F101" i="9"/>
  <c r="F86" i="9"/>
  <c r="F92" i="9"/>
  <c r="F83" i="9"/>
  <c r="F102" i="9"/>
  <c r="F121" i="9"/>
  <c r="F163" i="9"/>
  <c r="F157" i="9"/>
  <c r="F137" i="9"/>
  <c r="F142" i="9"/>
  <c r="F110" i="9"/>
  <c r="F84" i="9"/>
  <c r="F119" i="9"/>
  <c r="F91" i="9"/>
  <c r="F87" i="9"/>
  <c r="F103" i="9"/>
  <c r="F109" i="9"/>
  <c r="F113" i="9"/>
  <c r="F160" i="9"/>
  <c r="F88" i="9"/>
  <c r="F108" i="9"/>
  <c r="F147" i="9"/>
  <c r="F94" i="9"/>
  <c r="F140" i="9"/>
  <c r="F89" i="9"/>
  <c r="F99" i="9"/>
  <c r="F151" i="9"/>
  <c r="F97" i="9"/>
  <c r="F106" i="9"/>
  <c r="F104" i="9"/>
  <c r="F96" i="9"/>
  <c r="F135" i="9"/>
  <c r="H13" i="30"/>
  <c r="H16" i="30"/>
  <c r="H15" i="30"/>
  <c r="H14" i="30"/>
  <c r="H12" i="30"/>
  <c r="H11" i="30"/>
  <c r="H7" i="30"/>
  <c r="H8" i="30"/>
  <c r="G25" i="27"/>
  <c r="AN65" i="27"/>
  <c r="AN66" i="27"/>
  <c r="G8" i="27"/>
  <c r="AQ79" i="27"/>
  <c r="AM65" i="27"/>
  <c r="AQ80" i="27"/>
  <c r="G16" i="27"/>
  <c r="AM62" i="27"/>
  <c r="G24" i="27"/>
  <c r="AM64" i="27"/>
  <c r="G23" i="27"/>
  <c r="AP71" i="27"/>
  <c r="AN63" i="27"/>
  <c r="AM60" i="27"/>
  <c r="G17" i="27"/>
  <c r="AP70" i="27"/>
  <c r="AM61" i="27"/>
  <c r="AN62" i="27"/>
  <c r="G9" i="27"/>
  <c r="G18" i="27"/>
  <c r="AM63" i="27"/>
  <c r="AQ81" i="27"/>
  <c r="G21" i="27"/>
  <c r="G20" i="27"/>
  <c r="AQ83" i="27"/>
  <c r="AP74" i="27"/>
  <c r="AQ82" i="27"/>
  <c r="G19" i="27"/>
  <c r="G10" i="27"/>
  <c r="AP73" i="27"/>
  <c r="AN64" i="27"/>
  <c r="G26" i="27"/>
  <c r="AP72" i="27"/>
  <c r="G22" i="27"/>
  <c r="AN67" i="27"/>
  <c r="G27" i="27"/>
  <c r="AQ78" i="27"/>
  <c r="AP69" i="27"/>
  <c r="G7" i="27"/>
  <c r="AP147" i="30" l="1"/>
  <c r="AO59" i="30"/>
  <c r="AJ60" i="30"/>
  <c r="AT60" i="30" s="1"/>
  <c r="AJ59" i="30"/>
  <c r="AT59" i="30" s="1"/>
  <c r="AJ13" i="30"/>
  <c r="AT13" i="30" s="1"/>
  <c r="AO14" i="30"/>
  <c r="AO190" i="30"/>
  <c r="AP190" i="30"/>
  <c r="AO147" i="30"/>
  <c r="AP61" i="30"/>
  <c r="AI13" i="30"/>
  <c r="AS13" i="30" s="1"/>
  <c r="AP14" i="30"/>
  <c r="AI146" i="30"/>
  <c r="AS146" i="30" s="1"/>
  <c r="AJ190" i="30"/>
  <c r="AT190" i="30" s="1"/>
  <c r="AJ146" i="30"/>
  <c r="AT146" i="30" s="1"/>
  <c r="AL190" i="30"/>
  <c r="AV190" i="30" s="1"/>
  <c r="AK190" i="30"/>
  <c r="AU190" i="30" s="1"/>
  <c r="AG190" i="30"/>
  <c r="AQ190" i="30" s="1"/>
  <c r="AH190" i="30"/>
  <c r="AR190" i="30" s="1"/>
  <c r="AI190" i="30"/>
  <c r="AS190" i="30" s="1"/>
  <c r="AI147" i="30"/>
  <c r="AS147" i="30" s="1"/>
  <c r="AH147" i="30"/>
  <c r="AR147" i="30" s="1"/>
  <c r="AG147" i="30"/>
  <c r="AQ147" i="30" s="1"/>
  <c r="AJ147" i="30"/>
  <c r="AT147" i="30" s="1"/>
  <c r="AK147" i="30"/>
  <c r="AU147" i="30" s="1"/>
  <c r="AL147" i="30"/>
  <c r="AV147" i="30" s="1"/>
  <c r="AH61" i="30"/>
  <c r="AR61" i="30" s="1"/>
  <c r="AG61" i="30"/>
  <c r="AQ61" i="30" s="1"/>
  <c r="AL61" i="30"/>
  <c r="AV61" i="30" s="1"/>
  <c r="AK61" i="30"/>
  <c r="AU61" i="30" s="1"/>
  <c r="AK14" i="30"/>
  <c r="AU14" i="30" s="1"/>
  <c r="AL14" i="30"/>
  <c r="AV14" i="30" s="1"/>
  <c r="AJ14" i="30"/>
  <c r="AT14" i="30" s="1"/>
  <c r="AI14" i="30"/>
  <c r="AS14" i="30" s="1"/>
  <c r="AG14" i="30"/>
  <c r="AQ14" i="30" s="1"/>
  <c r="AH14" i="30"/>
  <c r="AR14" i="30" s="1"/>
  <c r="AP99" i="30"/>
  <c r="AO99" i="30"/>
  <c r="AH99" i="30"/>
  <c r="AR99" i="30" s="1"/>
  <c r="AJ99" i="30"/>
  <c r="AT99" i="30" s="1"/>
  <c r="AB146" i="27"/>
  <c r="AC143" i="15"/>
  <c r="AI143" i="15" s="1"/>
  <c r="AN143" i="15"/>
  <c r="AR143" i="15" s="1"/>
  <c r="U188" i="15"/>
  <c r="AK188" i="15" s="1"/>
  <c r="AO188" i="15" s="1"/>
  <c r="AM14" i="15"/>
  <c r="AQ14" i="15" s="1"/>
  <c r="AN14" i="15"/>
  <c r="AR14" i="15" s="1"/>
  <c r="AC14" i="15"/>
  <c r="AI14" i="15" s="1"/>
  <c r="U144" i="15"/>
  <c r="AK144" i="15" s="1"/>
  <c r="AO144" i="15" s="1"/>
  <c r="AA146" i="27"/>
  <c r="AA16" i="27"/>
  <c r="X57" i="15"/>
  <c r="AD57" i="15" s="1"/>
  <c r="AL56" i="15"/>
  <c r="AP56" i="15" s="1"/>
  <c r="AA56" i="15"/>
  <c r="AG56" i="15" s="1"/>
  <c r="AN55" i="15"/>
  <c r="AR55" i="15" s="1"/>
  <c r="AC55" i="15"/>
  <c r="AI55" i="15" s="1"/>
  <c r="W188" i="15"/>
  <c r="AM188" i="15" s="1"/>
  <c r="AQ188" i="15" s="1"/>
  <c r="AN187" i="15"/>
  <c r="AR187" i="15" s="1"/>
  <c r="AC187" i="15"/>
  <c r="AC56" i="15"/>
  <c r="AI56" i="15" s="1"/>
  <c r="AN56" i="15"/>
  <c r="AR56" i="15" s="1"/>
  <c r="AL143" i="15"/>
  <c r="AP143" i="15" s="1"/>
  <c r="AA143" i="15"/>
  <c r="AG143" i="15" s="1"/>
  <c r="U57" i="15"/>
  <c r="AK57" i="15" s="1"/>
  <c r="AO57" i="15" s="1"/>
  <c r="AD15" i="27"/>
  <c r="S15" i="15" s="1"/>
  <c r="Y15" i="15" s="1"/>
  <c r="AE15" i="15" s="1"/>
  <c r="AE15" i="27"/>
  <c r="T15" i="15" s="1"/>
  <c r="Z15" i="15" s="1"/>
  <c r="AF15" i="15" s="1"/>
  <c r="AF15" i="27"/>
  <c r="U15" i="15" s="1"/>
  <c r="AC15" i="27"/>
  <c r="R15" i="15" s="1"/>
  <c r="X15" i="15" s="1"/>
  <c r="AD15" i="15" s="1"/>
  <c r="AG15" i="27"/>
  <c r="V15" i="15" s="1"/>
  <c r="AB15" i="15" s="1"/>
  <c r="AH15" i="15" s="1"/>
  <c r="AH15" i="27"/>
  <c r="X16" i="27"/>
  <c r="AB190" i="27"/>
  <c r="AB58" i="27"/>
  <c r="AA13" i="15"/>
  <c r="AG13" i="15" s="1"/>
  <c r="AL13" i="15"/>
  <c r="AP13" i="15" s="1"/>
  <c r="AB14" i="27"/>
  <c r="AC12" i="15"/>
  <c r="AI12" i="15" s="1"/>
  <c r="AN12" i="15"/>
  <c r="AR12" i="15" s="1"/>
  <c r="AC11" i="15"/>
  <c r="AN11" i="15"/>
  <c r="AR11" i="15" s="1"/>
  <c r="AN13" i="15"/>
  <c r="AR13" i="15" s="1"/>
  <c r="AC13" i="15"/>
  <c r="AI13" i="15" s="1"/>
  <c r="AA191" i="27"/>
  <c r="AA12" i="15"/>
  <c r="AG12" i="15" s="1"/>
  <c r="AL12" i="15"/>
  <c r="AP12" i="15" s="1"/>
  <c r="AM144" i="15"/>
  <c r="AQ144" i="15" s="1"/>
  <c r="AN144" i="15"/>
  <c r="AR144" i="15" s="1"/>
  <c r="AC144" i="15"/>
  <c r="AI144" i="15" s="1"/>
  <c r="AC145" i="27"/>
  <c r="R145" i="15" s="1"/>
  <c r="X145" i="15" s="1"/>
  <c r="AD145" i="15" s="1"/>
  <c r="AE145" i="27"/>
  <c r="T145" i="15" s="1"/>
  <c r="Z145" i="15" s="1"/>
  <c r="AF145" i="15" s="1"/>
  <c r="AD145" i="27"/>
  <c r="S145" i="15" s="1"/>
  <c r="Y145" i="15" s="1"/>
  <c r="AE145" i="15" s="1"/>
  <c r="AH145" i="27"/>
  <c r="AG145" i="27"/>
  <c r="V145" i="15" s="1"/>
  <c r="AB145" i="15" s="1"/>
  <c r="AH145" i="15" s="1"/>
  <c r="AF145" i="27"/>
  <c r="X146" i="27"/>
  <c r="AA60" i="27"/>
  <c r="AL55" i="15"/>
  <c r="AP55" i="15" s="1"/>
  <c r="AA55" i="15"/>
  <c r="AG55" i="15" s="1"/>
  <c r="AF58" i="27"/>
  <c r="AE58" i="27"/>
  <c r="T58" i="15" s="1"/>
  <c r="Z58" i="15" s="1"/>
  <c r="AF58" i="15" s="1"/>
  <c r="AC58" i="27"/>
  <c r="R58" i="15" s="1"/>
  <c r="AH58" i="27"/>
  <c r="AG58" i="27"/>
  <c r="V58" i="15" s="1"/>
  <c r="AB58" i="15" s="1"/>
  <c r="AH58" i="15" s="1"/>
  <c r="AD58" i="27"/>
  <c r="S58" i="15" s="1"/>
  <c r="Y58" i="15" s="1"/>
  <c r="AE58" i="15" s="1"/>
  <c r="X59" i="27"/>
  <c r="AM57" i="15"/>
  <c r="AQ57" i="15" s="1"/>
  <c r="AN57" i="15"/>
  <c r="AR57" i="15" s="1"/>
  <c r="AC57" i="15"/>
  <c r="AI57" i="15" s="1"/>
  <c r="X188" i="15"/>
  <c r="AD188" i="15" s="1"/>
  <c r="AC189" i="27"/>
  <c r="R189" i="15" s="1"/>
  <c r="AG189" i="27"/>
  <c r="V189" i="15" s="1"/>
  <c r="AB189" i="15" s="1"/>
  <c r="AH189" i="15" s="1"/>
  <c r="AH189" i="27"/>
  <c r="AD189" i="27"/>
  <c r="S189" i="15" s="1"/>
  <c r="Y189" i="15" s="1"/>
  <c r="AE189" i="15" s="1"/>
  <c r="AE189" i="27"/>
  <c r="T189" i="15" s="1"/>
  <c r="Z189" i="15" s="1"/>
  <c r="AF189" i="15" s="1"/>
  <c r="AF189" i="27"/>
  <c r="X190" i="27"/>
  <c r="AK14" i="15"/>
  <c r="AO14" i="15" s="1"/>
  <c r="AA14" i="15"/>
  <c r="AL14" i="15"/>
  <c r="AP14" i="15" s="1"/>
  <c r="F75" i="9"/>
  <c r="F73" i="9"/>
  <c r="F77" i="9"/>
  <c r="F74" i="9"/>
  <c r="F78" i="9"/>
  <c r="F76" i="9"/>
  <c r="H9" i="30"/>
  <c r="H10" i="30"/>
  <c r="AM69" i="27"/>
  <c r="AP76" i="27"/>
  <c r="AN69" i="27"/>
  <c r="AM67" i="27"/>
  <c r="AQ84" i="27"/>
  <c r="AM68" i="27"/>
  <c r="G15" i="27"/>
  <c r="AQ87" i="27"/>
  <c r="AQ86" i="27"/>
  <c r="G13" i="27"/>
  <c r="AN68" i="27"/>
  <c r="AN71" i="27"/>
  <c r="AM66" i="27"/>
  <c r="AN70" i="27"/>
  <c r="AP78" i="27"/>
  <c r="G12" i="27"/>
  <c r="G11" i="27"/>
  <c r="AP75" i="27"/>
  <c r="G14" i="27"/>
  <c r="AP77" i="27"/>
  <c r="AQ85" i="27"/>
  <c r="AO60" i="30" l="1"/>
  <c r="AI60" i="30"/>
  <c r="AS60" i="30" s="1"/>
  <c r="AO15" i="30"/>
  <c r="AP191" i="30"/>
  <c r="AO191" i="30"/>
  <c r="AP148" i="30"/>
  <c r="AO148" i="30"/>
  <c r="AG99" i="30"/>
  <c r="AQ99" i="30" s="1"/>
  <c r="AP15" i="30"/>
  <c r="AP62" i="30"/>
  <c r="AI191" i="30"/>
  <c r="AS191" i="30" s="1"/>
  <c r="AH191" i="30"/>
  <c r="AR191" i="30" s="1"/>
  <c r="AG191" i="30"/>
  <c r="AQ191" i="30" s="1"/>
  <c r="AL191" i="30"/>
  <c r="AV191" i="30" s="1"/>
  <c r="AK191" i="30"/>
  <c r="AU191" i="30" s="1"/>
  <c r="AJ191" i="30"/>
  <c r="AT191" i="30" s="1"/>
  <c r="AL148" i="30"/>
  <c r="AV148" i="30" s="1"/>
  <c r="AK148" i="30"/>
  <c r="AU148" i="30" s="1"/>
  <c r="AJ148" i="30"/>
  <c r="AT148" i="30" s="1"/>
  <c r="AG148" i="30"/>
  <c r="AQ148" i="30" s="1"/>
  <c r="AH148" i="30"/>
  <c r="AR148" i="30" s="1"/>
  <c r="AI148" i="30"/>
  <c r="AS148" i="30" s="1"/>
  <c r="AL99" i="30"/>
  <c r="AV99" i="30" s="1"/>
  <c r="AK99" i="30"/>
  <c r="AU99" i="30" s="1"/>
  <c r="AI99" i="30"/>
  <c r="AS99" i="30" s="1"/>
  <c r="AL62" i="30"/>
  <c r="AV62" i="30" s="1"/>
  <c r="AK62" i="30"/>
  <c r="AU62" i="30" s="1"/>
  <c r="AG62" i="30"/>
  <c r="AQ62" i="30" s="1"/>
  <c r="AH62" i="30"/>
  <c r="AR62" i="30" s="1"/>
  <c r="AH15" i="30"/>
  <c r="AR15" i="30" s="1"/>
  <c r="AG15" i="30"/>
  <c r="AQ15" i="30" s="1"/>
  <c r="AI15" i="30"/>
  <c r="AS15" i="30" s="1"/>
  <c r="AJ15" i="30"/>
  <c r="AT15" i="30" s="1"/>
  <c r="AK15" i="30"/>
  <c r="AU15" i="30" s="1"/>
  <c r="AL15" i="30"/>
  <c r="AV15" i="30" s="1"/>
  <c r="Q143" i="24"/>
  <c r="R143" i="24" s="1"/>
  <c r="AB147" i="27"/>
  <c r="Z99" i="27"/>
  <c r="Z100" i="27" s="1"/>
  <c r="Z101" i="27" s="1"/>
  <c r="Z102" i="27" s="1"/>
  <c r="Z103" i="27" s="1"/>
  <c r="Z104" i="27" s="1"/>
  <c r="Z105" i="27" s="1"/>
  <c r="Z106" i="27" s="1"/>
  <c r="Z107" i="27" s="1"/>
  <c r="Z108" i="27" s="1"/>
  <c r="Z109" i="27" s="1"/>
  <c r="Z110" i="27" s="1"/>
  <c r="Z111" i="27" s="1"/>
  <c r="Z112" i="27" s="1"/>
  <c r="Z113" i="27" s="1"/>
  <c r="Z114" i="27" s="1"/>
  <c r="Z115" i="27" s="1"/>
  <c r="Z116" i="27" s="1"/>
  <c r="Z117" i="27" s="1"/>
  <c r="Z118" i="27" s="1"/>
  <c r="Z119" i="27" s="1"/>
  <c r="Z120" i="27" s="1"/>
  <c r="Z121" i="27" s="1"/>
  <c r="Z122" i="27" s="1"/>
  <c r="Z123" i="27" s="1"/>
  <c r="Z124" i="27" s="1"/>
  <c r="Z125" i="27" s="1"/>
  <c r="Z126" i="27" s="1"/>
  <c r="Z127" i="27" s="1"/>
  <c r="Z128" i="27" s="1"/>
  <c r="Z129" i="27" s="1"/>
  <c r="Z130" i="27" s="1"/>
  <c r="Z131" i="27" s="1"/>
  <c r="Z132" i="27" s="1"/>
  <c r="Z133" i="27" s="1"/>
  <c r="Z134" i="27" s="1"/>
  <c r="Z135" i="27" s="1"/>
  <c r="Z136" i="27" s="1"/>
  <c r="Z137" i="27" s="1"/>
  <c r="Z138" i="27" s="1"/>
  <c r="Z139" i="27" s="1"/>
  <c r="AB99" i="27"/>
  <c r="AB100" i="27" s="1"/>
  <c r="AB101" i="27" s="1"/>
  <c r="AB102" i="27" s="1"/>
  <c r="AB103" i="27" s="1"/>
  <c r="AA99" i="27"/>
  <c r="Y99" i="27"/>
  <c r="Y100" i="27" s="1"/>
  <c r="Y101" i="27" s="1"/>
  <c r="Y102" i="27" s="1"/>
  <c r="Y103" i="27" s="1"/>
  <c r="Y104" i="27" s="1"/>
  <c r="Y105" i="27" s="1"/>
  <c r="Y106" i="27" s="1"/>
  <c r="Y107" i="27" s="1"/>
  <c r="Y108" i="27" s="1"/>
  <c r="Y109" i="27" s="1"/>
  <c r="Y110" i="27" s="1"/>
  <c r="Y111" i="27" s="1"/>
  <c r="Y112" i="27" s="1"/>
  <c r="Y113" i="27" s="1"/>
  <c r="Y114" i="27" s="1"/>
  <c r="Y115" i="27" s="1"/>
  <c r="Y116" i="27" s="1"/>
  <c r="Y117" i="27" s="1"/>
  <c r="Y118" i="27" s="1"/>
  <c r="Y119" i="27" s="1"/>
  <c r="Y120" i="27" s="1"/>
  <c r="Y121" i="27" s="1"/>
  <c r="Y122" i="27" s="1"/>
  <c r="Y123" i="27" s="1"/>
  <c r="Y124" i="27" s="1"/>
  <c r="Y125" i="27" s="1"/>
  <c r="Y126" i="27" s="1"/>
  <c r="Y127" i="27" s="1"/>
  <c r="Y128" i="27" s="1"/>
  <c r="Y129" i="27" s="1"/>
  <c r="Y130" i="27" s="1"/>
  <c r="Y131" i="27" s="1"/>
  <c r="Y132" i="27" s="1"/>
  <c r="Y133" i="27" s="1"/>
  <c r="Y134" i="27" s="1"/>
  <c r="Y135" i="27" s="1"/>
  <c r="Y136" i="27" s="1"/>
  <c r="Y137" i="27" s="1"/>
  <c r="Y138" i="27" s="1"/>
  <c r="Y139" i="27" s="1"/>
  <c r="X99" i="27"/>
  <c r="X100" i="27" s="1"/>
  <c r="U189" i="15"/>
  <c r="AK189" i="15" s="1"/>
  <c r="AO189" i="15" s="1"/>
  <c r="AK15" i="15"/>
  <c r="AO15" i="15" s="1"/>
  <c r="AA15" i="15"/>
  <c r="AG15" i="15" s="1"/>
  <c r="AL15" i="15"/>
  <c r="AP15" i="15" s="1"/>
  <c r="AI11" i="15"/>
  <c r="Q11" i="24"/>
  <c r="R11" i="24" s="1"/>
  <c r="AB15" i="27"/>
  <c r="AC188" i="15"/>
  <c r="AI188" i="15" s="1"/>
  <c r="AN188" i="15"/>
  <c r="AR188" i="15" s="1"/>
  <c r="W58" i="15"/>
  <c r="AG146" i="27"/>
  <c r="V146" i="15" s="1"/>
  <c r="AB146" i="15" s="1"/>
  <c r="AH146" i="15" s="1"/>
  <c r="AE146" i="27"/>
  <c r="T146" i="15" s="1"/>
  <c r="Z146" i="15" s="1"/>
  <c r="AF146" i="15" s="1"/>
  <c r="AD146" i="27"/>
  <c r="S146" i="15" s="1"/>
  <c r="Y146" i="15" s="1"/>
  <c r="AE146" i="15" s="1"/>
  <c r="AC146" i="27"/>
  <c r="R146" i="15" s="1"/>
  <c r="X146" i="15" s="1"/>
  <c r="AD146" i="15" s="1"/>
  <c r="AF146" i="27"/>
  <c r="AH146" i="27"/>
  <c r="W146" i="15" s="1"/>
  <c r="X147" i="27"/>
  <c r="AA192" i="27"/>
  <c r="AH16" i="27"/>
  <c r="AC16" i="27"/>
  <c r="R16" i="15" s="1"/>
  <c r="X16" i="15" s="1"/>
  <c r="AD16" i="15" s="1"/>
  <c r="AF16" i="27"/>
  <c r="AE16" i="27"/>
  <c r="T16" i="15" s="1"/>
  <c r="Z16" i="15" s="1"/>
  <c r="AF16" i="15" s="1"/>
  <c r="AG16" i="27"/>
  <c r="V16" i="15" s="1"/>
  <c r="AB16" i="15" s="1"/>
  <c r="AH16" i="15" s="1"/>
  <c r="AD16" i="27"/>
  <c r="S16" i="15" s="1"/>
  <c r="Y16" i="15" s="1"/>
  <c r="AE16" i="15" s="1"/>
  <c r="X17" i="27"/>
  <c r="AA17" i="27"/>
  <c r="AG14" i="15"/>
  <c r="Q14" i="24"/>
  <c r="R14" i="24" s="1"/>
  <c r="W189" i="15"/>
  <c r="AM189" i="15" s="1"/>
  <c r="AQ189" i="15" s="1"/>
  <c r="X58" i="15"/>
  <c r="AD58" i="15" s="1"/>
  <c r="AA61" i="27"/>
  <c r="U145" i="15"/>
  <c r="AK145" i="15" s="1"/>
  <c r="AO145" i="15" s="1"/>
  <c r="W15" i="15"/>
  <c r="AM15" i="15" s="1"/>
  <c r="AQ15" i="15" s="1"/>
  <c r="Q56" i="24"/>
  <c r="R56" i="24" s="1"/>
  <c r="AB59" i="27"/>
  <c r="AL57" i="15"/>
  <c r="AP57" i="15" s="1"/>
  <c r="AA57" i="15"/>
  <c r="AG57" i="15" s="1"/>
  <c r="AI187" i="15"/>
  <c r="Q187" i="24"/>
  <c r="R187" i="24" s="1"/>
  <c r="Q13" i="24"/>
  <c r="R13" i="24" s="1"/>
  <c r="AL188" i="15"/>
  <c r="AP188" i="15" s="1"/>
  <c r="AA188" i="15"/>
  <c r="AG188" i="15" s="1"/>
  <c r="Q12" i="24"/>
  <c r="R12" i="24" s="1"/>
  <c r="AG190" i="27"/>
  <c r="V190" i="15" s="1"/>
  <c r="AB190" i="15" s="1"/>
  <c r="AH190" i="15" s="1"/>
  <c r="AH190" i="27"/>
  <c r="AC190" i="27"/>
  <c r="R190" i="15" s="1"/>
  <c r="AD190" i="27"/>
  <c r="S190" i="15" s="1"/>
  <c r="Y190" i="15" s="1"/>
  <c r="AE190" i="15" s="1"/>
  <c r="AF190" i="27"/>
  <c r="AE190" i="27"/>
  <c r="T190" i="15" s="1"/>
  <c r="Z190" i="15" s="1"/>
  <c r="AF190" i="15" s="1"/>
  <c r="X191" i="27"/>
  <c r="X189" i="15"/>
  <c r="AD189" i="15" s="1"/>
  <c r="AC59" i="27"/>
  <c r="R59" i="15" s="1"/>
  <c r="AG59" i="27"/>
  <c r="V59" i="15" s="1"/>
  <c r="AB59" i="15" s="1"/>
  <c r="AH59" i="15" s="1"/>
  <c r="AH59" i="27"/>
  <c r="AE59" i="27"/>
  <c r="T59" i="15" s="1"/>
  <c r="Z59" i="15" s="1"/>
  <c r="AF59" i="15" s="1"/>
  <c r="AD59" i="27"/>
  <c r="S59" i="15" s="1"/>
  <c r="Y59" i="15" s="1"/>
  <c r="AE59" i="15" s="1"/>
  <c r="AF59" i="27"/>
  <c r="U59" i="15" s="1"/>
  <c r="X60" i="27"/>
  <c r="U58" i="15"/>
  <c r="AK58" i="15" s="1"/>
  <c r="AO58" i="15" s="1"/>
  <c r="W145" i="15"/>
  <c r="AM145" i="15" s="1"/>
  <c r="AQ145" i="15" s="1"/>
  <c r="AB191" i="27"/>
  <c r="AA147" i="27"/>
  <c r="AL144" i="15"/>
  <c r="AP144" i="15" s="1"/>
  <c r="AA144" i="15"/>
  <c r="AG144" i="15" s="1"/>
  <c r="Q144" i="24"/>
  <c r="R144" i="24" s="1"/>
  <c r="Q55" i="24"/>
  <c r="R55" i="24" s="1"/>
  <c r="AO56" i="27"/>
  <c r="AP80" i="27"/>
  <c r="AO16" i="27"/>
  <c r="AO29" i="27"/>
  <c r="AO33" i="27"/>
  <c r="AQ88" i="27"/>
  <c r="AO48" i="27"/>
  <c r="AP81" i="27"/>
  <c r="AO23" i="27"/>
  <c r="AO52" i="27"/>
  <c r="AO41" i="27"/>
  <c r="AO62" i="27"/>
  <c r="AO55" i="27"/>
  <c r="AO72" i="27"/>
  <c r="AO27" i="27"/>
  <c r="AO26" i="27"/>
  <c r="AO18" i="27"/>
  <c r="AO22" i="27"/>
  <c r="AO61" i="27"/>
  <c r="AO70" i="27"/>
  <c r="AQ90" i="27"/>
  <c r="AO49" i="27"/>
  <c r="AO45" i="27"/>
  <c r="AO42" i="27"/>
  <c r="AO71" i="27"/>
  <c r="AO75" i="27"/>
  <c r="AO20" i="27"/>
  <c r="AO13" i="27"/>
  <c r="AO58" i="27"/>
  <c r="AO21" i="27"/>
  <c r="AO40" i="27"/>
  <c r="AO15" i="27"/>
  <c r="AO68" i="27"/>
  <c r="AO51" i="27"/>
  <c r="AM70" i="27"/>
  <c r="AO74" i="27"/>
  <c r="AO76" i="27"/>
  <c r="AO38" i="27"/>
  <c r="AQ89" i="27"/>
  <c r="AO36" i="27"/>
  <c r="AO32" i="27"/>
  <c r="AO37" i="27"/>
  <c r="AO43" i="27"/>
  <c r="AO77" i="27"/>
  <c r="AO63" i="27"/>
  <c r="AN73" i="27"/>
  <c r="AO28" i="27"/>
  <c r="AO47" i="27"/>
  <c r="AO17" i="27"/>
  <c r="AO46" i="27"/>
  <c r="AO57" i="27"/>
  <c r="AO73" i="27"/>
  <c r="AM71" i="27"/>
  <c r="AO34" i="27"/>
  <c r="AP79" i="27"/>
  <c r="AO50" i="27"/>
  <c r="AO69" i="27"/>
  <c r="AO12" i="27"/>
  <c r="AO14" i="27"/>
  <c r="AO65" i="27"/>
  <c r="AO31" i="27"/>
  <c r="AO44" i="27"/>
  <c r="AO30" i="27"/>
  <c r="AO25" i="27"/>
  <c r="AM72" i="27"/>
  <c r="AO64" i="27"/>
  <c r="AO39" i="27"/>
  <c r="AO11" i="27"/>
  <c r="AO53" i="27"/>
  <c r="AO24" i="27"/>
  <c r="AO60" i="27"/>
  <c r="AN72" i="27"/>
  <c r="AO54" i="27"/>
  <c r="AO19" i="27"/>
  <c r="AO35" i="27"/>
  <c r="AN74" i="27"/>
  <c r="AO59" i="27"/>
  <c r="AO66" i="27"/>
  <c r="AO67" i="27"/>
  <c r="AO61" i="30" l="1"/>
  <c r="AJ61" i="30"/>
  <c r="AT61" i="30" s="1"/>
  <c r="AI61" i="30"/>
  <c r="AS61" i="30" s="1"/>
  <c r="AO16" i="30"/>
  <c r="AP16" i="30"/>
  <c r="AO192" i="30"/>
  <c r="AP192" i="30"/>
  <c r="AO149" i="30"/>
  <c r="AP149" i="30"/>
  <c r="AP100" i="30"/>
  <c r="AO100" i="30"/>
  <c r="AP63" i="30"/>
  <c r="AJ192" i="30"/>
  <c r="AT192" i="30" s="1"/>
  <c r="AL192" i="30"/>
  <c r="AV192" i="30" s="1"/>
  <c r="AK192" i="30"/>
  <c r="AU192" i="30" s="1"/>
  <c r="AG192" i="30"/>
  <c r="AQ192" i="30" s="1"/>
  <c r="AH192" i="30"/>
  <c r="AR192" i="30" s="1"/>
  <c r="AI192" i="30"/>
  <c r="AS192" i="30" s="1"/>
  <c r="AI149" i="30"/>
  <c r="AS149" i="30" s="1"/>
  <c r="AH149" i="30"/>
  <c r="AR149" i="30" s="1"/>
  <c r="AG149" i="30"/>
  <c r="AQ149" i="30" s="1"/>
  <c r="AJ149" i="30"/>
  <c r="AT149" i="30" s="1"/>
  <c r="AL149" i="30"/>
  <c r="AV149" i="30" s="1"/>
  <c r="AK149" i="30"/>
  <c r="AU149" i="30" s="1"/>
  <c r="AK100" i="30"/>
  <c r="AU100" i="30" s="1"/>
  <c r="AL100" i="30"/>
  <c r="AV100" i="30" s="1"/>
  <c r="AG100" i="30"/>
  <c r="AQ100" i="30" s="1"/>
  <c r="AH100" i="30"/>
  <c r="AR100" i="30" s="1"/>
  <c r="AJ100" i="30"/>
  <c r="AT100" i="30" s="1"/>
  <c r="AI100" i="30"/>
  <c r="AS100" i="30" s="1"/>
  <c r="AH63" i="30"/>
  <c r="AR63" i="30" s="1"/>
  <c r="AG63" i="30"/>
  <c r="AQ63" i="30" s="1"/>
  <c r="AL63" i="30"/>
  <c r="AV63" i="30" s="1"/>
  <c r="AK63" i="30"/>
  <c r="AU63" i="30" s="1"/>
  <c r="AK16" i="30"/>
  <c r="AU16" i="30" s="1"/>
  <c r="AL16" i="30"/>
  <c r="AV16" i="30" s="1"/>
  <c r="AJ16" i="30"/>
  <c r="AT16" i="30" s="1"/>
  <c r="AI16" i="30"/>
  <c r="AS16" i="30" s="1"/>
  <c r="AG16" i="30"/>
  <c r="AQ16" i="30" s="1"/>
  <c r="AH16" i="30"/>
  <c r="AR16" i="30" s="1"/>
  <c r="Q57" i="24"/>
  <c r="R57" i="24" s="1"/>
  <c r="AB148" i="27"/>
  <c r="AA100" i="27"/>
  <c r="AA145" i="15"/>
  <c r="AL145" i="15"/>
  <c r="AP145" i="15" s="1"/>
  <c r="W16" i="15"/>
  <c r="AM16" i="15" s="1"/>
  <c r="AQ16" i="15" s="1"/>
  <c r="AH100" i="27"/>
  <c r="W100" i="15" s="1"/>
  <c r="AD100" i="27"/>
  <c r="S100" i="15" s="1"/>
  <c r="Y100" i="15" s="1"/>
  <c r="AE100" i="15" s="1"/>
  <c r="AE100" i="27"/>
  <c r="T100" i="15" s="1"/>
  <c r="Z100" i="15" s="1"/>
  <c r="AF100" i="15" s="1"/>
  <c r="AF100" i="27"/>
  <c r="U100" i="15" s="1"/>
  <c r="AG100" i="27"/>
  <c r="V100" i="15" s="1"/>
  <c r="AB100" i="15" s="1"/>
  <c r="AH100" i="15" s="1"/>
  <c r="AC100" i="27"/>
  <c r="R100" i="15" s="1"/>
  <c r="X100" i="15" s="1"/>
  <c r="AD100" i="15" s="1"/>
  <c r="AA62" i="27"/>
  <c r="AA193" i="27"/>
  <c r="AC99" i="27"/>
  <c r="R99" i="15" s="1"/>
  <c r="X99" i="15" s="1"/>
  <c r="AD99" i="15" s="1"/>
  <c r="AD99" i="27"/>
  <c r="S99" i="15" s="1"/>
  <c r="Y99" i="15" s="1"/>
  <c r="AE99" i="15" s="1"/>
  <c r="AE99" i="27"/>
  <c r="T99" i="15" s="1"/>
  <c r="Z99" i="15" s="1"/>
  <c r="AF99" i="15" s="1"/>
  <c r="AF99" i="27"/>
  <c r="AH99" i="27"/>
  <c r="AG99" i="27"/>
  <c r="V99" i="15" s="1"/>
  <c r="AB99" i="15" s="1"/>
  <c r="AH99" i="15" s="1"/>
  <c r="W59" i="15"/>
  <c r="AM59" i="15" s="1"/>
  <c r="AQ59" i="15" s="1"/>
  <c r="AB16" i="27"/>
  <c r="AC17" i="27"/>
  <c r="R17" i="15" s="1"/>
  <c r="X17" i="15" s="1"/>
  <c r="AD17" i="15" s="1"/>
  <c r="AD17" i="27"/>
  <c r="S17" i="15" s="1"/>
  <c r="Y17" i="15" s="1"/>
  <c r="AE17" i="15" s="1"/>
  <c r="AH17" i="27"/>
  <c r="AF17" i="27"/>
  <c r="AE17" i="27"/>
  <c r="T17" i="15" s="1"/>
  <c r="Z17" i="15" s="1"/>
  <c r="AF17" i="15" s="1"/>
  <c r="AG17" i="27"/>
  <c r="V17" i="15" s="1"/>
  <c r="AB17" i="15" s="1"/>
  <c r="AH17" i="15" s="1"/>
  <c r="X18" i="27"/>
  <c r="AA189" i="15"/>
  <c r="AL189" i="15"/>
  <c r="AP189" i="15" s="1"/>
  <c r="X101" i="27"/>
  <c r="AC145" i="15"/>
  <c r="AI145" i="15" s="1"/>
  <c r="AN145" i="15"/>
  <c r="AR145" i="15" s="1"/>
  <c r="AF191" i="27"/>
  <c r="AC191" i="27"/>
  <c r="R191" i="15" s="1"/>
  <c r="AE191" i="27"/>
  <c r="T191" i="15" s="1"/>
  <c r="Z191" i="15" s="1"/>
  <c r="AF191" i="15" s="1"/>
  <c r="AD191" i="27"/>
  <c r="S191" i="15" s="1"/>
  <c r="Y191" i="15" s="1"/>
  <c r="AE191" i="15" s="1"/>
  <c r="AG191" i="27"/>
  <c r="V191" i="15" s="1"/>
  <c r="AB191" i="15" s="1"/>
  <c r="AH191" i="15" s="1"/>
  <c r="AH191" i="27"/>
  <c r="X192" i="27"/>
  <c r="AA148" i="27"/>
  <c r="AA58" i="15"/>
  <c r="AG58" i="15" s="1"/>
  <c r="AL58" i="15"/>
  <c r="AP58" i="15" s="1"/>
  <c r="U190" i="15"/>
  <c r="AK190" i="15" s="1"/>
  <c r="AO190" i="15" s="1"/>
  <c r="AH147" i="27"/>
  <c r="W147" i="15" s="1"/>
  <c r="AD147" i="27"/>
  <c r="S147" i="15" s="1"/>
  <c r="Y147" i="15" s="1"/>
  <c r="AE147" i="15" s="1"/>
  <c r="AG147" i="27"/>
  <c r="V147" i="15" s="1"/>
  <c r="AB147" i="15" s="1"/>
  <c r="AH147" i="15" s="1"/>
  <c r="AE147" i="27"/>
  <c r="T147" i="15" s="1"/>
  <c r="Z147" i="15" s="1"/>
  <c r="AF147" i="15" s="1"/>
  <c r="AF147" i="27"/>
  <c r="U147" i="15" s="1"/>
  <c r="AC147" i="27"/>
  <c r="R147" i="15" s="1"/>
  <c r="X147" i="15" s="1"/>
  <c r="AD147" i="15" s="1"/>
  <c r="X148" i="27"/>
  <c r="AB192" i="27"/>
  <c r="AK59" i="15"/>
  <c r="AO59" i="15" s="1"/>
  <c r="AA59" i="15"/>
  <c r="AG59" i="15" s="1"/>
  <c r="AL59" i="15"/>
  <c r="AP59" i="15" s="1"/>
  <c r="X190" i="15"/>
  <c r="AD190" i="15" s="1"/>
  <c r="U146" i="15"/>
  <c r="AK146" i="15" s="1"/>
  <c r="AO146" i="15" s="1"/>
  <c r="AC58" i="15"/>
  <c r="AI58" i="15" s="1"/>
  <c r="AN58" i="15"/>
  <c r="AR58" i="15" s="1"/>
  <c r="W190" i="15"/>
  <c r="AC189" i="15"/>
  <c r="AI189" i="15" s="1"/>
  <c r="AN189" i="15"/>
  <c r="AR189" i="15" s="1"/>
  <c r="AC60" i="27"/>
  <c r="R60" i="15" s="1"/>
  <c r="AD60" i="27"/>
  <c r="S60" i="15" s="1"/>
  <c r="Y60" i="15" s="1"/>
  <c r="AE60" i="15" s="1"/>
  <c r="AH60" i="27"/>
  <c r="W60" i="15" s="1"/>
  <c r="AG60" i="27"/>
  <c r="V60" i="15" s="1"/>
  <c r="AB60" i="15" s="1"/>
  <c r="AH60" i="15" s="1"/>
  <c r="AE60" i="27"/>
  <c r="T60" i="15" s="1"/>
  <c r="Z60" i="15" s="1"/>
  <c r="AF60" i="15" s="1"/>
  <c r="AF60" i="27"/>
  <c r="U60" i="15" s="1"/>
  <c r="X61" i="27"/>
  <c r="X59" i="15"/>
  <c r="AD59" i="15" s="1"/>
  <c r="AB60" i="27"/>
  <c r="AN15" i="15"/>
  <c r="AR15" i="15" s="1"/>
  <c r="AC15" i="15"/>
  <c r="AA18" i="27"/>
  <c r="U16" i="15"/>
  <c r="AK16" i="15" s="1"/>
  <c r="AO16" i="15" s="1"/>
  <c r="AM146" i="15"/>
  <c r="AQ146" i="15" s="1"/>
  <c r="AN146" i="15"/>
  <c r="AR146" i="15" s="1"/>
  <c r="AC146" i="15"/>
  <c r="AI146" i="15" s="1"/>
  <c r="AM58" i="15"/>
  <c r="AQ58" i="15" s="1"/>
  <c r="Q188" i="24"/>
  <c r="R188" i="24" s="1"/>
  <c r="AB104" i="27"/>
  <c r="AP82" i="27"/>
  <c r="AM75" i="27"/>
  <c r="AM74" i="27"/>
  <c r="AM73" i="27"/>
  <c r="AN77" i="27"/>
  <c r="AQ92" i="27"/>
  <c r="AQ93" i="27"/>
  <c r="AO79" i="27"/>
  <c r="AQ91" i="27"/>
  <c r="AN76" i="27"/>
  <c r="AP84" i="27"/>
  <c r="AP83" i="27"/>
  <c r="AO78" i="27"/>
  <c r="AN75" i="27"/>
  <c r="AI62" i="30" l="1"/>
  <c r="AS62" i="30" s="1"/>
  <c r="AJ62" i="30"/>
  <c r="AT62" i="30" s="1"/>
  <c r="AO62" i="30"/>
  <c r="AO17" i="30"/>
  <c r="AP17" i="30"/>
  <c r="AP193" i="30"/>
  <c r="AO193" i="30"/>
  <c r="AP150" i="30"/>
  <c r="AO150" i="30"/>
  <c r="AO101" i="30"/>
  <c r="AP101" i="30"/>
  <c r="AP64" i="30"/>
  <c r="AI193" i="30"/>
  <c r="AS193" i="30" s="1"/>
  <c r="AH193" i="30"/>
  <c r="AR193" i="30" s="1"/>
  <c r="AG193" i="30"/>
  <c r="AQ193" i="30" s="1"/>
  <c r="AL193" i="30"/>
  <c r="AV193" i="30" s="1"/>
  <c r="AK193" i="30"/>
  <c r="AU193" i="30" s="1"/>
  <c r="AJ193" i="30"/>
  <c r="AT193" i="30" s="1"/>
  <c r="AK150" i="30"/>
  <c r="AU150" i="30" s="1"/>
  <c r="AL150" i="30"/>
  <c r="AV150" i="30" s="1"/>
  <c r="AJ150" i="30"/>
  <c r="AT150" i="30" s="1"/>
  <c r="AG150" i="30"/>
  <c r="AQ150" i="30" s="1"/>
  <c r="AH150" i="30"/>
  <c r="AR150" i="30" s="1"/>
  <c r="AI150" i="30"/>
  <c r="AS150" i="30" s="1"/>
  <c r="AI101" i="30"/>
  <c r="AS101" i="30" s="1"/>
  <c r="AJ101" i="30"/>
  <c r="AT101" i="30" s="1"/>
  <c r="AH101" i="30"/>
  <c r="AR101" i="30" s="1"/>
  <c r="AG101" i="30"/>
  <c r="AQ101" i="30" s="1"/>
  <c r="AK101" i="30"/>
  <c r="AU101" i="30" s="1"/>
  <c r="AL101" i="30"/>
  <c r="AV101" i="30" s="1"/>
  <c r="AL64" i="30"/>
  <c r="AV64" i="30" s="1"/>
  <c r="AK64" i="30"/>
  <c r="AU64" i="30" s="1"/>
  <c r="AG64" i="30"/>
  <c r="AQ64" i="30" s="1"/>
  <c r="AH64" i="30"/>
  <c r="AR64" i="30" s="1"/>
  <c r="AG17" i="30"/>
  <c r="AQ17" i="30" s="1"/>
  <c r="AI17" i="30"/>
  <c r="AS17" i="30" s="1"/>
  <c r="AJ17" i="30"/>
  <c r="AT17" i="30" s="1"/>
  <c r="AH17" i="30"/>
  <c r="AR17" i="30" s="1"/>
  <c r="AL17" i="30"/>
  <c r="AV17" i="30" s="1"/>
  <c r="AK17" i="30"/>
  <c r="AU17" i="30" s="1"/>
  <c r="AB149" i="27"/>
  <c r="Q58" i="24"/>
  <c r="R58" i="24" s="1"/>
  <c r="AG192" i="27"/>
  <c r="V192" i="15" s="1"/>
  <c r="AB192" i="15" s="1"/>
  <c r="AH192" i="15" s="1"/>
  <c r="AE192" i="27"/>
  <c r="T192" i="15" s="1"/>
  <c r="Z192" i="15" s="1"/>
  <c r="AF192" i="15" s="1"/>
  <c r="AD192" i="27"/>
  <c r="S192" i="15" s="1"/>
  <c r="Y192" i="15" s="1"/>
  <c r="AE192" i="15" s="1"/>
  <c r="AF192" i="27"/>
  <c r="U192" i="15" s="1"/>
  <c r="AC192" i="27"/>
  <c r="R192" i="15" s="1"/>
  <c r="AH192" i="27"/>
  <c r="X193" i="27"/>
  <c r="U191" i="15"/>
  <c r="AK191" i="15" s="1"/>
  <c r="AO191" i="15" s="1"/>
  <c r="AG18" i="27"/>
  <c r="V18" i="15" s="1"/>
  <c r="AB18" i="15" s="1"/>
  <c r="AH18" i="15" s="1"/>
  <c r="AE18" i="27"/>
  <c r="T18" i="15" s="1"/>
  <c r="Z18" i="15" s="1"/>
  <c r="AF18" i="15" s="1"/>
  <c r="AH18" i="27"/>
  <c r="W18" i="15" s="1"/>
  <c r="AF18" i="27"/>
  <c r="U18" i="15" s="1"/>
  <c r="AD18" i="27"/>
  <c r="S18" i="15" s="1"/>
  <c r="Y18" i="15" s="1"/>
  <c r="AE18" i="15" s="1"/>
  <c r="AC18" i="27"/>
  <c r="R18" i="15" s="1"/>
  <c r="X18" i="15" s="1"/>
  <c r="AD18" i="15" s="1"/>
  <c r="X19" i="27"/>
  <c r="W99" i="15"/>
  <c r="AM99" i="15" s="1"/>
  <c r="AQ99" i="15" s="1"/>
  <c r="AG145" i="15"/>
  <c r="Q145" i="24"/>
  <c r="R145" i="24" s="1"/>
  <c r="AG189" i="15"/>
  <c r="Q189" i="24"/>
  <c r="R189" i="24" s="1"/>
  <c r="AA190" i="15"/>
  <c r="AG190" i="15" s="1"/>
  <c r="AL190" i="15"/>
  <c r="AP190" i="15" s="1"/>
  <c r="W191" i="15"/>
  <c r="AM191" i="15" s="1"/>
  <c r="AQ191" i="15" s="1"/>
  <c r="U99" i="15"/>
  <c r="AK99" i="15" s="1"/>
  <c r="AO99" i="15" s="1"/>
  <c r="AA63" i="27"/>
  <c r="X60" i="15"/>
  <c r="AD60" i="15" s="1"/>
  <c r="AA194" i="27"/>
  <c r="AK100" i="15"/>
  <c r="AO100" i="15" s="1"/>
  <c r="AA100" i="15"/>
  <c r="AG100" i="15" s="1"/>
  <c r="AL100" i="15"/>
  <c r="AP100" i="15" s="1"/>
  <c r="AB105" i="27"/>
  <c r="AB61" i="27"/>
  <c r="AL146" i="15"/>
  <c r="AP146" i="15" s="1"/>
  <c r="AA146" i="15"/>
  <c r="AB193" i="27"/>
  <c r="AB17" i="27"/>
  <c r="AM100" i="15"/>
  <c r="AQ100" i="15" s="1"/>
  <c r="AN100" i="15"/>
  <c r="AR100" i="15" s="1"/>
  <c r="AC100" i="15"/>
  <c r="AI100" i="15" s="1"/>
  <c r="AF61" i="27"/>
  <c r="AH61" i="27"/>
  <c r="AD61" i="27"/>
  <c r="S61" i="15" s="1"/>
  <c r="Y61" i="15" s="1"/>
  <c r="AE61" i="15" s="1"/>
  <c r="AG61" i="27"/>
  <c r="V61" i="15" s="1"/>
  <c r="AB61" i="15" s="1"/>
  <c r="AH61" i="15" s="1"/>
  <c r="AE61" i="27"/>
  <c r="T61" i="15" s="1"/>
  <c r="Z61" i="15" s="1"/>
  <c r="AF61" i="15" s="1"/>
  <c r="AC61" i="27"/>
  <c r="R61" i="15" s="1"/>
  <c r="X62" i="27"/>
  <c r="AK147" i="15"/>
  <c r="AO147" i="15" s="1"/>
  <c r="AL147" i="15"/>
  <c r="AP147" i="15" s="1"/>
  <c r="AA147" i="15"/>
  <c r="AG147" i="15" s="1"/>
  <c r="X191" i="15"/>
  <c r="AD191" i="15" s="1"/>
  <c r="AI15" i="15"/>
  <c r="Q15" i="24"/>
  <c r="R15" i="24" s="1"/>
  <c r="AA16" i="15"/>
  <c r="AG16" i="15" s="1"/>
  <c r="AL16" i="15"/>
  <c r="AP16" i="15" s="1"/>
  <c r="AM60" i="15"/>
  <c r="AQ60" i="15" s="1"/>
  <c r="AC60" i="15"/>
  <c r="AI60" i="15" s="1"/>
  <c r="AN60" i="15"/>
  <c r="AR60" i="15" s="1"/>
  <c r="AM190" i="15"/>
  <c r="AQ190" i="15" s="1"/>
  <c r="AG148" i="27"/>
  <c r="V148" i="15" s="1"/>
  <c r="AB148" i="15" s="1"/>
  <c r="AH148" i="15" s="1"/>
  <c r="AC148" i="27"/>
  <c r="R148" i="15" s="1"/>
  <c r="X148" i="15" s="1"/>
  <c r="AD148" i="15" s="1"/>
  <c r="AE148" i="27"/>
  <c r="T148" i="15" s="1"/>
  <c r="Z148" i="15" s="1"/>
  <c r="AF148" i="15" s="1"/>
  <c r="AD148" i="27"/>
  <c r="S148" i="15" s="1"/>
  <c r="Y148" i="15" s="1"/>
  <c r="AE148" i="15" s="1"/>
  <c r="AH148" i="27"/>
  <c r="AF148" i="27"/>
  <c r="U148" i="15" s="1"/>
  <c r="X149" i="27"/>
  <c r="AM147" i="15"/>
  <c r="AQ147" i="15" s="1"/>
  <c r="AC147" i="15"/>
  <c r="AI147" i="15" s="1"/>
  <c r="AN147" i="15"/>
  <c r="AR147" i="15" s="1"/>
  <c r="AD101" i="27"/>
  <c r="S101" i="15" s="1"/>
  <c r="Y101" i="15" s="1"/>
  <c r="AE101" i="15" s="1"/>
  <c r="AE101" i="27"/>
  <c r="T101" i="15" s="1"/>
  <c r="Z101" i="15" s="1"/>
  <c r="AF101" i="15" s="1"/>
  <c r="AF101" i="27"/>
  <c r="AG101" i="27"/>
  <c r="V101" i="15" s="1"/>
  <c r="AB101" i="15" s="1"/>
  <c r="AH101" i="15" s="1"/>
  <c r="AH101" i="27"/>
  <c r="AC101" i="27"/>
  <c r="R101" i="15" s="1"/>
  <c r="X101" i="15" s="1"/>
  <c r="AD101" i="15" s="1"/>
  <c r="X102" i="27"/>
  <c r="U17" i="15"/>
  <c r="AK17" i="15" s="1"/>
  <c r="AO17" i="15" s="1"/>
  <c r="AA101" i="27"/>
  <c r="AK60" i="15"/>
  <c r="AO60" i="15" s="1"/>
  <c r="AL60" i="15"/>
  <c r="AP60" i="15" s="1"/>
  <c r="AA60" i="15"/>
  <c r="AG60" i="15" s="1"/>
  <c r="AA19" i="27"/>
  <c r="AC190" i="15"/>
  <c r="AI190" i="15" s="1"/>
  <c r="AN190" i="15"/>
  <c r="AR190" i="15" s="1"/>
  <c r="AA149" i="27"/>
  <c r="W17" i="15"/>
  <c r="AN59" i="15"/>
  <c r="AR59" i="15" s="1"/>
  <c r="AC59" i="15"/>
  <c r="AI59" i="15" s="1"/>
  <c r="AC16" i="15"/>
  <c r="AI16" i="15" s="1"/>
  <c r="AN16" i="15"/>
  <c r="AR16" i="15" s="1"/>
  <c r="AQ95" i="27"/>
  <c r="AO81" i="27"/>
  <c r="AO80" i="27"/>
  <c r="AO82" i="27"/>
  <c r="AP86" i="27"/>
  <c r="AP85" i="27"/>
  <c r="AM76" i="27"/>
  <c r="AQ94" i="27"/>
  <c r="AN79" i="27"/>
  <c r="AN78" i="27"/>
  <c r="AM77" i="27"/>
  <c r="AO63" i="30" l="1"/>
  <c r="AI63" i="30"/>
  <c r="AS63" i="30" s="1"/>
  <c r="AJ63" i="30"/>
  <c r="AT63" i="30" s="1"/>
  <c r="AO18" i="30"/>
  <c r="AP18" i="30"/>
  <c r="AO194" i="30"/>
  <c r="AP194" i="30"/>
  <c r="AO151" i="30"/>
  <c r="AP151" i="30"/>
  <c r="AP102" i="30"/>
  <c r="AO102" i="30"/>
  <c r="AP65" i="30"/>
  <c r="AJ194" i="30"/>
  <c r="AT194" i="30" s="1"/>
  <c r="AL194" i="30"/>
  <c r="AV194" i="30" s="1"/>
  <c r="AK194" i="30"/>
  <c r="AU194" i="30" s="1"/>
  <c r="AG194" i="30"/>
  <c r="AQ194" i="30" s="1"/>
  <c r="AH194" i="30"/>
  <c r="AR194" i="30" s="1"/>
  <c r="AI194" i="30"/>
  <c r="AS194" i="30" s="1"/>
  <c r="AI151" i="30"/>
  <c r="AS151" i="30" s="1"/>
  <c r="AH151" i="30"/>
  <c r="AR151" i="30" s="1"/>
  <c r="AG151" i="30"/>
  <c r="AQ151" i="30" s="1"/>
  <c r="AJ151" i="30"/>
  <c r="AT151" i="30" s="1"/>
  <c r="AK151" i="30"/>
  <c r="AU151" i="30" s="1"/>
  <c r="AL151" i="30"/>
  <c r="AV151" i="30" s="1"/>
  <c r="AL102" i="30"/>
  <c r="AV102" i="30" s="1"/>
  <c r="AK102" i="30"/>
  <c r="AU102" i="30" s="1"/>
  <c r="AG102" i="30"/>
  <c r="AQ102" i="30" s="1"/>
  <c r="AH102" i="30"/>
  <c r="AR102" i="30" s="1"/>
  <c r="AJ102" i="30"/>
  <c r="AT102" i="30" s="1"/>
  <c r="AI102" i="30"/>
  <c r="AS102" i="30" s="1"/>
  <c r="AH65" i="30"/>
  <c r="AR65" i="30" s="1"/>
  <c r="AG65" i="30"/>
  <c r="AQ65" i="30" s="1"/>
  <c r="AL65" i="30"/>
  <c r="AV65" i="30" s="1"/>
  <c r="AK65" i="30"/>
  <c r="AU65" i="30" s="1"/>
  <c r="AK18" i="30"/>
  <c r="AU18" i="30" s="1"/>
  <c r="AL18" i="30"/>
  <c r="AV18" i="30" s="1"/>
  <c r="AH18" i="30"/>
  <c r="AR18" i="30" s="1"/>
  <c r="AJ18" i="30"/>
  <c r="AT18" i="30" s="1"/>
  <c r="AI18" i="30"/>
  <c r="AS18" i="30" s="1"/>
  <c r="AG18" i="30"/>
  <c r="AQ18" i="30" s="1"/>
  <c r="AB150" i="27"/>
  <c r="Q100" i="24"/>
  <c r="R100" i="24" s="1"/>
  <c r="AA102" i="27"/>
  <c r="AM18" i="15"/>
  <c r="AQ18" i="15" s="1"/>
  <c r="AC18" i="15"/>
  <c r="AI18" i="15" s="1"/>
  <c r="AN18" i="15"/>
  <c r="AR18" i="15" s="1"/>
  <c r="W192" i="15"/>
  <c r="AM192" i="15" s="1"/>
  <c r="AQ192" i="15" s="1"/>
  <c r="AA150" i="27"/>
  <c r="U101" i="15"/>
  <c r="AK101" i="15" s="1"/>
  <c r="AO101" i="15" s="1"/>
  <c r="AH149" i="27"/>
  <c r="W149" i="15" s="1"/>
  <c r="AG149" i="27"/>
  <c r="V149" i="15" s="1"/>
  <c r="AB149" i="15" s="1"/>
  <c r="AH149" i="15" s="1"/>
  <c r="AC149" i="27"/>
  <c r="R149" i="15" s="1"/>
  <c r="X149" i="15" s="1"/>
  <c r="AD149" i="15" s="1"/>
  <c r="AD149" i="27"/>
  <c r="S149" i="15" s="1"/>
  <c r="Y149" i="15" s="1"/>
  <c r="AE149" i="15" s="1"/>
  <c r="AF149" i="27"/>
  <c r="U149" i="15" s="1"/>
  <c r="AE149" i="27"/>
  <c r="T149" i="15" s="1"/>
  <c r="Z149" i="15" s="1"/>
  <c r="AF149" i="15" s="1"/>
  <c r="X150" i="27"/>
  <c r="AB62" i="27"/>
  <c r="AE19" i="27"/>
  <c r="T19" i="15" s="1"/>
  <c r="Z19" i="15" s="1"/>
  <c r="AF19" i="15" s="1"/>
  <c r="AG19" i="27"/>
  <c r="V19" i="15" s="1"/>
  <c r="AB19" i="15" s="1"/>
  <c r="AH19" i="15" s="1"/>
  <c r="AD19" i="27"/>
  <c r="S19" i="15" s="1"/>
  <c r="Y19" i="15" s="1"/>
  <c r="AE19" i="15" s="1"/>
  <c r="AC19" i="27"/>
  <c r="R19" i="15" s="1"/>
  <c r="X19" i="15" s="1"/>
  <c r="AD19" i="15" s="1"/>
  <c r="AH19" i="27"/>
  <c r="AF19" i="27"/>
  <c r="X20" i="27"/>
  <c r="AK192" i="15"/>
  <c r="AO192" i="15" s="1"/>
  <c r="AL192" i="15"/>
  <c r="AP192" i="15" s="1"/>
  <c r="AA192" i="15"/>
  <c r="AG192" i="15" s="1"/>
  <c r="Q190" i="24"/>
  <c r="R190" i="24" s="1"/>
  <c r="AK148" i="15"/>
  <c r="AO148" i="15" s="1"/>
  <c r="AL148" i="15"/>
  <c r="AP148" i="15" s="1"/>
  <c r="AA148" i="15"/>
  <c r="AG148" i="15" s="1"/>
  <c r="AB106" i="27"/>
  <c r="AF102" i="27"/>
  <c r="AD102" i="27"/>
  <c r="S102" i="15" s="1"/>
  <c r="Y102" i="15" s="1"/>
  <c r="AE102" i="15" s="1"/>
  <c r="AG102" i="27"/>
  <c r="V102" i="15" s="1"/>
  <c r="AB102" i="15" s="1"/>
  <c r="AH102" i="15" s="1"/>
  <c r="AH102" i="27"/>
  <c r="AE102" i="27"/>
  <c r="T102" i="15" s="1"/>
  <c r="Z102" i="15" s="1"/>
  <c r="AF102" i="15" s="1"/>
  <c r="AC102" i="27"/>
  <c r="R102" i="15" s="1"/>
  <c r="X102" i="15" s="1"/>
  <c r="AD102" i="15" s="1"/>
  <c r="X103" i="27"/>
  <c r="W148" i="15"/>
  <c r="AM148" i="15" s="1"/>
  <c r="AQ148" i="15" s="1"/>
  <c r="W61" i="15"/>
  <c r="AM61" i="15" s="1"/>
  <c r="AQ61" i="15" s="1"/>
  <c r="AB18" i="27"/>
  <c r="AA191" i="15"/>
  <c r="AL191" i="15"/>
  <c r="AP191" i="15" s="1"/>
  <c r="AL17" i="15"/>
  <c r="AP17" i="15" s="1"/>
  <c r="AA17" i="15"/>
  <c r="AG17" i="15" s="1"/>
  <c r="Q60" i="24"/>
  <c r="R60" i="24" s="1"/>
  <c r="AL99" i="15"/>
  <c r="AP99" i="15" s="1"/>
  <c r="AA99" i="15"/>
  <c r="AC62" i="27"/>
  <c r="R62" i="15" s="1"/>
  <c r="AF62" i="27"/>
  <c r="AG62" i="27"/>
  <c r="V62" i="15" s="1"/>
  <c r="AB62" i="15" s="1"/>
  <c r="AH62" i="15" s="1"/>
  <c r="AE62" i="27"/>
  <c r="T62" i="15" s="1"/>
  <c r="Z62" i="15" s="1"/>
  <c r="AF62" i="15" s="1"/>
  <c r="AD62" i="27"/>
  <c r="S62" i="15" s="1"/>
  <c r="Y62" i="15" s="1"/>
  <c r="AE62" i="15" s="1"/>
  <c r="AH62" i="27"/>
  <c r="X63" i="27"/>
  <c r="U61" i="15"/>
  <c r="AK61" i="15" s="1"/>
  <c r="AO61" i="15" s="1"/>
  <c r="AB194" i="27"/>
  <c r="AC191" i="15"/>
  <c r="AI191" i="15" s="1"/>
  <c r="AN191" i="15"/>
  <c r="AR191" i="15" s="1"/>
  <c r="AK18" i="15"/>
  <c r="AO18" i="15" s="1"/>
  <c r="AA18" i="15"/>
  <c r="AG18" i="15" s="1"/>
  <c r="AL18" i="15"/>
  <c r="AP18" i="15" s="1"/>
  <c r="AC193" i="27"/>
  <c r="R193" i="15" s="1"/>
  <c r="AH193" i="27"/>
  <c r="AG193" i="27"/>
  <c r="V193" i="15" s="1"/>
  <c r="AB193" i="15" s="1"/>
  <c r="AH193" i="15" s="1"/>
  <c r="AF193" i="27"/>
  <c r="U193" i="15" s="1"/>
  <c r="AE193" i="27"/>
  <c r="T193" i="15" s="1"/>
  <c r="Z193" i="15" s="1"/>
  <c r="AF193" i="15" s="1"/>
  <c r="AD193" i="27"/>
  <c r="S193" i="15" s="1"/>
  <c r="Y193" i="15" s="1"/>
  <c r="AE193" i="15" s="1"/>
  <c r="X194" i="27"/>
  <c r="AN17" i="15"/>
  <c r="AR17" i="15" s="1"/>
  <c r="AC17" i="15"/>
  <c r="AI17" i="15" s="1"/>
  <c r="W101" i="15"/>
  <c r="AM101" i="15" s="1"/>
  <c r="AQ101" i="15" s="1"/>
  <c r="X61" i="15"/>
  <c r="AD61" i="15" s="1"/>
  <c r="AG146" i="15"/>
  <c r="Q146" i="24"/>
  <c r="R146" i="24" s="1"/>
  <c r="AA64" i="27"/>
  <c r="Q16" i="24"/>
  <c r="R16" i="24" s="1"/>
  <c r="AM17" i="15"/>
  <c r="AQ17" i="15" s="1"/>
  <c r="AA20" i="27"/>
  <c r="Q59" i="24"/>
  <c r="R59" i="24" s="1"/>
  <c r="AA195" i="27"/>
  <c r="AC99" i="15"/>
  <c r="AI99" i="15" s="1"/>
  <c r="AN99" i="15"/>
  <c r="AR99" i="15" s="1"/>
  <c r="X192" i="15"/>
  <c r="AD192" i="15" s="1"/>
  <c r="Q147" i="24"/>
  <c r="R147" i="24" s="1"/>
  <c r="AP88" i="27"/>
  <c r="AM78" i="27"/>
  <c r="AQ96" i="27"/>
  <c r="AN80" i="27"/>
  <c r="AM79" i="27"/>
  <c r="AO83" i="27"/>
  <c r="AO84" i="27"/>
  <c r="AQ97" i="27"/>
  <c r="AN81" i="27"/>
  <c r="AP87" i="27"/>
  <c r="AI64" i="30" l="1"/>
  <c r="AS64" i="30" s="1"/>
  <c r="AJ64" i="30"/>
  <c r="AT64" i="30" s="1"/>
  <c r="AO64" i="30"/>
  <c r="AO19" i="30"/>
  <c r="AP19" i="30"/>
  <c r="AP195" i="30"/>
  <c r="AO195" i="30"/>
  <c r="AP152" i="30"/>
  <c r="AO152" i="30"/>
  <c r="AO103" i="30"/>
  <c r="AP103" i="30"/>
  <c r="AP66" i="30"/>
  <c r="AO20" i="30"/>
  <c r="AI195" i="30"/>
  <c r="AS195" i="30" s="1"/>
  <c r="AH195" i="30"/>
  <c r="AR195" i="30" s="1"/>
  <c r="AG195" i="30"/>
  <c r="AQ195" i="30" s="1"/>
  <c r="AL195" i="30"/>
  <c r="AV195" i="30" s="1"/>
  <c r="AK195" i="30"/>
  <c r="AU195" i="30" s="1"/>
  <c r="AJ195" i="30"/>
  <c r="AT195" i="30" s="1"/>
  <c r="AL152" i="30"/>
  <c r="AV152" i="30" s="1"/>
  <c r="AK152" i="30"/>
  <c r="AU152" i="30" s="1"/>
  <c r="AJ152" i="30"/>
  <c r="AT152" i="30" s="1"/>
  <c r="AG152" i="30"/>
  <c r="AQ152" i="30" s="1"/>
  <c r="AH152" i="30"/>
  <c r="AR152" i="30" s="1"/>
  <c r="AI152" i="30"/>
  <c r="AS152" i="30" s="1"/>
  <c r="AI103" i="30"/>
  <c r="AS103" i="30" s="1"/>
  <c r="AJ103" i="30"/>
  <c r="AT103" i="30" s="1"/>
  <c r="AH103" i="30"/>
  <c r="AR103" i="30" s="1"/>
  <c r="AG103" i="30"/>
  <c r="AQ103" i="30" s="1"/>
  <c r="AL103" i="30"/>
  <c r="AV103" i="30" s="1"/>
  <c r="AK103" i="30"/>
  <c r="AU103" i="30" s="1"/>
  <c r="AL66" i="30"/>
  <c r="AV66" i="30" s="1"/>
  <c r="AK66" i="30"/>
  <c r="AU66" i="30" s="1"/>
  <c r="AG66" i="30"/>
  <c r="AQ66" i="30" s="1"/>
  <c r="AH66" i="30"/>
  <c r="AR66" i="30" s="1"/>
  <c r="AI19" i="30"/>
  <c r="AS19" i="30" s="1"/>
  <c r="AJ19" i="30"/>
  <c r="AT19" i="30" s="1"/>
  <c r="AH19" i="30"/>
  <c r="AR19" i="30" s="1"/>
  <c r="AG19" i="30"/>
  <c r="AQ19" i="30" s="1"/>
  <c r="AK19" i="30"/>
  <c r="AU19" i="30" s="1"/>
  <c r="AL19" i="30"/>
  <c r="AV19" i="30" s="1"/>
  <c r="AB151" i="27"/>
  <c r="AA21" i="27"/>
  <c r="W62" i="15"/>
  <c r="AM62" i="15" s="1"/>
  <c r="AQ62" i="15" s="1"/>
  <c r="AG99" i="15"/>
  <c r="Q99" i="24"/>
  <c r="R99" i="24" s="1"/>
  <c r="Q18" i="24"/>
  <c r="R18" i="24" s="1"/>
  <c r="AC194" i="27"/>
  <c r="R194" i="15" s="1"/>
  <c r="AF194" i="27"/>
  <c r="AH194" i="27"/>
  <c r="W194" i="15" s="1"/>
  <c r="AG194" i="27"/>
  <c r="V194" i="15" s="1"/>
  <c r="AB194" i="15" s="1"/>
  <c r="AH194" i="15" s="1"/>
  <c r="AD194" i="27"/>
  <c r="S194" i="15" s="1"/>
  <c r="Y194" i="15" s="1"/>
  <c r="AE194" i="15" s="1"/>
  <c r="AE194" i="27"/>
  <c r="T194" i="15" s="1"/>
  <c r="Z194" i="15" s="1"/>
  <c r="AF194" i="15" s="1"/>
  <c r="X195" i="27"/>
  <c r="AB195" i="27"/>
  <c r="AE103" i="27"/>
  <c r="T103" i="15" s="1"/>
  <c r="Z103" i="15" s="1"/>
  <c r="AF103" i="15" s="1"/>
  <c r="AD103" i="27"/>
  <c r="S103" i="15" s="1"/>
  <c r="Y103" i="15" s="1"/>
  <c r="AE103" i="15" s="1"/>
  <c r="AH103" i="27"/>
  <c r="AF103" i="27"/>
  <c r="AG103" i="27"/>
  <c r="V103" i="15" s="1"/>
  <c r="AB103" i="15" s="1"/>
  <c r="AH103" i="15" s="1"/>
  <c r="AC103" i="27"/>
  <c r="R103" i="15" s="1"/>
  <c r="X103" i="15" s="1"/>
  <c r="AD103" i="15" s="1"/>
  <c r="X104" i="27"/>
  <c r="U19" i="15"/>
  <c r="AK19" i="15" s="1"/>
  <c r="AO19" i="15" s="1"/>
  <c r="AA103" i="27"/>
  <c r="W193" i="15"/>
  <c r="AM193" i="15" s="1"/>
  <c r="AQ193" i="15" s="1"/>
  <c r="AC148" i="15"/>
  <c r="AI148" i="15" s="1"/>
  <c r="AN148" i="15"/>
  <c r="AR148" i="15" s="1"/>
  <c r="AD20" i="27"/>
  <c r="S20" i="15" s="1"/>
  <c r="Y20" i="15" s="1"/>
  <c r="AE20" i="15" s="1"/>
  <c r="AH20" i="27"/>
  <c r="AF20" i="27"/>
  <c r="AG20" i="27"/>
  <c r="V20" i="15" s="1"/>
  <c r="AB20" i="15" s="1"/>
  <c r="AH20" i="15" s="1"/>
  <c r="AC20" i="27"/>
  <c r="R20" i="15" s="1"/>
  <c r="X20" i="15" s="1"/>
  <c r="AD20" i="15" s="1"/>
  <c r="AE20" i="27"/>
  <c r="T20" i="15" s="1"/>
  <c r="Z20" i="15" s="1"/>
  <c r="AF20" i="15" s="1"/>
  <c r="X21" i="27"/>
  <c r="AA151" i="27"/>
  <c r="AB63" i="27"/>
  <c r="Q17" i="24"/>
  <c r="R17" i="24" s="1"/>
  <c r="AB19" i="27"/>
  <c r="W19" i="15"/>
  <c r="AM19" i="15" s="1"/>
  <c r="AQ19" i="15" s="1"/>
  <c r="AD150" i="27"/>
  <c r="S150" i="15" s="1"/>
  <c r="Y150" i="15" s="1"/>
  <c r="AE150" i="15" s="1"/>
  <c r="AE150" i="27"/>
  <c r="T150" i="15" s="1"/>
  <c r="Z150" i="15" s="1"/>
  <c r="AF150" i="15" s="1"/>
  <c r="AC150" i="27"/>
  <c r="R150" i="15" s="1"/>
  <c r="X150" i="15" s="1"/>
  <c r="AD150" i="15" s="1"/>
  <c r="AG150" i="27"/>
  <c r="V150" i="15" s="1"/>
  <c r="AB150" i="15" s="1"/>
  <c r="AH150" i="15" s="1"/>
  <c r="AF150" i="27"/>
  <c r="U150" i="15" s="1"/>
  <c r="AH150" i="27"/>
  <c r="X151" i="27"/>
  <c r="AM149" i="15"/>
  <c r="AQ149" i="15" s="1"/>
  <c r="AN149" i="15"/>
  <c r="AR149" i="15" s="1"/>
  <c r="AC149" i="15"/>
  <c r="AI149" i="15" s="1"/>
  <c r="U102" i="15"/>
  <c r="AK102" i="15" s="1"/>
  <c r="AO102" i="15" s="1"/>
  <c r="AA65" i="27"/>
  <c r="AL61" i="15"/>
  <c r="AP61" i="15" s="1"/>
  <c r="AA61" i="15"/>
  <c r="U62" i="15"/>
  <c r="AK62" i="15" s="1"/>
  <c r="AO62" i="15" s="1"/>
  <c r="AB107" i="27"/>
  <c r="AC192" i="15"/>
  <c r="AI192" i="15" s="1"/>
  <c r="AN192" i="15"/>
  <c r="AR192" i="15" s="1"/>
  <c r="X193" i="15"/>
  <c r="AD193" i="15" s="1"/>
  <c r="AG191" i="15"/>
  <c r="Q191" i="24"/>
  <c r="R191" i="24" s="1"/>
  <c r="AA196" i="27"/>
  <c r="Q192" i="24"/>
  <c r="R192" i="24" s="1"/>
  <c r="AC101" i="15"/>
  <c r="AI101" i="15" s="1"/>
  <c r="AN101" i="15"/>
  <c r="AR101" i="15" s="1"/>
  <c r="AK193" i="15"/>
  <c r="AO193" i="15" s="1"/>
  <c r="AA193" i="15"/>
  <c r="AG193" i="15" s="1"/>
  <c r="AL193" i="15"/>
  <c r="AP193" i="15" s="1"/>
  <c r="AC63" i="27"/>
  <c r="R63" i="15" s="1"/>
  <c r="AH63" i="27"/>
  <c r="W63" i="15" s="1"/>
  <c r="AD63" i="27"/>
  <c r="S63" i="15" s="1"/>
  <c r="Y63" i="15" s="1"/>
  <c r="AE63" i="15" s="1"/>
  <c r="AF63" i="27"/>
  <c r="U63" i="15" s="1"/>
  <c r="AE63" i="27"/>
  <c r="T63" i="15" s="1"/>
  <c r="Z63" i="15" s="1"/>
  <c r="AF63" i="15" s="1"/>
  <c r="AG63" i="27"/>
  <c r="V63" i="15" s="1"/>
  <c r="AB63" i="15" s="1"/>
  <c r="AH63" i="15" s="1"/>
  <c r="X64" i="27"/>
  <c r="X62" i="15"/>
  <c r="AD62" i="15" s="1"/>
  <c r="AC61" i="15"/>
  <c r="AI61" i="15" s="1"/>
  <c r="AN61" i="15"/>
  <c r="AR61" i="15" s="1"/>
  <c r="W102" i="15"/>
  <c r="AM102" i="15" s="1"/>
  <c r="AQ102" i="15" s="1"/>
  <c r="AK149" i="15"/>
  <c r="AO149" i="15" s="1"/>
  <c r="AL149" i="15"/>
  <c r="AP149" i="15" s="1"/>
  <c r="AA149" i="15"/>
  <c r="AA101" i="15"/>
  <c r="AG101" i="15" s="1"/>
  <c r="AL101" i="15"/>
  <c r="AP101" i="15" s="1"/>
  <c r="AP91" i="27"/>
  <c r="AQ98" i="27"/>
  <c r="AN82" i="27"/>
  <c r="AM80" i="27"/>
  <c r="AN83" i="27"/>
  <c r="AQ99" i="27"/>
  <c r="AM82" i="27"/>
  <c r="AQ100" i="27"/>
  <c r="AN84" i="27"/>
  <c r="AO85" i="27"/>
  <c r="AQ101" i="27"/>
  <c r="AP89" i="27"/>
  <c r="AO86" i="27"/>
  <c r="AP90" i="27"/>
  <c r="AO87" i="27"/>
  <c r="AM81" i="27"/>
  <c r="AO65" i="30" l="1"/>
  <c r="AJ65" i="30"/>
  <c r="AT65" i="30" s="1"/>
  <c r="AI65" i="30"/>
  <c r="AS65" i="30" s="1"/>
  <c r="AP20" i="30"/>
  <c r="AO196" i="30"/>
  <c r="AP196" i="30"/>
  <c r="AO153" i="30"/>
  <c r="AP153" i="30"/>
  <c r="AP104" i="30"/>
  <c r="AO104" i="30"/>
  <c r="AP67" i="30"/>
  <c r="AO21" i="30"/>
  <c r="AJ196" i="30"/>
  <c r="AT196" i="30" s="1"/>
  <c r="AL196" i="30"/>
  <c r="AV196" i="30" s="1"/>
  <c r="AK196" i="30"/>
  <c r="AU196" i="30" s="1"/>
  <c r="AG196" i="30"/>
  <c r="AQ196" i="30" s="1"/>
  <c r="AH196" i="30"/>
  <c r="AR196" i="30" s="1"/>
  <c r="AI196" i="30"/>
  <c r="AS196" i="30" s="1"/>
  <c r="AI153" i="30"/>
  <c r="AS153" i="30" s="1"/>
  <c r="AH153" i="30"/>
  <c r="AR153" i="30" s="1"/>
  <c r="AG153" i="30"/>
  <c r="AQ153" i="30" s="1"/>
  <c r="AJ153" i="30"/>
  <c r="AT153" i="30" s="1"/>
  <c r="AK153" i="30"/>
  <c r="AU153" i="30" s="1"/>
  <c r="AL153" i="30"/>
  <c r="AV153" i="30" s="1"/>
  <c r="AK104" i="30"/>
  <c r="AU104" i="30" s="1"/>
  <c r="AL104" i="30"/>
  <c r="AV104" i="30" s="1"/>
  <c r="AG104" i="30"/>
  <c r="AQ104" i="30" s="1"/>
  <c r="AH104" i="30"/>
  <c r="AR104" i="30" s="1"/>
  <c r="AJ104" i="30"/>
  <c r="AT104" i="30" s="1"/>
  <c r="AI104" i="30"/>
  <c r="AS104" i="30" s="1"/>
  <c r="AH67" i="30"/>
  <c r="AR67" i="30" s="1"/>
  <c r="AG67" i="30"/>
  <c r="AQ67" i="30" s="1"/>
  <c r="AL67" i="30"/>
  <c r="AV67" i="30" s="1"/>
  <c r="AK67" i="30"/>
  <c r="AU67" i="30" s="1"/>
  <c r="AK20" i="30"/>
  <c r="AU20" i="30" s="1"/>
  <c r="AL20" i="30"/>
  <c r="AV20" i="30" s="1"/>
  <c r="AG20" i="30"/>
  <c r="AQ20" i="30" s="1"/>
  <c r="AH20" i="30"/>
  <c r="AR20" i="30" s="1"/>
  <c r="AJ20" i="30"/>
  <c r="AT20" i="30" s="1"/>
  <c r="AI20" i="30"/>
  <c r="AS20" i="30" s="1"/>
  <c r="Q148" i="24"/>
  <c r="R148" i="24" s="1"/>
  <c r="AB152" i="27"/>
  <c r="AF64" i="27"/>
  <c r="U64" i="15" s="1"/>
  <c r="AD64" i="27"/>
  <c r="S64" i="15" s="1"/>
  <c r="Y64" i="15" s="1"/>
  <c r="AE64" i="15" s="1"/>
  <c r="AE64" i="27"/>
  <c r="T64" i="15" s="1"/>
  <c r="Z64" i="15" s="1"/>
  <c r="AF64" i="15" s="1"/>
  <c r="AC64" i="27"/>
  <c r="R64" i="15" s="1"/>
  <c r="AG64" i="27"/>
  <c r="V64" i="15" s="1"/>
  <c r="AB64" i="15" s="1"/>
  <c r="AH64" i="15" s="1"/>
  <c r="AH64" i="27"/>
  <c r="X65" i="27"/>
  <c r="AK150" i="15"/>
  <c r="AO150" i="15" s="1"/>
  <c r="AA150" i="15"/>
  <c r="AG150" i="15" s="1"/>
  <c r="AL150" i="15"/>
  <c r="AP150" i="15" s="1"/>
  <c r="W20" i="15"/>
  <c r="AM20" i="15" s="1"/>
  <c r="AQ20" i="15" s="1"/>
  <c r="AK63" i="15"/>
  <c r="AO63" i="15" s="1"/>
  <c r="AL63" i="15"/>
  <c r="AP63" i="15" s="1"/>
  <c r="AA63" i="15"/>
  <c r="AG63" i="15" s="1"/>
  <c r="AB108" i="27"/>
  <c r="AG151" i="27"/>
  <c r="V151" i="15" s="1"/>
  <c r="AB151" i="15" s="1"/>
  <c r="AH151" i="15" s="1"/>
  <c r="AE151" i="27"/>
  <c r="T151" i="15" s="1"/>
  <c r="Z151" i="15" s="1"/>
  <c r="AF151" i="15" s="1"/>
  <c r="AD151" i="27"/>
  <c r="S151" i="15" s="1"/>
  <c r="Y151" i="15" s="1"/>
  <c r="AE151" i="15" s="1"/>
  <c r="AC151" i="27"/>
  <c r="R151" i="15" s="1"/>
  <c r="X151" i="15" s="1"/>
  <c r="AD151" i="15" s="1"/>
  <c r="AH151" i="27"/>
  <c r="W151" i="15" s="1"/>
  <c r="AF151" i="27"/>
  <c r="U151" i="15" s="1"/>
  <c r="X152" i="27"/>
  <c r="AB64" i="27"/>
  <c r="AA19" i="15"/>
  <c r="AG19" i="15" s="1"/>
  <c r="AL19" i="15"/>
  <c r="AP19" i="15" s="1"/>
  <c r="AM63" i="15"/>
  <c r="AQ63" i="15" s="1"/>
  <c r="AN63" i="15"/>
  <c r="AR63" i="15" s="1"/>
  <c r="AC63" i="15"/>
  <c r="AI63" i="15" s="1"/>
  <c r="AA62" i="15"/>
  <c r="AG62" i="15" s="1"/>
  <c r="AL62" i="15"/>
  <c r="AP62" i="15" s="1"/>
  <c r="AA102" i="15"/>
  <c r="AG102" i="15" s="1"/>
  <c r="AL102" i="15"/>
  <c r="AP102" i="15" s="1"/>
  <c r="W150" i="15"/>
  <c r="AM150" i="15" s="1"/>
  <c r="AQ150" i="15" s="1"/>
  <c r="AA152" i="27"/>
  <c r="AC104" i="27"/>
  <c r="R104" i="15" s="1"/>
  <c r="X104" i="15" s="1"/>
  <c r="AD104" i="15" s="1"/>
  <c r="AD104" i="27"/>
  <c r="S104" i="15" s="1"/>
  <c r="Y104" i="15" s="1"/>
  <c r="AE104" i="15" s="1"/>
  <c r="AE104" i="27"/>
  <c r="T104" i="15" s="1"/>
  <c r="Z104" i="15" s="1"/>
  <c r="AF104" i="15" s="1"/>
  <c r="AF104" i="27"/>
  <c r="AH104" i="27"/>
  <c r="AG104" i="27"/>
  <c r="V104" i="15" s="1"/>
  <c r="AB104" i="15" s="1"/>
  <c r="AH104" i="15" s="1"/>
  <c r="X105" i="27"/>
  <c r="AM194" i="15"/>
  <c r="AQ194" i="15" s="1"/>
  <c r="AC194" i="15"/>
  <c r="AI194" i="15" s="1"/>
  <c r="AN194" i="15"/>
  <c r="AR194" i="15" s="1"/>
  <c r="Q101" i="24"/>
  <c r="R101" i="24" s="1"/>
  <c r="U194" i="15"/>
  <c r="AK194" i="15" s="1"/>
  <c r="AO194" i="15" s="1"/>
  <c r="AC102" i="15"/>
  <c r="AI102" i="15" s="1"/>
  <c r="AN102" i="15"/>
  <c r="AR102" i="15" s="1"/>
  <c r="AA197" i="27"/>
  <c r="AG21" i="27"/>
  <c r="V21" i="15" s="1"/>
  <c r="AB21" i="15" s="1"/>
  <c r="AH21" i="15" s="1"/>
  <c r="AC21" i="27"/>
  <c r="R21" i="15" s="1"/>
  <c r="X21" i="15" s="1"/>
  <c r="AD21" i="15" s="1"/>
  <c r="AE21" i="27"/>
  <c r="T21" i="15" s="1"/>
  <c r="Z21" i="15" s="1"/>
  <c r="AF21" i="15" s="1"/>
  <c r="AD21" i="27"/>
  <c r="S21" i="15" s="1"/>
  <c r="Y21" i="15" s="1"/>
  <c r="AE21" i="15" s="1"/>
  <c r="AF21" i="27"/>
  <c r="U21" i="15" s="1"/>
  <c r="AH21" i="27"/>
  <c r="W21" i="15" s="1"/>
  <c r="X22" i="27"/>
  <c r="AA104" i="27"/>
  <c r="AH195" i="27"/>
  <c r="AF195" i="27"/>
  <c r="U195" i="15" s="1"/>
  <c r="AD195" i="27"/>
  <c r="S195" i="15" s="1"/>
  <c r="Y195" i="15" s="1"/>
  <c r="AE195" i="15" s="1"/>
  <c r="AG195" i="27"/>
  <c r="V195" i="15" s="1"/>
  <c r="AB195" i="15" s="1"/>
  <c r="AH195" i="15" s="1"/>
  <c r="AE195" i="27"/>
  <c r="T195" i="15" s="1"/>
  <c r="Z195" i="15" s="1"/>
  <c r="AF195" i="15" s="1"/>
  <c r="AC195" i="27"/>
  <c r="R195" i="15" s="1"/>
  <c r="X196" i="27"/>
  <c r="X194" i="15"/>
  <c r="AD194" i="15" s="1"/>
  <c r="AC62" i="15"/>
  <c r="AI62" i="15" s="1"/>
  <c r="AN62" i="15"/>
  <c r="AR62" i="15" s="1"/>
  <c r="AN193" i="15"/>
  <c r="AR193" i="15" s="1"/>
  <c r="AC193" i="15"/>
  <c r="AA66" i="27"/>
  <c r="AB20" i="27"/>
  <c r="U103" i="15"/>
  <c r="AK103" i="15" s="1"/>
  <c r="AO103" i="15" s="1"/>
  <c r="AA22" i="27"/>
  <c r="U20" i="15"/>
  <c r="AK20" i="15" s="1"/>
  <c r="AO20" i="15" s="1"/>
  <c r="X63" i="15"/>
  <c r="AD63" i="15" s="1"/>
  <c r="AG61" i="15"/>
  <c r="Q61" i="24"/>
  <c r="R61" i="24" s="1"/>
  <c r="AC19" i="15"/>
  <c r="AI19" i="15" s="1"/>
  <c r="AN19" i="15"/>
  <c r="AR19" i="15" s="1"/>
  <c r="AB196" i="27"/>
  <c r="AG149" i="15"/>
  <c r="Q149" i="24"/>
  <c r="R149" i="24" s="1"/>
  <c r="W103" i="15"/>
  <c r="AO89" i="27"/>
  <c r="AO88" i="27"/>
  <c r="AP94" i="27"/>
  <c r="AM84" i="27"/>
  <c r="AQ102" i="27"/>
  <c r="AN85" i="27"/>
  <c r="AN86" i="27"/>
  <c r="AQ104" i="27"/>
  <c r="AQ103" i="27"/>
  <c r="AN87" i="27"/>
  <c r="AP92" i="27"/>
  <c r="AP93" i="27"/>
  <c r="AM83" i="27"/>
  <c r="AI66" i="30" l="1"/>
  <c r="AS66" i="30" s="1"/>
  <c r="AJ66" i="30"/>
  <c r="AT66" i="30" s="1"/>
  <c r="AO66" i="30"/>
  <c r="AP21" i="30"/>
  <c r="AP197" i="30"/>
  <c r="AO197" i="30"/>
  <c r="AP154" i="30"/>
  <c r="AO154" i="30"/>
  <c r="AO105" i="30"/>
  <c r="AP105" i="30"/>
  <c r="AP68" i="30"/>
  <c r="AO22" i="30"/>
  <c r="AP22" i="30"/>
  <c r="AI197" i="30"/>
  <c r="AS197" i="30" s="1"/>
  <c r="AH197" i="30"/>
  <c r="AR197" i="30" s="1"/>
  <c r="AG197" i="30"/>
  <c r="AQ197" i="30" s="1"/>
  <c r="AL197" i="30"/>
  <c r="AV197" i="30" s="1"/>
  <c r="AK197" i="30"/>
  <c r="AU197" i="30" s="1"/>
  <c r="AJ197" i="30"/>
  <c r="AT197" i="30" s="1"/>
  <c r="AK154" i="30"/>
  <c r="AU154" i="30" s="1"/>
  <c r="AL154" i="30"/>
  <c r="AV154" i="30" s="1"/>
  <c r="AJ154" i="30"/>
  <c r="AT154" i="30" s="1"/>
  <c r="AG154" i="30"/>
  <c r="AQ154" i="30" s="1"/>
  <c r="AH154" i="30"/>
  <c r="AR154" i="30" s="1"/>
  <c r="AI154" i="30"/>
  <c r="AS154" i="30" s="1"/>
  <c r="AI105" i="30"/>
  <c r="AS105" i="30" s="1"/>
  <c r="AJ105" i="30"/>
  <c r="AT105" i="30" s="1"/>
  <c r="AH105" i="30"/>
  <c r="AR105" i="30" s="1"/>
  <c r="AG105" i="30"/>
  <c r="AQ105" i="30" s="1"/>
  <c r="AK105" i="30"/>
  <c r="AU105" i="30" s="1"/>
  <c r="AL105" i="30"/>
  <c r="AV105" i="30" s="1"/>
  <c r="AL68" i="30"/>
  <c r="AV68" i="30" s="1"/>
  <c r="AK68" i="30"/>
  <c r="AU68" i="30" s="1"/>
  <c r="AG68" i="30"/>
  <c r="AQ68" i="30" s="1"/>
  <c r="AH68" i="30"/>
  <c r="AR68" i="30" s="1"/>
  <c r="AJ21" i="30"/>
  <c r="AT21" i="30" s="1"/>
  <c r="AH21" i="30"/>
  <c r="AR21" i="30" s="1"/>
  <c r="AG21" i="30"/>
  <c r="AQ21" i="30" s="1"/>
  <c r="AI21" i="30"/>
  <c r="AS21" i="30" s="1"/>
  <c r="AL21" i="30"/>
  <c r="AV21" i="30" s="1"/>
  <c r="AK21" i="30"/>
  <c r="AU21" i="30" s="1"/>
  <c r="Q63" i="24"/>
  <c r="R63" i="24" s="1"/>
  <c r="AB153" i="27"/>
  <c r="AA23" i="27"/>
  <c r="AM21" i="15"/>
  <c r="AQ21" i="15" s="1"/>
  <c r="AC21" i="15"/>
  <c r="AI21" i="15" s="1"/>
  <c r="AN21" i="15"/>
  <c r="AR21" i="15" s="1"/>
  <c r="AL194" i="15"/>
  <c r="AP194" i="15" s="1"/>
  <c r="AA194" i="15"/>
  <c r="AA153" i="27"/>
  <c r="Q19" i="24"/>
  <c r="R19" i="24" s="1"/>
  <c r="AM151" i="15"/>
  <c r="AQ151" i="15" s="1"/>
  <c r="AC151" i="15"/>
  <c r="AI151" i="15" s="1"/>
  <c r="AN151" i="15"/>
  <c r="AR151" i="15" s="1"/>
  <c r="AB109" i="27"/>
  <c r="X64" i="15"/>
  <c r="AD64" i="15" s="1"/>
  <c r="AB197" i="27"/>
  <c r="AI193" i="15"/>
  <c r="Q193" i="24"/>
  <c r="R193" i="24" s="1"/>
  <c r="AK195" i="15"/>
  <c r="AO195" i="15" s="1"/>
  <c r="AL195" i="15"/>
  <c r="AP195" i="15" s="1"/>
  <c r="AA195" i="15"/>
  <c r="AG195" i="15" s="1"/>
  <c r="AK21" i="15"/>
  <c r="AO21" i="15" s="1"/>
  <c r="AL21" i="15"/>
  <c r="AP21" i="15" s="1"/>
  <c r="AA21" i="15"/>
  <c r="AG21" i="15" s="1"/>
  <c r="AA198" i="27"/>
  <c r="W104" i="15"/>
  <c r="AM104" i="15" s="1"/>
  <c r="AQ104" i="15" s="1"/>
  <c r="AC152" i="27"/>
  <c r="R152" i="15" s="1"/>
  <c r="X152" i="15" s="1"/>
  <c r="AD152" i="15" s="1"/>
  <c r="AF152" i="27"/>
  <c r="U152" i="15" s="1"/>
  <c r="AG152" i="27"/>
  <c r="V152" i="15" s="1"/>
  <c r="AB152" i="15" s="1"/>
  <c r="AH152" i="15" s="1"/>
  <c r="AE152" i="27"/>
  <c r="T152" i="15" s="1"/>
  <c r="Z152" i="15" s="1"/>
  <c r="AF152" i="15" s="1"/>
  <c r="AH152" i="27"/>
  <c r="AD152" i="27"/>
  <c r="S152" i="15" s="1"/>
  <c r="Y152" i="15" s="1"/>
  <c r="AE152" i="15" s="1"/>
  <c r="X153" i="27"/>
  <c r="AF22" i="27"/>
  <c r="AE22" i="27"/>
  <c r="T22" i="15" s="1"/>
  <c r="Z22" i="15" s="1"/>
  <c r="AF22" i="15" s="1"/>
  <c r="AD22" i="27"/>
  <c r="S22" i="15" s="1"/>
  <c r="Y22" i="15" s="1"/>
  <c r="AE22" i="15" s="1"/>
  <c r="AG22" i="27"/>
  <c r="V22" i="15" s="1"/>
  <c r="AB22" i="15" s="1"/>
  <c r="AH22" i="15" s="1"/>
  <c r="AC22" i="27"/>
  <c r="R22" i="15" s="1"/>
  <c r="X22" i="15" s="1"/>
  <c r="AD22" i="15" s="1"/>
  <c r="AH22" i="27"/>
  <c r="W22" i="15" s="1"/>
  <c r="X23" i="27"/>
  <c r="AH105" i="27"/>
  <c r="AC105" i="27"/>
  <c r="R105" i="15" s="1"/>
  <c r="X105" i="15" s="1"/>
  <c r="AD105" i="15" s="1"/>
  <c r="AF105" i="27"/>
  <c r="U105" i="15" s="1"/>
  <c r="AG105" i="27"/>
  <c r="V105" i="15" s="1"/>
  <c r="AB105" i="15" s="1"/>
  <c r="AH105" i="15" s="1"/>
  <c r="AD105" i="27"/>
  <c r="S105" i="15" s="1"/>
  <c r="Y105" i="15" s="1"/>
  <c r="AE105" i="15" s="1"/>
  <c r="AE105" i="27"/>
  <c r="T105" i="15" s="1"/>
  <c r="Z105" i="15" s="1"/>
  <c r="AF105" i="15" s="1"/>
  <c r="X106" i="27"/>
  <c r="AK151" i="15"/>
  <c r="AO151" i="15" s="1"/>
  <c r="AL151" i="15"/>
  <c r="AP151" i="15" s="1"/>
  <c r="AA151" i="15"/>
  <c r="AG151" i="15" s="1"/>
  <c r="AA103" i="15"/>
  <c r="AG103" i="15" s="1"/>
  <c r="AL103" i="15"/>
  <c r="AP103" i="15" s="1"/>
  <c r="AE196" i="27"/>
  <c r="T196" i="15" s="1"/>
  <c r="Z196" i="15" s="1"/>
  <c r="AF196" i="15" s="1"/>
  <c r="AD196" i="27"/>
  <c r="S196" i="15" s="1"/>
  <c r="Y196" i="15" s="1"/>
  <c r="AE196" i="15" s="1"/>
  <c r="AH196" i="27"/>
  <c r="AC196" i="27"/>
  <c r="R196" i="15" s="1"/>
  <c r="AG196" i="27"/>
  <c r="V196" i="15" s="1"/>
  <c r="AB196" i="15" s="1"/>
  <c r="AH196" i="15" s="1"/>
  <c r="AF196" i="27"/>
  <c r="U196" i="15" s="1"/>
  <c r="X197" i="27"/>
  <c r="W195" i="15"/>
  <c r="AM195" i="15" s="1"/>
  <c r="AQ195" i="15" s="1"/>
  <c r="U104" i="15"/>
  <c r="AK104" i="15" s="1"/>
  <c r="AO104" i="15" s="1"/>
  <c r="AN103" i="15"/>
  <c r="AR103" i="15" s="1"/>
  <c r="AC103" i="15"/>
  <c r="AI103" i="15" s="1"/>
  <c r="AB21" i="27"/>
  <c r="W64" i="15"/>
  <c r="AA67" i="27"/>
  <c r="Q62" i="24"/>
  <c r="R62" i="24" s="1"/>
  <c r="AC20" i="15"/>
  <c r="AI20" i="15" s="1"/>
  <c r="AN20" i="15"/>
  <c r="AR20" i="15" s="1"/>
  <c r="AM103" i="15"/>
  <c r="AQ103" i="15" s="1"/>
  <c r="AA20" i="15"/>
  <c r="AG20" i="15" s="1"/>
  <c r="AL20" i="15"/>
  <c r="AP20" i="15" s="1"/>
  <c r="Q102" i="24"/>
  <c r="R102" i="24" s="1"/>
  <c r="X195" i="15"/>
  <c r="AD195" i="15" s="1"/>
  <c r="AA105" i="27"/>
  <c r="AC150" i="15"/>
  <c r="AN150" i="15"/>
  <c r="AR150" i="15" s="1"/>
  <c r="AB65" i="27"/>
  <c r="AF65" i="27"/>
  <c r="U65" i="15" s="1"/>
  <c r="AE65" i="27"/>
  <c r="T65" i="15" s="1"/>
  <c r="Z65" i="15" s="1"/>
  <c r="AF65" i="15" s="1"/>
  <c r="AD65" i="27"/>
  <c r="S65" i="15" s="1"/>
  <c r="Y65" i="15" s="1"/>
  <c r="AE65" i="15" s="1"/>
  <c r="AH65" i="27"/>
  <c r="AG65" i="27"/>
  <c r="V65" i="15" s="1"/>
  <c r="AB65" i="15" s="1"/>
  <c r="AH65" i="15" s="1"/>
  <c r="AC65" i="27"/>
  <c r="R65" i="15" s="1"/>
  <c r="X66" i="27"/>
  <c r="AK64" i="15"/>
  <c r="AO64" i="15" s="1"/>
  <c r="AL64" i="15"/>
  <c r="AP64" i="15" s="1"/>
  <c r="AA64" i="15"/>
  <c r="AG64" i="15" s="1"/>
  <c r="AO90" i="27"/>
  <c r="AM86" i="27"/>
  <c r="AP96" i="27"/>
  <c r="AP95" i="27"/>
  <c r="AN88" i="27"/>
  <c r="AN89" i="27"/>
  <c r="AM87" i="27"/>
  <c r="AO91" i="27"/>
  <c r="AQ105" i="27"/>
  <c r="AQ106" i="27"/>
  <c r="AO92" i="27"/>
  <c r="AM85" i="27"/>
  <c r="AO67" i="30" l="1"/>
  <c r="AJ67" i="30"/>
  <c r="AT67" i="30" s="1"/>
  <c r="AI67" i="30"/>
  <c r="AS67" i="30" s="1"/>
  <c r="AO198" i="30"/>
  <c r="AP198" i="30"/>
  <c r="AO155" i="30"/>
  <c r="AP155" i="30"/>
  <c r="AP106" i="30"/>
  <c r="AO106" i="30"/>
  <c r="AP69" i="30"/>
  <c r="AP23" i="30"/>
  <c r="AO23" i="30"/>
  <c r="AJ198" i="30"/>
  <c r="AT198" i="30" s="1"/>
  <c r="AL198" i="30"/>
  <c r="AV198" i="30" s="1"/>
  <c r="AK198" i="30"/>
  <c r="AU198" i="30" s="1"/>
  <c r="AG198" i="30"/>
  <c r="AQ198" i="30" s="1"/>
  <c r="AH198" i="30"/>
  <c r="AR198" i="30" s="1"/>
  <c r="AI198" i="30"/>
  <c r="AS198" i="30" s="1"/>
  <c r="AI155" i="30"/>
  <c r="AS155" i="30" s="1"/>
  <c r="AH155" i="30"/>
  <c r="AR155" i="30" s="1"/>
  <c r="AG155" i="30"/>
  <c r="AQ155" i="30" s="1"/>
  <c r="AJ155" i="30"/>
  <c r="AT155" i="30" s="1"/>
  <c r="AL155" i="30"/>
  <c r="AV155" i="30" s="1"/>
  <c r="AK155" i="30"/>
  <c r="AU155" i="30" s="1"/>
  <c r="AK106" i="30"/>
  <c r="AU106" i="30" s="1"/>
  <c r="AL106" i="30"/>
  <c r="AV106" i="30" s="1"/>
  <c r="AG106" i="30"/>
  <c r="AQ106" i="30" s="1"/>
  <c r="AH106" i="30"/>
  <c r="AR106" i="30" s="1"/>
  <c r="AJ106" i="30"/>
  <c r="AT106" i="30" s="1"/>
  <c r="AI106" i="30"/>
  <c r="AS106" i="30" s="1"/>
  <c r="AH69" i="30"/>
  <c r="AR69" i="30" s="1"/>
  <c r="AG69" i="30"/>
  <c r="AQ69" i="30" s="1"/>
  <c r="AL69" i="30"/>
  <c r="AV69" i="30" s="1"/>
  <c r="AK69" i="30"/>
  <c r="AU69" i="30" s="1"/>
  <c r="AK22" i="30"/>
  <c r="AU22" i="30" s="1"/>
  <c r="AL22" i="30"/>
  <c r="AV22" i="30" s="1"/>
  <c r="AJ22" i="30"/>
  <c r="AT22" i="30" s="1"/>
  <c r="AI22" i="30"/>
  <c r="AS22" i="30" s="1"/>
  <c r="AG22" i="30"/>
  <c r="AQ22" i="30" s="1"/>
  <c r="AH22" i="30"/>
  <c r="AR22" i="30" s="1"/>
  <c r="AB154" i="27"/>
  <c r="AK65" i="15"/>
  <c r="AO65" i="15" s="1"/>
  <c r="AL65" i="15"/>
  <c r="AP65" i="15" s="1"/>
  <c r="AA65" i="15"/>
  <c r="AG65" i="15" s="1"/>
  <c r="AN64" i="15"/>
  <c r="AR64" i="15" s="1"/>
  <c r="AC64" i="15"/>
  <c r="AI64" i="15" s="1"/>
  <c r="X65" i="15"/>
  <c r="AD65" i="15" s="1"/>
  <c r="AB66" i="27"/>
  <c r="Q103" i="24"/>
  <c r="R103" i="24" s="1"/>
  <c r="AA104" i="15"/>
  <c r="AG104" i="15" s="1"/>
  <c r="AL104" i="15"/>
  <c r="AP104" i="15" s="1"/>
  <c r="X196" i="15"/>
  <c r="AD196" i="15" s="1"/>
  <c r="Q20" i="24"/>
  <c r="R20" i="24" s="1"/>
  <c r="AM22" i="15"/>
  <c r="AQ22" i="15" s="1"/>
  <c r="AN22" i="15"/>
  <c r="AR22" i="15" s="1"/>
  <c r="AC22" i="15"/>
  <c r="AI22" i="15" s="1"/>
  <c r="AG153" i="27"/>
  <c r="V153" i="15" s="1"/>
  <c r="AB153" i="15" s="1"/>
  <c r="AH153" i="15" s="1"/>
  <c r="AD153" i="27"/>
  <c r="S153" i="15" s="1"/>
  <c r="Y153" i="15" s="1"/>
  <c r="AE153" i="15" s="1"/>
  <c r="AH153" i="27"/>
  <c r="AC153" i="27"/>
  <c r="R153" i="15" s="1"/>
  <c r="X153" i="15" s="1"/>
  <c r="AD153" i="15" s="1"/>
  <c r="AF153" i="27"/>
  <c r="AE153" i="27"/>
  <c r="T153" i="15" s="1"/>
  <c r="Z153" i="15" s="1"/>
  <c r="AF153" i="15" s="1"/>
  <c r="X154" i="27"/>
  <c r="AG194" i="15"/>
  <c r="Q194" i="24"/>
  <c r="R194" i="24" s="1"/>
  <c r="Q21" i="24"/>
  <c r="R21" i="24" s="1"/>
  <c r="W65" i="15"/>
  <c r="AM65" i="15" s="1"/>
  <c r="AQ65" i="15" s="1"/>
  <c r="AB22" i="27"/>
  <c r="W196" i="15"/>
  <c r="AM196" i="15" s="1"/>
  <c r="AQ196" i="15" s="1"/>
  <c r="AB198" i="27"/>
  <c r="AA24" i="27"/>
  <c r="W152" i="15"/>
  <c r="AA106" i="27"/>
  <c r="AD197" i="27"/>
  <c r="S197" i="15" s="1"/>
  <c r="Y197" i="15" s="1"/>
  <c r="AE197" i="15" s="1"/>
  <c r="AH197" i="27"/>
  <c r="W197" i="15" s="1"/>
  <c r="AE197" i="27"/>
  <c r="T197" i="15" s="1"/>
  <c r="Z197" i="15" s="1"/>
  <c r="AF197" i="15" s="1"/>
  <c r="AF197" i="27"/>
  <c r="AC197" i="27"/>
  <c r="R197" i="15" s="1"/>
  <c r="AG197" i="27"/>
  <c r="V197" i="15" s="1"/>
  <c r="AB197" i="15" s="1"/>
  <c r="AH197" i="15" s="1"/>
  <c r="X198" i="27"/>
  <c r="AA199" i="27"/>
  <c r="Q151" i="24"/>
  <c r="R151" i="24" s="1"/>
  <c r="AI150" i="15"/>
  <c r="Q150" i="24"/>
  <c r="R150" i="24" s="1"/>
  <c r="AN195" i="15"/>
  <c r="AR195" i="15" s="1"/>
  <c r="AC195" i="15"/>
  <c r="AI195" i="15" s="1"/>
  <c r="AK105" i="15"/>
  <c r="AO105" i="15" s="1"/>
  <c r="AA105" i="15"/>
  <c r="AG105" i="15" s="1"/>
  <c r="AL105" i="15"/>
  <c r="AP105" i="15" s="1"/>
  <c r="AN104" i="15"/>
  <c r="AR104" i="15" s="1"/>
  <c r="AC104" i="15"/>
  <c r="AI104" i="15" s="1"/>
  <c r="AM64" i="15"/>
  <c r="AQ64" i="15" s="1"/>
  <c r="AK196" i="15"/>
  <c r="AO196" i="15" s="1"/>
  <c r="AA196" i="15"/>
  <c r="AG196" i="15" s="1"/>
  <c r="AL196" i="15"/>
  <c r="AP196" i="15" s="1"/>
  <c r="AE106" i="27"/>
  <c r="T106" i="15" s="1"/>
  <c r="Z106" i="15" s="1"/>
  <c r="AF106" i="15" s="1"/>
  <c r="AH106" i="27"/>
  <c r="W106" i="15" s="1"/>
  <c r="AC106" i="27"/>
  <c r="R106" i="15" s="1"/>
  <c r="X106" i="15" s="1"/>
  <c r="AD106" i="15" s="1"/>
  <c r="AF106" i="27"/>
  <c r="AG106" i="27"/>
  <c r="V106" i="15" s="1"/>
  <c r="AB106" i="15" s="1"/>
  <c r="AH106" i="15" s="1"/>
  <c r="AD106" i="27"/>
  <c r="S106" i="15" s="1"/>
  <c r="Y106" i="15" s="1"/>
  <c r="AE106" i="15" s="1"/>
  <c r="X107" i="27"/>
  <c r="W105" i="15"/>
  <c r="AA154" i="27"/>
  <c r="AA68" i="27"/>
  <c r="AF66" i="27"/>
  <c r="AD66" i="27"/>
  <c r="S66" i="15" s="1"/>
  <c r="Y66" i="15" s="1"/>
  <c r="AE66" i="15" s="1"/>
  <c r="AC66" i="27"/>
  <c r="R66" i="15" s="1"/>
  <c r="AE66" i="27"/>
  <c r="T66" i="15" s="1"/>
  <c r="Z66" i="15" s="1"/>
  <c r="AF66" i="15" s="1"/>
  <c r="AH66" i="27"/>
  <c r="W66" i="15" s="1"/>
  <c r="AG66" i="27"/>
  <c r="V66" i="15" s="1"/>
  <c r="AB66" i="15" s="1"/>
  <c r="AH66" i="15" s="1"/>
  <c r="X67" i="27"/>
  <c r="AH23" i="27"/>
  <c r="AF23" i="27"/>
  <c r="AG23" i="27"/>
  <c r="V23" i="15" s="1"/>
  <c r="AB23" i="15" s="1"/>
  <c r="AH23" i="15" s="1"/>
  <c r="AE23" i="27"/>
  <c r="T23" i="15" s="1"/>
  <c r="Z23" i="15" s="1"/>
  <c r="AF23" i="15" s="1"/>
  <c r="AC23" i="27"/>
  <c r="R23" i="15" s="1"/>
  <c r="X23" i="15" s="1"/>
  <c r="AD23" i="15" s="1"/>
  <c r="AD23" i="27"/>
  <c r="S23" i="15" s="1"/>
  <c r="Y23" i="15" s="1"/>
  <c r="AE23" i="15" s="1"/>
  <c r="X24" i="27"/>
  <c r="U22" i="15"/>
  <c r="AK22" i="15" s="1"/>
  <c r="AO22" i="15" s="1"/>
  <c r="AK152" i="15"/>
  <c r="AO152" i="15" s="1"/>
  <c r="AA152" i="15"/>
  <c r="AG152" i="15" s="1"/>
  <c r="AL152" i="15"/>
  <c r="AP152" i="15" s="1"/>
  <c r="AB110" i="27"/>
  <c r="AP97" i="27"/>
  <c r="AP98" i="27"/>
  <c r="AQ107" i="27"/>
  <c r="AM89" i="27"/>
  <c r="AN91" i="27"/>
  <c r="AO93" i="27"/>
  <c r="AO94" i="27"/>
  <c r="AN90" i="27"/>
  <c r="AM88" i="27"/>
  <c r="AJ68" i="30" l="1"/>
  <c r="AT68" i="30" s="1"/>
  <c r="AI68" i="30"/>
  <c r="AS68" i="30" s="1"/>
  <c r="AO68" i="30"/>
  <c r="AP199" i="30"/>
  <c r="AO199" i="30"/>
  <c r="AP156" i="30"/>
  <c r="AO156" i="30"/>
  <c r="AO107" i="30"/>
  <c r="AP107" i="30"/>
  <c r="AP70" i="30"/>
  <c r="AO24" i="30"/>
  <c r="AP24" i="30"/>
  <c r="AI199" i="30"/>
  <c r="AS199" i="30" s="1"/>
  <c r="AH199" i="30"/>
  <c r="AR199" i="30" s="1"/>
  <c r="AG199" i="30"/>
  <c r="AQ199" i="30" s="1"/>
  <c r="AL199" i="30"/>
  <c r="AV199" i="30" s="1"/>
  <c r="AK199" i="30"/>
  <c r="AU199" i="30" s="1"/>
  <c r="AJ199" i="30"/>
  <c r="AT199" i="30" s="1"/>
  <c r="AL156" i="30"/>
  <c r="AV156" i="30" s="1"/>
  <c r="AK156" i="30"/>
  <c r="AU156" i="30" s="1"/>
  <c r="AJ156" i="30"/>
  <c r="AT156" i="30" s="1"/>
  <c r="AG156" i="30"/>
  <c r="AQ156" i="30" s="1"/>
  <c r="AH156" i="30"/>
  <c r="AR156" i="30" s="1"/>
  <c r="AI156" i="30"/>
  <c r="AS156" i="30" s="1"/>
  <c r="AI107" i="30"/>
  <c r="AS107" i="30" s="1"/>
  <c r="AJ107" i="30"/>
  <c r="AT107" i="30" s="1"/>
  <c r="AH107" i="30"/>
  <c r="AR107" i="30" s="1"/>
  <c r="AG107" i="30"/>
  <c r="AQ107" i="30" s="1"/>
  <c r="AL107" i="30"/>
  <c r="AV107" i="30" s="1"/>
  <c r="AK107" i="30"/>
  <c r="AU107" i="30" s="1"/>
  <c r="AL70" i="30"/>
  <c r="AV70" i="30" s="1"/>
  <c r="AK70" i="30"/>
  <c r="AU70" i="30" s="1"/>
  <c r="AG70" i="30"/>
  <c r="AQ70" i="30" s="1"/>
  <c r="AH70" i="30"/>
  <c r="AR70" i="30" s="1"/>
  <c r="AH23" i="30"/>
  <c r="AR23" i="30" s="1"/>
  <c r="AG23" i="30"/>
  <c r="AQ23" i="30" s="1"/>
  <c r="AI23" i="30"/>
  <c r="AS23" i="30" s="1"/>
  <c r="AJ23" i="30"/>
  <c r="AT23" i="30" s="1"/>
  <c r="AL23" i="30"/>
  <c r="AV23" i="30" s="1"/>
  <c r="AK23" i="30"/>
  <c r="AU23" i="30" s="1"/>
  <c r="AB155" i="27"/>
  <c r="Q104" i="24"/>
  <c r="R104" i="24" s="1"/>
  <c r="AG67" i="27"/>
  <c r="V67" i="15" s="1"/>
  <c r="AB67" i="15" s="1"/>
  <c r="AH67" i="15" s="1"/>
  <c r="AE67" i="27"/>
  <c r="T67" i="15" s="1"/>
  <c r="Z67" i="15" s="1"/>
  <c r="AF67" i="15" s="1"/>
  <c r="AD67" i="27"/>
  <c r="S67" i="15" s="1"/>
  <c r="Y67" i="15" s="1"/>
  <c r="AE67" i="15" s="1"/>
  <c r="AH67" i="27"/>
  <c r="W67" i="15" s="1"/>
  <c r="AF67" i="27"/>
  <c r="AC67" i="27"/>
  <c r="R67" i="15" s="1"/>
  <c r="X68" i="27"/>
  <c r="AM106" i="15"/>
  <c r="AQ106" i="15" s="1"/>
  <c r="AC106" i="15"/>
  <c r="AI106" i="15" s="1"/>
  <c r="AN106" i="15"/>
  <c r="AR106" i="15" s="1"/>
  <c r="AA69" i="27"/>
  <c r="AC107" i="27"/>
  <c r="R107" i="15" s="1"/>
  <c r="X107" i="15" s="1"/>
  <c r="AD107" i="15" s="1"/>
  <c r="AG107" i="27"/>
  <c r="V107" i="15" s="1"/>
  <c r="AB107" i="15" s="1"/>
  <c r="AH107" i="15" s="1"/>
  <c r="AD107" i="27"/>
  <c r="S107" i="15" s="1"/>
  <c r="Y107" i="15" s="1"/>
  <c r="AE107" i="15" s="1"/>
  <c r="AF107" i="27"/>
  <c r="AH107" i="27"/>
  <c r="AE107" i="27"/>
  <c r="T107" i="15" s="1"/>
  <c r="Z107" i="15" s="1"/>
  <c r="AF107" i="15" s="1"/>
  <c r="X108" i="27"/>
  <c r="AA200" i="27"/>
  <c r="AM152" i="15"/>
  <c r="AQ152" i="15" s="1"/>
  <c r="W153" i="15"/>
  <c r="AM153" i="15" s="1"/>
  <c r="AQ153" i="15" s="1"/>
  <c r="AB67" i="27"/>
  <c r="AA155" i="27"/>
  <c r="AG198" i="27"/>
  <c r="V198" i="15" s="1"/>
  <c r="AB198" i="15" s="1"/>
  <c r="AH198" i="15" s="1"/>
  <c r="AD198" i="27"/>
  <c r="S198" i="15" s="1"/>
  <c r="Y198" i="15" s="1"/>
  <c r="AE198" i="15" s="1"/>
  <c r="AH198" i="27"/>
  <c r="W198" i="15" s="1"/>
  <c r="AC198" i="27"/>
  <c r="R198" i="15" s="1"/>
  <c r="AE198" i="27"/>
  <c r="T198" i="15" s="1"/>
  <c r="Z198" i="15" s="1"/>
  <c r="AF198" i="15" s="1"/>
  <c r="AF198" i="27"/>
  <c r="U198" i="15" s="1"/>
  <c r="X199" i="27"/>
  <c r="AB23" i="27"/>
  <c r="AE154" i="27"/>
  <c r="T154" i="15" s="1"/>
  <c r="Z154" i="15" s="1"/>
  <c r="AF154" i="15" s="1"/>
  <c r="AG154" i="27"/>
  <c r="V154" i="15" s="1"/>
  <c r="AB154" i="15" s="1"/>
  <c r="AH154" i="15" s="1"/>
  <c r="AH154" i="27"/>
  <c r="W154" i="15" s="1"/>
  <c r="AF154" i="27"/>
  <c r="U154" i="15" s="1"/>
  <c r="AC154" i="27"/>
  <c r="R154" i="15" s="1"/>
  <c r="X154" i="15" s="1"/>
  <c r="AD154" i="15" s="1"/>
  <c r="AD154" i="27"/>
  <c r="S154" i="15" s="1"/>
  <c r="Y154" i="15" s="1"/>
  <c r="AE154" i="15" s="1"/>
  <c r="X155" i="27"/>
  <c r="AM197" i="15"/>
  <c r="AQ197" i="15" s="1"/>
  <c r="AC197" i="15"/>
  <c r="AI197" i="15" s="1"/>
  <c r="AN197" i="15"/>
  <c r="AR197" i="15" s="1"/>
  <c r="X66" i="15"/>
  <c r="AD66" i="15" s="1"/>
  <c r="AB111" i="27"/>
  <c r="AE24" i="27"/>
  <c r="T24" i="15" s="1"/>
  <c r="Z24" i="15" s="1"/>
  <c r="AF24" i="15" s="1"/>
  <c r="AF24" i="27"/>
  <c r="U24" i="15" s="1"/>
  <c r="AH24" i="27"/>
  <c r="W24" i="15" s="1"/>
  <c r="AG24" i="27"/>
  <c r="V24" i="15" s="1"/>
  <c r="AB24" i="15" s="1"/>
  <c r="AH24" i="15" s="1"/>
  <c r="AD24" i="27"/>
  <c r="S24" i="15" s="1"/>
  <c r="Y24" i="15" s="1"/>
  <c r="AE24" i="15" s="1"/>
  <c r="AC24" i="27"/>
  <c r="R24" i="15" s="1"/>
  <c r="X24" i="15" s="1"/>
  <c r="AD24" i="15" s="1"/>
  <c r="X25" i="27"/>
  <c r="W23" i="15"/>
  <c r="AM23" i="15" s="1"/>
  <c r="AQ23" i="15" s="1"/>
  <c r="AM105" i="15"/>
  <c r="AQ105" i="15" s="1"/>
  <c r="X197" i="15"/>
  <c r="AD197" i="15" s="1"/>
  <c r="AN65" i="15"/>
  <c r="AR65" i="15" s="1"/>
  <c r="AC65" i="15"/>
  <c r="U153" i="15"/>
  <c r="AK153" i="15" s="1"/>
  <c r="AO153" i="15" s="1"/>
  <c r="AM66" i="15"/>
  <c r="AQ66" i="15" s="1"/>
  <c r="AN66" i="15"/>
  <c r="AR66" i="15" s="1"/>
  <c r="AC66" i="15"/>
  <c r="AI66" i="15" s="1"/>
  <c r="AN152" i="15"/>
  <c r="AR152" i="15" s="1"/>
  <c r="AC152" i="15"/>
  <c r="AI152" i="15" s="1"/>
  <c r="AC196" i="15"/>
  <c r="AI196" i="15" s="1"/>
  <c r="AN196" i="15"/>
  <c r="AR196" i="15" s="1"/>
  <c r="AA22" i="15"/>
  <c r="AG22" i="15" s="1"/>
  <c r="AL22" i="15"/>
  <c r="AP22" i="15" s="1"/>
  <c r="U23" i="15"/>
  <c r="AK23" i="15" s="1"/>
  <c r="AO23" i="15" s="1"/>
  <c r="U106" i="15"/>
  <c r="AK106" i="15" s="1"/>
  <c r="AO106" i="15" s="1"/>
  <c r="AA107" i="27"/>
  <c r="AA25" i="27"/>
  <c r="U66" i="15"/>
  <c r="AK66" i="15" s="1"/>
  <c r="AO66" i="15" s="1"/>
  <c r="AC105" i="15"/>
  <c r="AI105" i="15" s="1"/>
  <c r="AN105" i="15"/>
  <c r="AR105" i="15" s="1"/>
  <c r="Q64" i="24"/>
  <c r="R64" i="24" s="1"/>
  <c r="U197" i="15"/>
  <c r="AB199" i="27"/>
  <c r="Q195" i="24"/>
  <c r="R195" i="24" s="1"/>
  <c r="AQ108" i="27"/>
  <c r="AQ109" i="27"/>
  <c r="AP100" i="27"/>
  <c r="AP99" i="27"/>
  <c r="AM90" i="27"/>
  <c r="AN92" i="27"/>
  <c r="AO95" i="27"/>
  <c r="AO69" i="30" l="1"/>
  <c r="AJ69" i="30"/>
  <c r="AT69" i="30" s="1"/>
  <c r="AI69" i="30"/>
  <c r="AS69" i="30" s="1"/>
  <c r="AO200" i="30"/>
  <c r="AP200" i="30"/>
  <c r="AO157" i="30"/>
  <c r="AP157" i="30"/>
  <c r="AP108" i="30"/>
  <c r="AO108" i="30"/>
  <c r="AP71" i="30"/>
  <c r="AP25" i="30"/>
  <c r="AO25" i="30"/>
  <c r="AJ200" i="30"/>
  <c r="AT200" i="30" s="1"/>
  <c r="AL200" i="30"/>
  <c r="AV200" i="30" s="1"/>
  <c r="AK200" i="30"/>
  <c r="AU200" i="30" s="1"/>
  <c r="AG200" i="30"/>
  <c r="AQ200" i="30" s="1"/>
  <c r="AH200" i="30"/>
  <c r="AR200" i="30" s="1"/>
  <c r="AI200" i="30"/>
  <c r="AS200" i="30" s="1"/>
  <c r="AI157" i="30"/>
  <c r="AS157" i="30" s="1"/>
  <c r="AH157" i="30"/>
  <c r="AR157" i="30" s="1"/>
  <c r="AG157" i="30"/>
  <c r="AQ157" i="30" s="1"/>
  <c r="AJ157" i="30"/>
  <c r="AT157" i="30" s="1"/>
  <c r="AL157" i="30"/>
  <c r="AV157" i="30" s="1"/>
  <c r="AK157" i="30"/>
  <c r="AU157" i="30" s="1"/>
  <c r="AL108" i="30"/>
  <c r="AV108" i="30" s="1"/>
  <c r="AK108" i="30"/>
  <c r="AU108" i="30" s="1"/>
  <c r="AG108" i="30"/>
  <c r="AQ108" i="30" s="1"/>
  <c r="AH108" i="30"/>
  <c r="AR108" i="30" s="1"/>
  <c r="AJ108" i="30"/>
  <c r="AT108" i="30" s="1"/>
  <c r="AI108" i="30"/>
  <c r="AS108" i="30" s="1"/>
  <c r="AH71" i="30"/>
  <c r="AR71" i="30" s="1"/>
  <c r="AG71" i="30"/>
  <c r="AQ71" i="30" s="1"/>
  <c r="AL71" i="30"/>
  <c r="AV71" i="30" s="1"/>
  <c r="AK71" i="30"/>
  <c r="AU71" i="30" s="1"/>
  <c r="AJ24" i="30"/>
  <c r="AT24" i="30" s="1"/>
  <c r="AK24" i="30"/>
  <c r="AU24" i="30" s="1"/>
  <c r="AL24" i="30"/>
  <c r="AV24" i="30" s="1"/>
  <c r="AI24" i="30"/>
  <c r="AS24" i="30" s="1"/>
  <c r="AG24" i="30"/>
  <c r="AQ24" i="30" s="1"/>
  <c r="AH24" i="30"/>
  <c r="AR24" i="30" s="1"/>
  <c r="Q22" i="24"/>
  <c r="R22" i="24" s="1"/>
  <c r="AB156" i="27"/>
  <c r="AA197" i="15"/>
  <c r="AG197" i="15" s="1"/>
  <c r="AL197" i="15"/>
  <c r="AP197" i="15" s="1"/>
  <c r="AA26" i="27"/>
  <c r="AL23" i="15"/>
  <c r="AP23" i="15" s="1"/>
  <c r="AA23" i="15"/>
  <c r="AG23" i="15" s="1"/>
  <c r="AG25" i="27"/>
  <c r="V25" i="15" s="1"/>
  <c r="AB25" i="15" s="1"/>
  <c r="AH25" i="15" s="1"/>
  <c r="AH25" i="27"/>
  <c r="W25" i="15" s="1"/>
  <c r="AC25" i="27"/>
  <c r="R25" i="15" s="1"/>
  <c r="X25" i="15" s="1"/>
  <c r="AD25" i="15" s="1"/>
  <c r="AE25" i="27"/>
  <c r="T25" i="15" s="1"/>
  <c r="Z25" i="15" s="1"/>
  <c r="AF25" i="15" s="1"/>
  <c r="AF25" i="27"/>
  <c r="U25" i="15" s="1"/>
  <c r="AD25" i="27"/>
  <c r="S25" i="15" s="1"/>
  <c r="Y25" i="15" s="1"/>
  <c r="AE25" i="15" s="1"/>
  <c r="X26" i="27"/>
  <c r="AM154" i="15"/>
  <c r="AQ154" i="15" s="1"/>
  <c r="AC154" i="15"/>
  <c r="AI154" i="15" s="1"/>
  <c r="AN154" i="15"/>
  <c r="AR154" i="15" s="1"/>
  <c r="AA201" i="27"/>
  <c r="AB112" i="27"/>
  <c r="X198" i="15"/>
  <c r="AD198" i="15" s="1"/>
  <c r="AB68" i="27"/>
  <c r="AG108" i="27"/>
  <c r="V108" i="15" s="1"/>
  <c r="AB108" i="15" s="1"/>
  <c r="AH108" i="15" s="1"/>
  <c r="AH108" i="27"/>
  <c r="W108" i="15" s="1"/>
  <c r="AF108" i="27"/>
  <c r="AC108" i="27"/>
  <c r="R108" i="15" s="1"/>
  <c r="X108" i="15" s="1"/>
  <c r="AD108" i="15" s="1"/>
  <c r="AE108" i="27"/>
  <c r="T108" i="15" s="1"/>
  <c r="Z108" i="15" s="1"/>
  <c r="AF108" i="15" s="1"/>
  <c r="AD108" i="27"/>
  <c r="S108" i="15" s="1"/>
  <c r="Y108" i="15" s="1"/>
  <c r="AE108" i="15" s="1"/>
  <c r="X109" i="27"/>
  <c r="AL153" i="15"/>
  <c r="AP153" i="15" s="1"/>
  <c r="AA153" i="15"/>
  <c r="AG153" i="15" s="1"/>
  <c r="AB24" i="27"/>
  <c r="AA70" i="27"/>
  <c r="X67" i="15"/>
  <c r="AD67" i="15" s="1"/>
  <c r="AC155" i="27"/>
  <c r="R155" i="15" s="1"/>
  <c r="X155" i="15" s="1"/>
  <c r="AD155" i="15" s="1"/>
  <c r="AF155" i="27"/>
  <c r="AD155" i="27"/>
  <c r="S155" i="15" s="1"/>
  <c r="Y155" i="15" s="1"/>
  <c r="AE155" i="15" s="1"/>
  <c r="AH155" i="27"/>
  <c r="W155" i="15" s="1"/>
  <c r="AE155" i="27"/>
  <c r="T155" i="15" s="1"/>
  <c r="Z155" i="15" s="1"/>
  <c r="AF155" i="15" s="1"/>
  <c r="AG155" i="27"/>
  <c r="V155" i="15" s="1"/>
  <c r="AB155" i="15" s="1"/>
  <c r="AH155" i="15" s="1"/>
  <c r="X156" i="27"/>
  <c r="AM198" i="15"/>
  <c r="AQ198" i="15" s="1"/>
  <c r="AN198" i="15"/>
  <c r="AR198" i="15" s="1"/>
  <c r="AC198" i="15"/>
  <c r="AI198" i="15" s="1"/>
  <c r="AC68" i="27"/>
  <c r="R68" i="15" s="1"/>
  <c r="AG68" i="27"/>
  <c r="V68" i="15" s="1"/>
  <c r="AB68" i="15" s="1"/>
  <c r="AH68" i="15" s="1"/>
  <c r="AE68" i="27"/>
  <c r="T68" i="15" s="1"/>
  <c r="Z68" i="15" s="1"/>
  <c r="AF68" i="15" s="1"/>
  <c r="AH68" i="27"/>
  <c r="AD68" i="27"/>
  <c r="S68" i="15" s="1"/>
  <c r="Y68" i="15" s="1"/>
  <c r="AE68" i="15" s="1"/>
  <c r="AF68" i="27"/>
  <c r="X69" i="27"/>
  <c r="AI65" i="15"/>
  <c r="Q65" i="24"/>
  <c r="R65" i="24" s="1"/>
  <c r="AM24" i="15"/>
  <c r="AQ24" i="15" s="1"/>
  <c r="AC24" i="15"/>
  <c r="AI24" i="15" s="1"/>
  <c r="AN24" i="15"/>
  <c r="AR24" i="15" s="1"/>
  <c r="AG199" i="27"/>
  <c r="V199" i="15" s="1"/>
  <c r="AB199" i="15" s="1"/>
  <c r="AH199" i="15" s="1"/>
  <c r="AD199" i="27"/>
  <c r="S199" i="15" s="1"/>
  <c r="Y199" i="15" s="1"/>
  <c r="AE199" i="15" s="1"/>
  <c r="AC199" i="27"/>
  <c r="R199" i="15" s="1"/>
  <c r="AF199" i="27"/>
  <c r="U199" i="15" s="1"/>
  <c r="AE199" i="27"/>
  <c r="T199" i="15" s="1"/>
  <c r="Z199" i="15" s="1"/>
  <c r="AF199" i="15" s="1"/>
  <c r="AH199" i="27"/>
  <c r="W199" i="15" s="1"/>
  <c r="X200" i="27"/>
  <c r="AN153" i="15"/>
  <c r="AR153" i="15" s="1"/>
  <c r="AC153" i="15"/>
  <c r="AI153" i="15" s="1"/>
  <c r="W107" i="15"/>
  <c r="AM107" i="15" s="1"/>
  <c r="AQ107" i="15" s="1"/>
  <c r="U67" i="15"/>
  <c r="AK67" i="15" s="1"/>
  <c r="AO67" i="15" s="1"/>
  <c r="Q152" i="24"/>
  <c r="R152" i="24" s="1"/>
  <c r="AA108" i="27"/>
  <c r="AB200" i="27"/>
  <c r="AK197" i="15"/>
  <c r="AO197" i="15" s="1"/>
  <c r="AL66" i="15"/>
  <c r="AP66" i="15" s="1"/>
  <c r="AA66" i="15"/>
  <c r="AA106" i="15"/>
  <c r="AL106" i="15"/>
  <c r="AP106" i="15" s="1"/>
  <c r="Q196" i="24"/>
  <c r="R196" i="24" s="1"/>
  <c r="AC23" i="15"/>
  <c r="AI23" i="15" s="1"/>
  <c r="AN23" i="15"/>
  <c r="AR23" i="15" s="1"/>
  <c r="AK24" i="15"/>
  <c r="AO24" i="15" s="1"/>
  <c r="AL24" i="15"/>
  <c r="AP24" i="15" s="1"/>
  <c r="AA24" i="15"/>
  <c r="AG24" i="15" s="1"/>
  <c r="AK154" i="15"/>
  <c r="AO154" i="15" s="1"/>
  <c r="AA154" i="15"/>
  <c r="AG154" i="15" s="1"/>
  <c r="AL154" i="15"/>
  <c r="AP154" i="15" s="1"/>
  <c r="AK198" i="15"/>
  <c r="AO198" i="15" s="1"/>
  <c r="AA198" i="15"/>
  <c r="AG198" i="15" s="1"/>
  <c r="AL198" i="15"/>
  <c r="AP198" i="15" s="1"/>
  <c r="AA156" i="27"/>
  <c r="U107" i="15"/>
  <c r="AK107" i="15" s="1"/>
  <c r="AO107" i="15" s="1"/>
  <c r="AM67" i="15"/>
  <c r="AQ67" i="15" s="1"/>
  <c r="AC67" i="15"/>
  <c r="AI67" i="15" s="1"/>
  <c r="AN67" i="15"/>
  <c r="AR67" i="15" s="1"/>
  <c r="Q105" i="24"/>
  <c r="R105" i="24" s="1"/>
  <c r="AM92" i="27"/>
  <c r="AN94" i="27"/>
  <c r="AN93" i="27"/>
  <c r="AM91" i="27"/>
  <c r="AO97" i="27"/>
  <c r="AP101" i="27"/>
  <c r="AQ110" i="27"/>
  <c r="AP102" i="27"/>
  <c r="AQ111" i="27"/>
  <c r="AO96" i="27"/>
  <c r="AI70" i="30" l="1"/>
  <c r="AS70" i="30" s="1"/>
  <c r="AJ70" i="30"/>
  <c r="AT70" i="30" s="1"/>
  <c r="AO70" i="30"/>
  <c r="AP201" i="30"/>
  <c r="AO201" i="30"/>
  <c r="AP158" i="30"/>
  <c r="AO158" i="30"/>
  <c r="AO109" i="30"/>
  <c r="AP109" i="30"/>
  <c r="AP72" i="30"/>
  <c r="AO26" i="30"/>
  <c r="AP26" i="30"/>
  <c r="AI201" i="30"/>
  <c r="AS201" i="30" s="1"/>
  <c r="AH201" i="30"/>
  <c r="AR201" i="30" s="1"/>
  <c r="AG201" i="30"/>
  <c r="AQ201" i="30" s="1"/>
  <c r="AL201" i="30"/>
  <c r="AV201" i="30" s="1"/>
  <c r="AK201" i="30"/>
  <c r="AU201" i="30" s="1"/>
  <c r="AJ201" i="30"/>
  <c r="AT201" i="30" s="1"/>
  <c r="AK158" i="30"/>
  <c r="AU158" i="30" s="1"/>
  <c r="AL158" i="30"/>
  <c r="AV158" i="30" s="1"/>
  <c r="AJ158" i="30"/>
  <c r="AT158" i="30" s="1"/>
  <c r="AG158" i="30"/>
  <c r="AQ158" i="30" s="1"/>
  <c r="AH158" i="30"/>
  <c r="AR158" i="30" s="1"/>
  <c r="AI158" i="30"/>
  <c r="AS158" i="30" s="1"/>
  <c r="AI109" i="30"/>
  <c r="AS109" i="30" s="1"/>
  <c r="AJ109" i="30"/>
  <c r="AT109" i="30" s="1"/>
  <c r="AH109" i="30"/>
  <c r="AR109" i="30" s="1"/>
  <c r="AG109" i="30"/>
  <c r="AQ109" i="30" s="1"/>
  <c r="AK109" i="30"/>
  <c r="AU109" i="30" s="1"/>
  <c r="AL109" i="30"/>
  <c r="AV109" i="30" s="1"/>
  <c r="AL72" i="30"/>
  <c r="AV72" i="30" s="1"/>
  <c r="AK72" i="30"/>
  <c r="AU72" i="30" s="1"/>
  <c r="AG72" i="30"/>
  <c r="AQ72" i="30" s="1"/>
  <c r="AH72" i="30"/>
  <c r="AR72" i="30" s="1"/>
  <c r="AJ25" i="30"/>
  <c r="AT25" i="30" s="1"/>
  <c r="AG25" i="30"/>
  <c r="AQ25" i="30" s="1"/>
  <c r="AH25" i="30"/>
  <c r="AR25" i="30" s="1"/>
  <c r="AI25" i="30"/>
  <c r="AS25" i="30" s="1"/>
  <c r="AK25" i="30"/>
  <c r="AU25" i="30" s="1"/>
  <c r="AL25" i="30"/>
  <c r="AV25" i="30" s="1"/>
  <c r="Q197" i="24"/>
  <c r="R197" i="24" s="1"/>
  <c r="AB157" i="27"/>
  <c r="Q198" i="24"/>
  <c r="R198" i="24" s="1"/>
  <c r="U155" i="15"/>
  <c r="AK155" i="15" s="1"/>
  <c r="AO155" i="15" s="1"/>
  <c r="AA202" i="27"/>
  <c r="AB201" i="27"/>
  <c r="AA71" i="27"/>
  <c r="AB69" i="27"/>
  <c r="AM25" i="15"/>
  <c r="AQ25" i="15" s="1"/>
  <c r="AC25" i="15"/>
  <c r="AI25" i="15" s="1"/>
  <c r="AN25" i="15"/>
  <c r="AR25" i="15" s="1"/>
  <c r="AC26" i="27"/>
  <c r="R26" i="15" s="1"/>
  <c r="X26" i="15" s="1"/>
  <c r="AD26" i="15" s="1"/>
  <c r="AG26" i="27"/>
  <c r="V26" i="15" s="1"/>
  <c r="AB26" i="15" s="1"/>
  <c r="AH26" i="15" s="1"/>
  <c r="AD26" i="27"/>
  <c r="S26" i="15" s="1"/>
  <c r="Y26" i="15" s="1"/>
  <c r="AE26" i="15" s="1"/>
  <c r="AH26" i="27"/>
  <c r="W26" i="15" s="1"/>
  <c r="AE26" i="27"/>
  <c r="T26" i="15" s="1"/>
  <c r="Z26" i="15" s="1"/>
  <c r="AF26" i="15" s="1"/>
  <c r="AF26" i="27"/>
  <c r="X27" i="27"/>
  <c r="AG106" i="15"/>
  <c r="Q106" i="24"/>
  <c r="R106" i="24" s="1"/>
  <c r="X199" i="15"/>
  <c r="AD199" i="15" s="1"/>
  <c r="AE156" i="27"/>
  <c r="T156" i="15" s="1"/>
  <c r="Z156" i="15" s="1"/>
  <c r="AF156" i="15" s="1"/>
  <c r="AD156" i="27"/>
  <c r="S156" i="15" s="1"/>
  <c r="Y156" i="15" s="1"/>
  <c r="AE156" i="15" s="1"/>
  <c r="AC156" i="27"/>
  <c r="R156" i="15" s="1"/>
  <c r="X156" i="15" s="1"/>
  <c r="AD156" i="15" s="1"/>
  <c r="AH156" i="27"/>
  <c r="W156" i="15" s="1"/>
  <c r="AG156" i="27"/>
  <c r="V156" i="15" s="1"/>
  <c r="AB156" i="15" s="1"/>
  <c r="AH156" i="15" s="1"/>
  <c r="AF156" i="27"/>
  <c r="X157" i="27"/>
  <c r="AB25" i="27"/>
  <c r="Q23" i="24"/>
  <c r="R23" i="24" s="1"/>
  <c r="AG66" i="15"/>
  <c r="Q66" i="24"/>
  <c r="R66" i="24" s="1"/>
  <c r="Q153" i="24"/>
  <c r="R153" i="24" s="1"/>
  <c r="U108" i="15"/>
  <c r="AK108" i="15" s="1"/>
  <c r="AO108" i="15" s="1"/>
  <c r="AB113" i="27"/>
  <c r="Q154" i="24"/>
  <c r="R154" i="24" s="1"/>
  <c r="AK25" i="15"/>
  <c r="AO25" i="15" s="1"/>
  <c r="AL25" i="15"/>
  <c r="AP25" i="15" s="1"/>
  <c r="AA25" i="15"/>
  <c r="AG25" i="15" s="1"/>
  <c r="AK199" i="15"/>
  <c r="AO199" i="15" s="1"/>
  <c r="AL199" i="15"/>
  <c r="AP199" i="15" s="1"/>
  <c r="AA199" i="15"/>
  <c r="AG199" i="15" s="1"/>
  <c r="AC69" i="27"/>
  <c r="R69" i="15" s="1"/>
  <c r="AH69" i="27"/>
  <c r="W69" i="15" s="1"/>
  <c r="AG69" i="27"/>
  <c r="V69" i="15" s="1"/>
  <c r="AB69" i="15" s="1"/>
  <c r="AH69" i="15" s="1"/>
  <c r="AF69" i="27"/>
  <c r="U69" i="15" s="1"/>
  <c r="AE69" i="27"/>
  <c r="T69" i="15" s="1"/>
  <c r="Z69" i="15" s="1"/>
  <c r="AF69" i="15" s="1"/>
  <c r="AD69" i="27"/>
  <c r="S69" i="15" s="1"/>
  <c r="Y69" i="15" s="1"/>
  <c r="AE69" i="15" s="1"/>
  <c r="X70" i="27"/>
  <c r="X68" i="15"/>
  <c r="AD68" i="15" s="1"/>
  <c r="AM108" i="15"/>
  <c r="AQ108" i="15" s="1"/>
  <c r="AN108" i="15"/>
  <c r="AR108" i="15" s="1"/>
  <c r="AC108" i="15"/>
  <c r="AI108" i="15" s="1"/>
  <c r="AA109" i="27"/>
  <c r="AC107" i="15"/>
  <c r="AI107" i="15" s="1"/>
  <c r="AN107" i="15"/>
  <c r="AR107" i="15" s="1"/>
  <c r="W68" i="15"/>
  <c r="AM68" i="15" s="1"/>
  <c r="AQ68" i="15" s="1"/>
  <c r="AL107" i="15"/>
  <c r="AP107" i="15" s="1"/>
  <c r="AA107" i="15"/>
  <c r="AG107" i="15" s="1"/>
  <c r="AC200" i="27"/>
  <c r="R200" i="15" s="1"/>
  <c r="AD200" i="27"/>
  <c r="S200" i="15" s="1"/>
  <c r="Y200" i="15" s="1"/>
  <c r="AE200" i="15" s="1"/>
  <c r="AG200" i="27"/>
  <c r="V200" i="15" s="1"/>
  <c r="AB200" i="15" s="1"/>
  <c r="AH200" i="15" s="1"/>
  <c r="AH200" i="27"/>
  <c r="AE200" i="27"/>
  <c r="T200" i="15" s="1"/>
  <c r="Z200" i="15" s="1"/>
  <c r="AF200" i="15" s="1"/>
  <c r="AF200" i="27"/>
  <c r="U200" i="15" s="1"/>
  <c r="X201" i="27"/>
  <c r="AA157" i="27"/>
  <c r="AA67" i="15"/>
  <c r="AG67" i="15" s="1"/>
  <c r="AL67" i="15"/>
  <c r="AP67" i="15" s="1"/>
  <c r="AM199" i="15"/>
  <c r="AQ199" i="15" s="1"/>
  <c r="AC199" i="15"/>
  <c r="AI199" i="15" s="1"/>
  <c r="AN199" i="15"/>
  <c r="AR199" i="15" s="1"/>
  <c r="U68" i="15"/>
  <c r="AK68" i="15"/>
  <c r="AO68" i="15" s="1"/>
  <c r="AM155" i="15"/>
  <c r="AQ155" i="15" s="1"/>
  <c r="AN155" i="15"/>
  <c r="AR155" i="15" s="1"/>
  <c r="AC155" i="15"/>
  <c r="AI155" i="15" s="1"/>
  <c r="AD109" i="27"/>
  <c r="S109" i="15" s="1"/>
  <c r="Y109" i="15" s="1"/>
  <c r="AE109" i="15" s="1"/>
  <c r="AG109" i="27"/>
  <c r="V109" i="15" s="1"/>
  <c r="AB109" i="15" s="1"/>
  <c r="AH109" i="15" s="1"/>
  <c r="AH109" i="27"/>
  <c r="W109" i="15" s="1"/>
  <c r="AF109" i="27"/>
  <c r="U109" i="15" s="1"/>
  <c r="AE109" i="27"/>
  <c r="T109" i="15" s="1"/>
  <c r="Z109" i="15" s="1"/>
  <c r="AF109" i="15" s="1"/>
  <c r="AC109" i="27"/>
  <c r="R109" i="15" s="1"/>
  <c r="X109" i="15" s="1"/>
  <c r="AD109" i="15" s="1"/>
  <c r="X110" i="27"/>
  <c r="Q24" i="24"/>
  <c r="R24" i="24" s="1"/>
  <c r="AA27" i="27"/>
  <c r="AN95" i="27"/>
  <c r="AP105" i="27"/>
  <c r="AM93" i="27"/>
  <c r="AP104" i="27"/>
  <c r="AO98" i="27"/>
  <c r="AM94" i="27"/>
  <c r="AQ113" i="27"/>
  <c r="AN96" i="27"/>
  <c r="AO100" i="27"/>
  <c r="AN97" i="27"/>
  <c r="AO99" i="27"/>
  <c r="AP103" i="27"/>
  <c r="AQ112" i="27"/>
  <c r="AO71" i="30" l="1"/>
  <c r="AJ71" i="30"/>
  <c r="AT71" i="30" s="1"/>
  <c r="AI71" i="30"/>
  <c r="AS71" i="30" s="1"/>
  <c r="AO202" i="30"/>
  <c r="AP202" i="30"/>
  <c r="AO159" i="30"/>
  <c r="AP159" i="30"/>
  <c r="AP110" i="30"/>
  <c r="AO110" i="30"/>
  <c r="AP73" i="30"/>
  <c r="AP27" i="30"/>
  <c r="AO27" i="30"/>
  <c r="AJ202" i="30"/>
  <c r="AT202" i="30" s="1"/>
  <c r="AL202" i="30"/>
  <c r="AV202" i="30" s="1"/>
  <c r="AK202" i="30"/>
  <c r="AU202" i="30" s="1"/>
  <c r="AG202" i="30"/>
  <c r="AQ202" i="30" s="1"/>
  <c r="AH202" i="30"/>
  <c r="AR202" i="30" s="1"/>
  <c r="AI202" i="30"/>
  <c r="AS202" i="30" s="1"/>
  <c r="AI159" i="30"/>
  <c r="AS159" i="30" s="1"/>
  <c r="AH159" i="30"/>
  <c r="AR159" i="30" s="1"/>
  <c r="AG159" i="30"/>
  <c r="AQ159" i="30" s="1"/>
  <c r="AJ159" i="30"/>
  <c r="AT159" i="30" s="1"/>
  <c r="AL159" i="30"/>
  <c r="AV159" i="30" s="1"/>
  <c r="AK159" i="30"/>
  <c r="AU159" i="30" s="1"/>
  <c r="AK110" i="30"/>
  <c r="AU110" i="30" s="1"/>
  <c r="AL110" i="30"/>
  <c r="AV110" i="30" s="1"/>
  <c r="AG110" i="30"/>
  <c r="AQ110" i="30" s="1"/>
  <c r="AH110" i="30"/>
  <c r="AR110" i="30" s="1"/>
  <c r="AJ110" i="30"/>
  <c r="AT110" i="30" s="1"/>
  <c r="AI110" i="30"/>
  <c r="AS110" i="30" s="1"/>
  <c r="AH73" i="30"/>
  <c r="AR73" i="30" s="1"/>
  <c r="AG73" i="30"/>
  <c r="AQ73" i="30" s="1"/>
  <c r="AL73" i="30"/>
  <c r="AV73" i="30" s="1"/>
  <c r="AK73" i="30"/>
  <c r="AU73" i="30" s="1"/>
  <c r="AK26" i="30"/>
  <c r="AU26" i="30" s="1"/>
  <c r="AL26" i="30"/>
  <c r="AV26" i="30" s="1"/>
  <c r="AI26" i="30"/>
  <c r="AS26" i="30" s="1"/>
  <c r="AH26" i="30"/>
  <c r="AR26" i="30" s="1"/>
  <c r="AG26" i="30"/>
  <c r="AQ26" i="30" s="1"/>
  <c r="AJ26" i="30"/>
  <c r="AT26" i="30" s="1"/>
  <c r="AB158" i="27"/>
  <c r="AA68" i="15"/>
  <c r="AG68" i="15" s="1"/>
  <c r="AL68" i="15"/>
  <c r="AP68" i="15" s="1"/>
  <c r="AA158" i="27"/>
  <c r="AC68" i="15"/>
  <c r="AI68" i="15" s="1"/>
  <c r="AN68" i="15"/>
  <c r="AR68" i="15" s="1"/>
  <c r="AM156" i="15"/>
  <c r="AQ156" i="15" s="1"/>
  <c r="AN156" i="15"/>
  <c r="AR156" i="15" s="1"/>
  <c r="AC156" i="15"/>
  <c r="AI156" i="15" s="1"/>
  <c r="AA203" i="27"/>
  <c r="AC201" i="27"/>
  <c r="R201" i="15" s="1"/>
  <c r="AF201" i="27"/>
  <c r="AH201" i="27"/>
  <c r="W201" i="15" s="1"/>
  <c r="AD201" i="27"/>
  <c r="S201" i="15" s="1"/>
  <c r="Y201" i="15" s="1"/>
  <c r="AE201" i="15" s="1"/>
  <c r="AG201" i="27"/>
  <c r="V201" i="15" s="1"/>
  <c r="AB201" i="15" s="1"/>
  <c r="AH201" i="15" s="1"/>
  <c r="AE201" i="27"/>
  <c r="T201" i="15" s="1"/>
  <c r="Z201" i="15" s="1"/>
  <c r="AF201" i="15" s="1"/>
  <c r="X202" i="27"/>
  <c r="X200" i="15"/>
  <c r="AD200" i="15" s="1"/>
  <c r="AB26" i="27"/>
  <c r="AG27" i="27"/>
  <c r="V27" i="15" s="1"/>
  <c r="AB27" i="15" s="1"/>
  <c r="AH27" i="15" s="1"/>
  <c r="AC27" i="27"/>
  <c r="R27" i="15" s="1"/>
  <c r="X27" i="15" s="1"/>
  <c r="AD27" i="15" s="1"/>
  <c r="AF27" i="27"/>
  <c r="U27" i="15" s="1"/>
  <c r="AD27" i="27"/>
  <c r="S27" i="15" s="1"/>
  <c r="Y27" i="15" s="1"/>
  <c r="AE27" i="15" s="1"/>
  <c r="AH27" i="27"/>
  <c r="W27" i="15" s="1"/>
  <c r="AE27" i="27"/>
  <c r="T27" i="15" s="1"/>
  <c r="Z27" i="15" s="1"/>
  <c r="AF27" i="15" s="1"/>
  <c r="X28" i="27"/>
  <c r="AB70" i="27"/>
  <c r="AK69" i="15"/>
  <c r="AO69" i="15" s="1"/>
  <c r="AL69" i="15"/>
  <c r="AP69" i="15" s="1"/>
  <c r="AA69" i="15"/>
  <c r="AG69" i="15" s="1"/>
  <c r="AB114" i="27"/>
  <c r="AK200" i="15"/>
  <c r="AO200" i="15" s="1"/>
  <c r="AA200" i="15"/>
  <c r="AG200" i="15" s="1"/>
  <c r="AL200" i="15"/>
  <c r="AP200" i="15" s="1"/>
  <c r="AA110" i="27"/>
  <c r="AM69" i="15"/>
  <c r="AQ69" i="15" s="1"/>
  <c r="AC69" i="15"/>
  <c r="AI69" i="15" s="1"/>
  <c r="AN69" i="15"/>
  <c r="AR69" i="15" s="1"/>
  <c r="AA108" i="15"/>
  <c r="AL108" i="15"/>
  <c r="AP108" i="15" s="1"/>
  <c r="AE157" i="27"/>
  <c r="T157" i="15" s="1"/>
  <c r="Z157" i="15" s="1"/>
  <c r="AF157" i="15" s="1"/>
  <c r="AD157" i="27"/>
  <c r="S157" i="15" s="1"/>
  <c r="Y157" i="15" s="1"/>
  <c r="AE157" i="15" s="1"/>
  <c r="AF157" i="27"/>
  <c r="U157" i="15" s="1"/>
  <c r="AC157" i="27"/>
  <c r="R157" i="15" s="1"/>
  <c r="X157" i="15" s="1"/>
  <c r="AD157" i="15" s="1"/>
  <c r="AG157" i="27"/>
  <c r="V157" i="15" s="1"/>
  <c r="AB157" i="15" s="1"/>
  <c r="AH157" i="15" s="1"/>
  <c r="AH157" i="27"/>
  <c r="X158" i="27"/>
  <c r="U26" i="15"/>
  <c r="AK26" i="15" s="1"/>
  <c r="AO26" i="15" s="1"/>
  <c r="AA72" i="27"/>
  <c r="AA155" i="15"/>
  <c r="AG155" i="15" s="1"/>
  <c r="AL155" i="15"/>
  <c r="AP155" i="15" s="1"/>
  <c r="AC110" i="27"/>
  <c r="R110" i="15" s="1"/>
  <c r="X110" i="15" s="1"/>
  <c r="AD110" i="15" s="1"/>
  <c r="AF110" i="27"/>
  <c r="U110" i="15" s="1"/>
  <c r="AD110" i="27"/>
  <c r="S110" i="15" s="1"/>
  <c r="Y110" i="15" s="1"/>
  <c r="AE110" i="15" s="1"/>
  <c r="AE110" i="27"/>
  <c r="T110" i="15" s="1"/>
  <c r="Z110" i="15" s="1"/>
  <c r="AF110" i="15" s="1"/>
  <c r="AG110" i="27"/>
  <c r="V110" i="15" s="1"/>
  <c r="AB110" i="15" s="1"/>
  <c r="AH110" i="15" s="1"/>
  <c r="AH110" i="27"/>
  <c r="X111" i="27"/>
  <c r="AA28" i="27"/>
  <c r="AK109" i="15"/>
  <c r="AO109" i="15" s="1"/>
  <c r="AL109" i="15"/>
  <c r="AP109" i="15" s="1"/>
  <c r="AA109" i="15"/>
  <c r="AG109" i="15" s="1"/>
  <c r="AH70" i="27"/>
  <c r="W70" i="15" s="1"/>
  <c r="AD70" i="27"/>
  <c r="S70" i="15" s="1"/>
  <c r="Y70" i="15" s="1"/>
  <c r="AE70" i="15" s="1"/>
  <c r="AE70" i="27"/>
  <c r="T70" i="15" s="1"/>
  <c r="Z70" i="15" s="1"/>
  <c r="AF70" i="15" s="1"/>
  <c r="AG70" i="27"/>
  <c r="V70" i="15" s="1"/>
  <c r="AB70" i="15" s="1"/>
  <c r="AH70" i="15" s="1"/>
  <c r="AC70" i="27"/>
  <c r="R70" i="15" s="1"/>
  <c r="AF70" i="27"/>
  <c r="U70" i="15" s="1"/>
  <c r="X71" i="27"/>
  <c r="X69" i="15"/>
  <c r="AD69" i="15" s="1"/>
  <c r="U156" i="15"/>
  <c r="AK156" i="15" s="1"/>
  <c r="AO156" i="15" s="1"/>
  <c r="Q199" i="24"/>
  <c r="R199" i="24" s="1"/>
  <c r="Q25" i="24"/>
  <c r="R25" i="24" s="1"/>
  <c r="Q107" i="24"/>
  <c r="R107" i="24" s="1"/>
  <c r="AM109" i="15"/>
  <c r="AQ109" i="15" s="1"/>
  <c r="AC109" i="15"/>
  <c r="AI109" i="15" s="1"/>
  <c r="AN109" i="15"/>
  <c r="AR109" i="15" s="1"/>
  <c r="W200" i="15"/>
  <c r="AM200" i="15" s="1"/>
  <c r="AQ200" i="15" s="1"/>
  <c r="AM26" i="15"/>
  <c r="AQ26" i="15" s="1"/>
  <c r="AC26" i="15"/>
  <c r="AI26" i="15" s="1"/>
  <c r="AN26" i="15"/>
  <c r="AR26" i="15" s="1"/>
  <c r="AB202" i="27"/>
  <c r="Q67" i="24"/>
  <c r="R67" i="24" s="1"/>
  <c r="AM97" i="27"/>
  <c r="AQ115" i="27"/>
  <c r="AO101" i="27"/>
  <c r="AQ116" i="27"/>
  <c r="AO102" i="27"/>
  <c r="AN99" i="27"/>
  <c r="AM95" i="27"/>
  <c r="AN98" i="27"/>
  <c r="AM96" i="27"/>
  <c r="AP107" i="27"/>
  <c r="AP106" i="27"/>
  <c r="AQ114" i="27"/>
  <c r="AI72" i="30" l="1"/>
  <c r="AS72" i="30" s="1"/>
  <c r="AJ72" i="30"/>
  <c r="AT72" i="30" s="1"/>
  <c r="AO72" i="30"/>
  <c r="AP203" i="30"/>
  <c r="AO203" i="30"/>
  <c r="AP160" i="30"/>
  <c r="AO160" i="30"/>
  <c r="AO111" i="30"/>
  <c r="AP111" i="30"/>
  <c r="AP74" i="30"/>
  <c r="AO28" i="30"/>
  <c r="AP28" i="30"/>
  <c r="AI203" i="30"/>
  <c r="AS203" i="30" s="1"/>
  <c r="AH203" i="30"/>
  <c r="AR203" i="30" s="1"/>
  <c r="AG203" i="30"/>
  <c r="AQ203" i="30" s="1"/>
  <c r="AL203" i="30"/>
  <c r="AV203" i="30" s="1"/>
  <c r="AK203" i="30"/>
  <c r="AU203" i="30" s="1"/>
  <c r="AJ203" i="30"/>
  <c r="AT203" i="30" s="1"/>
  <c r="AL160" i="30"/>
  <c r="AV160" i="30" s="1"/>
  <c r="AK160" i="30"/>
  <c r="AU160" i="30" s="1"/>
  <c r="AJ160" i="30"/>
  <c r="AT160" i="30" s="1"/>
  <c r="AG160" i="30"/>
  <c r="AQ160" i="30" s="1"/>
  <c r="AH160" i="30"/>
  <c r="AR160" i="30" s="1"/>
  <c r="AI160" i="30"/>
  <c r="AS160" i="30" s="1"/>
  <c r="AI111" i="30"/>
  <c r="AS111" i="30" s="1"/>
  <c r="AJ111" i="30"/>
  <c r="AT111" i="30" s="1"/>
  <c r="AH111" i="30"/>
  <c r="AR111" i="30" s="1"/>
  <c r="AG111" i="30"/>
  <c r="AQ111" i="30" s="1"/>
  <c r="AL111" i="30"/>
  <c r="AV111" i="30" s="1"/>
  <c r="AK111" i="30"/>
  <c r="AU111" i="30" s="1"/>
  <c r="AL74" i="30"/>
  <c r="AV74" i="30" s="1"/>
  <c r="AK74" i="30"/>
  <c r="AU74" i="30" s="1"/>
  <c r="AG74" i="30"/>
  <c r="AQ74" i="30" s="1"/>
  <c r="AH74" i="30"/>
  <c r="AR74" i="30" s="1"/>
  <c r="AH27" i="30"/>
  <c r="AR27" i="30" s="1"/>
  <c r="AG27" i="30"/>
  <c r="AQ27" i="30" s="1"/>
  <c r="AI27" i="30"/>
  <c r="AS27" i="30" s="1"/>
  <c r="AJ27" i="30"/>
  <c r="AT27" i="30" s="1"/>
  <c r="AL27" i="30"/>
  <c r="AV27" i="30" s="1"/>
  <c r="AK27" i="30"/>
  <c r="AU27" i="30" s="1"/>
  <c r="AB159" i="27"/>
  <c r="Q109" i="24"/>
  <c r="R109" i="24" s="1"/>
  <c r="Q68" i="24"/>
  <c r="R68" i="24" s="1"/>
  <c r="AB203" i="27"/>
  <c r="AK70" i="15"/>
  <c r="AO70" i="15" s="1"/>
  <c r="AA70" i="15"/>
  <c r="AG70" i="15" s="1"/>
  <c r="AL70" i="15"/>
  <c r="AP70" i="15" s="1"/>
  <c r="W110" i="15"/>
  <c r="AM110" i="15" s="1"/>
  <c r="AQ110" i="15" s="1"/>
  <c r="AB27" i="27"/>
  <c r="X70" i="15"/>
  <c r="AD70" i="15" s="1"/>
  <c r="AG158" i="27"/>
  <c r="V158" i="15" s="1"/>
  <c r="AB158" i="15" s="1"/>
  <c r="AH158" i="15" s="1"/>
  <c r="AH158" i="27"/>
  <c r="AF158" i="27"/>
  <c r="AD158" i="27"/>
  <c r="S158" i="15" s="1"/>
  <c r="Y158" i="15" s="1"/>
  <c r="AE158" i="15" s="1"/>
  <c r="AC158" i="27"/>
  <c r="R158" i="15" s="1"/>
  <c r="X158" i="15" s="1"/>
  <c r="AD158" i="15" s="1"/>
  <c r="AE158" i="27"/>
  <c r="T158" i="15" s="1"/>
  <c r="Z158" i="15" s="1"/>
  <c r="AF158" i="15" s="1"/>
  <c r="X159" i="27"/>
  <c r="AA111" i="27"/>
  <c r="AM27" i="15"/>
  <c r="AQ27" i="15" s="1"/>
  <c r="AC27" i="15"/>
  <c r="AI27" i="15" s="1"/>
  <c r="AN27" i="15"/>
  <c r="AR27" i="15" s="1"/>
  <c r="AA204" i="27"/>
  <c r="AA159" i="27"/>
  <c r="Q69" i="24"/>
  <c r="R69" i="24" s="1"/>
  <c r="AA29" i="27"/>
  <c r="AA73" i="27"/>
  <c r="AG108" i="15"/>
  <c r="Q108" i="24"/>
  <c r="R108" i="24" s="1"/>
  <c r="AK27" i="15"/>
  <c r="AO27" i="15" s="1"/>
  <c r="AA27" i="15"/>
  <c r="AG27" i="15" s="1"/>
  <c r="AL27" i="15"/>
  <c r="AP27" i="15" s="1"/>
  <c r="AM201" i="15"/>
  <c r="AQ201" i="15" s="1"/>
  <c r="AN201" i="15"/>
  <c r="AR201" i="15" s="1"/>
  <c r="AC201" i="15"/>
  <c r="AI201" i="15" s="1"/>
  <c r="AL156" i="15"/>
  <c r="AP156" i="15" s="1"/>
  <c r="AA156" i="15"/>
  <c r="AG156" i="15" s="1"/>
  <c r="AB71" i="27"/>
  <c r="U201" i="15"/>
  <c r="W157" i="15"/>
  <c r="AK110" i="15"/>
  <c r="AO110" i="15" s="1"/>
  <c r="AA110" i="15"/>
  <c r="AG110" i="15" s="1"/>
  <c r="AL110" i="15"/>
  <c r="AP110" i="15" s="1"/>
  <c r="AN200" i="15"/>
  <c r="AR200" i="15" s="1"/>
  <c r="AC200" i="15"/>
  <c r="AI200" i="15" s="1"/>
  <c r="AF71" i="27"/>
  <c r="AC71" i="27"/>
  <c r="R71" i="15" s="1"/>
  <c r="AD71" i="27"/>
  <c r="S71" i="15" s="1"/>
  <c r="Y71" i="15" s="1"/>
  <c r="AE71" i="15" s="1"/>
  <c r="AH71" i="27"/>
  <c r="AG71" i="27"/>
  <c r="V71" i="15" s="1"/>
  <c r="AB71" i="15" s="1"/>
  <c r="AH71" i="15" s="1"/>
  <c r="AE71" i="27"/>
  <c r="T71" i="15" s="1"/>
  <c r="Z71" i="15" s="1"/>
  <c r="AF71" i="15" s="1"/>
  <c r="X72" i="27"/>
  <c r="AM70" i="15"/>
  <c r="AQ70" i="15" s="1"/>
  <c r="AC70" i="15"/>
  <c r="AI70" i="15" s="1"/>
  <c r="AN70" i="15"/>
  <c r="AR70" i="15" s="1"/>
  <c r="AF111" i="27"/>
  <c r="U111" i="15" s="1"/>
  <c r="AH111" i="27"/>
  <c r="W111" i="15" s="1"/>
  <c r="AC111" i="27"/>
  <c r="R111" i="15" s="1"/>
  <c r="X111" i="15" s="1"/>
  <c r="AD111" i="15" s="1"/>
  <c r="AG111" i="27"/>
  <c r="V111" i="15" s="1"/>
  <c r="AB111" i="15" s="1"/>
  <c r="AH111" i="15" s="1"/>
  <c r="AE111" i="27"/>
  <c r="T111" i="15" s="1"/>
  <c r="Z111" i="15" s="1"/>
  <c r="AF111" i="15" s="1"/>
  <c r="AD111" i="27"/>
  <c r="S111" i="15" s="1"/>
  <c r="Y111" i="15" s="1"/>
  <c r="AE111" i="15" s="1"/>
  <c r="X112" i="27"/>
  <c r="AK157" i="15"/>
  <c r="AO157" i="15" s="1"/>
  <c r="AL157" i="15"/>
  <c r="AP157" i="15" s="1"/>
  <c r="AA157" i="15"/>
  <c r="AG157" i="15" s="1"/>
  <c r="AF28" i="27"/>
  <c r="AD28" i="27"/>
  <c r="S28" i="15" s="1"/>
  <c r="Y28" i="15" s="1"/>
  <c r="AE28" i="15" s="1"/>
  <c r="AC28" i="27"/>
  <c r="R28" i="15" s="1"/>
  <c r="X28" i="15" s="1"/>
  <c r="AD28" i="15" s="1"/>
  <c r="AE28" i="27"/>
  <c r="T28" i="15" s="1"/>
  <c r="Z28" i="15" s="1"/>
  <c r="AF28" i="15" s="1"/>
  <c r="AG28" i="27"/>
  <c r="V28" i="15" s="1"/>
  <c r="AB28" i="15" s="1"/>
  <c r="AH28" i="15" s="1"/>
  <c r="AH28" i="27"/>
  <c r="X29" i="27"/>
  <c r="AH202" i="27"/>
  <c r="W202" i="15" s="1"/>
  <c r="AF202" i="27"/>
  <c r="U202" i="15" s="1"/>
  <c r="AE202" i="27"/>
  <c r="T202" i="15" s="1"/>
  <c r="Z202" i="15" s="1"/>
  <c r="AF202" i="15" s="1"/>
  <c r="AC202" i="27"/>
  <c r="R202" i="15" s="1"/>
  <c r="AG202" i="27"/>
  <c r="V202" i="15" s="1"/>
  <c r="AB202" i="15" s="1"/>
  <c r="AH202" i="15" s="1"/>
  <c r="AD202" i="27"/>
  <c r="S202" i="15" s="1"/>
  <c r="Y202" i="15" s="1"/>
  <c r="AE202" i="15" s="1"/>
  <c r="X203" i="27"/>
  <c r="X201" i="15"/>
  <c r="AD201" i="15" s="1"/>
  <c r="Q155" i="24"/>
  <c r="R155" i="24" s="1"/>
  <c r="AA26" i="15"/>
  <c r="AG26" i="15" s="1"/>
  <c r="AL26" i="15"/>
  <c r="AP26" i="15" s="1"/>
  <c r="AB115" i="27"/>
  <c r="AP109" i="27"/>
  <c r="AM99" i="27"/>
  <c r="AN100" i="27"/>
  <c r="AN101" i="27"/>
  <c r="AQ118" i="27"/>
  <c r="AQ117" i="27"/>
  <c r="AO104" i="27"/>
  <c r="AP108" i="27"/>
  <c r="AO103" i="27"/>
  <c r="AM98" i="27"/>
  <c r="AO73" i="30" l="1"/>
  <c r="AJ73" i="30"/>
  <c r="AT73" i="30" s="1"/>
  <c r="AI73" i="30"/>
  <c r="AS73" i="30" s="1"/>
  <c r="AO204" i="30"/>
  <c r="AP204" i="30"/>
  <c r="AO161" i="30"/>
  <c r="AP161" i="30"/>
  <c r="AP112" i="30"/>
  <c r="AO112" i="30"/>
  <c r="AP75" i="30"/>
  <c r="AP29" i="30"/>
  <c r="AO29" i="30"/>
  <c r="AJ204" i="30"/>
  <c r="AT204" i="30" s="1"/>
  <c r="AL204" i="30"/>
  <c r="AV204" i="30" s="1"/>
  <c r="AK204" i="30"/>
  <c r="AU204" i="30" s="1"/>
  <c r="AG204" i="30"/>
  <c r="AQ204" i="30" s="1"/>
  <c r="AH204" i="30"/>
  <c r="AR204" i="30" s="1"/>
  <c r="AI204" i="30"/>
  <c r="AS204" i="30" s="1"/>
  <c r="AI161" i="30"/>
  <c r="AS161" i="30" s="1"/>
  <c r="AH161" i="30"/>
  <c r="AR161" i="30" s="1"/>
  <c r="AG161" i="30"/>
  <c r="AQ161" i="30" s="1"/>
  <c r="AJ161" i="30"/>
  <c r="AT161" i="30" s="1"/>
  <c r="AK161" i="30"/>
  <c r="AU161" i="30" s="1"/>
  <c r="AL161" i="30"/>
  <c r="AV161" i="30" s="1"/>
  <c r="AL112" i="30"/>
  <c r="AV112" i="30" s="1"/>
  <c r="AK112" i="30"/>
  <c r="AU112" i="30" s="1"/>
  <c r="AG112" i="30"/>
  <c r="AQ112" i="30" s="1"/>
  <c r="AH112" i="30"/>
  <c r="AR112" i="30" s="1"/>
  <c r="AJ112" i="30"/>
  <c r="AT112" i="30" s="1"/>
  <c r="AI112" i="30"/>
  <c r="AS112" i="30" s="1"/>
  <c r="AH75" i="30"/>
  <c r="AR75" i="30" s="1"/>
  <c r="AG75" i="30"/>
  <c r="AQ75" i="30" s="1"/>
  <c r="AL75" i="30"/>
  <c r="AV75" i="30" s="1"/>
  <c r="AK75" i="30"/>
  <c r="AU75" i="30" s="1"/>
  <c r="AJ28" i="30"/>
  <c r="AT28" i="30" s="1"/>
  <c r="AI28" i="30"/>
  <c r="AS28" i="30" s="1"/>
  <c r="AG28" i="30"/>
  <c r="AQ28" i="30" s="1"/>
  <c r="AK28" i="30"/>
  <c r="AU28" i="30" s="1"/>
  <c r="AL28" i="30"/>
  <c r="AV28" i="30" s="1"/>
  <c r="AH28" i="30"/>
  <c r="AR28" i="30" s="1"/>
  <c r="Q156" i="24"/>
  <c r="R156" i="24" s="1"/>
  <c r="Q26" i="24"/>
  <c r="R26" i="24" s="1"/>
  <c r="AB160" i="27"/>
  <c r="Q27" i="24"/>
  <c r="R27" i="24" s="1"/>
  <c r="AD72" i="27"/>
  <c r="S72" i="15" s="1"/>
  <c r="Y72" i="15" s="1"/>
  <c r="AE72" i="15" s="1"/>
  <c r="AE72" i="27"/>
  <c r="T72" i="15" s="1"/>
  <c r="Z72" i="15" s="1"/>
  <c r="AF72" i="15" s="1"/>
  <c r="AH72" i="27"/>
  <c r="AG72" i="27"/>
  <c r="V72" i="15" s="1"/>
  <c r="AB72" i="15" s="1"/>
  <c r="AH72" i="15" s="1"/>
  <c r="AC72" i="27"/>
  <c r="R72" i="15" s="1"/>
  <c r="AF72" i="27"/>
  <c r="U72" i="15" s="1"/>
  <c r="X73" i="27"/>
  <c r="AF112" i="27"/>
  <c r="U112" i="15" s="1"/>
  <c r="AG112" i="27"/>
  <c r="V112" i="15" s="1"/>
  <c r="AB112" i="15" s="1"/>
  <c r="AH112" i="15" s="1"/>
  <c r="AC112" i="27"/>
  <c r="R112" i="15" s="1"/>
  <c r="X112" i="15" s="1"/>
  <c r="AD112" i="15" s="1"/>
  <c r="AH112" i="27"/>
  <c r="W112" i="15" s="1"/>
  <c r="AD112" i="27"/>
  <c r="S112" i="15" s="1"/>
  <c r="Y112" i="15" s="1"/>
  <c r="AE112" i="15" s="1"/>
  <c r="AE112" i="27"/>
  <c r="T112" i="15" s="1"/>
  <c r="Z112" i="15" s="1"/>
  <c r="AF112" i="15" s="1"/>
  <c r="X113" i="27"/>
  <c r="AA30" i="27"/>
  <c r="AL201" i="15"/>
  <c r="AP201" i="15" s="1"/>
  <c r="AA201" i="15"/>
  <c r="AG201" i="15" s="1"/>
  <c r="Q70" i="24"/>
  <c r="R70" i="24" s="1"/>
  <c r="W28" i="15"/>
  <c r="X71" i="15"/>
  <c r="AD71" i="15" s="1"/>
  <c r="AB72" i="27"/>
  <c r="AA160" i="27"/>
  <c r="AA74" i="27"/>
  <c r="AB28" i="27"/>
  <c r="AB204" i="27"/>
  <c r="AM111" i="15"/>
  <c r="AQ111" i="15" s="1"/>
  <c r="AC111" i="15"/>
  <c r="AI111" i="15" s="1"/>
  <c r="AN111" i="15"/>
  <c r="AR111" i="15" s="1"/>
  <c r="AM157" i="15"/>
  <c r="AQ157" i="15" s="1"/>
  <c r="AA205" i="27"/>
  <c r="AA112" i="27"/>
  <c r="U158" i="15"/>
  <c r="AK158" i="15" s="1"/>
  <c r="AO158" i="15" s="1"/>
  <c r="Q200" i="24"/>
  <c r="R200" i="24" s="1"/>
  <c r="W158" i="15"/>
  <c r="AM158" i="15" s="1"/>
  <c r="AQ158" i="15" s="1"/>
  <c r="AN110" i="15"/>
  <c r="AR110" i="15" s="1"/>
  <c r="AC110" i="15"/>
  <c r="X202" i="15"/>
  <c r="AD202" i="15" s="1"/>
  <c r="AB116" i="27"/>
  <c r="AK111" i="15"/>
  <c r="AO111" i="15" s="1"/>
  <c r="AA111" i="15"/>
  <c r="AG111" i="15" s="1"/>
  <c r="AL111" i="15"/>
  <c r="AP111" i="15" s="1"/>
  <c r="AC203" i="27"/>
  <c r="R203" i="15" s="1"/>
  <c r="AD203" i="27"/>
  <c r="S203" i="15" s="1"/>
  <c r="Y203" i="15" s="1"/>
  <c r="AE203" i="15" s="1"/>
  <c r="AE203" i="27"/>
  <c r="T203" i="15" s="1"/>
  <c r="Z203" i="15" s="1"/>
  <c r="AF203" i="15" s="1"/>
  <c r="AF203" i="27"/>
  <c r="AG203" i="27"/>
  <c r="V203" i="15" s="1"/>
  <c r="AB203" i="15" s="1"/>
  <c r="AH203" i="15" s="1"/>
  <c r="AH203" i="27"/>
  <c r="W203" i="15" s="1"/>
  <c r="X204" i="27"/>
  <c r="AM202" i="15"/>
  <c r="AQ202" i="15" s="1"/>
  <c r="AN202" i="15"/>
  <c r="AR202" i="15" s="1"/>
  <c r="AC202" i="15"/>
  <c r="AI202" i="15" s="1"/>
  <c r="W71" i="15"/>
  <c r="AM71" i="15" s="1"/>
  <c r="AQ71" i="15" s="1"/>
  <c r="AK201" i="15"/>
  <c r="AO201" i="15" s="1"/>
  <c r="AG159" i="27"/>
  <c r="V159" i="15" s="1"/>
  <c r="AB159" i="15" s="1"/>
  <c r="AH159" i="15" s="1"/>
  <c r="AC159" i="27"/>
  <c r="R159" i="15" s="1"/>
  <c r="X159" i="15" s="1"/>
  <c r="AD159" i="15" s="1"/>
  <c r="AD159" i="27"/>
  <c r="S159" i="15" s="1"/>
  <c r="Y159" i="15" s="1"/>
  <c r="AE159" i="15" s="1"/>
  <c r="AH159" i="27"/>
  <c r="W159" i="15" s="1"/>
  <c r="AF159" i="27"/>
  <c r="U159" i="15" s="1"/>
  <c r="AE159" i="27"/>
  <c r="T159" i="15" s="1"/>
  <c r="Z159" i="15" s="1"/>
  <c r="AF159" i="15" s="1"/>
  <c r="X160" i="27"/>
  <c r="U71" i="15"/>
  <c r="AK71" i="15" s="1"/>
  <c r="AO71" i="15" s="1"/>
  <c r="AK202" i="15"/>
  <c r="AO202" i="15" s="1"/>
  <c r="AL202" i="15"/>
  <c r="AP202" i="15" s="1"/>
  <c r="AA202" i="15"/>
  <c r="AG202" i="15" s="1"/>
  <c r="AC157" i="15"/>
  <c r="AI157" i="15" s="1"/>
  <c r="AN157" i="15"/>
  <c r="AR157" i="15" s="1"/>
  <c r="AH29" i="27"/>
  <c r="AE29" i="27"/>
  <c r="T29" i="15" s="1"/>
  <c r="Z29" i="15" s="1"/>
  <c r="AF29" i="15" s="1"/>
  <c r="AF29" i="27"/>
  <c r="U29" i="15" s="1"/>
  <c r="AG29" i="27"/>
  <c r="V29" i="15" s="1"/>
  <c r="AB29" i="15" s="1"/>
  <c r="AH29" i="15" s="1"/>
  <c r="AD29" i="27"/>
  <c r="S29" i="15" s="1"/>
  <c r="Y29" i="15" s="1"/>
  <c r="AE29" i="15" s="1"/>
  <c r="AC29" i="27"/>
  <c r="R29" i="15" s="1"/>
  <c r="X29" i="15" s="1"/>
  <c r="AD29" i="15" s="1"/>
  <c r="X30" i="27"/>
  <c r="U28" i="15"/>
  <c r="AN102" i="27"/>
  <c r="AO106" i="27"/>
  <c r="AP110" i="27"/>
  <c r="AQ119" i="27"/>
  <c r="AO105" i="27"/>
  <c r="AN103" i="27"/>
  <c r="AM100" i="27"/>
  <c r="AJ74" i="30" l="1"/>
  <c r="AT74" i="30" s="1"/>
  <c r="AI74" i="30"/>
  <c r="AS74" i="30" s="1"/>
  <c r="AO74" i="30"/>
  <c r="AP205" i="30"/>
  <c r="AO205" i="30"/>
  <c r="AP162" i="30"/>
  <c r="AO162" i="30"/>
  <c r="AO113" i="30"/>
  <c r="AP113" i="30"/>
  <c r="AP76" i="30"/>
  <c r="AO30" i="30"/>
  <c r="AP30" i="30"/>
  <c r="AI205" i="30"/>
  <c r="AS205" i="30" s="1"/>
  <c r="AH205" i="30"/>
  <c r="AR205" i="30" s="1"/>
  <c r="AG205" i="30"/>
  <c r="AQ205" i="30" s="1"/>
  <c r="AL205" i="30"/>
  <c r="AV205" i="30" s="1"/>
  <c r="AK205" i="30"/>
  <c r="AU205" i="30" s="1"/>
  <c r="AJ205" i="30"/>
  <c r="AT205" i="30" s="1"/>
  <c r="AL162" i="30"/>
  <c r="AV162" i="30" s="1"/>
  <c r="AK162" i="30"/>
  <c r="AU162" i="30" s="1"/>
  <c r="AJ162" i="30"/>
  <c r="AT162" i="30" s="1"/>
  <c r="AG162" i="30"/>
  <c r="AQ162" i="30" s="1"/>
  <c r="AH162" i="30"/>
  <c r="AR162" i="30" s="1"/>
  <c r="AI162" i="30"/>
  <c r="AS162" i="30" s="1"/>
  <c r="AI113" i="30"/>
  <c r="AS113" i="30" s="1"/>
  <c r="AJ113" i="30"/>
  <c r="AT113" i="30" s="1"/>
  <c r="AH113" i="30"/>
  <c r="AR113" i="30" s="1"/>
  <c r="AG113" i="30"/>
  <c r="AQ113" i="30" s="1"/>
  <c r="AL113" i="30"/>
  <c r="AV113" i="30" s="1"/>
  <c r="AK113" i="30"/>
  <c r="AU113" i="30" s="1"/>
  <c r="AL76" i="30"/>
  <c r="AV76" i="30" s="1"/>
  <c r="AK76" i="30"/>
  <c r="AU76" i="30" s="1"/>
  <c r="AG76" i="30"/>
  <c r="AQ76" i="30" s="1"/>
  <c r="AH76" i="30"/>
  <c r="AR76" i="30" s="1"/>
  <c r="AH29" i="30"/>
  <c r="AR29" i="30" s="1"/>
  <c r="AK29" i="30"/>
  <c r="AU29" i="30" s="1"/>
  <c r="AL29" i="30"/>
  <c r="AV29" i="30" s="1"/>
  <c r="AG29" i="30"/>
  <c r="AQ29" i="30" s="1"/>
  <c r="AI29" i="30"/>
  <c r="AS29" i="30" s="1"/>
  <c r="AJ29" i="30"/>
  <c r="AT29" i="30" s="1"/>
  <c r="Q111" i="24"/>
  <c r="R111" i="24" s="1"/>
  <c r="Q201" i="24"/>
  <c r="R201" i="24" s="1"/>
  <c r="AB161" i="27"/>
  <c r="AC28" i="15"/>
  <c r="AI28" i="15" s="1"/>
  <c r="AN28" i="15"/>
  <c r="AR28" i="15" s="1"/>
  <c r="AN158" i="15"/>
  <c r="AR158" i="15" s="1"/>
  <c r="AC158" i="15"/>
  <c r="AI158" i="15" s="1"/>
  <c r="AK28" i="15"/>
  <c r="AO28" i="15" s="1"/>
  <c r="AK29" i="15"/>
  <c r="AO29" i="15" s="1"/>
  <c r="AL29" i="15"/>
  <c r="AP29" i="15" s="1"/>
  <c r="AA29" i="15"/>
  <c r="AG29" i="15" s="1"/>
  <c r="AK159" i="15"/>
  <c r="AO159" i="15" s="1"/>
  <c r="AA159" i="15"/>
  <c r="AG159" i="15" s="1"/>
  <c r="AL159" i="15"/>
  <c r="AP159" i="15" s="1"/>
  <c r="Q202" i="24"/>
  <c r="R202" i="24" s="1"/>
  <c r="AB205" i="27"/>
  <c r="AB73" i="27"/>
  <c r="AK72" i="15"/>
  <c r="AO72" i="15" s="1"/>
  <c r="AL72" i="15"/>
  <c r="AP72" i="15" s="1"/>
  <c r="AA72" i="15"/>
  <c r="AG72" i="15" s="1"/>
  <c r="Q157" i="24"/>
  <c r="R157" i="24" s="1"/>
  <c r="AL28" i="15"/>
  <c r="AP28" i="15" s="1"/>
  <c r="AA28" i="15"/>
  <c r="AG28" i="15" s="1"/>
  <c r="AM159" i="15"/>
  <c r="AQ159" i="15" s="1"/>
  <c r="AC159" i="15"/>
  <c r="AI159" i="15" s="1"/>
  <c r="AN159" i="15"/>
  <c r="AR159" i="15" s="1"/>
  <c r="X203" i="15"/>
  <c r="AD203" i="15" s="1"/>
  <c r="AI110" i="15"/>
  <c r="Q110" i="24"/>
  <c r="R110" i="24" s="1"/>
  <c r="AA75" i="27"/>
  <c r="AC71" i="15"/>
  <c r="AI71" i="15" s="1"/>
  <c r="AN71" i="15"/>
  <c r="AR71" i="15" s="1"/>
  <c r="AA113" i="27"/>
  <c r="AM28" i="15"/>
  <c r="AQ28" i="15" s="1"/>
  <c r="W72" i="15"/>
  <c r="AM72" i="15" s="1"/>
  <c r="AQ72" i="15" s="1"/>
  <c r="AM203" i="15"/>
  <c r="AQ203" i="15" s="1"/>
  <c r="AC203" i="15"/>
  <c r="AI203" i="15" s="1"/>
  <c r="AN203" i="15"/>
  <c r="AR203" i="15" s="1"/>
  <c r="AA31" i="27"/>
  <c r="AE160" i="27"/>
  <c r="T160" i="15" s="1"/>
  <c r="Z160" i="15" s="1"/>
  <c r="AF160" i="15" s="1"/>
  <c r="AF160" i="27"/>
  <c r="U160" i="15" s="1"/>
  <c r="AD160" i="27"/>
  <c r="S160" i="15" s="1"/>
  <c r="Y160" i="15" s="1"/>
  <c r="AE160" i="15" s="1"/>
  <c r="AH160" i="27"/>
  <c r="AC160" i="27"/>
  <c r="R160" i="15" s="1"/>
  <c r="X160" i="15" s="1"/>
  <c r="AD160" i="15" s="1"/>
  <c r="AG160" i="27"/>
  <c r="V160" i="15" s="1"/>
  <c r="AB160" i="15" s="1"/>
  <c r="AH160" i="15" s="1"/>
  <c r="X161" i="27"/>
  <c r="AA161" i="27"/>
  <c r="AC113" i="27"/>
  <c r="R113" i="15" s="1"/>
  <c r="X113" i="15" s="1"/>
  <c r="AD113" i="15" s="1"/>
  <c r="AG113" i="27"/>
  <c r="V113" i="15" s="1"/>
  <c r="AB113" i="15" s="1"/>
  <c r="AH113" i="15" s="1"/>
  <c r="AH113" i="27"/>
  <c r="W113" i="15" s="1"/>
  <c r="AF113" i="27"/>
  <c r="U113" i="15" s="1"/>
  <c r="AD113" i="27"/>
  <c r="S113" i="15" s="1"/>
  <c r="Y113" i="15" s="1"/>
  <c r="AE113" i="15" s="1"/>
  <c r="AE113" i="27"/>
  <c r="T113" i="15" s="1"/>
  <c r="Z113" i="15" s="1"/>
  <c r="AF113" i="15" s="1"/>
  <c r="X114" i="27"/>
  <c r="AK112" i="15"/>
  <c r="AO112" i="15" s="1"/>
  <c r="AL112" i="15"/>
  <c r="AP112" i="15" s="1"/>
  <c r="AA112" i="15"/>
  <c r="AG112" i="15" s="1"/>
  <c r="AC204" i="27"/>
  <c r="R204" i="15" s="1"/>
  <c r="AE204" i="27"/>
  <c r="T204" i="15" s="1"/>
  <c r="Z204" i="15" s="1"/>
  <c r="AF204" i="15" s="1"/>
  <c r="AG204" i="27"/>
  <c r="V204" i="15" s="1"/>
  <c r="AB204" i="15" s="1"/>
  <c r="AH204" i="15" s="1"/>
  <c r="AH204" i="27"/>
  <c r="AD204" i="27"/>
  <c r="S204" i="15" s="1"/>
  <c r="Y204" i="15" s="1"/>
  <c r="AE204" i="15" s="1"/>
  <c r="AF204" i="27"/>
  <c r="X205" i="27"/>
  <c r="AB29" i="27"/>
  <c r="AM112" i="15"/>
  <c r="AQ112" i="15" s="1"/>
  <c r="AN112" i="15"/>
  <c r="AR112" i="15" s="1"/>
  <c r="AC112" i="15"/>
  <c r="AI112" i="15" s="1"/>
  <c r="X72" i="15"/>
  <c r="AD72" i="15" s="1"/>
  <c r="AH30" i="27"/>
  <c r="AC30" i="27"/>
  <c r="R30" i="15" s="1"/>
  <c r="X30" i="15" s="1"/>
  <c r="AD30" i="15" s="1"/>
  <c r="AF30" i="27"/>
  <c r="AE30" i="27"/>
  <c r="T30" i="15" s="1"/>
  <c r="Z30" i="15" s="1"/>
  <c r="AF30" i="15" s="1"/>
  <c r="AD30" i="27"/>
  <c r="S30" i="15" s="1"/>
  <c r="Y30" i="15" s="1"/>
  <c r="AE30" i="15" s="1"/>
  <c r="AG30" i="27"/>
  <c r="V30" i="15" s="1"/>
  <c r="AB30" i="15" s="1"/>
  <c r="AH30" i="15" s="1"/>
  <c r="X31" i="27"/>
  <c r="W29" i="15"/>
  <c r="AL71" i="15"/>
  <c r="AP71" i="15" s="1"/>
  <c r="AA71" i="15"/>
  <c r="AL158" i="15"/>
  <c r="AP158" i="15" s="1"/>
  <c r="AA158" i="15"/>
  <c r="AG158" i="15" s="1"/>
  <c r="U203" i="15"/>
  <c r="AB117" i="27"/>
  <c r="AA206" i="27"/>
  <c r="AC73" i="27"/>
  <c r="R73" i="15" s="1"/>
  <c r="AH73" i="27"/>
  <c r="W73" i="15" s="1"/>
  <c r="AD73" i="27"/>
  <c r="S73" i="15" s="1"/>
  <c r="Y73" i="15" s="1"/>
  <c r="AE73" i="15" s="1"/>
  <c r="AF73" i="27"/>
  <c r="AE73" i="27"/>
  <c r="T73" i="15" s="1"/>
  <c r="Z73" i="15" s="1"/>
  <c r="AF73" i="15" s="1"/>
  <c r="AG73" i="27"/>
  <c r="V73" i="15" s="1"/>
  <c r="AB73" i="15" s="1"/>
  <c r="AH73" i="15" s="1"/>
  <c r="X74" i="27"/>
  <c r="AM101" i="27"/>
  <c r="AO107" i="27"/>
  <c r="AP112" i="27"/>
  <c r="AQ121" i="27"/>
  <c r="AN104" i="27"/>
  <c r="AP111" i="27"/>
  <c r="AM102" i="27"/>
  <c r="AQ120" i="27"/>
  <c r="AO75" i="30" l="1"/>
  <c r="AJ75" i="30"/>
  <c r="AT75" i="30" s="1"/>
  <c r="AI75" i="30"/>
  <c r="AS75" i="30" s="1"/>
  <c r="AO206" i="30"/>
  <c r="AP206" i="30"/>
  <c r="AO163" i="30"/>
  <c r="AP163" i="30"/>
  <c r="AP114" i="30"/>
  <c r="AO114" i="30"/>
  <c r="AP77" i="30"/>
  <c r="AP31" i="30"/>
  <c r="AO31" i="30"/>
  <c r="AJ206" i="30"/>
  <c r="AT206" i="30" s="1"/>
  <c r="AL206" i="30"/>
  <c r="AV206" i="30" s="1"/>
  <c r="AK206" i="30"/>
  <c r="AU206" i="30" s="1"/>
  <c r="AG206" i="30"/>
  <c r="AQ206" i="30" s="1"/>
  <c r="AH206" i="30"/>
  <c r="AR206" i="30" s="1"/>
  <c r="AI206" i="30"/>
  <c r="AS206" i="30" s="1"/>
  <c r="AI163" i="30"/>
  <c r="AS163" i="30" s="1"/>
  <c r="AH163" i="30"/>
  <c r="AR163" i="30" s="1"/>
  <c r="AG163" i="30"/>
  <c r="AQ163" i="30" s="1"/>
  <c r="AJ163" i="30"/>
  <c r="AT163" i="30" s="1"/>
  <c r="AK163" i="30"/>
  <c r="AU163" i="30" s="1"/>
  <c r="AL163" i="30"/>
  <c r="AV163" i="30" s="1"/>
  <c r="AK114" i="30"/>
  <c r="AU114" i="30" s="1"/>
  <c r="AL114" i="30"/>
  <c r="AV114" i="30" s="1"/>
  <c r="AG114" i="30"/>
  <c r="AQ114" i="30" s="1"/>
  <c r="AH114" i="30"/>
  <c r="AR114" i="30" s="1"/>
  <c r="AJ114" i="30"/>
  <c r="AT114" i="30" s="1"/>
  <c r="AI114" i="30"/>
  <c r="AS114" i="30" s="1"/>
  <c r="AH77" i="30"/>
  <c r="AR77" i="30" s="1"/>
  <c r="AG77" i="30"/>
  <c r="AQ77" i="30" s="1"/>
  <c r="AL77" i="30"/>
  <c r="AV77" i="30" s="1"/>
  <c r="AK77" i="30"/>
  <c r="AU77" i="30" s="1"/>
  <c r="AJ30" i="30"/>
  <c r="AT30" i="30" s="1"/>
  <c r="AI30" i="30"/>
  <c r="AS30" i="30" s="1"/>
  <c r="AG30" i="30"/>
  <c r="AQ30" i="30" s="1"/>
  <c r="AK30" i="30"/>
  <c r="AU30" i="30" s="1"/>
  <c r="AL30" i="30"/>
  <c r="AV30" i="30" s="1"/>
  <c r="AH30" i="30"/>
  <c r="AR30" i="30" s="1"/>
  <c r="AB162" i="27"/>
  <c r="Q158" i="24"/>
  <c r="R158" i="24" s="1"/>
  <c r="Q159" i="24"/>
  <c r="R159" i="24" s="1"/>
  <c r="AC29" i="15"/>
  <c r="AI29" i="15" s="1"/>
  <c r="AN29" i="15"/>
  <c r="AR29" i="15" s="1"/>
  <c r="AB30" i="27"/>
  <c r="AA114" i="27"/>
  <c r="AB118" i="27"/>
  <c r="AK113" i="15"/>
  <c r="AO113" i="15" s="1"/>
  <c r="AL113" i="15"/>
  <c r="AP113" i="15" s="1"/>
  <c r="AA113" i="15"/>
  <c r="AG113" i="15" s="1"/>
  <c r="AG74" i="27"/>
  <c r="V74" i="15" s="1"/>
  <c r="AB74" i="15" s="1"/>
  <c r="AH74" i="15" s="1"/>
  <c r="AC74" i="27"/>
  <c r="R74" i="15" s="1"/>
  <c r="AH74" i="27"/>
  <c r="W74" i="15" s="1"/>
  <c r="AD74" i="27"/>
  <c r="S74" i="15" s="1"/>
  <c r="Y74" i="15" s="1"/>
  <c r="AE74" i="15" s="1"/>
  <c r="AF74" i="27"/>
  <c r="U74" i="15" s="1"/>
  <c r="AE74" i="27"/>
  <c r="T74" i="15" s="1"/>
  <c r="Z74" i="15" s="1"/>
  <c r="AF74" i="15" s="1"/>
  <c r="X75" i="27"/>
  <c r="X73" i="15"/>
  <c r="AD73" i="15" s="1"/>
  <c r="AA203" i="15"/>
  <c r="AG203" i="15" s="1"/>
  <c r="AL203" i="15"/>
  <c r="AP203" i="15" s="1"/>
  <c r="AM29" i="15"/>
  <c r="AQ29" i="15" s="1"/>
  <c r="U30" i="15"/>
  <c r="AK30" i="15" s="1"/>
  <c r="AO30" i="15" s="1"/>
  <c r="W204" i="15"/>
  <c r="AM204" i="15" s="1"/>
  <c r="AQ204" i="15" s="1"/>
  <c r="AA76" i="27"/>
  <c r="AG31" i="27"/>
  <c r="V31" i="15" s="1"/>
  <c r="AB31" i="15" s="1"/>
  <c r="AH31" i="15" s="1"/>
  <c r="AF31" i="27"/>
  <c r="U31" i="15" s="1"/>
  <c r="AH31" i="27"/>
  <c r="W31" i="15" s="1"/>
  <c r="AE31" i="27"/>
  <c r="T31" i="15" s="1"/>
  <c r="Z31" i="15" s="1"/>
  <c r="AF31" i="15" s="1"/>
  <c r="AD31" i="27"/>
  <c r="S31" i="15" s="1"/>
  <c r="Y31" i="15" s="1"/>
  <c r="AE31" i="15" s="1"/>
  <c r="AC31" i="27"/>
  <c r="R31" i="15" s="1"/>
  <c r="X31" i="15" s="1"/>
  <c r="AD31" i="15" s="1"/>
  <c r="X32" i="27"/>
  <c r="AA162" i="27"/>
  <c r="U73" i="15"/>
  <c r="AE205" i="27"/>
  <c r="T205" i="15" s="1"/>
  <c r="Z205" i="15" s="1"/>
  <c r="AF205" i="15" s="1"/>
  <c r="AG205" i="27"/>
  <c r="V205" i="15" s="1"/>
  <c r="AB205" i="15" s="1"/>
  <c r="AH205" i="15" s="1"/>
  <c r="AF205" i="27"/>
  <c r="U205" i="15" s="1"/>
  <c r="AC205" i="27"/>
  <c r="R205" i="15" s="1"/>
  <c r="AH205" i="27"/>
  <c r="AD205" i="27"/>
  <c r="S205" i="15" s="1"/>
  <c r="Y205" i="15" s="1"/>
  <c r="AE205" i="15" s="1"/>
  <c r="X206" i="27"/>
  <c r="X204" i="15"/>
  <c r="AD204" i="15" s="1"/>
  <c r="AK160" i="15"/>
  <c r="AO160" i="15" s="1"/>
  <c r="AA160" i="15"/>
  <c r="AG160" i="15" s="1"/>
  <c r="AL160" i="15"/>
  <c r="AP160" i="15" s="1"/>
  <c r="Q112" i="24"/>
  <c r="R112" i="24" s="1"/>
  <c r="AH114" i="27"/>
  <c r="AC114" i="27"/>
  <c r="R114" i="15" s="1"/>
  <c r="X114" i="15" s="1"/>
  <c r="AD114" i="15" s="1"/>
  <c r="AG114" i="27"/>
  <c r="V114" i="15" s="1"/>
  <c r="AB114" i="15" s="1"/>
  <c r="AH114" i="15" s="1"/>
  <c r="AD114" i="27"/>
  <c r="S114" i="15" s="1"/>
  <c r="Y114" i="15" s="1"/>
  <c r="AE114" i="15" s="1"/>
  <c r="AF114" i="27"/>
  <c r="AE114" i="27"/>
  <c r="T114" i="15" s="1"/>
  <c r="Z114" i="15" s="1"/>
  <c r="AF114" i="15" s="1"/>
  <c r="X115" i="27"/>
  <c r="W160" i="15"/>
  <c r="Q28" i="24"/>
  <c r="R28" i="24" s="1"/>
  <c r="U204" i="15"/>
  <c r="AK204" i="15" s="1"/>
  <c r="AO204" i="15" s="1"/>
  <c r="AE161" i="27"/>
  <c r="T161" i="15" s="1"/>
  <c r="Z161" i="15" s="1"/>
  <c r="AF161" i="15" s="1"/>
  <c r="AD161" i="27"/>
  <c r="S161" i="15" s="1"/>
  <c r="Y161" i="15" s="1"/>
  <c r="AE161" i="15" s="1"/>
  <c r="AF161" i="27"/>
  <c r="U161" i="15" s="1"/>
  <c r="AC161" i="27"/>
  <c r="R161" i="15" s="1"/>
  <c r="X161" i="15" s="1"/>
  <c r="AD161" i="15" s="1"/>
  <c r="AG161" i="27"/>
  <c r="V161" i="15" s="1"/>
  <c r="AB161" i="15" s="1"/>
  <c r="AH161" i="15" s="1"/>
  <c r="AH161" i="27"/>
  <c r="W161" i="15" s="1"/>
  <c r="X162" i="27"/>
  <c r="AA207" i="27"/>
  <c r="W30" i="15"/>
  <c r="AM30" i="15" s="1"/>
  <c r="AQ30" i="15" s="1"/>
  <c r="AG71" i="15"/>
  <c r="Q71" i="24"/>
  <c r="R71" i="24" s="1"/>
  <c r="Q203" i="24"/>
  <c r="R203" i="24" s="1"/>
  <c r="AB74" i="27"/>
  <c r="AM73" i="15"/>
  <c r="AQ73" i="15" s="1"/>
  <c r="AC73" i="15"/>
  <c r="AI73" i="15" s="1"/>
  <c r="AN73" i="15"/>
  <c r="AR73" i="15" s="1"/>
  <c r="AK203" i="15"/>
  <c r="AO203" i="15" s="1"/>
  <c r="AM113" i="15"/>
  <c r="AQ113" i="15" s="1"/>
  <c r="AN113" i="15"/>
  <c r="AR113" i="15" s="1"/>
  <c r="AC113" i="15"/>
  <c r="AI113" i="15" s="1"/>
  <c r="AA32" i="27"/>
  <c r="AN72" i="15"/>
  <c r="AR72" i="15" s="1"/>
  <c r="AC72" i="15"/>
  <c r="AI72" i="15" s="1"/>
  <c r="AB206" i="27"/>
  <c r="AN105" i="27"/>
  <c r="AP113" i="27"/>
  <c r="AO109" i="27"/>
  <c r="AO108" i="27"/>
  <c r="AM103" i="27"/>
  <c r="AQ122" i="27"/>
  <c r="AI76" i="30" l="1"/>
  <c r="AS76" i="30" s="1"/>
  <c r="AJ76" i="30"/>
  <c r="AT76" i="30" s="1"/>
  <c r="AO76" i="30"/>
  <c r="AP207" i="30"/>
  <c r="AO207" i="30"/>
  <c r="AP164" i="30"/>
  <c r="AO164" i="30"/>
  <c r="AO115" i="30"/>
  <c r="AP115" i="30"/>
  <c r="AP78" i="30"/>
  <c r="AO32" i="30"/>
  <c r="AP32" i="30"/>
  <c r="AI207" i="30"/>
  <c r="AS207" i="30" s="1"/>
  <c r="AH207" i="30"/>
  <c r="AR207" i="30" s="1"/>
  <c r="AG207" i="30"/>
  <c r="AQ207" i="30" s="1"/>
  <c r="AL207" i="30"/>
  <c r="AV207" i="30" s="1"/>
  <c r="AK207" i="30"/>
  <c r="AU207" i="30" s="1"/>
  <c r="AJ207" i="30"/>
  <c r="AT207" i="30" s="1"/>
  <c r="AL164" i="30"/>
  <c r="AV164" i="30" s="1"/>
  <c r="AK164" i="30"/>
  <c r="AU164" i="30" s="1"/>
  <c r="AJ164" i="30"/>
  <c r="AT164" i="30" s="1"/>
  <c r="AG164" i="30"/>
  <c r="AQ164" i="30" s="1"/>
  <c r="AH164" i="30"/>
  <c r="AR164" i="30" s="1"/>
  <c r="AI164" i="30"/>
  <c r="AS164" i="30" s="1"/>
  <c r="AK115" i="30"/>
  <c r="AU115" i="30" s="1"/>
  <c r="AL115" i="30"/>
  <c r="AV115" i="30" s="1"/>
  <c r="AI115" i="30"/>
  <c r="AS115" i="30" s="1"/>
  <c r="AJ115" i="30"/>
  <c r="AT115" i="30" s="1"/>
  <c r="AH115" i="30"/>
  <c r="AR115" i="30" s="1"/>
  <c r="AG115" i="30"/>
  <c r="AQ115" i="30" s="1"/>
  <c r="AL78" i="30"/>
  <c r="AV78" i="30" s="1"/>
  <c r="AK78" i="30"/>
  <c r="AU78" i="30" s="1"/>
  <c r="AG78" i="30"/>
  <c r="AQ78" i="30" s="1"/>
  <c r="AH78" i="30"/>
  <c r="AR78" i="30" s="1"/>
  <c r="AH31" i="30"/>
  <c r="AR31" i="30" s="1"/>
  <c r="AL31" i="30"/>
  <c r="AV31" i="30" s="1"/>
  <c r="AK31" i="30"/>
  <c r="AU31" i="30" s="1"/>
  <c r="AG31" i="30"/>
  <c r="AQ31" i="30" s="1"/>
  <c r="AI31" i="30"/>
  <c r="AS31" i="30" s="1"/>
  <c r="AJ31" i="30"/>
  <c r="AT31" i="30" s="1"/>
  <c r="Q29" i="24"/>
  <c r="R29" i="24" s="1"/>
  <c r="AB163" i="27"/>
  <c r="W114" i="15"/>
  <c r="AM114" i="15"/>
  <c r="AQ114" i="15" s="1"/>
  <c r="AK205" i="15"/>
  <c r="AO205" i="15" s="1"/>
  <c r="AL205" i="15"/>
  <c r="AP205" i="15" s="1"/>
  <c r="AA205" i="15"/>
  <c r="AG205" i="15" s="1"/>
  <c r="AK74" i="15"/>
  <c r="AO74" i="15" s="1"/>
  <c r="AA74" i="15"/>
  <c r="AG74" i="15" s="1"/>
  <c r="AL74" i="15"/>
  <c r="AP74" i="15" s="1"/>
  <c r="AC160" i="15"/>
  <c r="AN160" i="15"/>
  <c r="AR160" i="15" s="1"/>
  <c r="X205" i="15"/>
  <c r="AD205" i="15" s="1"/>
  <c r="AA73" i="15"/>
  <c r="AG73" i="15" s="1"/>
  <c r="AL73" i="15"/>
  <c r="AP73" i="15" s="1"/>
  <c r="AB31" i="27"/>
  <c r="AH162" i="27"/>
  <c r="AD162" i="27"/>
  <c r="S162" i="15" s="1"/>
  <c r="Y162" i="15" s="1"/>
  <c r="AE162" i="15" s="1"/>
  <c r="AC162" i="27"/>
  <c r="R162" i="15" s="1"/>
  <c r="X162" i="15" s="1"/>
  <c r="AD162" i="15" s="1"/>
  <c r="AF162" i="27"/>
  <c r="AE162" i="27"/>
  <c r="T162" i="15" s="1"/>
  <c r="Z162" i="15" s="1"/>
  <c r="AF162" i="15" s="1"/>
  <c r="AG162" i="27"/>
  <c r="V162" i="15" s="1"/>
  <c r="AB162" i="15" s="1"/>
  <c r="AH162" i="15" s="1"/>
  <c r="X163" i="27"/>
  <c r="AE115" i="27"/>
  <c r="T115" i="15" s="1"/>
  <c r="Z115" i="15" s="1"/>
  <c r="AF115" i="15" s="1"/>
  <c r="AH115" i="27"/>
  <c r="AF115" i="27"/>
  <c r="AC115" i="27"/>
  <c r="R115" i="15" s="1"/>
  <c r="X115" i="15" s="1"/>
  <c r="AD115" i="15" s="1"/>
  <c r="AD115" i="27"/>
  <c r="S115" i="15" s="1"/>
  <c r="Y115" i="15" s="1"/>
  <c r="AE115" i="15" s="1"/>
  <c r="AG115" i="27"/>
  <c r="V115" i="15" s="1"/>
  <c r="AB115" i="15" s="1"/>
  <c r="AH115" i="15" s="1"/>
  <c r="X116" i="27"/>
  <c r="AA163" i="27"/>
  <c r="AM31" i="15"/>
  <c r="AQ31" i="15" s="1"/>
  <c r="AC31" i="15"/>
  <c r="AI31" i="15" s="1"/>
  <c r="AN31" i="15"/>
  <c r="AR31" i="15" s="1"/>
  <c r="AA33" i="27"/>
  <c r="AM161" i="15"/>
  <c r="AQ161" i="15" s="1"/>
  <c r="AC161" i="15"/>
  <c r="AI161" i="15" s="1"/>
  <c r="AN161" i="15"/>
  <c r="AR161" i="15" s="1"/>
  <c r="AK31" i="15"/>
  <c r="AO31" i="15" s="1"/>
  <c r="AA31" i="15"/>
  <c r="AG31" i="15" s="1"/>
  <c r="AL31" i="15"/>
  <c r="AP31" i="15" s="1"/>
  <c r="AL204" i="15"/>
  <c r="AP204" i="15" s="1"/>
  <c r="AA204" i="15"/>
  <c r="AG204" i="15" s="1"/>
  <c r="AE32" i="27"/>
  <c r="T32" i="15" s="1"/>
  <c r="Z32" i="15" s="1"/>
  <c r="AF32" i="15" s="1"/>
  <c r="AC32" i="27"/>
  <c r="R32" i="15" s="1"/>
  <c r="X32" i="15" s="1"/>
  <c r="AD32" i="15" s="1"/>
  <c r="AD32" i="27"/>
  <c r="S32" i="15" s="1"/>
  <c r="Y32" i="15" s="1"/>
  <c r="AE32" i="15" s="1"/>
  <c r="AG32" i="27"/>
  <c r="V32" i="15" s="1"/>
  <c r="AB32" i="15" s="1"/>
  <c r="AH32" i="15" s="1"/>
  <c r="AH32" i="27"/>
  <c r="AF32" i="27"/>
  <c r="X33" i="27"/>
  <c r="AC204" i="15"/>
  <c r="AI204" i="15" s="1"/>
  <c r="AN204" i="15"/>
  <c r="AR204" i="15" s="1"/>
  <c r="AB119" i="27"/>
  <c r="AC30" i="15"/>
  <c r="AI30" i="15" s="1"/>
  <c r="AN30" i="15"/>
  <c r="AR30" i="15" s="1"/>
  <c r="Q72" i="24"/>
  <c r="R72" i="24" s="1"/>
  <c r="AA77" i="27"/>
  <c r="X74" i="15"/>
  <c r="AD74" i="15" s="1"/>
  <c r="AA115" i="27"/>
  <c r="U114" i="15"/>
  <c r="AK114" i="15" s="1"/>
  <c r="AO114" i="15" s="1"/>
  <c r="AC206" i="27"/>
  <c r="R206" i="15" s="1"/>
  <c r="AE206" i="27"/>
  <c r="T206" i="15" s="1"/>
  <c r="Z206" i="15" s="1"/>
  <c r="AF206" i="15" s="1"/>
  <c r="AG206" i="27"/>
  <c r="V206" i="15" s="1"/>
  <c r="AB206" i="15" s="1"/>
  <c r="AH206" i="15" s="1"/>
  <c r="AF206" i="27"/>
  <c r="AH206" i="27"/>
  <c r="W206" i="15" s="1"/>
  <c r="AD206" i="27"/>
  <c r="S206" i="15" s="1"/>
  <c r="Y206" i="15" s="1"/>
  <c r="AE206" i="15" s="1"/>
  <c r="X207" i="27"/>
  <c r="AM74" i="15"/>
  <c r="AQ74" i="15" s="1"/>
  <c r="AC74" i="15"/>
  <c r="AI74" i="15" s="1"/>
  <c r="AN74" i="15"/>
  <c r="AR74" i="15" s="1"/>
  <c r="AB207" i="27"/>
  <c r="AB75" i="27"/>
  <c r="AA208" i="27"/>
  <c r="AK161" i="15"/>
  <c r="AO161" i="15" s="1"/>
  <c r="AA161" i="15"/>
  <c r="AG161" i="15" s="1"/>
  <c r="AL161" i="15"/>
  <c r="AP161" i="15" s="1"/>
  <c r="AM160" i="15"/>
  <c r="AQ160" i="15" s="1"/>
  <c r="W205" i="15"/>
  <c r="AM205" i="15" s="1"/>
  <c r="AQ205" i="15" s="1"/>
  <c r="AK73" i="15"/>
  <c r="AO73" i="15" s="1"/>
  <c r="AA30" i="15"/>
  <c r="AL30" i="15"/>
  <c r="AP30" i="15" s="1"/>
  <c r="AH75" i="27"/>
  <c r="W75" i="15" s="1"/>
  <c r="AD75" i="27"/>
  <c r="S75" i="15" s="1"/>
  <c r="Y75" i="15" s="1"/>
  <c r="AE75" i="15" s="1"/>
  <c r="AC75" i="27"/>
  <c r="R75" i="15" s="1"/>
  <c r="AE75" i="27"/>
  <c r="T75" i="15" s="1"/>
  <c r="Z75" i="15" s="1"/>
  <c r="AF75" i="15" s="1"/>
  <c r="AF75" i="27"/>
  <c r="U75" i="15" s="1"/>
  <c r="AG75" i="27"/>
  <c r="V75" i="15" s="1"/>
  <c r="AB75" i="15" s="1"/>
  <c r="AH75" i="15" s="1"/>
  <c r="X76" i="27"/>
  <c r="Q113" i="24"/>
  <c r="R113" i="24" s="1"/>
  <c r="AN106" i="27"/>
  <c r="AO110" i="27"/>
  <c r="AP114" i="27"/>
  <c r="AN107" i="27"/>
  <c r="AQ124" i="27"/>
  <c r="AQ123" i="27"/>
  <c r="AM104" i="27"/>
  <c r="AP115" i="27"/>
  <c r="AO77" i="30" l="1"/>
  <c r="AI77" i="30"/>
  <c r="AS77" i="30" s="1"/>
  <c r="AJ77" i="30"/>
  <c r="AT77" i="30" s="1"/>
  <c r="AO208" i="30"/>
  <c r="AP208" i="30"/>
  <c r="AO165" i="30"/>
  <c r="AP165" i="30"/>
  <c r="AP116" i="30"/>
  <c r="AO116" i="30"/>
  <c r="AP79" i="30"/>
  <c r="AP33" i="30"/>
  <c r="AO33" i="30"/>
  <c r="AJ208" i="30"/>
  <c r="AT208" i="30" s="1"/>
  <c r="AL208" i="30"/>
  <c r="AV208" i="30" s="1"/>
  <c r="AK208" i="30"/>
  <c r="AU208" i="30" s="1"/>
  <c r="AG208" i="30"/>
  <c r="AQ208" i="30" s="1"/>
  <c r="AH208" i="30"/>
  <c r="AR208" i="30" s="1"/>
  <c r="AI208" i="30"/>
  <c r="AS208" i="30" s="1"/>
  <c r="AI165" i="30"/>
  <c r="AS165" i="30" s="1"/>
  <c r="AH165" i="30"/>
  <c r="AR165" i="30" s="1"/>
  <c r="AG165" i="30"/>
  <c r="AQ165" i="30" s="1"/>
  <c r="AJ165" i="30"/>
  <c r="AT165" i="30" s="1"/>
  <c r="AL165" i="30"/>
  <c r="AV165" i="30" s="1"/>
  <c r="AK165" i="30"/>
  <c r="AU165" i="30" s="1"/>
  <c r="AG116" i="30"/>
  <c r="AQ116" i="30" s="1"/>
  <c r="AH116" i="30"/>
  <c r="AR116" i="30" s="1"/>
  <c r="AJ116" i="30"/>
  <c r="AT116" i="30" s="1"/>
  <c r="AI116" i="30"/>
  <c r="AS116" i="30" s="1"/>
  <c r="AL116" i="30"/>
  <c r="AV116" i="30" s="1"/>
  <c r="AK116" i="30"/>
  <c r="AU116" i="30" s="1"/>
  <c r="AH79" i="30"/>
  <c r="AR79" i="30" s="1"/>
  <c r="AG79" i="30"/>
  <c r="AQ79" i="30" s="1"/>
  <c r="AL79" i="30"/>
  <c r="AV79" i="30" s="1"/>
  <c r="AK79" i="30"/>
  <c r="AU79" i="30" s="1"/>
  <c r="AG32" i="30"/>
  <c r="AQ32" i="30" s="1"/>
  <c r="AI32" i="30"/>
  <c r="AS32" i="30" s="1"/>
  <c r="AK32" i="30"/>
  <c r="AU32" i="30" s="1"/>
  <c r="AL32" i="30"/>
  <c r="AV32" i="30" s="1"/>
  <c r="AJ32" i="30"/>
  <c r="AT32" i="30" s="1"/>
  <c r="AH32" i="30"/>
  <c r="AR32" i="30" s="1"/>
  <c r="AB164" i="27"/>
  <c r="Q31" i="24"/>
  <c r="R31" i="24" s="1"/>
  <c r="Q73" i="24"/>
  <c r="R73" i="24" s="1"/>
  <c r="AM75" i="15"/>
  <c r="AQ75" i="15" s="1"/>
  <c r="AC75" i="15"/>
  <c r="AI75" i="15" s="1"/>
  <c r="AN75" i="15"/>
  <c r="AR75" i="15" s="1"/>
  <c r="AB208" i="27"/>
  <c r="AM206" i="15"/>
  <c r="AQ206" i="15" s="1"/>
  <c r="AC206" i="15"/>
  <c r="AI206" i="15" s="1"/>
  <c r="AN206" i="15"/>
  <c r="AR206" i="15" s="1"/>
  <c r="AA114" i="15"/>
  <c r="AL114" i="15"/>
  <c r="AP114" i="15" s="1"/>
  <c r="W32" i="15"/>
  <c r="AM32" i="15" s="1"/>
  <c r="AQ32" i="15" s="1"/>
  <c r="Q161" i="24"/>
  <c r="R161" i="24" s="1"/>
  <c r="AC116" i="27"/>
  <c r="R116" i="15" s="1"/>
  <c r="X116" i="15" s="1"/>
  <c r="AD116" i="15" s="1"/>
  <c r="AG116" i="27"/>
  <c r="V116" i="15" s="1"/>
  <c r="AB116" i="15" s="1"/>
  <c r="AH116" i="15" s="1"/>
  <c r="AE116" i="27"/>
  <c r="T116" i="15" s="1"/>
  <c r="Z116" i="15" s="1"/>
  <c r="AF116" i="15" s="1"/>
  <c r="AH116" i="27"/>
  <c r="W116" i="15" s="1"/>
  <c r="AF116" i="27"/>
  <c r="AD116" i="27"/>
  <c r="S116" i="15" s="1"/>
  <c r="Y116" i="15" s="1"/>
  <c r="AE116" i="15" s="1"/>
  <c r="X117" i="27"/>
  <c r="AK75" i="15"/>
  <c r="AO75" i="15" s="1"/>
  <c r="AL75" i="15"/>
  <c r="AP75" i="15" s="1"/>
  <c r="AA75" i="15"/>
  <c r="AG75" i="15" s="1"/>
  <c r="AA78" i="27"/>
  <c r="AB32" i="27"/>
  <c r="AI160" i="15"/>
  <c r="Q160" i="24"/>
  <c r="R160" i="24" s="1"/>
  <c r="AG30" i="15"/>
  <c r="Q30" i="24"/>
  <c r="R30" i="24" s="1"/>
  <c r="U206" i="15"/>
  <c r="AK206" i="15" s="1"/>
  <c r="AO206" i="15" s="1"/>
  <c r="W162" i="15"/>
  <c r="AM162" i="15" s="1"/>
  <c r="AQ162" i="15" s="1"/>
  <c r="AB120" i="27"/>
  <c r="X75" i="15"/>
  <c r="AD75" i="15" s="1"/>
  <c r="AN205" i="15"/>
  <c r="AR205" i="15" s="1"/>
  <c r="AC205" i="15"/>
  <c r="AI205" i="15" s="1"/>
  <c r="AF207" i="27"/>
  <c r="U207" i="15" s="1"/>
  <c r="AE207" i="27"/>
  <c r="T207" i="15" s="1"/>
  <c r="Z207" i="15" s="1"/>
  <c r="AF207" i="15" s="1"/>
  <c r="AC207" i="27"/>
  <c r="R207" i="15" s="1"/>
  <c r="AH207" i="27"/>
  <c r="AG207" i="27"/>
  <c r="V207" i="15" s="1"/>
  <c r="AB207" i="15" s="1"/>
  <c r="AH207" i="15" s="1"/>
  <c r="AD207" i="27"/>
  <c r="S207" i="15" s="1"/>
  <c r="Y207" i="15" s="1"/>
  <c r="AE207" i="15" s="1"/>
  <c r="X208" i="27"/>
  <c r="X206" i="15"/>
  <c r="AD206" i="15" s="1"/>
  <c r="AH33" i="27"/>
  <c r="AC33" i="27"/>
  <c r="R33" i="15" s="1"/>
  <c r="X33" i="15" s="1"/>
  <c r="AD33" i="15" s="1"/>
  <c r="AG33" i="27"/>
  <c r="V33" i="15" s="1"/>
  <c r="AB33" i="15" s="1"/>
  <c r="AH33" i="15" s="1"/>
  <c r="AE33" i="27"/>
  <c r="T33" i="15" s="1"/>
  <c r="Z33" i="15" s="1"/>
  <c r="AF33" i="15" s="1"/>
  <c r="AD33" i="27"/>
  <c r="S33" i="15" s="1"/>
  <c r="Y33" i="15" s="1"/>
  <c r="AE33" i="15" s="1"/>
  <c r="AF33" i="27"/>
  <c r="U33" i="15" s="1"/>
  <c r="X34" i="27"/>
  <c r="AA34" i="27"/>
  <c r="U115" i="15"/>
  <c r="AK115" i="15" s="1"/>
  <c r="AO115" i="15" s="1"/>
  <c r="U162" i="15"/>
  <c r="AK162" i="15" s="1"/>
  <c r="AO162" i="15" s="1"/>
  <c r="AC114" i="15"/>
  <c r="AI114" i="15" s="1"/>
  <c r="AN114" i="15"/>
  <c r="AR114" i="15" s="1"/>
  <c r="AD163" i="27"/>
  <c r="S163" i="15" s="1"/>
  <c r="Y163" i="15" s="1"/>
  <c r="AE163" i="15" s="1"/>
  <c r="AG163" i="27"/>
  <c r="V163" i="15" s="1"/>
  <c r="AB163" i="15" s="1"/>
  <c r="AH163" i="15" s="1"/>
  <c r="AH163" i="27"/>
  <c r="W163" i="15" s="1"/>
  <c r="AF163" i="27"/>
  <c r="U163" i="15" s="1"/>
  <c r="AE163" i="27"/>
  <c r="T163" i="15" s="1"/>
  <c r="Z163" i="15" s="1"/>
  <c r="AF163" i="15" s="1"/>
  <c r="AC163" i="27"/>
  <c r="R163" i="15" s="1"/>
  <c r="X163" i="15" s="1"/>
  <c r="AD163" i="15" s="1"/>
  <c r="X164" i="27"/>
  <c r="AA209" i="27"/>
  <c r="AA116" i="27"/>
  <c r="AA164" i="27"/>
  <c r="AC76" i="27"/>
  <c r="R76" i="15" s="1"/>
  <c r="AF76" i="27"/>
  <c r="U76" i="15" s="1"/>
  <c r="AH76" i="27"/>
  <c r="W76" i="15" s="1"/>
  <c r="AE76" i="27"/>
  <c r="T76" i="15" s="1"/>
  <c r="Z76" i="15" s="1"/>
  <c r="AF76" i="15" s="1"/>
  <c r="AG76" i="27"/>
  <c r="V76" i="15" s="1"/>
  <c r="AB76" i="15" s="1"/>
  <c r="AH76" i="15" s="1"/>
  <c r="AD76" i="27"/>
  <c r="S76" i="15" s="1"/>
  <c r="Y76" i="15" s="1"/>
  <c r="AE76" i="15" s="1"/>
  <c r="X77" i="27"/>
  <c r="AB76" i="27"/>
  <c r="Q74" i="24"/>
  <c r="R74" i="24" s="1"/>
  <c r="U32" i="15"/>
  <c r="AK32" i="15" s="1"/>
  <c r="AO32" i="15" s="1"/>
  <c r="Q204" i="24"/>
  <c r="R204" i="24" s="1"/>
  <c r="W115" i="15"/>
  <c r="AM115" i="15" s="1"/>
  <c r="AQ115" i="15" s="1"/>
  <c r="Q205" i="24"/>
  <c r="R205" i="24" s="1"/>
  <c r="AN108" i="27"/>
  <c r="AP116" i="27"/>
  <c r="AM105" i="27"/>
  <c r="AO111" i="27"/>
  <c r="AQ125" i="27"/>
  <c r="AM106" i="27"/>
  <c r="AJ78" i="30" l="1"/>
  <c r="AT78" i="30" s="1"/>
  <c r="AI78" i="30"/>
  <c r="AS78" i="30" s="1"/>
  <c r="AO78" i="30"/>
  <c r="AP209" i="30"/>
  <c r="AO209" i="30"/>
  <c r="AP166" i="30"/>
  <c r="AO166" i="30"/>
  <c r="AO117" i="30"/>
  <c r="AP117" i="30"/>
  <c r="AP80" i="30"/>
  <c r="AO34" i="30"/>
  <c r="AP34" i="30"/>
  <c r="AI209" i="30"/>
  <c r="AS209" i="30" s="1"/>
  <c r="AH209" i="30"/>
  <c r="AR209" i="30" s="1"/>
  <c r="AG209" i="30"/>
  <c r="AQ209" i="30" s="1"/>
  <c r="AL209" i="30"/>
  <c r="AV209" i="30" s="1"/>
  <c r="AK209" i="30"/>
  <c r="AU209" i="30" s="1"/>
  <c r="AJ209" i="30"/>
  <c r="AT209" i="30" s="1"/>
  <c r="AK166" i="30"/>
  <c r="AU166" i="30" s="1"/>
  <c r="AL166" i="30"/>
  <c r="AV166" i="30" s="1"/>
  <c r="AJ166" i="30"/>
  <c r="AT166" i="30" s="1"/>
  <c r="AG166" i="30"/>
  <c r="AQ166" i="30" s="1"/>
  <c r="AH166" i="30"/>
  <c r="AR166" i="30" s="1"/>
  <c r="AI166" i="30"/>
  <c r="AS166" i="30" s="1"/>
  <c r="AL117" i="30"/>
  <c r="AV117" i="30" s="1"/>
  <c r="AK117" i="30"/>
  <c r="AU117" i="30" s="1"/>
  <c r="AI117" i="30"/>
  <c r="AS117" i="30" s="1"/>
  <c r="AJ117" i="30"/>
  <c r="AT117" i="30" s="1"/>
  <c r="AH117" i="30"/>
  <c r="AR117" i="30" s="1"/>
  <c r="AG117" i="30"/>
  <c r="AQ117" i="30" s="1"/>
  <c r="AL80" i="30"/>
  <c r="AV80" i="30" s="1"/>
  <c r="AK80" i="30"/>
  <c r="AU80" i="30" s="1"/>
  <c r="AG80" i="30"/>
  <c r="AQ80" i="30" s="1"/>
  <c r="AH80" i="30"/>
  <c r="AR80" i="30" s="1"/>
  <c r="AL33" i="30"/>
  <c r="AV33" i="30" s="1"/>
  <c r="AK33" i="30"/>
  <c r="AU33" i="30" s="1"/>
  <c r="AH33" i="30"/>
  <c r="AR33" i="30" s="1"/>
  <c r="AI33" i="30"/>
  <c r="AS33" i="30" s="1"/>
  <c r="AJ33" i="30"/>
  <c r="AT33" i="30" s="1"/>
  <c r="AG33" i="30"/>
  <c r="AQ33" i="30" s="1"/>
  <c r="AB165" i="27"/>
  <c r="AA117" i="27"/>
  <c r="AH208" i="27"/>
  <c r="W208" i="15" s="1"/>
  <c r="AC208" i="27"/>
  <c r="R208" i="15" s="1"/>
  <c r="AF208" i="27"/>
  <c r="U208" i="15" s="1"/>
  <c r="AE208" i="27"/>
  <c r="T208" i="15" s="1"/>
  <c r="Z208" i="15" s="1"/>
  <c r="AF208" i="15" s="1"/>
  <c r="AD208" i="27"/>
  <c r="S208" i="15" s="1"/>
  <c r="Y208" i="15" s="1"/>
  <c r="AE208" i="15" s="1"/>
  <c r="AG208" i="27"/>
  <c r="V208" i="15" s="1"/>
  <c r="AB208" i="15" s="1"/>
  <c r="AH208" i="15" s="1"/>
  <c r="X209" i="27"/>
  <c r="AK207" i="15"/>
  <c r="AO207" i="15" s="1"/>
  <c r="AL207" i="15"/>
  <c r="AP207" i="15" s="1"/>
  <c r="AA207" i="15"/>
  <c r="AG207" i="15" s="1"/>
  <c r="AB209" i="27"/>
  <c r="AA35" i="27"/>
  <c r="AL32" i="15"/>
  <c r="AP32" i="15" s="1"/>
  <c r="AA32" i="15"/>
  <c r="AG32" i="15" s="1"/>
  <c r="AC162" i="15"/>
  <c r="AI162" i="15" s="1"/>
  <c r="AN162" i="15"/>
  <c r="AR162" i="15" s="1"/>
  <c r="AM76" i="15"/>
  <c r="AQ76" i="15" s="1"/>
  <c r="AC76" i="15"/>
  <c r="AI76" i="15" s="1"/>
  <c r="AN76" i="15"/>
  <c r="AR76" i="15" s="1"/>
  <c r="AC115" i="15"/>
  <c r="AI115" i="15" s="1"/>
  <c r="AN115" i="15"/>
  <c r="AR115" i="15" s="1"/>
  <c r="AB77" i="27"/>
  <c r="AK76" i="15"/>
  <c r="AO76" i="15" s="1"/>
  <c r="AA76" i="15"/>
  <c r="AG76" i="15" s="1"/>
  <c r="AL76" i="15"/>
  <c r="AP76" i="15" s="1"/>
  <c r="AA210" i="27"/>
  <c r="AM163" i="15"/>
  <c r="AQ163" i="15" s="1"/>
  <c r="AN163" i="15"/>
  <c r="AR163" i="15" s="1"/>
  <c r="AC163" i="15"/>
  <c r="AI163" i="15" s="1"/>
  <c r="AA162" i="15"/>
  <c r="AG162" i="15" s="1"/>
  <c r="AL162" i="15"/>
  <c r="AP162" i="15" s="1"/>
  <c r="AD34" i="27"/>
  <c r="S34" i="15" s="1"/>
  <c r="Y34" i="15" s="1"/>
  <c r="AE34" i="15" s="1"/>
  <c r="AG34" i="27"/>
  <c r="V34" i="15" s="1"/>
  <c r="AB34" i="15" s="1"/>
  <c r="AH34" i="15" s="1"/>
  <c r="AE34" i="27"/>
  <c r="T34" i="15" s="1"/>
  <c r="Z34" i="15" s="1"/>
  <c r="AF34" i="15" s="1"/>
  <c r="AF34" i="27"/>
  <c r="AC34" i="27"/>
  <c r="R34" i="15" s="1"/>
  <c r="X34" i="15" s="1"/>
  <c r="AD34" i="15" s="1"/>
  <c r="AH34" i="27"/>
  <c r="W34" i="15" s="1"/>
  <c r="X35" i="27"/>
  <c r="W33" i="15"/>
  <c r="AM33" i="15" s="1"/>
  <c r="AQ33" i="15" s="1"/>
  <c r="W207" i="15"/>
  <c r="AM207" i="15" s="1"/>
  <c r="AQ207" i="15" s="1"/>
  <c r="Q75" i="24"/>
  <c r="R75" i="24" s="1"/>
  <c r="AL206" i="15"/>
  <c r="AP206" i="15" s="1"/>
  <c r="AA206" i="15"/>
  <c r="AA79" i="27"/>
  <c r="AK163" i="15"/>
  <c r="AO163" i="15" s="1"/>
  <c r="AA163" i="15"/>
  <c r="AG163" i="15" s="1"/>
  <c r="AL163" i="15"/>
  <c r="AP163" i="15" s="1"/>
  <c r="AD117" i="27"/>
  <c r="S117" i="15" s="1"/>
  <c r="Y117" i="15" s="1"/>
  <c r="AE117" i="15" s="1"/>
  <c r="AG117" i="27"/>
  <c r="V117" i="15" s="1"/>
  <c r="AB117" i="15" s="1"/>
  <c r="AH117" i="15" s="1"/>
  <c r="AC117" i="27"/>
  <c r="R117" i="15" s="1"/>
  <c r="X117" i="15" s="1"/>
  <c r="AD117" i="15" s="1"/>
  <c r="AF117" i="27"/>
  <c r="AH117" i="27"/>
  <c r="AE117" i="27"/>
  <c r="T117" i="15" s="1"/>
  <c r="Z117" i="15" s="1"/>
  <c r="AF117" i="15" s="1"/>
  <c r="X118" i="27"/>
  <c r="AG114" i="15"/>
  <c r="Q114" i="24"/>
  <c r="R114" i="24" s="1"/>
  <c r="X76" i="15"/>
  <c r="AD76" i="15" s="1"/>
  <c r="AK33" i="15"/>
  <c r="AO33" i="15" s="1"/>
  <c r="AA33" i="15"/>
  <c r="AG33" i="15" s="1"/>
  <c r="AL33" i="15"/>
  <c r="AP33" i="15" s="1"/>
  <c r="X207" i="15"/>
  <c r="AD207" i="15" s="1"/>
  <c r="U116" i="15"/>
  <c r="AK116" i="15" s="1"/>
  <c r="AO116" i="15" s="1"/>
  <c r="AB33" i="27"/>
  <c r="AE77" i="27"/>
  <c r="T77" i="15" s="1"/>
  <c r="Z77" i="15" s="1"/>
  <c r="AF77" i="15" s="1"/>
  <c r="AD77" i="27"/>
  <c r="S77" i="15" s="1"/>
  <c r="Y77" i="15" s="1"/>
  <c r="AE77" i="15" s="1"/>
  <c r="AF77" i="27"/>
  <c r="U77" i="15" s="1"/>
  <c r="AG77" i="27"/>
  <c r="V77" i="15" s="1"/>
  <c r="AB77" i="15" s="1"/>
  <c r="AH77" i="15" s="1"/>
  <c r="AH77" i="27"/>
  <c r="W77" i="15" s="1"/>
  <c r="AC77" i="27"/>
  <c r="R77" i="15" s="1"/>
  <c r="X78" i="27"/>
  <c r="AA165" i="27"/>
  <c r="AE164" i="27"/>
  <c r="T164" i="15" s="1"/>
  <c r="Z164" i="15" s="1"/>
  <c r="AF164" i="15" s="1"/>
  <c r="AD164" i="27"/>
  <c r="S164" i="15" s="1"/>
  <c r="Y164" i="15" s="1"/>
  <c r="AE164" i="15" s="1"/>
  <c r="AF164" i="27"/>
  <c r="U164" i="15" s="1"/>
  <c r="AG164" i="27"/>
  <c r="V164" i="15" s="1"/>
  <c r="AB164" i="15" s="1"/>
  <c r="AH164" i="15" s="1"/>
  <c r="AC164" i="27"/>
  <c r="R164" i="15" s="1"/>
  <c r="X164" i="15" s="1"/>
  <c r="AD164" i="15" s="1"/>
  <c r="AH164" i="27"/>
  <c r="X165" i="27"/>
  <c r="AA115" i="15"/>
  <c r="AL115" i="15"/>
  <c r="AP115" i="15" s="1"/>
  <c r="AB121" i="27"/>
  <c r="AM116" i="15"/>
  <c r="AQ116" i="15" s="1"/>
  <c r="AN116" i="15"/>
  <c r="AR116" i="15" s="1"/>
  <c r="AC116" i="15"/>
  <c r="AI116" i="15" s="1"/>
  <c r="AC32" i="15"/>
  <c r="AI32" i="15" s="1"/>
  <c r="AN32" i="15"/>
  <c r="AR32" i="15" s="1"/>
  <c r="AP117" i="27"/>
  <c r="AQ126" i="27"/>
  <c r="AN109" i="27"/>
  <c r="AM107" i="27"/>
  <c r="AO112" i="27"/>
  <c r="AO79" i="30" l="1"/>
  <c r="AI79" i="30"/>
  <c r="AS79" i="30" s="1"/>
  <c r="AJ79" i="30"/>
  <c r="AT79" i="30" s="1"/>
  <c r="AO210" i="30"/>
  <c r="AP210" i="30"/>
  <c r="AO167" i="30"/>
  <c r="AP167" i="30"/>
  <c r="AP118" i="30"/>
  <c r="AO118" i="30"/>
  <c r="AP81" i="30"/>
  <c r="AP35" i="30"/>
  <c r="AO35" i="30"/>
  <c r="AJ210" i="30"/>
  <c r="AT210" i="30" s="1"/>
  <c r="AL210" i="30"/>
  <c r="AV210" i="30" s="1"/>
  <c r="AK210" i="30"/>
  <c r="AU210" i="30" s="1"/>
  <c r="AG210" i="30"/>
  <c r="AQ210" i="30" s="1"/>
  <c r="AH210" i="30"/>
  <c r="AR210" i="30" s="1"/>
  <c r="AI210" i="30"/>
  <c r="AS210" i="30" s="1"/>
  <c r="AI167" i="30"/>
  <c r="AS167" i="30" s="1"/>
  <c r="AH167" i="30"/>
  <c r="AR167" i="30" s="1"/>
  <c r="AG167" i="30"/>
  <c r="AQ167" i="30" s="1"/>
  <c r="AJ167" i="30"/>
  <c r="AT167" i="30" s="1"/>
  <c r="AK167" i="30"/>
  <c r="AU167" i="30" s="1"/>
  <c r="AL167" i="30"/>
  <c r="AV167" i="30" s="1"/>
  <c r="AG118" i="30"/>
  <c r="AQ118" i="30" s="1"/>
  <c r="AH118" i="30"/>
  <c r="AR118" i="30" s="1"/>
  <c r="AJ118" i="30"/>
  <c r="AT118" i="30" s="1"/>
  <c r="AI118" i="30"/>
  <c r="AS118" i="30" s="1"/>
  <c r="AK118" i="30"/>
  <c r="AU118" i="30" s="1"/>
  <c r="AL118" i="30"/>
  <c r="AV118" i="30" s="1"/>
  <c r="AH81" i="30"/>
  <c r="AR81" i="30" s="1"/>
  <c r="AG81" i="30"/>
  <c r="AQ81" i="30" s="1"/>
  <c r="AL81" i="30"/>
  <c r="AV81" i="30" s="1"/>
  <c r="AK81" i="30"/>
  <c r="AU81" i="30" s="1"/>
  <c r="AJ34" i="30"/>
  <c r="AT34" i="30" s="1"/>
  <c r="AG34" i="30"/>
  <c r="AQ34" i="30" s="1"/>
  <c r="AH34" i="30"/>
  <c r="AR34" i="30" s="1"/>
  <c r="AI34" i="30"/>
  <c r="AS34" i="30" s="1"/>
  <c r="AK34" i="30"/>
  <c r="AU34" i="30" s="1"/>
  <c r="AL34" i="30"/>
  <c r="AV34" i="30" s="1"/>
  <c r="Q32" i="24"/>
  <c r="R32" i="24" s="1"/>
  <c r="AB166" i="27"/>
  <c r="AA80" i="27"/>
  <c r="U34" i="15"/>
  <c r="AK34" i="15" s="1"/>
  <c r="AO34" i="15" s="1"/>
  <c r="AK208" i="15"/>
  <c r="AO208" i="15" s="1"/>
  <c r="AA208" i="15"/>
  <c r="AG208" i="15" s="1"/>
  <c r="AL208" i="15"/>
  <c r="AP208" i="15" s="1"/>
  <c r="AK77" i="15"/>
  <c r="AO77" i="15" s="1"/>
  <c r="AL77" i="15"/>
  <c r="AP77" i="15" s="1"/>
  <c r="AA77" i="15"/>
  <c r="AG77" i="15" s="1"/>
  <c r="U117" i="15"/>
  <c r="AK117" i="15" s="1"/>
  <c r="AO117" i="15" s="1"/>
  <c r="AC207" i="15"/>
  <c r="AN207" i="15"/>
  <c r="AR207" i="15" s="1"/>
  <c r="AK164" i="15"/>
  <c r="AO164" i="15" s="1"/>
  <c r="AL164" i="15"/>
  <c r="AP164" i="15" s="1"/>
  <c r="AA164" i="15"/>
  <c r="AG164" i="15" s="1"/>
  <c r="AE78" i="27"/>
  <c r="T78" i="15" s="1"/>
  <c r="Z78" i="15" s="1"/>
  <c r="AF78" i="15" s="1"/>
  <c r="AC78" i="27"/>
  <c r="R78" i="15" s="1"/>
  <c r="AD78" i="27"/>
  <c r="S78" i="15" s="1"/>
  <c r="Y78" i="15" s="1"/>
  <c r="AE78" i="15" s="1"/>
  <c r="AH78" i="27"/>
  <c r="W78" i="15" s="1"/>
  <c r="AF78" i="27"/>
  <c r="AG78" i="27"/>
  <c r="V78" i="15" s="1"/>
  <c r="AB78" i="15" s="1"/>
  <c r="AH78" i="15" s="1"/>
  <c r="X79" i="27"/>
  <c r="AA36" i="27"/>
  <c r="X208" i="15"/>
  <c r="AD208" i="15" s="1"/>
  <c r="Q162" i="24"/>
  <c r="R162" i="24" s="1"/>
  <c r="AA118" i="27"/>
  <c r="AG115" i="15"/>
  <c r="Q115" i="24"/>
  <c r="R115" i="24" s="1"/>
  <c r="X77" i="15"/>
  <c r="AD77" i="15" s="1"/>
  <c r="AB34" i="27"/>
  <c r="AC118" i="27"/>
  <c r="R118" i="15" s="1"/>
  <c r="X118" i="15" s="1"/>
  <c r="AD118" i="15" s="1"/>
  <c r="AG118" i="27"/>
  <c r="V118" i="15" s="1"/>
  <c r="AB118" i="15" s="1"/>
  <c r="AH118" i="15" s="1"/>
  <c r="AE118" i="27"/>
  <c r="T118" i="15" s="1"/>
  <c r="Z118" i="15" s="1"/>
  <c r="AF118" i="15" s="1"/>
  <c r="AF118" i="27"/>
  <c r="AD118" i="27"/>
  <c r="S118" i="15" s="1"/>
  <c r="Y118" i="15" s="1"/>
  <c r="AE118" i="15" s="1"/>
  <c r="AH118" i="27"/>
  <c r="W118" i="15" s="1"/>
  <c r="X119" i="27"/>
  <c r="AG206" i="15"/>
  <c r="Q206" i="24"/>
  <c r="R206" i="24" s="1"/>
  <c r="AN33" i="15"/>
  <c r="AR33" i="15" s="1"/>
  <c r="AC33" i="15"/>
  <c r="AI33" i="15" s="1"/>
  <c r="AB78" i="27"/>
  <c r="AH209" i="27"/>
  <c r="AF209" i="27"/>
  <c r="AE209" i="27"/>
  <c r="T209" i="15" s="1"/>
  <c r="Z209" i="15" s="1"/>
  <c r="AF209" i="15" s="1"/>
  <c r="AG209" i="27"/>
  <c r="V209" i="15" s="1"/>
  <c r="AB209" i="15" s="1"/>
  <c r="AH209" i="15" s="1"/>
  <c r="AC209" i="27"/>
  <c r="R209" i="15" s="1"/>
  <c r="AD209" i="27"/>
  <c r="S209" i="15" s="1"/>
  <c r="Y209" i="15" s="1"/>
  <c r="AE209" i="15" s="1"/>
  <c r="X210" i="27"/>
  <c r="AM208" i="15"/>
  <c r="AQ208" i="15" s="1"/>
  <c r="AN208" i="15"/>
  <c r="AR208" i="15" s="1"/>
  <c r="AC208" i="15"/>
  <c r="AI208" i="15" s="1"/>
  <c r="AD165" i="27"/>
  <c r="S165" i="15" s="1"/>
  <c r="Y165" i="15" s="1"/>
  <c r="AE165" i="15" s="1"/>
  <c r="AH165" i="27"/>
  <c r="W165" i="15" s="1"/>
  <c r="AF165" i="27"/>
  <c r="U165" i="15" s="1"/>
  <c r="AE165" i="27"/>
  <c r="T165" i="15" s="1"/>
  <c r="Z165" i="15" s="1"/>
  <c r="AF165" i="15" s="1"/>
  <c r="AC165" i="27"/>
  <c r="R165" i="15" s="1"/>
  <c r="X165" i="15" s="1"/>
  <c r="AD165" i="15" s="1"/>
  <c r="AG165" i="27"/>
  <c r="V165" i="15" s="1"/>
  <c r="AB165" i="15" s="1"/>
  <c r="AH165" i="15" s="1"/>
  <c r="X166" i="27"/>
  <c r="AM77" i="15"/>
  <c r="AQ77" i="15" s="1"/>
  <c r="AN77" i="15"/>
  <c r="AR77" i="15" s="1"/>
  <c r="AC77" i="15"/>
  <c r="AI77" i="15" s="1"/>
  <c r="AH35" i="27"/>
  <c r="AC35" i="27"/>
  <c r="R35" i="15" s="1"/>
  <c r="X35" i="15" s="1"/>
  <c r="AD35" i="15" s="1"/>
  <c r="AG35" i="27"/>
  <c r="V35" i="15" s="1"/>
  <c r="AB35" i="15" s="1"/>
  <c r="AH35" i="15" s="1"/>
  <c r="AF35" i="27"/>
  <c r="U35" i="15" s="1"/>
  <c r="AD35" i="27"/>
  <c r="S35" i="15" s="1"/>
  <c r="Y35" i="15" s="1"/>
  <c r="AE35" i="15" s="1"/>
  <c r="AE35" i="27"/>
  <c r="T35" i="15" s="1"/>
  <c r="Z35" i="15" s="1"/>
  <c r="AF35" i="15" s="1"/>
  <c r="X36" i="27"/>
  <c r="AA211" i="27"/>
  <c r="AB210" i="27"/>
  <c r="Q163" i="24"/>
  <c r="R163" i="24" s="1"/>
  <c r="AB122" i="27"/>
  <c r="W164" i="15"/>
  <c r="AM164" i="15" s="1"/>
  <c r="AQ164" i="15" s="1"/>
  <c r="AA166" i="27"/>
  <c r="AL116" i="15"/>
  <c r="AP116" i="15" s="1"/>
  <c r="AA116" i="15"/>
  <c r="AG116" i="15" s="1"/>
  <c r="Q76" i="24"/>
  <c r="R76" i="24" s="1"/>
  <c r="W117" i="15"/>
  <c r="AM117" i="15" s="1"/>
  <c r="AQ117" i="15" s="1"/>
  <c r="AM34" i="15"/>
  <c r="AQ34" i="15" s="1"/>
  <c r="AC34" i="15"/>
  <c r="AI34" i="15" s="1"/>
  <c r="AN34" i="15"/>
  <c r="AR34" i="15" s="1"/>
  <c r="AM108" i="27"/>
  <c r="AN110" i="27"/>
  <c r="AO113" i="27"/>
  <c r="AQ127" i="27"/>
  <c r="AP118" i="27"/>
  <c r="AI80" i="30" l="1"/>
  <c r="AS80" i="30" s="1"/>
  <c r="AJ80" i="30"/>
  <c r="AT80" i="30" s="1"/>
  <c r="AO80" i="30"/>
  <c r="AP211" i="30"/>
  <c r="AO211" i="30"/>
  <c r="AP168" i="30"/>
  <c r="AO168" i="30"/>
  <c r="AO119" i="30"/>
  <c r="AP119" i="30"/>
  <c r="AP82" i="30"/>
  <c r="AO36" i="30"/>
  <c r="AP36" i="30"/>
  <c r="AI211" i="30"/>
  <c r="AS211" i="30" s="1"/>
  <c r="AH211" i="30"/>
  <c r="AR211" i="30" s="1"/>
  <c r="AG211" i="30"/>
  <c r="AQ211" i="30" s="1"/>
  <c r="AL211" i="30"/>
  <c r="AV211" i="30" s="1"/>
  <c r="AK211" i="30"/>
  <c r="AU211" i="30" s="1"/>
  <c r="AJ211" i="30"/>
  <c r="AT211" i="30" s="1"/>
  <c r="AL168" i="30"/>
  <c r="AV168" i="30" s="1"/>
  <c r="AK168" i="30"/>
  <c r="AU168" i="30" s="1"/>
  <c r="AJ168" i="30"/>
  <c r="AT168" i="30" s="1"/>
  <c r="AG168" i="30"/>
  <c r="AQ168" i="30" s="1"/>
  <c r="AH168" i="30"/>
  <c r="AR168" i="30" s="1"/>
  <c r="AI168" i="30"/>
  <c r="AS168" i="30" s="1"/>
  <c r="AL119" i="30"/>
  <c r="AV119" i="30" s="1"/>
  <c r="AK119" i="30"/>
  <c r="AU119" i="30" s="1"/>
  <c r="AI119" i="30"/>
  <c r="AS119" i="30" s="1"/>
  <c r="AJ119" i="30"/>
  <c r="AT119" i="30" s="1"/>
  <c r="AH119" i="30"/>
  <c r="AR119" i="30" s="1"/>
  <c r="AG119" i="30"/>
  <c r="AQ119" i="30" s="1"/>
  <c r="AL82" i="30"/>
  <c r="AV82" i="30" s="1"/>
  <c r="AK82" i="30"/>
  <c r="AU82" i="30" s="1"/>
  <c r="AG82" i="30"/>
  <c r="AQ82" i="30" s="1"/>
  <c r="AH82" i="30"/>
  <c r="AR82" i="30" s="1"/>
  <c r="AK35" i="30"/>
  <c r="AU35" i="30" s="1"/>
  <c r="AL35" i="30"/>
  <c r="AV35" i="30" s="1"/>
  <c r="AI35" i="30"/>
  <c r="AS35" i="30" s="1"/>
  <c r="AG35" i="30"/>
  <c r="AQ35" i="30" s="1"/>
  <c r="AH35" i="30"/>
  <c r="AR35" i="30" s="1"/>
  <c r="AJ35" i="30"/>
  <c r="AT35" i="30" s="1"/>
  <c r="AB167" i="27"/>
  <c r="Q208" i="24"/>
  <c r="R208" i="24" s="1"/>
  <c r="U118" i="15"/>
  <c r="AK118" i="15" s="1"/>
  <c r="AO118" i="15" s="1"/>
  <c r="U78" i="15"/>
  <c r="AK78" i="15" s="1"/>
  <c r="AO78" i="15" s="1"/>
  <c r="U209" i="15"/>
  <c r="AK209" i="15" s="1"/>
  <c r="AO209" i="15" s="1"/>
  <c r="AM78" i="15"/>
  <c r="AQ78" i="15" s="1"/>
  <c r="AC78" i="15"/>
  <c r="AI78" i="15" s="1"/>
  <c r="AN78" i="15"/>
  <c r="AR78" i="15" s="1"/>
  <c r="AA167" i="27"/>
  <c r="AK165" i="15"/>
  <c r="AO165" i="15" s="1"/>
  <c r="AL165" i="15"/>
  <c r="AP165" i="15" s="1"/>
  <c r="AA165" i="15"/>
  <c r="AG165" i="15" s="1"/>
  <c r="AC210" i="27"/>
  <c r="R210" i="15" s="1"/>
  <c r="AG210" i="27"/>
  <c r="V210" i="15" s="1"/>
  <c r="AB210" i="15" s="1"/>
  <c r="AH210" i="15" s="1"/>
  <c r="AE210" i="27"/>
  <c r="T210" i="15" s="1"/>
  <c r="Z210" i="15" s="1"/>
  <c r="AF210" i="15" s="1"/>
  <c r="AH210" i="27"/>
  <c r="AF210" i="27"/>
  <c r="AD210" i="27"/>
  <c r="S210" i="15" s="1"/>
  <c r="Y210" i="15" s="1"/>
  <c r="AE210" i="15" s="1"/>
  <c r="X211" i="27"/>
  <c r="W209" i="15"/>
  <c r="AM209" i="15" s="1"/>
  <c r="AQ209" i="15" s="1"/>
  <c r="AA37" i="27"/>
  <c r="AB123" i="27"/>
  <c r="W35" i="15"/>
  <c r="AM35" i="15" s="1"/>
  <c r="AQ35" i="15" s="1"/>
  <c r="AB211" i="27"/>
  <c r="AM165" i="15"/>
  <c r="AQ165" i="15" s="1"/>
  <c r="AN165" i="15"/>
  <c r="AR165" i="15" s="1"/>
  <c r="AC165" i="15"/>
  <c r="AI165" i="15" s="1"/>
  <c r="AH119" i="27"/>
  <c r="W119" i="15" s="1"/>
  <c r="AF119" i="27"/>
  <c r="AE119" i="27"/>
  <c r="T119" i="15" s="1"/>
  <c r="Z119" i="15" s="1"/>
  <c r="AF119" i="15" s="1"/>
  <c r="AC119" i="27"/>
  <c r="R119" i="15" s="1"/>
  <c r="X119" i="15" s="1"/>
  <c r="AD119" i="15" s="1"/>
  <c r="AD119" i="27"/>
  <c r="S119" i="15" s="1"/>
  <c r="Y119" i="15" s="1"/>
  <c r="AE119" i="15" s="1"/>
  <c r="AG119" i="27"/>
  <c r="V119" i="15" s="1"/>
  <c r="AB119" i="15" s="1"/>
  <c r="AH119" i="15" s="1"/>
  <c r="X120" i="27"/>
  <c r="AA119" i="27"/>
  <c r="X78" i="15"/>
  <c r="AD78" i="15" s="1"/>
  <c r="AI207" i="15"/>
  <c r="Q207" i="24"/>
  <c r="R207" i="24" s="1"/>
  <c r="AA34" i="15"/>
  <c r="AL34" i="15"/>
  <c r="AP34" i="15" s="1"/>
  <c r="AK35" i="15"/>
  <c r="AO35" i="15" s="1"/>
  <c r="AA35" i="15"/>
  <c r="AG35" i="15" s="1"/>
  <c r="AL35" i="15"/>
  <c r="AP35" i="15" s="1"/>
  <c r="Q33" i="24"/>
  <c r="R33" i="24" s="1"/>
  <c r="AC117" i="15"/>
  <c r="AI117" i="15" s="1"/>
  <c r="AN117" i="15"/>
  <c r="AR117" i="15" s="1"/>
  <c r="AA212" i="27"/>
  <c r="AC166" i="27"/>
  <c r="R166" i="15" s="1"/>
  <c r="X166" i="15" s="1"/>
  <c r="AD166" i="15" s="1"/>
  <c r="AG166" i="27"/>
  <c r="V166" i="15" s="1"/>
  <c r="AB166" i="15" s="1"/>
  <c r="AH166" i="15" s="1"/>
  <c r="AD166" i="27"/>
  <c r="S166" i="15" s="1"/>
  <c r="Y166" i="15" s="1"/>
  <c r="AE166" i="15" s="1"/>
  <c r="AF166" i="27"/>
  <c r="AE166" i="27"/>
  <c r="T166" i="15" s="1"/>
  <c r="Z166" i="15" s="1"/>
  <c r="AF166" i="15" s="1"/>
  <c r="AH166" i="27"/>
  <c r="X167" i="27"/>
  <c r="X209" i="15"/>
  <c r="AD209" i="15" s="1"/>
  <c r="AB79" i="27"/>
  <c r="AM118" i="15"/>
  <c r="AQ118" i="15" s="1"/>
  <c r="AN118" i="15"/>
  <c r="AR118" i="15" s="1"/>
  <c r="AC118" i="15"/>
  <c r="AI118" i="15" s="1"/>
  <c r="AB35" i="27"/>
  <c r="AH79" i="27"/>
  <c r="W79" i="15" s="1"/>
  <c r="AD79" i="27"/>
  <c r="S79" i="15" s="1"/>
  <c r="Y79" i="15" s="1"/>
  <c r="AE79" i="15" s="1"/>
  <c r="AG79" i="27"/>
  <c r="V79" i="15" s="1"/>
  <c r="AB79" i="15" s="1"/>
  <c r="AH79" i="15" s="1"/>
  <c r="AC79" i="27"/>
  <c r="R79" i="15" s="1"/>
  <c r="AE79" i="27"/>
  <c r="T79" i="15" s="1"/>
  <c r="Z79" i="15" s="1"/>
  <c r="AF79" i="15" s="1"/>
  <c r="AF79" i="27"/>
  <c r="U79" i="15" s="1"/>
  <c r="X80" i="27"/>
  <c r="AL117" i="15"/>
  <c r="AP117" i="15" s="1"/>
  <c r="AA117" i="15"/>
  <c r="AG117" i="15" s="1"/>
  <c r="Q116" i="24"/>
  <c r="R116" i="24" s="1"/>
  <c r="AA81" i="27"/>
  <c r="AH36" i="27"/>
  <c r="AD36" i="27"/>
  <c r="S36" i="15" s="1"/>
  <c r="Y36" i="15" s="1"/>
  <c r="AE36" i="15" s="1"/>
  <c r="AF36" i="27"/>
  <c r="U36" i="15" s="1"/>
  <c r="AG36" i="27"/>
  <c r="V36" i="15" s="1"/>
  <c r="AB36" i="15" s="1"/>
  <c r="AH36" i="15" s="1"/>
  <c r="AC36" i="27"/>
  <c r="R36" i="15" s="1"/>
  <c r="X36" i="15" s="1"/>
  <c r="AD36" i="15" s="1"/>
  <c r="AE36" i="27"/>
  <c r="T36" i="15" s="1"/>
  <c r="Z36" i="15" s="1"/>
  <c r="AF36" i="15" s="1"/>
  <c r="X37" i="27"/>
  <c r="AN164" i="15"/>
  <c r="AR164" i="15" s="1"/>
  <c r="AC164" i="15"/>
  <c r="AI164" i="15" s="1"/>
  <c r="Q77" i="24"/>
  <c r="R77" i="24" s="1"/>
  <c r="AO115" i="27"/>
  <c r="AO114" i="27"/>
  <c r="AN112" i="27"/>
  <c r="AQ129" i="27"/>
  <c r="AN111" i="27"/>
  <c r="AP119" i="27"/>
  <c r="AM109" i="27"/>
  <c r="AP120" i="27"/>
  <c r="AQ128" i="27"/>
  <c r="AO81" i="30" l="1"/>
  <c r="AJ81" i="30"/>
  <c r="AT81" i="30" s="1"/>
  <c r="AI81" i="30"/>
  <c r="AS81" i="30" s="1"/>
  <c r="AO212" i="30"/>
  <c r="AP212" i="30"/>
  <c r="AO169" i="30"/>
  <c r="AP169" i="30"/>
  <c r="AP120" i="30"/>
  <c r="AO120" i="30"/>
  <c r="AP83" i="30"/>
  <c r="AP37" i="30"/>
  <c r="AO37" i="30"/>
  <c r="AJ212" i="30"/>
  <c r="AT212" i="30" s="1"/>
  <c r="AL212" i="30"/>
  <c r="AV212" i="30" s="1"/>
  <c r="AK212" i="30"/>
  <c r="AU212" i="30" s="1"/>
  <c r="AG212" i="30"/>
  <c r="AQ212" i="30" s="1"/>
  <c r="AH212" i="30"/>
  <c r="AR212" i="30" s="1"/>
  <c r="AI212" i="30"/>
  <c r="AS212" i="30" s="1"/>
  <c r="AI169" i="30"/>
  <c r="AS169" i="30" s="1"/>
  <c r="AH169" i="30"/>
  <c r="AR169" i="30" s="1"/>
  <c r="AG169" i="30"/>
  <c r="AQ169" i="30" s="1"/>
  <c r="AJ169" i="30"/>
  <c r="AT169" i="30" s="1"/>
  <c r="AL169" i="30"/>
  <c r="AV169" i="30" s="1"/>
  <c r="AK169" i="30"/>
  <c r="AU169" i="30" s="1"/>
  <c r="AG120" i="30"/>
  <c r="AQ120" i="30" s="1"/>
  <c r="AH120" i="30"/>
  <c r="AR120" i="30" s="1"/>
  <c r="AJ120" i="30"/>
  <c r="AT120" i="30" s="1"/>
  <c r="AI120" i="30"/>
  <c r="AS120" i="30" s="1"/>
  <c r="AL120" i="30"/>
  <c r="AV120" i="30" s="1"/>
  <c r="AK120" i="30"/>
  <c r="AU120" i="30" s="1"/>
  <c r="AH83" i="30"/>
  <c r="AR83" i="30" s="1"/>
  <c r="AG83" i="30"/>
  <c r="AQ83" i="30" s="1"/>
  <c r="AL83" i="30"/>
  <c r="AV83" i="30" s="1"/>
  <c r="AK83" i="30"/>
  <c r="AU83" i="30" s="1"/>
  <c r="AJ36" i="30"/>
  <c r="AT36" i="30" s="1"/>
  <c r="AH36" i="30"/>
  <c r="AR36" i="30" s="1"/>
  <c r="AK36" i="30"/>
  <c r="AU36" i="30" s="1"/>
  <c r="AL36" i="30"/>
  <c r="AV36" i="30" s="1"/>
  <c r="AI36" i="30"/>
  <c r="AS36" i="30" s="1"/>
  <c r="AG36" i="30"/>
  <c r="AQ36" i="30" s="1"/>
  <c r="AB168" i="27"/>
  <c r="Q165" i="24"/>
  <c r="R165" i="24" s="1"/>
  <c r="AK79" i="15"/>
  <c r="AO79" i="15" s="1"/>
  <c r="AL79" i="15"/>
  <c r="AP79" i="15" s="1"/>
  <c r="AA79" i="15"/>
  <c r="AG79" i="15" s="1"/>
  <c r="AK36" i="15"/>
  <c r="AO36" i="15" s="1"/>
  <c r="AL36" i="15"/>
  <c r="AP36" i="15" s="1"/>
  <c r="AA36" i="15"/>
  <c r="AG36" i="15" s="1"/>
  <c r="X79" i="15"/>
  <c r="AD79" i="15" s="1"/>
  <c r="AF167" i="27"/>
  <c r="AD167" i="27"/>
  <c r="S167" i="15" s="1"/>
  <c r="Y167" i="15" s="1"/>
  <c r="AE167" i="15" s="1"/>
  <c r="AC167" i="27"/>
  <c r="R167" i="15" s="1"/>
  <c r="X167" i="15" s="1"/>
  <c r="AD167" i="15" s="1"/>
  <c r="AE167" i="27"/>
  <c r="T167" i="15" s="1"/>
  <c r="Z167" i="15" s="1"/>
  <c r="AF167" i="15" s="1"/>
  <c r="AG167" i="27"/>
  <c r="V167" i="15" s="1"/>
  <c r="AB167" i="15" s="1"/>
  <c r="AH167" i="15" s="1"/>
  <c r="AH167" i="27"/>
  <c r="W167" i="15" s="1"/>
  <c r="X168" i="27"/>
  <c r="Q164" i="24"/>
  <c r="R164" i="24" s="1"/>
  <c r="AA120" i="27"/>
  <c r="AB212" i="27"/>
  <c r="AA168" i="27"/>
  <c r="AL209" i="15"/>
  <c r="AP209" i="15" s="1"/>
  <c r="AA209" i="15"/>
  <c r="AA213" i="27"/>
  <c r="U119" i="15"/>
  <c r="AK119" i="15" s="1"/>
  <c r="AO119" i="15" s="1"/>
  <c r="W166" i="15"/>
  <c r="AM166" i="15" s="1"/>
  <c r="AQ166" i="15" s="1"/>
  <c r="AC209" i="15"/>
  <c r="AI209" i="15" s="1"/>
  <c r="AN209" i="15"/>
  <c r="AR209" i="15" s="1"/>
  <c r="W36" i="15"/>
  <c r="AF120" i="27"/>
  <c r="AH120" i="27"/>
  <c r="AC120" i="27"/>
  <c r="R120" i="15" s="1"/>
  <c r="X120" i="15" s="1"/>
  <c r="AD120" i="15" s="1"/>
  <c r="AG120" i="27"/>
  <c r="V120" i="15" s="1"/>
  <c r="AB120" i="15" s="1"/>
  <c r="AH120" i="15" s="1"/>
  <c r="AE120" i="27"/>
  <c r="T120" i="15" s="1"/>
  <c r="Z120" i="15" s="1"/>
  <c r="AF120" i="15" s="1"/>
  <c r="AD120" i="27"/>
  <c r="S120" i="15" s="1"/>
  <c r="Y120" i="15" s="1"/>
  <c r="AE120" i="15" s="1"/>
  <c r="X121" i="27"/>
  <c r="AM119" i="15"/>
  <c r="AQ119" i="15" s="1"/>
  <c r="AC119" i="15"/>
  <c r="AI119" i="15" s="1"/>
  <c r="AN119" i="15"/>
  <c r="AR119" i="15" s="1"/>
  <c r="AN35" i="15"/>
  <c r="AR35" i="15" s="1"/>
  <c r="AC35" i="15"/>
  <c r="AI35" i="15" s="1"/>
  <c r="AH211" i="27"/>
  <c r="W211" i="15" s="1"/>
  <c r="AC211" i="27"/>
  <c r="R211" i="15" s="1"/>
  <c r="AE211" i="27"/>
  <c r="T211" i="15" s="1"/>
  <c r="Z211" i="15" s="1"/>
  <c r="AF211" i="15" s="1"/>
  <c r="AG211" i="27"/>
  <c r="V211" i="15" s="1"/>
  <c r="AB211" i="15" s="1"/>
  <c r="AH211" i="15" s="1"/>
  <c r="AF211" i="27"/>
  <c r="U211" i="15" s="1"/>
  <c r="AD211" i="27"/>
  <c r="S211" i="15" s="1"/>
  <c r="Y211" i="15" s="1"/>
  <c r="AE211" i="15" s="1"/>
  <c r="X212" i="27"/>
  <c r="X210" i="15"/>
  <c r="AD210" i="15" s="1"/>
  <c r="AA78" i="15"/>
  <c r="AG78" i="15" s="1"/>
  <c r="AL78" i="15"/>
  <c r="AP78" i="15" s="1"/>
  <c r="AE37" i="27"/>
  <c r="T37" i="15" s="1"/>
  <c r="Z37" i="15" s="1"/>
  <c r="AF37" i="15" s="1"/>
  <c r="AG37" i="27"/>
  <c r="V37" i="15" s="1"/>
  <c r="AB37" i="15" s="1"/>
  <c r="AH37" i="15" s="1"/>
  <c r="AF37" i="27"/>
  <c r="AH37" i="27"/>
  <c r="AC37" i="27"/>
  <c r="R37" i="15" s="1"/>
  <c r="X37" i="15" s="1"/>
  <c r="AD37" i="15" s="1"/>
  <c r="AD37" i="27"/>
  <c r="S37" i="15" s="1"/>
  <c r="Y37" i="15" s="1"/>
  <c r="AE37" i="15" s="1"/>
  <c r="X38" i="27"/>
  <c r="AH80" i="27"/>
  <c r="W80" i="15" s="1"/>
  <c r="AE80" i="27"/>
  <c r="T80" i="15" s="1"/>
  <c r="Z80" i="15" s="1"/>
  <c r="AF80" i="15" s="1"/>
  <c r="AC80" i="27"/>
  <c r="R80" i="15" s="1"/>
  <c r="AF80" i="27"/>
  <c r="AG80" i="27"/>
  <c r="V80" i="15" s="1"/>
  <c r="AB80" i="15" s="1"/>
  <c r="AH80" i="15" s="1"/>
  <c r="AD80" i="27"/>
  <c r="S80" i="15" s="1"/>
  <c r="Y80" i="15" s="1"/>
  <c r="AE80" i="15" s="1"/>
  <c r="X81" i="27"/>
  <c r="AM79" i="15"/>
  <c r="AQ79" i="15" s="1"/>
  <c r="AN79" i="15"/>
  <c r="AR79" i="15" s="1"/>
  <c r="AC79" i="15"/>
  <c r="AI79" i="15" s="1"/>
  <c r="AB80" i="27"/>
  <c r="U166" i="15"/>
  <c r="AK166" i="15" s="1"/>
  <c r="AO166" i="15" s="1"/>
  <c r="AB124" i="27"/>
  <c r="AA82" i="27"/>
  <c r="AL118" i="15"/>
  <c r="AP118" i="15" s="1"/>
  <c r="AA118" i="15"/>
  <c r="Q117" i="24"/>
  <c r="R117" i="24" s="1"/>
  <c r="AA38" i="27"/>
  <c r="U210" i="15"/>
  <c r="AK210" i="15" s="1"/>
  <c r="AO210" i="15" s="1"/>
  <c r="AB36" i="27"/>
  <c r="AG34" i="15"/>
  <c r="Q34" i="24"/>
  <c r="R34" i="24" s="1"/>
  <c r="W210" i="15"/>
  <c r="AM210" i="15" s="1"/>
  <c r="AQ210" i="15" s="1"/>
  <c r="AO116" i="27"/>
  <c r="AN113" i="27"/>
  <c r="AM110" i="27"/>
  <c r="AP121" i="27"/>
  <c r="AM111" i="27"/>
  <c r="AQ130" i="27"/>
  <c r="AI82" i="30" l="1"/>
  <c r="AS82" i="30" s="1"/>
  <c r="AJ82" i="30"/>
  <c r="AT82" i="30" s="1"/>
  <c r="AO82" i="30"/>
  <c r="AP213" i="30"/>
  <c r="AO213" i="30"/>
  <c r="AP170" i="30"/>
  <c r="AO170" i="30"/>
  <c r="AO121" i="30"/>
  <c r="AP121" i="30"/>
  <c r="AP84" i="30"/>
  <c r="AO38" i="30"/>
  <c r="AP38" i="30"/>
  <c r="AI213" i="30"/>
  <c r="AS213" i="30" s="1"/>
  <c r="AH213" i="30"/>
  <c r="AR213" i="30" s="1"/>
  <c r="AG213" i="30"/>
  <c r="AQ213" i="30" s="1"/>
  <c r="AL213" i="30"/>
  <c r="AV213" i="30" s="1"/>
  <c r="AK213" i="30"/>
  <c r="AU213" i="30" s="1"/>
  <c r="AJ213" i="30"/>
  <c r="AT213" i="30" s="1"/>
  <c r="AK170" i="30"/>
  <c r="AU170" i="30" s="1"/>
  <c r="AL170" i="30"/>
  <c r="AV170" i="30" s="1"/>
  <c r="AJ170" i="30"/>
  <c r="AT170" i="30" s="1"/>
  <c r="AG170" i="30"/>
  <c r="AQ170" i="30" s="1"/>
  <c r="AH170" i="30"/>
  <c r="AR170" i="30" s="1"/>
  <c r="AI170" i="30"/>
  <c r="AS170" i="30" s="1"/>
  <c r="AL121" i="30"/>
  <c r="AV121" i="30" s="1"/>
  <c r="AK121" i="30"/>
  <c r="AU121" i="30" s="1"/>
  <c r="AI121" i="30"/>
  <c r="AS121" i="30" s="1"/>
  <c r="AJ121" i="30"/>
  <c r="AT121" i="30" s="1"/>
  <c r="AH121" i="30"/>
  <c r="AR121" i="30" s="1"/>
  <c r="AG121" i="30"/>
  <c r="AQ121" i="30" s="1"/>
  <c r="AL84" i="30"/>
  <c r="AV84" i="30" s="1"/>
  <c r="AK84" i="30"/>
  <c r="AU84" i="30" s="1"/>
  <c r="AG84" i="30"/>
  <c r="AQ84" i="30" s="1"/>
  <c r="AH84" i="30"/>
  <c r="AR84" i="30" s="1"/>
  <c r="AJ37" i="30"/>
  <c r="AT37" i="30" s="1"/>
  <c r="AG37" i="30"/>
  <c r="AQ37" i="30" s="1"/>
  <c r="AI37" i="30"/>
  <c r="AS37" i="30" s="1"/>
  <c r="AK37" i="30"/>
  <c r="AU37" i="30" s="1"/>
  <c r="AL37" i="30"/>
  <c r="AV37" i="30" s="1"/>
  <c r="AH37" i="30"/>
  <c r="AR37" i="30" s="1"/>
  <c r="AB169" i="27"/>
  <c r="Q35" i="24"/>
  <c r="R35" i="24" s="1"/>
  <c r="AK211" i="15"/>
  <c r="AO211" i="15" s="1"/>
  <c r="AL211" i="15"/>
  <c r="AP211" i="15" s="1"/>
  <c r="AA211" i="15"/>
  <c r="AG211" i="15" s="1"/>
  <c r="AF168" i="27"/>
  <c r="AD168" i="27"/>
  <c r="S168" i="15" s="1"/>
  <c r="Y168" i="15" s="1"/>
  <c r="AE168" i="15" s="1"/>
  <c r="AC168" i="27"/>
  <c r="R168" i="15" s="1"/>
  <c r="X168" i="15" s="1"/>
  <c r="AD168" i="15" s="1"/>
  <c r="AE168" i="27"/>
  <c r="T168" i="15" s="1"/>
  <c r="Z168" i="15" s="1"/>
  <c r="AF168" i="15" s="1"/>
  <c r="AH168" i="27"/>
  <c r="AG168" i="27"/>
  <c r="V168" i="15" s="1"/>
  <c r="AB168" i="15" s="1"/>
  <c r="AH168" i="15" s="1"/>
  <c r="X169" i="27"/>
  <c r="AA119" i="15"/>
  <c r="AG119" i="15" s="1"/>
  <c r="AL119" i="15"/>
  <c r="AP119" i="15" s="1"/>
  <c r="AM167" i="15"/>
  <c r="AQ167" i="15" s="1"/>
  <c r="AN167" i="15"/>
  <c r="AR167" i="15" s="1"/>
  <c r="AC167" i="15"/>
  <c r="AI167" i="15" s="1"/>
  <c r="Q79" i="24"/>
  <c r="R79" i="24" s="1"/>
  <c r="AB125" i="27"/>
  <c r="X80" i="15"/>
  <c r="AD80" i="15" s="1"/>
  <c r="W37" i="15"/>
  <c r="AA214" i="27"/>
  <c r="AB213" i="27"/>
  <c r="AN36" i="15"/>
  <c r="AR36" i="15" s="1"/>
  <c r="AC36" i="15"/>
  <c r="AI36" i="15" s="1"/>
  <c r="AB37" i="27"/>
  <c r="AG118" i="15"/>
  <c r="Q118" i="24"/>
  <c r="R118" i="24" s="1"/>
  <c r="Q78" i="24"/>
  <c r="R78" i="24" s="1"/>
  <c r="U37" i="15"/>
  <c r="X211" i="15"/>
  <c r="AD211" i="15" s="1"/>
  <c r="W120" i="15"/>
  <c r="AM120" i="15" s="1"/>
  <c r="AQ120" i="15" s="1"/>
  <c r="AA121" i="27"/>
  <c r="U80" i="15"/>
  <c r="AK80" i="15" s="1"/>
  <c r="AO80" i="15" s="1"/>
  <c r="AC210" i="15"/>
  <c r="AI210" i="15" s="1"/>
  <c r="AN210" i="15"/>
  <c r="AR210" i="15" s="1"/>
  <c r="AE81" i="27"/>
  <c r="T81" i="15" s="1"/>
  <c r="Z81" i="15" s="1"/>
  <c r="AF81" i="15" s="1"/>
  <c r="AC81" i="27"/>
  <c r="R81" i="15" s="1"/>
  <c r="AD81" i="27"/>
  <c r="S81" i="15" s="1"/>
  <c r="Y81" i="15" s="1"/>
  <c r="AE81" i="15" s="1"/>
  <c r="AH81" i="27"/>
  <c r="AF81" i="27"/>
  <c r="AG81" i="27"/>
  <c r="V81" i="15" s="1"/>
  <c r="AB81" i="15" s="1"/>
  <c r="AH81" i="15" s="1"/>
  <c r="X82" i="27"/>
  <c r="AM80" i="15"/>
  <c r="AQ80" i="15" s="1"/>
  <c r="AC80" i="15"/>
  <c r="AI80" i="15" s="1"/>
  <c r="AN80" i="15"/>
  <c r="AR80" i="15" s="1"/>
  <c r="AG212" i="27"/>
  <c r="V212" i="15" s="1"/>
  <c r="AB212" i="15" s="1"/>
  <c r="AH212" i="15" s="1"/>
  <c r="AE212" i="27"/>
  <c r="T212" i="15" s="1"/>
  <c r="Z212" i="15" s="1"/>
  <c r="AF212" i="15" s="1"/>
  <c r="AD212" i="27"/>
  <c r="S212" i="15" s="1"/>
  <c r="Y212" i="15" s="1"/>
  <c r="AE212" i="15" s="1"/>
  <c r="AC212" i="27"/>
  <c r="R212" i="15" s="1"/>
  <c r="AF212" i="27"/>
  <c r="AH212" i="27"/>
  <c r="W212" i="15" s="1"/>
  <c r="X213" i="27"/>
  <c r="AM211" i="15"/>
  <c r="AQ211" i="15" s="1"/>
  <c r="AN211" i="15"/>
  <c r="AR211" i="15" s="1"/>
  <c r="AC211" i="15"/>
  <c r="AI211" i="15" s="1"/>
  <c r="AC121" i="27"/>
  <c r="R121" i="15" s="1"/>
  <c r="X121" i="15" s="1"/>
  <c r="AD121" i="15" s="1"/>
  <c r="AF121" i="27"/>
  <c r="AE121" i="27"/>
  <c r="T121" i="15" s="1"/>
  <c r="Z121" i="15" s="1"/>
  <c r="AF121" i="15" s="1"/>
  <c r="AG121" i="27"/>
  <c r="V121" i="15" s="1"/>
  <c r="AB121" i="15" s="1"/>
  <c r="AH121" i="15" s="1"/>
  <c r="AD121" i="27"/>
  <c r="S121" i="15" s="1"/>
  <c r="Y121" i="15" s="1"/>
  <c r="AE121" i="15" s="1"/>
  <c r="AH121" i="27"/>
  <c r="X122" i="27"/>
  <c r="U120" i="15"/>
  <c r="AK120" i="15" s="1"/>
  <c r="AO120" i="15" s="1"/>
  <c r="AG209" i="15"/>
  <c r="Q209" i="24"/>
  <c r="R209" i="24" s="1"/>
  <c r="AA39" i="27"/>
  <c r="AB81" i="27"/>
  <c r="AA169" i="27"/>
  <c r="U167" i="15"/>
  <c r="AK167" i="15" s="1"/>
  <c r="AO167" i="15" s="1"/>
  <c r="AA210" i="15"/>
  <c r="AG210" i="15" s="1"/>
  <c r="AL210" i="15"/>
  <c r="AP210" i="15" s="1"/>
  <c r="AA83" i="27"/>
  <c r="AL166" i="15"/>
  <c r="AP166" i="15" s="1"/>
  <c r="AA166" i="15"/>
  <c r="AG166" i="15" s="1"/>
  <c r="AC38" i="27"/>
  <c r="R38" i="15" s="1"/>
  <c r="X38" i="15" s="1"/>
  <c r="AD38" i="15" s="1"/>
  <c r="AH38" i="27"/>
  <c r="W38" i="15" s="1"/>
  <c r="AG38" i="27"/>
  <c r="V38" i="15" s="1"/>
  <c r="AB38" i="15" s="1"/>
  <c r="AH38" i="15" s="1"/>
  <c r="AD38" i="27"/>
  <c r="S38" i="15" s="1"/>
  <c r="Y38" i="15" s="1"/>
  <c r="AE38" i="15" s="1"/>
  <c r="AE38" i="27"/>
  <c r="T38" i="15" s="1"/>
  <c r="Z38" i="15" s="1"/>
  <c r="AF38" i="15" s="1"/>
  <c r="AF38" i="27"/>
  <c r="X39" i="27"/>
  <c r="AM36" i="15"/>
  <c r="AQ36" i="15" s="1"/>
  <c r="AC166" i="15"/>
  <c r="AI166" i="15" s="1"/>
  <c r="AN166" i="15"/>
  <c r="AR166" i="15" s="1"/>
  <c r="AP122" i="27"/>
  <c r="AQ132" i="27"/>
  <c r="AQ131" i="27"/>
  <c r="AO117" i="27"/>
  <c r="AO118" i="27"/>
  <c r="AP123" i="27"/>
  <c r="AM113" i="27"/>
  <c r="AN114" i="27"/>
  <c r="AM112" i="27"/>
  <c r="AN115" i="27"/>
  <c r="AO83" i="30" l="1"/>
  <c r="AJ83" i="30"/>
  <c r="AT83" i="30" s="1"/>
  <c r="AI83" i="30"/>
  <c r="AS83" i="30" s="1"/>
  <c r="AO214" i="30"/>
  <c r="AP214" i="30"/>
  <c r="AO171" i="30"/>
  <c r="AP171" i="30"/>
  <c r="AP122" i="30"/>
  <c r="AO122" i="30"/>
  <c r="AP85" i="30"/>
  <c r="AP39" i="30"/>
  <c r="AO39" i="30"/>
  <c r="AJ214" i="30"/>
  <c r="AT214" i="30" s="1"/>
  <c r="AL214" i="30"/>
  <c r="AV214" i="30" s="1"/>
  <c r="AK214" i="30"/>
  <c r="AU214" i="30" s="1"/>
  <c r="AG214" i="30"/>
  <c r="AQ214" i="30" s="1"/>
  <c r="AH214" i="30"/>
  <c r="AR214" i="30" s="1"/>
  <c r="AI214" i="30"/>
  <c r="AS214" i="30" s="1"/>
  <c r="AH171" i="30"/>
  <c r="AR171" i="30" s="1"/>
  <c r="AG171" i="30"/>
  <c r="AQ171" i="30" s="1"/>
  <c r="AI171" i="30"/>
  <c r="AS171" i="30" s="1"/>
  <c r="AJ171" i="30"/>
  <c r="AT171" i="30" s="1"/>
  <c r="AK171" i="30"/>
  <c r="AU171" i="30" s="1"/>
  <c r="AL171" i="30"/>
  <c r="AV171" i="30" s="1"/>
  <c r="AG122" i="30"/>
  <c r="AQ122" i="30" s="1"/>
  <c r="AH122" i="30"/>
  <c r="AR122" i="30" s="1"/>
  <c r="AJ122" i="30"/>
  <c r="AT122" i="30" s="1"/>
  <c r="AI122" i="30"/>
  <c r="AS122" i="30" s="1"/>
  <c r="AK122" i="30"/>
  <c r="AU122" i="30" s="1"/>
  <c r="AL122" i="30"/>
  <c r="AV122" i="30" s="1"/>
  <c r="AH85" i="30"/>
  <c r="AR85" i="30" s="1"/>
  <c r="AG85" i="30"/>
  <c r="AQ85" i="30" s="1"/>
  <c r="AL85" i="30"/>
  <c r="AV85" i="30" s="1"/>
  <c r="AK85" i="30"/>
  <c r="AU85" i="30" s="1"/>
  <c r="AJ38" i="30"/>
  <c r="AT38" i="30" s="1"/>
  <c r="AH38" i="30"/>
  <c r="AR38" i="30" s="1"/>
  <c r="AK38" i="30"/>
  <c r="AU38" i="30" s="1"/>
  <c r="AL38" i="30"/>
  <c r="AV38" i="30" s="1"/>
  <c r="AI38" i="30"/>
  <c r="AS38" i="30" s="1"/>
  <c r="AG38" i="30"/>
  <c r="AQ38" i="30" s="1"/>
  <c r="Q36" i="24"/>
  <c r="R36" i="24" s="1"/>
  <c r="AB170" i="27"/>
  <c r="AA170" i="27"/>
  <c r="AD39" i="27"/>
  <c r="S39" i="15" s="1"/>
  <c r="Y39" i="15" s="1"/>
  <c r="AE39" i="15" s="1"/>
  <c r="AH39" i="27"/>
  <c r="AF39" i="27"/>
  <c r="U39" i="15" s="1"/>
  <c r="AG39" i="27"/>
  <c r="V39" i="15" s="1"/>
  <c r="AB39" i="15" s="1"/>
  <c r="AH39" i="15" s="1"/>
  <c r="AC39" i="27"/>
  <c r="R39" i="15" s="1"/>
  <c r="X39" i="15" s="1"/>
  <c r="AD39" i="15" s="1"/>
  <c r="AE39" i="27"/>
  <c r="T39" i="15" s="1"/>
  <c r="Z39" i="15" s="1"/>
  <c r="AF39" i="15" s="1"/>
  <c r="X40" i="27"/>
  <c r="AG213" i="27"/>
  <c r="V213" i="15" s="1"/>
  <c r="AB213" i="15" s="1"/>
  <c r="AH213" i="15" s="1"/>
  <c r="AF213" i="27"/>
  <c r="AH213" i="27"/>
  <c r="W213" i="15" s="1"/>
  <c r="AC213" i="27"/>
  <c r="R213" i="15" s="1"/>
  <c r="AE213" i="27"/>
  <c r="T213" i="15" s="1"/>
  <c r="Z213" i="15" s="1"/>
  <c r="AF213" i="15" s="1"/>
  <c r="AD213" i="27"/>
  <c r="S213" i="15" s="1"/>
  <c r="Y213" i="15" s="1"/>
  <c r="AE213" i="15" s="1"/>
  <c r="X214" i="27"/>
  <c r="AN37" i="15"/>
  <c r="AR37" i="15" s="1"/>
  <c r="AC37" i="15"/>
  <c r="AI37" i="15" s="1"/>
  <c r="AF169" i="27"/>
  <c r="U169" i="15" s="1"/>
  <c r="AG169" i="27"/>
  <c r="V169" i="15" s="1"/>
  <c r="AB169" i="15" s="1"/>
  <c r="AH169" i="15" s="1"/>
  <c r="AC169" i="27"/>
  <c r="R169" i="15" s="1"/>
  <c r="X169" i="15" s="1"/>
  <c r="AD169" i="15" s="1"/>
  <c r="AH169" i="27"/>
  <c r="AD169" i="27"/>
  <c r="S169" i="15" s="1"/>
  <c r="Y169" i="15" s="1"/>
  <c r="AE169" i="15" s="1"/>
  <c r="AE169" i="27"/>
  <c r="T169" i="15" s="1"/>
  <c r="Z169" i="15" s="1"/>
  <c r="AF169" i="15" s="1"/>
  <c r="X170" i="27"/>
  <c r="AL120" i="15"/>
  <c r="AP120" i="15" s="1"/>
  <c r="AA120" i="15"/>
  <c r="W81" i="15"/>
  <c r="AM81" i="15" s="1"/>
  <c r="AQ81" i="15" s="1"/>
  <c r="AD122" i="27"/>
  <c r="S122" i="15" s="1"/>
  <c r="Y122" i="15" s="1"/>
  <c r="AE122" i="15" s="1"/>
  <c r="AC122" i="27"/>
  <c r="R122" i="15" s="1"/>
  <c r="X122" i="15" s="1"/>
  <c r="AD122" i="15" s="1"/>
  <c r="AG122" i="27"/>
  <c r="V122" i="15" s="1"/>
  <c r="AB122" i="15" s="1"/>
  <c r="AH122" i="15" s="1"/>
  <c r="AE122" i="27"/>
  <c r="T122" i="15" s="1"/>
  <c r="Z122" i="15" s="1"/>
  <c r="AF122" i="15" s="1"/>
  <c r="AF122" i="27"/>
  <c r="AH122" i="27"/>
  <c r="X123" i="27"/>
  <c r="U212" i="15"/>
  <c r="AK212" i="15" s="1"/>
  <c r="AO212" i="15" s="1"/>
  <c r="AA80" i="15"/>
  <c r="AL80" i="15"/>
  <c r="AP80" i="15" s="1"/>
  <c r="AC120" i="15"/>
  <c r="AI120" i="15" s="1"/>
  <c r="AN120" i="15"/>
  <c r="AR120" i="15" s="1"/>
  <c r="AA215" i="27"/>
  <c r="W168" i="15"/>
  <c r="AM168" i="15" s="1"/>
  <c r="AQ168" i="15" s="1"/>
  <c r="AB82" i="27"/>
  <c r="U81" i="15"/>
  <c r="AK81" i="15" s="1"/>
  <c r="AO81" i="15" s="1"/>
  <c r="AL37" i="15"/>
  <c r="AP37" i="15" s="1"/>
  <c r="AA37" i="15"/>
  <c r="U168" i="15"/>
  <c r="AK168" i="15" s="1"/>
  <c r="AO168" i="15" s="1"/>
  <c r="U38" i="15"/>
  <c r="AK38" i="15" s="1"/>
  <c r="AO38" i="15" s="1"/>
  <c r="AA40" i="27"/>
  <c r="U121" i="15"/>
  <c r="AK121" i="15" s="1"/>
  <c r="AO121" i="15" s="1"/>
  <c r="AM212" i="15"/>
  <c r="AQ212" i="15" s="1"/>
  <c r="AN212" i="15"/>
  <c r="AR212" i="15" s="1"/>
  <c r="AC212" i="15"/>
  <c r="AI212" i="15" s="1"/>
  <c r="AB214" i="27"/>
  <c r="AA84" i="27"/>
  <c r="AA167" i="15"/>
  <c r="AG167" i="15" s="1"/>
  <c r="AL167" i="15"/>
  <c r="AP167" i="15" s="1"/>
  <c r="Q119" i="24"/>
  <c r="R119" i="24" s="1"/>
  <c r="W121" i="15"/>
  <c r="AM121" i="15" s="1"/>
  <c r="AQ121" i="15" s="1"/>
  <c r="X212" i="15"/>
  <c r="AD212" i="15" s="1"/>
  <c r="X81" i="15"/>
  <c r="AD81" i="15" s="1"/>
  <c r="Q211" i="24"/>
  <c r="R211" i="24" s="1"/>
  <c r="AB126" i="27"/>
  <c r="Q210" i="24"/>
  <c r="R210" i="24" s="1"/>
  <c r="AD82" i="27"/>
  <c r="S82" i="15" s="1"/>
  <c r="Y82" i="15" s="1"/>
  <c r="AE82" i="15" s="1"/>
  <c r="AF82" i="27"/>
  <c r="U82" i="15" s="1"/>
  <c r="AG82" i="27"/>
  <c r="V82" i="15" s="1"/>
  <c r="AB82" i="15" s="1"/>
  <c r="AH82" i="15" s="1"/>
  <c r="AE82" i="27"/>
  <c r="T82" i="15" s="1"/>
  <c r="Z82" i="15" s="1"/>
  <c r="AF82" i="15" s="1"/>
  <c r="AC82" i="27"/>
  <c r="R82" i="15" s="1"/>
  <c r="AH82" i="27"/>
  <c r="X83" i="27"/>
  <c r="AB38" i="27"/>
  <c r="AM38" i="15"/>
  <c r="AQ38" i="15" s="1"/>
  <c r="AC38" i="15"/>
  <c r="AI38" i="15" s="1"/>
  <c r="AN38" i="15"/>
  <c r="AR38" i="15" s="1"/>
  <c r="AA122" i="27"/>
  <c r="AK37" i="15"/>
  <c r="AO37" i="15" s="1"/>
  <c r="AM37" i="15"/>
  <c r="AQ37" i="15" s="1"/>
  <c r="Q166" i="24"/>
  <c r="R166" i="24" s="1"/>
  <c r="AQ133" i="27"/>
  <c r="AM114" i="27"/>
  <c r="AP124" i="27"/>
  <c r="AN116" i="27"/>
  <c r="AO119" i="27"/>
  <c r="AJ84" i="30" l="1"/>
  <c r="AT84" i="30" s="1"/>
  <c r="AI84" i="30"/>
  <c r="AS84" i="30" s="1"/>
  <c r="AO84" i="30"/>
  <c r="AP215" i="30"/>
  <c r="AO215" i="30"/>
  <c r="AP172" i="30"/>
  <c r="AO172" i="30"/>
  <c r="AO123" i="30"/>
  <c r="AP123" i="30"/>
  <c r="AP86" i="30"/>
  <c r="AO40" i="30"/>
  <c r="AP40" i="30"/>
  <c r="AI215" i="30"/>
  <c r="AS215" i="30" s="1"/>
  <c r="AH215" i="30"/>
  <c r="AR215" i="30" s="1"/>
  <c r="AG215" i="30"/>
  <c r="AQ215" i="30" s="1"/>
  <c r="AL215" i="30"/>
  <c r="AV215" i="30" s="1"/>
  <c r="AK215" i="30"/>
  <c r="AU215" i="30" s="1"/>
  <c r="AJ215" i="30"/>
  <c r="AT215" i="30" s="1"/>
  <c r="AL172" i="30"/>
  <c r="AV172" i="30" s="1"/>
  <c r="AK172" i="30"/>
  <c r="AU172" i="30" s="1"/>
  <c r="AJ172" i="30"/>
  <c r="AT172" i="30" s="1"/>
  <c r="AI172" i="30"/>
  <c r="AS172" i="30" s="1"/>
  <c r="AG172" i="30"/>
  <c r="AQ172" i="30" s="1"/>
  <c r="AH172" i="30"/>
  <c r="AR172" i="30" s="1"/>
  <c r="AL123" i="30"/>
  <c r="AV123" i="30" s="1"/>
  <c r="AK123" i="30"/>
  <c r="AU123" i="30" s="1"/>
  <c r="AI123" i="30"/>
  <c r="AS123" i="30" s="1"/>
  <c r="AJ123" i="30"/>
  <c r="AT123" i="30" s="1"/>
  <c r="AH123" i="30"/>
  <c r="AR123" i="30" s="1"/>
  <c r="AG123" i="30"/>
  <c r="AQ123" i="30" s="1"/>
  <c r="AL86" i="30"/>
  <c r="AV86" i="30" s="1"/>
  <c r="AK86" i="30"/>
  <c r="AU86" i="30" s="1"/>
  <c r="AG86" i="30"/>
  <c r="AQ86" i="30" s="1"/>
  <c r="AH86" i="30"/>
  <c r="AR86" i="30" s="1"/>
  <c r="AJ39" i="30"/>
  <c r="AT39" i="30" s="1"/>
  <c r="AG39" i="30"/>
  <c r="AQ39" i="30" s="1"/>
  <c r="AL39" i="30"/>
  <c r="AV39" i="30" s="1"/>
  <c r="AK39" i="30"/>
  <c r="AU39" i="30" s="1"/>
  <c r="AI39" i="30"/>
  <c r="AS39" i="30" s="1"/>
  <c r="AH39" i="30"/>
  <c r="AR39" i="30" s="1"/>
  <c r="Q167" i="24"/>
  <c r="R167" i="24" s="1"/>
  <c r="AB171" i="27"/>
  <c r="AB39" i="27"/>
  <c r="AB215" i="27"/>
  <c r="AG80" i="15"/>
  <c r="Q80" i="24"/>
  <c r="R80" i="24" s="1"/>
  <c r="AN81" i="15"/>
  <c r="AR81" i="15" s="1"/>
  <c r="AC81" i="15"/>
  <c r="AI81" i="15" s="1"/>
  <c r="AF214" i="27"/>
  <c r="U214" i="15" s="1"/>
  <c r="AC214" i="27"/>
  <c r="R214" i="15" s="1"/>
  <c r="AH214" i="27"/>
  <c r="AD214" i="27"/>
  <c r="S214" i="15" s="1"/>
  <c r="Y214" i="15" s="1"/>
  <c r="AE214" i="15" s="1"/>
  <c r="AG214" i="27"/>
  <c r="V214" i="15" s="1"/>
  <c r="AB214" i="15" s="1"/>
  <c r="AH214" i="15" s="1"/>
  <c r="AE214" i="27"/>
  <c r="T214" i="15" s="1"/>
  <c r="Z214" i="15" s="1"/>
  <c r="AF214" i="15" s="1"/>
  <c r="X215" i="27"/>
  <c r="W82" i="15"/>
  <c r="AM82" i="15" s="1"/>
  <c r="AQ82" i="15" s="1"/>
  <c r="AA216" i="27"/>
  <c r="AG120" i="15"/>
  <c r="Q120" i="24"/>
  <c r="R120" i="24" s="1"/>
  <c r="AF40" i="27"/>
  <c r="AD40" i="27"/>
  <c r="S40" i="15" s="1"/>
  <c r="Y40" i="15" s="1"/>
  <c r="AE40" i="15" s="1"/>
  <c r="AE40" i="27"/>
  <c r="T40" i="15" s="1"/>
  <c r="Z40" i="15" s="1"/>
  <c r="AF40" i="15" s="1"/>
  <c r="AC40" i="27"/>
  <c r="R40" i="15" s="1"/>
  <c r="X40" i="15" s="1"/>
  <c r="AD40" i="15" s="1"/>
  <c r="AH40" i="27"/>
  <c r="AG40" i="27"/>
  <c r="V40" i="15" s="1"/>
  <c r="AB40" i="15" s="1"/>
  <c r="AH40" i="15" s="1"/>
  <c r="X41" i="27"/>
  <c r="AG37" i="15"/>
  <c r="Q37" i="24"/>
  <c r="R37" i="24" s="1"/>
  <c r="U213" i="15"/>
  <c r="AK213" i="15" s="1"/>
  <c r="AO213" i="15" s="1"/>
  <c r="AK39" i="15"/>
  <c r="AO39" i="15" s="1"/>
  <c r="AA39" i="15"/>
  <c r="AG39" i="15" s="1"/>
  <c r="AL39" i="15"/>
  <c r="AP39" i="15" s="1"/>
  <c r="AC83" i="27"/>
  <c r="R83" i="15" s="1"/>
  <c r="AG83" i="27"/>
  <c r="V83" i="15" s="1"/>
  <c r="AB83" i="15" s="1"/>
  <c r="AH83" i="15" s="1"/>
  <c r="AH83" i="27"/>
  <c r="AF83" i="27"/>
  <c r="AD83" i="27"/>
  <c r="S83" i="15" s="1"/>
  <c r="Y83" i="15" s="1"/>
  <c r="AE83" i="15" s="1"/>
  <c r="AE83" i="27"/>
  <c r="T83" i="15" s="1"/>
  <c r="Z83" i="15" s="1"/>
  <c r="AF83" i="15" s="1"/>
  <c r="X84" i="27"/>
  <c r="AC168" i="15"/>
  <c r="AI168" i="15" s="1"/>
  <c r="AN168" i="15"/>
  <c r="AR168" i="15" s="1"/>
  <c r="X82" i="15"/>
  <c r="AD82" i="15" s="1"/>
  <c r="AB127" i="27"/>
  <c r="AA38" i="15"/>
  <c r="AG38" i="15" s="1"/>
  <c r="AL38" i="15"/>
  <c r="AP38" i="15" s="1"/>
  <c r="AL81" i="15"/>
  <c r="AP81" i="15" s="1"/>
  <c r="AA81" i="15"/>
  <c r="AA212" i="15"/>
  <c r="AL212" i="15"/>
  <c r="AP212" i="15" s="1"/>
  <c r="AA171" i="27"/>
  <c r="W169" i="15"/>
  <c r="AM169" i="15" s="1"/>
  <c r="AQ169" i="15" s="1"/>
  <c r="W39" i="15"/>
  <c r="AM39" i="15" s="1"/>
  <c r="AQ39" i="15" s="1"/>
  <c r="AA85" i="27"/>
  <c r="AB83" i="27"/>
  <c r="AD123" i="27"/>
  <c r="S123" i="15" s="1"/>
  <c r="Y123" i="15" s="1"/>
  <c r="AE123" i="15" s="1"/>
  <c r="AF123" i="27"/>
  <c r="U123" i="15" s="1"/>
  <c r="AE123" i="27"/>
  <c r="T123" i="15" s="1"/>
  <c r="Z123" i="15" s="1"/>
  <c r="AF123" i="15" s="1"/>
  <c r="AC123" i="27"/>
  <c r="R123" i="15" s="1"/>
  <c r="X123" i="15" s="1"/>
  <c r="AD123" i="15" s="1"/>
  <c r="AH123" i="27"/>
  <c r="W123" i="15" s="1"/>
  <c r="AG123" i="27"/>
  <c r="V123" i="15" s="1"/>
  <c r="AB123" i="15" s="1"/>
  <c r="AH123" i="15" s="1"/>
  <c r="X124" i="27"/>
  <c r="AD170" i="27"/>
  <c r="S170" i="15" s="1"/>
  <c r="Y170" i="15" s="1"/>
  <c r="AE170" i="15" s="1"/>
  <c r="AG170" i="27"/>
  <c r="V170" i="15" s="1"/>
  <c r="AB170" i="15" s="1"/>
  <c r="AH170" i="15" s="1"/>
  <c r="AC170" i="27"/>
  <c r="R170" i="15" s="1"/>
  <c r="X170" i="15" s="1"/>
  <c r="AD170" i="15" s="1"/>
  <c r="AE170" i="27"/>
  <c r="T170" i="15" s="1"/>
  <c r="Z170" i="15" s="1"/>
  <c r="AF170" i="15" s="1"/>
  <c r="AF170" i="27"/>
  <c r="U170" i="15" s="1"/>
  <c r="AH170" i="27"/>
  <c r="X171" i="27"/>
  <c r="AK169" i="15"/>
  <c r="AO169" i="15" s="1"/>
  <c r="AL169" i="15"/>
  <c r="AP169" i="15" s="1"/>
  <c r="AA169" i="15"/>
  <c r="AG169" i="15" s="1"/>
  <c r="X213" i="15"/>
  <c r="AD213" i="15" s="1"/>
  <c r="AA123" i="27"/>
  <c r="AK82" i="15"/>
  <c r="AO82" i="15" s="1"/>
  <c r="AA82" i="15"/>
  <c r="AG82" i="15" s="1"/>
  <c r="AL82" i="15"/>
  <c r="AP82" i="15" s="1"/>
  <c r="AA41" i="27"/>
  <c r="U122" i="15"/>
  <c r="AK122" i="15" s="1"/>
  <c r="AO122" i="15" s="1"/>
  <c r="AN121" i="15"/>
  <c r="AR121" i="15" s="1"/>
  <c r="AC121" i="15"/>
  <c r="AI121" i="15" s="1"/>
  <c r="AA121" i="15"/>
  <c r="AL121" i="15"/>
  <c r="AP121" i="15" s="1"/>
  <c r="AL168" i="15"/>
  <c r="AP168" i="15" s="1"/>
  <c r="AA168" i="15"/>
  <c r="AG168" i="15" s="1"/>
  <c r="W122" i="15"/>
  <c r="AM122" i="15" s="1"/>
  <c r="AQ122" i="15" s="1"/>
  <c r="AM213" i="15"/>
  <c r="AQ213" i="15" s="1"/>
  <c r="AN213" i="15"/>
  <c r="AR213" i="15" s="1"/>
  <c r="AC213" i="15"/>
  <c r="AI213" i="15" s="1"/>
  <c r="AP125" i="27"/>
  <c r="AM115" i="27"/>
  <c r="AQ134" i="27"/>
  <c r="AO120" i="27"/>
  <c r="AN117" i="27"/>
  <c r="AO85" i="30" l="1"/>
  <c r="AJ85" i="30"/>
  <c r="AT85" i="30" s="1"/>
  <c r="AI85" i="30"/>
  <c r="AS85" i="30" s="1"/>
  <c r="AO216" i="30"/>
  <c r="AP216" i="30"/>
  <c r="AO173" i="30"/>
  <c r="AP173" i="30"/>
  <c r="AP124" i="30"/>
  <c r="AO124" i="30"/>
  <c r="AP87" i="30"/>
  <c r="AP41" i="30"/>
  <c r="AO41" i="30"/>
  <c r="AJ216" i="30"/>
  <c r="AT216" i="30" s="1"/>
  <c r="AL216" i="30"/>
  <c r="AV216" i="30" s="1"/>
  <c r="AK216" i="30"/>
  <c r="AU216" i="30" s="1"/>
  <c r="AG216" i="30"/>
  <c r="AQ216" i="30" s="1"/>
  <c r="AH216" i="30"/>
  <c r="AR216" i="30" s="1"/>
  <c r="AI216" i="30"/>
  <c r="AS216" i="30" s="1"/>
  <c r="AH173" i="30"/>
  <c r="AR173" i="30" s="1"/>
  <c r="AG173" i="30"/>
  <c r="AQ173" i="30" s="1"/>
  <c r="AI173" i="30"/>
  <c r="AS173" i="30" s="1"/>
  <c r="AJ173" i="30"/>
  <c r="AT173" i="30" s="1"/>
  <c r="AL173" i="30"/>
  <c r="AV173" i="30" s="1"/>
  <c r="AK173" i="30"/>
  <c r="AU173" i="30" s="1"/>
  <c r="AH124" i="30"/>
  <c r="AR124" i="30" s="1"/>
  <c r="AJ124" i="30"/>
  <c r="AT124" i="30" s="1"/>
  <c r="AG124" i="30"/>
  <c r="AQ124" i="30" s="1"/>
  <c r="AI124" i="30"/>
  <c r="AS124" i="30" s="1"/>
  <c r="AL124" i="30"/>
  <c r="AV124" i="30" s="1"/>
  <c r="AK124" i="30"/>
  <c r="AU124" i="30" s="1"/>
  <c r="AH87" i="30"/>
  <c r="AR87" i="30" s="1"/>
  <c r="AG87" i="30"/>
  <c r="AQ87" i="30" s="1"/>
  <c r="AL87" i="30"/>
  <c r="AV87" i="30" s="1"/>
  <c r="AK87" i="30"/>
  <c r="AU87" i="30" s="1"/>
  <c r="AH40" i="30"/>
  <c r="AR40" i="30" s="1"/>
  <c r="AI40" i="30"/>
  <c r="AS40" i="30" s="1"/>
  <c r="AK40" i="30"/>
  <c r="AU40" i="30" s="1"/>
  <c r="AL40" i="30"/>
  <c r="AV40" i="30" s="1"/>
  <c r="AG40" i="30"/>
  <c r="AQ40" i="30" s="1"/>
  <c r="AJ40" i="30"/>
  <c r="AT40" i="30" s="1"/>
  <c r="Q168" i="24"/>
  <c r="R168" i="24" s="1"/>
  <c r="AB172" i="27"/>
  <c r="Q38" i="24"/>
  <c r="R38" i="24" s="1"/>
  <c r="AC122" i="15"/>
  <c r="AI122" i="15" s="1"/>
  <c r="AN122" i="15"/>
  <c r="AR122" i="15" s="1"/>
  <c r="AG121" i="15"/>
  <c r="Q121" i="24"/>
  <c r="R121" i="24" s="1"/>
  <c r="AL122" i="15"/>
  <c r="AP122" i="15" s="1"/>
  <c r="AA122" i="15"/>
  <c r="AA42" i="27"/>
  <c r="AA124" i="27"/>
  <c r="AE171" i="27"/>
  <c r="T171" i="15" s="1"/>
  <c r="Z171" i="15" s="1"/>
  <c r="AF171" i="15" s="1"/>
  <c r="AF171" i="27"/>
  <c r="U171" i="15" s="1"/>
  <c r="AH171" i="27"/>
  <c r="AD171" i="27"/>
  <c r="S171" i="15" s="1"/>
  <c r="Y171" i="15" s="1"/>
  <c r="AE171" i="15" s="1"/>
  <c r="AC171" i="27"/>
  <c r="R171" i="15" s="1"/>
  <c r="X171" i="15" s="1"/>
  <c r="AD171" i="15" s="1"/>
  <c r="AG171" i="27"/>
  <c r="V171" i="15" s="1"/>
  <c r="AB171" i="15" s="1"/>
  <c r="AH171" i="15" s="1"/>
  <c r="X172" i="27"/>
  <c r="W170" i="15"/>
  <c r="AM170" i="15" s="1"/>
  <c r="AQ170" i="15" s="1"/>
  <c r="AK170" i="15"/>
  <c r="AO170" i="15" s="1"/>
  <c r="AA170" i="15"/>
  <c r="AG170" i="15" s="1"/>
  <c r="AL170" i="15"/>
  <c r="AP170" i="15" s="1"/>
  <c r="AG124" i="27"/>
  <c r="V124" i="15" s="1"/>
  <c r="AB124" i="15" s="1"/>
  <c r="AH124" i="15" s="1"/>
  <c r="AF124" i="27"/>
  <c r="U124" i="15" s="1"/>
  <c r="AH124" i="27"/>
  <c r="W124" i="15" s="1"/>
  <c r="AC124" i="27"/>
  <c r="R124" i="15" s="1"/>
  <c r="X124" i="15" s="1"/>
  <c r="AD124" i="15" s="1"/>
  <c r="AE124" i="27"/>
  <c r="T124" i="15" s="1"/>
  <c r="Z124" i="15" s="1"/>
  <c r="AF124" i="15" s="1"/>
  <c r="AD124" i="27"/>
  <c r="S124" i="15" s="1"/>
  <c r="Y124" i="15" s="1"/>
  <c r="AE124" i="15" s="1"/>
  <c r="X125" i="27"/>
  <c r="AM123" i="15"/>
  <c r="AQ123" i="15" s="1"/>
  <c r="AN123" i="15"/>
  <c r="AR123" i="15" s="1"/>
  <c r="AC123" i="15"/>
  <c r="AI123" i="15" s="1"/>
  <c r="AK123" i="15"/>
  <c r="AO123" i="15" s="1"/>
  <c r="AL123" i="15"/>
  <c r="AP123" i="15" s="1"/>
  <c r="AA123" i="15"/>
  <c r="AG123" i="15" s="1"/>
  <c r="AB84" i="27"/>
  <c r="AA86" i="27"/>
  <c r="AC39" i="15"/>
  <c r="AN39" i="15"/>
  <c r="AR39" i="15" s="1"/>
  <c r="AN169" i="15"/>
  <c r="AR169" i="15" s="1"/>
  <c r="AC169" i="15"/>
  <c r="AA172" i="27"/>
  <c r="AG212" i="15"/>
  <c r="Q212" i="24"/>
  <c r="R212" i="24" s="1"/>
  <c r="AG81" i="15"/>
  <c r="Q81" i="24"/>
  <c r="R81" i="24" s="1"/>
  <c r="AB128" i="27"/>
  <c r="AH84" i="27"/>
  <c r="AG84" i="27"/>
  <c r="V84" i="15" s="1"/>
  <c r="AB84" i="15" s="1"/>
  <c r="AH84" i="15" s="1"/>
  <c r="AF84" i="27"/>
  <c r="U84" i="15" s="1"/>
  <c r="AC84" i="27"/>
  <c r="R84" i="15" s="1"/>
  <c r="AD84" i="27"/>
  <c r="S84" i="15" s="1"/>
  <c r="Y84" i="15" s="1"/>
  <c r="AE84" i="15" s="1"/>
  <c r="AE84" i="27"/>
  <c r="T84" i="15" s="1"/>
  <c r="Z84" i="15" s="1"/>
  <c r="AF84" i="15" s="1"/>
  <c r="X85" i="27"/>
  <c r="U83" i="15"/>
  <c r="AK83" i="15" s="1"/>
  <c r="AO83" i="15" s="1"/>
  <c r="W83" i="15"/>
  <c r="AM83" i="15" s="1"/>
  <c r="AQ83" i="15" s="1"/>
  <c r="X83" i="15"/>
  <c r="AD83" i="15" s="1"/>
  <c r="AA213" i="15"/>
  <c r="AL213" i="15"/>
  <c r="AP213" i="15" s="1"/>
  <c r="AE41" i="27"/>
  <c r="T41" i="15" s="1"/>
  <c r="Z41" i="15" s="1"/>
  <c r="AF41" i="15" s="1"/>
  <c r="AD41" i="27"/>
  <c r="S41" i="15" s="1"/>
  <c r="Y41" i="15" s="1"/>
  <c r="AE41" i="15" s="1"/>
  <c r="AH41" i="27"/>
  <c r="W41" i="15" s="1"/>
  <c r="AF41" i="27"/>
  <c r="U41" i="15" s="1"/>
  <c r="AC41" i="27"/>
  <c r="R41" i="15" s="1"/>
  <c r="X41" i="15" s="1"/>
  <c r="AD41" i="15" s="1"/>
  <c r="AG41" i="27"/>
  <c r="V41" i="15" s="1"/>
  <c r="AB41" i="15" s="1"/>
  <c r="AH41" i="15" s="1"/>
  <c r="X42" i="27"/>
  <c r="W40" i="15"/>
  <c r="AM40" i="15" s="1"/>
  <c r="AQ40" i="15" s="1"/>
  <c r="U40" i="15"/>
  <c r="AK40" i="15" s="1"/>
  <c r="AO40" i="15" s="1"/>
  <c r="AA217" i="27"/>
  <c r="AN82" i="15"/>
  <c r="AR82" i="15" s="1"/>
  <c r="AC82" i="15"/>
  <c r="AD215" i="27"/>
  <c r="S215" i="15" s="1"/>
  <c r="Y215" i="15" s="1"/>
  <c r="AE215" i="15" s="1"/>
  <c r="AF215" i="27"/>
  <c r="AG215" i="27"/>
  <c r="V215" i="15" s="1"/>
  <c r="AB215" i="15" s="1"/>
  <c r="AH215" i="15" s="1"/>
  <c r="AC215" i="27"/>
  <c r="R215" i="15" s="1"/>
  <c r="AH215" i="27"/>
  <c r="AE215" i="27"/>
  <c r="T215" i="15" s="1"/>
  <c r="Z215" i="15" s="1"/>
  <c r="AF215" i="15" s="1"/>
  <c r="X216" i="27"/>
  <c r="W214" i="15"/>
  <c r="AM214" i="15" s="1"/>
  <c r="AQ214" i="15" s="1"/>
  <c r="X214" i="15"/>
  <c r="AD214" i="15" s="1"/>
  <c r="AK214" i="15"/>
  <c r="AO214" i="15" s="1"/>
  <c r="AL214" i="15"/>
  <c r="AP214" i="15" s="1"/>
  <c r="AA214" i="15"/>
  <c r="AG214" i="15" s="1"/>
  <c r="AB216" i="27"/>
  <c r="AB40" i="27"/>
  <c r="AO121" i="27"/>
  <c r="AP127" i="27"/>
  <c r="AP128" i="27"/>
  <c r="AQ137" i="27"/>
  <c r="AP126" i="27"/>
  <c r="AO122" i="27"/>
  <c r="AN118" i="27"/>
  <c r="AM118" i="27"/>
  <c r="AQ135" i="27"/>
  <c r="AO123" i="27"/>
  <c r="AQ136" i="27"/>
  <c r="AM117" i="27"/>
  <c r="AN120" i="27"/>
  <c r="AN119" i="27"/>
  <c r="AM116" i="27"/>
  <c r="AJ86" i="30" l="1"/>
  <c r="AT86" i="30" s="1"/>
  <c r="AI86" i="30"/>
  <c r="AS86" i="30" s="1"/>
  <c r="AO86" i="30"/>
  <c r="AP217" i="30"/>
  <c r="AO217" i="30"/>
  <c r="AP174" i="30"/>
  <c r="AO174" i="30"/>
  <c r="AO125" i="30"/>
  <c r="AP125" i="30"/>
  <c r="AP88" i="30"/>
  <c r="AO42" i="30"/>
  <c r="AP42" i="30"/>
  <c r="AI217" i="30"/>
  <c r="AS217" i="30" s="1"/>
  <c r="AH217" i="30"/>
  <c r="AR217" i="30" s="1"/>
  <c r="AG217" i="30"/>
  <c r="AQ217" i="30" s="1"/>
  <c r="AL217" i="30"/>
  <c r="AV217" i="30" s="1"/>
  <c r="AK217" i="30"/>
  <c r="AU217" i="30" s="1"/>
  <c r="AJ217" i="30"/>
  <c r="AT217" i="30" s="1"/>
  <c r="AK174" i="30"/>
  <c r="AU174" i="30" s="1"/>
  <c r="AL174" i="30"/>
  <c r="AV174" i="30" s="1"/>
  <c r="AJ174" i="30"/>
  <c r="AT174" i="30" s="1"/>
  <c r="AI174" i="30"/>
  <c r="AS174" i="30" s="1"/>
  <c r="AG174" i="30"/>
  <c r="AQ174" i="30" s="1"/>
  <c r="AH174" i="30"/>
  <c r="AR174" i="30" s="1"/>
  <c r="AL125" i="30"/>
  <c r="AV125" i="30" s="1"/>
  <c r="AK125" i="30"/>
  <c r="AU125" i="30" s="1"/>
  <c r="AI125" i="30"/>
  <c r="AS125" i="30" s="1"/>
  <c r="AG125" i="30"/>
  <c r="AQ125" i="30" s="1"/>
  <c r="AJ125" i="30"/>
  <c r="AT125" i="30" s="1"/>
  <c r="AH125" i="30"/>
  <c r="AR125" i="30" s="1"/>
  <c r="AL88" i="30"/>
  <c r="AV88" i="30" s="1"/>
  <c r="AK88" i="30"/>
  <c r="AU88" i="30" s="1"/>
  <c r="AG88" i="30"/>
  <c r="AQ88" i="30" s="1"/>
  <c r="AH88" i="30"/>
  <c r="AR88" i="30" s="1"/>
  <c r="AH41" i="30"/>
  <c r="AR41" i="30" s="1"/>
  <c r="AI41" i="30"/>
  <c r="AS41" i="30" s="1"/>
  <c r="AJ41" i="30"/>
  <c r="AT41" i="30" s="1"/>
  <c r="AG41" i="30"/>
  <c r="AQ41" i="30" s="1"/>
  <c r="AL41" i="30"/>
  <c r="AV41" i="30" s="1"/>
  <c r="AK41" i="30"/>
  <c r="AU41" i="30" s="1"/>
  <c r="AB173" i="27"/>
  <c r="AG213" i="15"/>
  <c r="Q213" i="24"/>
  <c r="R213" i="24" s="1"/>
  <c r="AI39" i="15"/>
  <c r="Q39" i="24"/>
  <c r="R39" i="24" s="1"/>
  <c r="Q123" i="24"/>
  <c r="R123" i="24" s="1"/>
  <c r="AI82" i="15"/>
  <c r="Q82" i="24"/>
  <c r="R82" i="24" s="1"/>
  <c r="AI169" i="15"/>
  <c r="Q169" i="24"/>
  <c r="R169" i="24" s="1"/>
  <c r="AG122" i="15"/>
  <c r="Q122" i="24"/>
  <c r="R122" i="24" s="1"/>
  <c r="X215" i="15"/>
  <c r="AD215" i="15" s="1"/>
  <c r="X84" i="15"/>
  <c r="AD84" i="15" s="1"/>
  <c r="AB41" i="27"/>
  <c r="AB217" i="27"/>
  <c r="AN214" i="15"/>
  <c r="AR214" i="15" s="1"/>
  <c r="AC214" i="15"/>
  <c r="AE216" i="27"/>
  <c r="T216" i="15" s="1"/>
  <c r="Z216" i="15" s="1"/>
  <c r="AF216" i="15" s="1"/>
  <c r="AF216" i="27"/>
  <c r="AC216" i="27"/>
  <c r="R216" i="15" s="1"/>
  <c r="AG216" i="27"/>
  <c r="V216" i="15" s="1"/>
  <c r="AB216" i="15" s="1"/>
  <c r="AH216" i="15" s="1"/>
  <c r="AD216" i="27"/>
  <c r="S216" i="15" s="1"/>
  <c r="Y216" i="15" s="1"/>
  <c r="AE216" i="15" s="1"/>
  <c r="AH216" i="27"/>
  <c r="X217" i="27"/>
  <c r="W215" i="15"/>
  <c r="AM215" i="15" s="1"/>
  <c r="AQ215" i="15" s="1"/>
  <c r="U215" i="15"/>
  <c r="AK215" i="15" s="1"/>
  <c r="AO215" i="15" s="1"/>
  <c r="AA218" i="27"/>
  <c r="AA40" i="15"/>
  <c r="AG40" i="15" s="1"/>
  <c r="AL40" i="15"/>
  <c r="AP40" i="15" s="1"/>
  <c r="AC40" i="15"/>
  <c r="AI40" i="15" s="1"/>
  <c r="AN40" i="15"/>
  <c r="AR40" i="15" s="1"/>
  <c r="AC42" i="27"/>
  <c r="R42" i="15" s="1"/>
  <c r="X42" i="15" s="1"/>
  <c r="AD42" i="15" s="1"/>
  <c r="AD42" i="27"/>
  <c r="S42" i="15" s="1"/>
  <c r="Y42" i="15" s="1"/>
  <c r="AE42" i="15" s="1"/>
  <c r="AH42" i="27"/>
  <c r="AF42" i="27"/>
  <c r="AG42" i="27"/>
  <c r="V42" i="15" s="1"/>
  <c r="AB42" i="15" s="1"/>
  <c r="AH42" i="15" s="1"/>
  <c r="AE42" i="27"/>
  <c r="T42" i="15" s="1"/>
  <c r="Z42" i="15" s="1"/>
  <c r="AF42" i="15" s="1"/>
  <c r="X43" i="27"/>
  <c r="AK41" i="15"/>
  <c r="AO41" i="15" s="1"/>
  <c r="AL41" i="15"/>
  <c r="AP41" i="15" s="1"/>
  <c r="AA41" i="15"/>
  <c r="AG41" i="15" s="1"/>
  <c r="AM41" i="15"/>
  <c r="AQ41" i="15" s="1"/>
  <c r="AN41" i="15"/>
  <c r="AR41" i="15" s="1"/>
  <c r="AC41" i="15"/>
  <c r="AI41" i="15" s="1"/>
  <c r="AN83" i="15"/>
  <c r="AR83" i="15" s="1"/>
  <c r="AC83" i="15"/>
  <c r="AI83" i="15" s="1"/>
  <c r="AL83" i="15"/>
  <c r="AP83" i="15" s="1"/>
  <c r="AA83" i="15"/>
  <c r="AG83" i="15" s="1"/>
  <c r="AF85" i="27"/>
  <c r="U85" i="15" s="1"/>
  <c r="AG85" i="27"/>
  <c r="V85" i="15" s="1"/>
  <c r="AB85" i="15" s="1"/>
  <c r="AH85" i="15" s="1"/>
  <c r="AD85" i="27"/>
  <c r="S85" i="15" s="1"/>
  <c r="Y85" i="15" s="1"/>
  <c r="AE85" i="15" s="1"/>
  <c r="AC85" i="27"/>
  <c r="R85" i="15" s="1"/>
  <c r="AH85" i="27"/>
  <c r="W85" i="15" s="1"/>
  <c r="AE85" i="27"/>
  <c r="T85" i="15" s="1"/>
  <c r="Z85" i="15" s="1"/>
  <c r="AF85" i="15" s="1"/>
  <c r="X86" i="27"/>
  <c r="AK84" i="15"/>
  <c r="AO84" i="15" s="1"/>
  <c r="AL84" i="15"/>
  <c r="AP84" i="15" s="1"/>
  <c r="AA84" i="15"/>
  <c r="AG84" i="15" s="1"/>
  <c r="W84" i="15"/>
  <c r="AM84" i="15" s="1"/>
  <c r="AQ84" i="15" s="1"/>
  <c r="AB129" i="27"/>
  <c r="AA173" i="27"/>
  <c r="AA87" i="27"/>
  <c r="AB85" i="27"/>
  <c r="AF125" i="27"/>
  <c r="AD125" i="27"/>
  <c r="S125" i="15" s="1"/>
  <c r="Y125" i="15" s="1"/>
  <c r="AE125" i="15" s="1"/>
  <c r="AH125" i="27"/>
  <c r="W125" i="15" s="1"/>
  <c r="AC125" i="27"/>
  <c r="R125" i="15" s="1"/>
  <c r="X125" i="15" s="1"/>
  <c r="AD125" i="15" s="1"/>
  <c r="AE125" i="27"/>
  <c r="T125" i="15" s="1"/>
  <c r="Z125" i="15" s="1"/>
  <c r="AF125" i="15" s="1"/>
  <c r="AG125" i="27"/>
  <c r="V125" i="15" s="1"/>
  <c r="AB125" i="15" s="1"/>
  <c r="AH125" i="15" s="1"/>
  <c r="X126" i="27"/>
  <c r="AM124" i="15"/>
  <c r="AQ124" i="15" s="1"/>
  <c r="AN124" i="15"/>
  <c r="AR124" i="15" s="1"/>
  <c r="AC124" i="15"/>
  <c r="AI124" i="15" s="1"/>
  <c r="AK124" i="15"/>
  <c r="AO124" i="15" s="1"/>
  <c r="AA124" i="15"/>
  <c r="AG124" i="15" s="1"/>
  <c r="AL124" i="15"/>
  <c r="AP124" i="15" s="1"/>
  <c r="AN170" i="15"/>
  <c r="AR170" i="15" s="1"/>
  <c r="AC170" i="15"/>
  <c r="AI170" i="15" s="1"/>
  <c r="AH172" i="27"/>
  <c r="AD172" i="27"/>
  <c r="S172" i="15" s="1"/>
  <c r="Y172" i="15" s="1"/>
  <c r="AE172" i="15" s="1"/>
  <c r="AG172" i="27"/>
  <c r="V172" i="15" s="1"/>
  <c r="AB172" i="15" s="1"/>
  <c r="AH172" i="15" s="1"/>
  <c r="AC172" i="27"/>
  <c r="R172" i="15" s="1"/>
  <c r="X172" i="15" s="1"/>
  <c r="AD172" i="15" s="1"/>
  <c r="AF172" i="27"/>
  <c r="AE172" i="27"/>
  <c r="T172" i="15" s="1"/>
  <c r="Z172" i="15" s="1"/>
  <c r="AF172" i="15" s="1"/>
  <c r="X173" i="27"/>
  <c r="W171" i="15"/>
  <c r="AM171" i="15" s="1"/>
  <c r="AQ171" i="15" s="1"/>
  <c r="AK171" i="15"/>
  <c r="AO171" i="15" s="1"/>
  <c r="AL171" i="15"/>
  <c r="AP171" i="15" s="1"/>
  <c r="AA171" i="15"/>
  <c r="AG171" i="15" s="1"/>
  <c r="AA125" i="27"/>
  <c r="AA43" i="27"/>
  <c r="AN121" i="27"/>
  <c r="AQ139" i="27"/>
  <c r="AO124" i="27"/>
  <c r="AM120" i="27"/>
  <c r="AO125" i="27"/>
  <c r="AP130" i="27"/>
  <c r="AP129" i="27"/>
  <c r="AM119" i="27"/>
  <c r="AQ138" i="27"/>
  <c r="AN122" i="27"/>
  <c r="AO87" i="30" l="1"/>
  <c r="AI87" i="30"/>
  <c r="AS87" i="30" s="1"/>
  <c r="AJ87" i="30"/>
  <c r="AT87" i="30" s="1"/>
  <c r="AO218" i="30"/>
  <c r="AP218" i="30"/>
  <c r="AO175" i="30"/>
  <c r="AP175" i="30"/>
  <c r="AP126" i="30"/>
  <c r="AO126" i="30"/>
  <c r="AP89" i="30"/>
  <c r="AP43" i="30"/>
  <c r="AO43" i="30"/>
  <c r="AJ218" i="30"/>
  <c r="AT218" i="30" s="1"/>
  <c r="AL218" i="30"/>
  <c r="AV218" i="30" s="1"/>
  <c r="AK218" i="30"/>
  <c r="AU218" i="30" s="1"/>
  <c r="AG218" i="30"/>
  <c r="AQ218" i="30" s="1"/>
  <c r="AH218" i="30"/>
  <c r="AR218" i="30" s="1"/>
  <c r="AI218" i="30"/>
  <c r="AS218" i="30" s="1"/>
  <c r="AH175" i="30"/>
  <c r="AR175" i="30" s="1"/>
  <c r="AG175" i="30"/>
  <c r="AQ175" i="30" s="1"/>
  <c r="AI175" i="30"/>
  <c r="AS175" i="30" s="1"/>
  <c r="AJ175" i="30"/>
  <c r="AT175" i="30" s="1"/>
  <c r="AL175" i="30"/>
  <c r="AV175" i="30" s="1"/>
  <c r="AK175" i="30"/>
  <c r="AU175" i="30" s="1"/>
  <c r="AJ126" i="30"/>
  <c r="AT126" i="30" s="1"/>
  <c r="AH126" i="30"/>
  <c r="AR126" i="30" s="1"/>
  <c r="AG126" i="30"/>
  <c r="AQ126" i="30" s="1"/>
  <c r="AI126" i="30"/>
  <c r="AS126" i="30" s="1"/>
  <c r="AK126" i="30"/>
  <c r="AU126" i="30" s="1"/>
  <c r="AL126" i="30"/>
  <c r="AV126" i="30" s="1"/>
  <c r="AH89" i="30"/>
  <c r="AR89" i="30" s="1"/>
  <c r="AG89" i="30"/>
  <c r="AQ89" i="30" s="1"/>
  <c r="AL89" i="30"/>
  <c r="AV89" i="30" s="1"/>
  <c r="AK89" i="30"/>
  <c r="AU89" i="30" s="1"/>
  <c r="AH42" i="30"/>
  <c r="AR42" i="30" s="1"/>
  <c r="AI42" i="30"/>
  <c r="AS42" i="30" s="1"/>
  <c r="AK42" i="30"/>
  <c r="AU42" i="30" s="1"/>
  <c r="AL42" i="30"/>
  <c r="AV42" i="30" s="1"/>
  <c r="AG42" i="30"/>
  <c r="AQ42" i="30" s="1"/>
  <c r="AJ42" i="30"/>
  <c r="AT42" i="30" s="1"/>
  <c r="AB174" i="27"/>
  <c r="Q124" i="24"/>
  <c r="R124" i="24" s="1"/>
  <c r="X85" i="15"/>
  <c r="AD85" i="15" s="1"/>
  <c r="Q83" i="24"/>
  <c r="R83" i="24" s="1"/>
  <c r="AI214" i="15"/>
  <c r="Q214" i="24"/>
  <c r="R214" i="24" s="1"/>
  <c r="Q41" i="24"/>
  <c r="R41" i="24" s="1"/>
  <c r="X216" i="15"/>
  <c r="AD216" i="15" s="1"/>
  <c r="Q170" i="24"/>
  <c r="R170" i="24" s="1"/>
  <c r="Q40" i="24"/>
  <c r="R40" i="24" s="1"/>
  <c r="AA44" i="27"/>
  <c r="AA126" i="27"/>
  <c r="AC171" i="15"/>
  <c r="AI171" i="15" s="1"/>
  <c r="AN171" i="15"/>
  <c r="AR171" i="15" s="1"/>
  <c r="AH173" i="27"/>
  <c r="W173" i="15" s="1"/>
  <c r="AC173" i="27"/>
  <c r="R173" i="15" s="1"/>
  <c r="X173" i="15" s="1"/>
  <c r="AD173" i="15" s="1"/>
  <c r="AE173" i="27"/>
  <c r="T173" i="15" s="1"/>
  <c r="Z173" i="15" s="1"/>
  <c r="AF173" i="15" s="1"/>
  <c r="AF173" i="27"/>
  <c r="U173" i="15" s="1"/>
  <c r="AG173" i="27"/>
  <c r="V173" i="15" s="1"/>
  <c r="AB173" i="15" s="1"/>
  <c r="AH173" i="15" s="1"/>
  <c r="AD173" i="27"/>
  <c r="S173" i="15" s="1"/>
  <c r="Y173" i="15" s="1"/>
  <c r="AE173" i="15" s="1"/>
  <c r="X174" i="27"/>
  <c r="U172" i="15"/>
  <c r="AK172" i="15" s="1"/>
  <c r="AO172" i="15" s="1"/>
  <c r="W172" i="15"/>
  <c r="AM172" i="15" s="1"/>
  <c r="AQ172" i="15" s="1"/>
  <c r="AH126" i="27"/>
  <c r="AF126" i="27"/>
  <c r="U126" i="15" s="1"/>
  <c r="AC126" i="27"/>
  <c r="R126" i="15" s="1"/>
  <c r="X126" i="15" s="1"/>
  <c r="AD126" i="15" s="1"/>
  <c r="AE126" i="27"/>
  <c r="T126" i="15" s="1"/>
  <c r="Z126" i="15" s="1"/>
  <c r="AF126" i="15" s="1"/>
  <c r="AG126" i="27"/>
  <c r="V126" i="15" s="1"/>
  <c r="AB126" i="15" s="1"/>
  <c r="AH126" i="15" s="1"/>
  <c r="AD126" i="27"/>
  <c r="S126" i="15" s="1"/>
  <c r="Y126" i="15" s="1"/>
  <c r="AE126" i="15" s="1"/>
  <c r="X127" i="27"/>
  <c r="AM125" i="15"/>
  <c r="AQ125" i="15" s="1"/>
  <c r="AN125" i="15"/>
  <c r="AR125" i="15" s="1"/>
  <c r="AC125" i="15"/>
  <c r="AI125" i="15" s="1"/>
  <c r="U125" i="15"/>
  <c r="AK125" i="15" s="1"/>
  <c r="AO125" i="15" s="1"/>
  <c r="AB86" i="27"/>
  <c r="AA88" i="27"/>
  <c r="AA174" i="27"/>
  <c r="AB130" i="27"/>
  <c r="AC84" i="15"/>
  <c r="AI84" i="15" s="1"/>
  <c r="AN84" i="15"/>
  <c r="AR84" i="15" s="1"/>
  <c r="AF86" i="27"/>
  <c r="AD86" i="27"/>
  <c r="S86" i="15" s="1"/>
  <c r="Y86" i="15" s="1"/>
  <c r="AE86" i="15" s="1"/>
  <c r="AE86" i="27"/>
  <c r="T86" i="15" s="1"/>
  <c r="Z86" i="15" s="1"/>
  <c r="AF86" i="15" s="1"/>
  <c r="AH86" i="27"/>
  <c r="AC86" i="27"/>
  <c r="R86" i="15" s="1"/>
  <c r="AG86" i="27"/>
  <c r="V86" i="15" s="1"/>
  <c r="AB86" i="15" s="1"/>
  <c r="AH86" i="15" s="1"/>
  <c r="X87" i="27"/>
  <c r="AM85" i="15"/>
  <c r="AQ85" i="15" s="1"/>
  <c r="AC85" i="15"/>
  <c r="AI85" i="15" s="1"/>
  <c r="AN85" i="15"/>
  <c r="AR85" i="15" s="1"/>
  <c r="AK85" i="15"/>
  <c r="AO85" i="15" s="1"/>
  <c r="AA85" i="15"/>
  <c r="AG85" i="15" s="1"/>
  <c r="AL85" i="15"/>
  <c r="AP85" i="15" s="1"/>
  <c r="AG43" i="27"/>
  <c r="V43" i="15" s="1"/>
  <c r="AB43" i="15" s="1"/>
  <c r="AH43" i="15" s="1"/>
  <c r="AF43" i="27"/>
  <c r="AD43" i="27"/>
  <c r="S43" i="15" s="1"/>
  <c r="Y43" i="15" s="1"/>
  <c r="AE43" i="15" s="1"/>
  <c r="AH43" i="27"/>
  <c r="AC43" i="27"/>
  <c r="R43" i="15" s="1"/>
  <c r="X43" i="15" s="1"/>
  <c r="AD43" i="15" s="1"/>
  <c r="AE43" i="27"/>
  <c r="T43" i="15" s="1"/>
  <c r="Z43" i="15" s="1"/>
  <c r="AF43" i="15" s="1"/>
  <c r="X44" i="27"/>
  <c r="U42" i="15"/>
  <c r="AK42" i="15" s="1"/>
  <c r="AO42" i="15" s="1"/>
  <c r="W42" i="15"/>
  <c r="AM42" i="15" s="1"/>
  <c r="AQ42" i="15" s="1"/>
  <c r="AA219" i="27"/>
  <c r="AL215" i="15"/>
  <c r="AP215" i="15" s="1"/>
  <c r="AA215" i="15"/>
  <c r="AC215" i="15"/>
  <c r="AI215" i="15" s="1"/>
  <c r="AN215" i="15"/>
  <c r="AR215" i="15" s="1"/>
  <c r="AG217" i="27"/>
  <c r="V217" i="15" s="1"/>
  <c r="AB217" i="15" s="1"/>
  <c r="AH217" i="15" s="1"/>
  <c r="AH217" i="27"/>
  <c r="W217" i="15" s="1"/>
  <c r="AD217" i="27"/>
  <c r="S217" i="15" s="1"/>
  <c r="Y217" i="15" s="1"/>
  <c r="AE217" i="15" s="1"/>
  <c r="AF217" i="27"/>
  <c r="AC217" i="27"/>
  <c r="R217" i="15" s="1"/>
  <c r="AE217" i="27"/>
  <c r="T217" i="15" s="1"/>
  <c r="Z217" i="15" s="1"/>
  <c r="AF217" i="15" s="1"/>
  <c r="X218" i="27"/>
  <c r="W216" i="15"/>
  <c r="AM216" i="15" s="1"/>
  <c r="AQ216" i="15" s="1"/>
  <c r="U216" i="15"/>
  <c r="AK216" i="15" s="1"/>
  <c r="AO216" i="15" s="1"/>
  <c r="AB218" i="27"/>
  <c r="AB42" i="27"/>
  <c r="AN124" i="27"/>
  <c r="AQ140" i="27"/>
  <c r="AP131" i="27"/>
  <c r="AQ141" i="27"/>
  <c r="AP132" i="27"/>
  <c r="AM121" i="27"/>
  <c r="AO126" i="27"/>
  <c r="AO127" i="27"/>
  <c r="AM122" i="27"/>
  <c r="AN123" i="27"/>
  <c r="AI88" i="30" l="1"/>
  <c r="AS88" i="30" s="1"/>
  <c r="AJ88" i="30"/>
  <c r="AT88" i="30" s="1"/>
  <c r="AO88" i="30"/>
  <c r="AP219" i="30"/>
  <c r="AO219" i="30"/>
  <c r="AP176" i="30"/>
  <c r="AO176" i="30"/>
  <c r="AO127" i="30"/>
  <c r="AP127" i="30"/>
  <c r="AP90" i="30"/>
  <c r="AO44" i="30"/>
  <c r="AP44" i="30"/>
  <c r="AI219" i="30"/>
  <c r="AS219" i="30" s="1"/>
  <c r="AH219" i="30"/>
  <c r="AR219" i="30" s="1"/>
  <c r="AG219" i="30"/>
  <c r="AQ219" i="30" s="1"/>
  <c r="AL219" i="30"/>
  <c r="AV219" i="30" s="1"/>
  <c r="AK219" i="30"/>
  <c r="AU219" i="30" s="1"/>
  <c r="AJ219" i="30"/>
  <c r="AT219" i="30" s="1"/>
  <c r="AK176" i="30"/>
  <c r="AU176" i="30" s="1"/>
  <c r="AL176" i="30"/>
  <c r="AV176" i="30" s="1"/>
  <c r="AJ176" i="30"/>
  <c r="AT176" i="30" s="1"/>
  <c r="AI176" i="30"/>
  <c r="AS176" i="30" s="1"/>
  <c r="AG176" i="30"/>
  <c r="AQ176" i="30" s="1"/>
  <c r="AH176" i="30"/>
  <c r="AR176" i="30" s="1"/>
  <c r="AK127" i="30"/>
  <c r="AU127" i="30" s="1"/>
  <c r="AL127" i="30"/>
  <c r="AV127" i="30" s="1"/>
  <c r="AI127" i="30"/>
  <c r="AS127" i="30" s="1"/>
  <c r="AG127" i="30"/>
  <c r="AQ127" i="30" s="1"/>
  <c r="AH127" i="30"/>
  <c r="AR127" i="30" s="1"/>
  <c r="AJ127" i="30"/>
  <c r="AT127" i="30" s="1"/>
  <c r="AL90" i="30"/>
  <c r="AV90" i="30" s="1"/>
  <c r="AK90" i="30"/>
  <c r="AU90" i="30" s="1"/>
  <c r="AG90" i="30"/>
  <c r="AQ90" i="30" s="1"/>
  <c r="AH90" i="30"/>
  <c r="AR90" i="30" s="1"/>
  <c r="AJ43" i="30"/>
  <c r="AT43" i="30" s="1"/>
  <c r="AH43" i="30"/>
  <c r="AR43" i="30" s="1"/>
  <c r="AG43" i="30"/>
  <c r="AQ43" i="30" s="1"/>
  <c r="AL43" i="30"/>
  <c r="AV43" i="30" s="1"/>
  <c r="AK43" i="30"/>
  <c r="AU43" i="30" s="1"/>
  <c r="AI43" i="30"/>
  <c r="AS43" i="30" s="1"/>
  <c r="AB175" i="27"/>
  <c r="X217" i="15"/>
  <c r="AD217" i="15" s="1"/>
  <c r="Q84" i="24"/>
  <c r="R84" i="24" s="1"/>
  <c r="Q85" i="24"/>
  <c r="R85" i="24" s="1"/>
  <c r="X86" i="15"/>
  <c r="AD86" i="15" s="1"/>
  <c r="AG215" i="15"/>
  <c r="Q215" i="24"/>
  <c r="R215" i="24" s="1"/>
  <c r="Q171" i="24"/>
  <c r="R171" i="24" s="1"/>
  <c r="AB43" i="27"/>
  <c r="AB219" i="27"/>
  <c r="AL216" i="15"/>
  <c r="AP216" i="15" s="1"/>
  <c r="AA216" i="15"/>
  <c r="AG216" i="15" s="1"/>
  <c r="AC216" i="15"/>
  <c r="AI216" i="15" s="1"/>
  <c r="AN216" i="15"/>
  <c r="AR216" i="15" s="1"/>
  <c r="AE218" i="27"/>
  <c r="T218" i="15" s="1"/>
  <c r="Z218" i="15" s="1"/>
  <c r="AF218" i="15" s="1"/>
  <c r="AC218" i="27"/>
  <c r="R218" i="15" s="1"/>
  <c r="AH218" i="27"/>
  <c r="AD218" i="27"/>
  <c r="S218" i="15" s="1"/>
  <c r="Y218" i="15" s="1"/>
  <c r="AE218" i="15" s="1"/>
  <c r="AG218" i="27"/>
  <c r="V218" i="15" s="1"/>
  <c r="AB218" i="15" s="1"/>
  <c r="AH218" i="15" s="1"/>
  <c r="AF218" i="27"/>
  <c r="U218" i="15" s="1"/>
  <c r="X219" i="27"/>
  <c r="U217" i="15"/>
  <c r="AK217" i="15" s="1"/>
  <c r="AO217" i="15" s="1"/>
  <c r="AM217" i="15"/>
  <c r="AQ217" i="15" s="1"/>
  <c r="AC217" i="15"/>
  <c r="AI217" i="15" s="1"/>
  <c r="AN217" i="15"/>
  <c r="AR217" i="15" s="1"/>
  <c r="AA220" i="27"/>
  <c r="AN42" i="15"/>
  <c r="AR42" i="15" s="1"/>
  <c r="AC42" i="15"/>
  <c r="AI42" i="15" s="1"/>
  <c r="AL42" i="15"/>
  <c r="AP42" i="15" s="1"/>
  <c r="AA42" i="15"/>
  <c r="AG42" i="15" s="1"/>
  <c r="AF44" i="27"/>
  <c r="AH44" i="27"/>
  <c r="AD44" i="27"/>
  <c r="S44" i="15" s="1"/>
  <c r="Y44" i="15" s="1"/>
  <c r="AE44" i="15" s="1"/>
  <c r="AE44" i="27"/>
  <c r="T44" i="15" s="1"/>
  <c r="Z44" i="15" s="1"/>
  <c r="AF44" i="15" s="1"/>
  <c r="AC44" i="27"/>
  <c r="R44" i="15" s="1"/>
  <c r="X44" i="15" s="1"/>
  <c r="AD44" i="15" s="1"/>
  <c r="AG44" i="27"/>
  <c r="V44" i="15" s="1"/>
  <c r="AB44" i="15" s="1"/>
  <c r="AH44" i="15" s="1"/>
  <c r="X45" i="27"/>
  <c r="W43" i="15"/>
  <c r="AM43" i="15" s="1"/>
  <c r="AQ43" i="15" s="1"/>
  <c r="U43" i="15"/>
  <c r="AK43" i="15" s="1"/>
  <c r="AO43" i="15" s="1"/>
  <c r="AD87" i="27"/>
  <c r="S87" i="15" s="1"/>
  <c r="Y87" i="15" s="1"/>
  <c r="AE87" i="15" s="1"/>
  <c r="AG87" i="27"/>
  <c r="V87" i="15" s="1"/>
  <c r="AB87" i="15" s="1"/>
  <c r="AH87" i="15" s="1"/>
  <c r="AH87" i="27"/>
  <c r="AF87" i="27"/>
  <c r="AC87" i="27"/>
  <c r="R87" i="15" s="1"/>
  <c r="AE87" i="27"/>
  <c r="T87" i="15" s="1"/>
  <c r="Z87" i="15" s="1"/>
  <c r="AF87" i="15" s="1"/>
  <c r="X88" i="27"/>
  <c r="W86" i="15"/>
  <c r="AM86" i="15" s="1"/>
  <c r="AQ86" i="15" s="1"/>
  <c r="U86" i="15"/>
  <c r="AK86" i="15" s="1"/>
  <c r="AO86" i="15" s="1"/>
  <c r="AB131" i="27"/>
  <c r="AA175" i="27"/>
  <c r="AA89" i="27"/>
  <c r="AB87" i="27"/>
  <c r="AA125" i="15"/>
  <c r="AG125" i="15" s="1"/>
  <c r="AL125" i="15"/>
  <c r="AP125" i="15" s="1"/>
  <c r="AF127" i="27"/>
  <c r="U127" i="15" s="1"/>
  <c r="AH127" i="27"/>
  <c r="W127" i="15" s="1"/>
  <c r="AE127" i="27"/>
  <c r="T127" i="15" s="1"/>
  <c r="Z127" i="15" s="1"/>
  <c r="AF127" i="15" s="1"/>
  <c r="AG127" i="27"/>
  <c r="V127" i="15" s="1"/>
  <c r="AB127" i="15" s="1"/>
  <c r="AH127" i="15" s="1"/>
  <c r="AC127" i="27"/>
  <c r="R127" i="15" s="1"/>
  <c r="X127" i="15" s="1"/>
  <c r="AD127" i="15" s="1"/>
  <c r="AD127" i="27"/>
  <c r="S127" i="15" s="1"/>
  <c r="Y127" i="15" s="1"/>
  <c r="AE127" i="15" s="1"/>
  <c r="X128" i="27"/>
  <c r="AK126" i="15"/>
  <c r="AO126" i="15" s="1"/>
  <c r="AL126" i="15"/>
  <c r="AP126" i="15" s="1"/>
  <c r="AA126" i="15"/>
  <c r="AG126" i="15" s="1"/>
  <c r="W126" i="15"/>
  <c r="AM126" i="15" s="1"/>
  <c r="AQ126" i="15" s="1"/>
  <c r="AN172" i="15"/>
  <c r="AR172" i="15" s="1"/>
  <c r="AC172" i="15"/>
  <c r="AI172" i="15" s="1"/>
  <c r="AA172" i="15"/>
  <c r="AG172" i="15" s="1"/>
  <c r="AL172" i="15"/>
  <c r="AP172" i="15" s="1"/>
  <c r="AG174" i="27"/>
  <c r="V174" i="15" s="1"/>
  <c r="AB174" i="15" s="1"/>
  <c r="AH174" i="15" s="1"/>
  <c r="AD174" i="27"/>
  <c r="S174" i="15" s="1"/>
  <c r="Y174" i="15" s="1"/>
  <c r="AE174" i="15" s="1"/>
  <c r="AF174" i="27"/>
  <c r="U174" i="15" s="1"/>
  <c r="AE174" i="27"/>
  <c r="T174" i="15" s="1"/>
  <c r="Z174" i="15" s="1"/>
  <c r="AF174" i="15" s="1"/>
  <c r="AC174" i="27"/>
  <c r="R174" i="15" s="1"/>
  <c r="X174" i="15" s="1"/>
  <c r="AD174" i="15" s="1"/>
  <c r="AH174" i="27"/>
  <c r="X175" i="27"/>
  <c r="AK173" i="15"/>
  <c r="AO173" i="15" s="1"/>
  <c r="AA173" i="15"/>
  <c r="AG173" i="15" s="1"/>
  <c r="AL173" i="15"/>
  <c r="AP173" i="15" s="1"/>
  <c r="AM173" i="15"/>
  <c r="AQ173" i="15" s="1"/>
  <c r="AC173" i="15"/>
  <c r="AI173" i="15" s="1"/>
  <c r="AN173" i="15"/>
  <c r="AR173" i="15" s="1"/>
  <c r="AA127" i="27"/>
  <c r="AA45" i="27"/>
  <c r="AP134" i="27"/>
  <c r="AP133" i="27"/>
  <c r="AO129" i="27"/>
  <c r="AM123" i="27"/>
  <c r="AN126" i="27"/>
  <c r="AQ143" i="27"/>
  <c r="AN125" i="27"/>
  <c r="AO128" i="27"/>
  <c r="AQ142" i="27"/>
  <c r="AO89" i="30" l="1"/>
  <c r="AJ89" i="30"/>
  <c r="AT89" i="30" s="1"/>
  <c r="AI89" i="30"/>
  <c r="AS89" i="30" s="1"/>
  <c r="AO220" i="30"/>
  <c r="AP220" i="30"/>
  <c r="AO177" i="30"/>
  <c r="AP177" i="30"/>
  <c r="AP128" i="30"/>
  <c r="AO128" i="30"/>
  <c r="AP91" i="30"/>
  <c r="AP45" i="30"/>
  <c r="AO45" i="30"/>
  <c r="AJ220" i="30"/>
  <c r="AT220" i="30" s="1"/>
  <c r="AL220" i="30"/>
  <c r="AV220" i="30" s="1"/>
  <c r="AK220" i="30"/>
  <c r="AU220" i="30" s="1"/>
  <c r="AG220" i="30"/>
  <c r="AQ220" i="30" s="1"/>
  <c r="AH220" i="30"/>
  <c r="AR220" i="30" s="1"/>
  <c r="AI220" i="30"/>
  <c r="AS220" i="30" s="1"/>
  <c r="AH177" i="30"/>
  <c r="AR177" i="30" s="1"/>
  <c r="AI177" i="30"/>
  <c r="AS177" i="30" s="1"/>
  <c r="AJ177" i="30"/>
  <c r="AT177" i="30" s="1"/>
  <c r="AG177" i="30"/>
  <c r="AQ177" i="30" s="1"/>
  <c r="AL177" i="30"/>
  <c r="AV177" i="30" s="1"/>
  <c r="AK177" i="30"/>
  <c r="AU177" i="30" s="1"/>
  <c r="AJ128" i="30"/>
  <c r="AT128" i="30" s="1"/>
  <c r="AH128" i="30"/>
  <c r="AR128" i="30" s="1"/>
  <c r="AG128" i="30"/>
  <c r="AQ128" i="30" s="1"/>
  <c r="AI128" i="30"/>
  <c r="AS128" i="30" s="1"/>
  <c r="AK128" i="30"/>
  <c r="AU128" i="30" s="1"/>
  <c r="AL128" i="30"/>
  <c r="AV128" i="30" s="1"/>
  <c r="AH91" i="30"/>
  <c r="AR91" i="30" s="1"/>
  <c r="AG91" i="30"/>
  <c r="AQ91" i="30" s="1"/>
  <c r="AL91" i="30"/>
  <c r="AV91" i="30" s="1"/>
  <c r="AK91" i="30"/>
  <c r="AU91" i="30" s="1"/>
  <c r="AI44" i="30"/>
  <c r="AS44" i="30" s="1"/>
  <c r="AH44" i="30"/>
  <c r="AR44" i="30" s="1"/>
  <c r="AK44" i="30"/>
  <c r="AU44" i="30" s="1"/>
  <c r="AL44" i="30"/>
  <c r="AV44" i="30" s="1"/>
  <c r="AG44" i="30"/>
  <c r="AQ44" i="30" s="1"/>
  <c r="AJ44" i="30"/>
  <c r="AT44" i="30" s="1"/>
  <c r="AB176" i="27"/>
  <c r="Q173" i="24"/>
  <c r="R173" i="24" s="1"/>
  <c r="Q172" i="24"/>
  <c r="R172" i="24" s="1"/>
  <c r="X87" i="15"/>
  <c r="AD87" i="15" s="1"/>
  <c r="Q42" i="24"/>
  <c r="R42" i="24" s="1"/>
  <c r="X218" i="15"/>
  <c r="AD218" i="15" s="1"/>
  <c r="Q125" i="24"/>
  <c r="R125" i="24" s="1"/>
  <c r="Q216" i="24"/>
  <c r="R216" i="24" s="1"/>
  <c r="AA46" i="27"/>
  <c r="AA128" i="27"/>
  <c r="AE175" i="27"/>
  <c r="T175" i="15" s="1"/>
  <c r="Z175" i="15" s="1"/>
  <c r="AF175" i="15" s="1"/>
  <c r="AG175" i="27"/>
  <c r="V175" i="15" s="1"/>
  <c r="AB175" i="15" s="1"/>
  <c r="AH175" i="15" s="1"/>
  <c r="AH175" i="27"/>
  <c r="W175" i="15" s="1"/>
  <c r="AC175" i="27"/>
  <c r="R175" i="15" s="1"/>
  <c r="X175" i="15" s="1"/>
  <c r="AD175" i="15" s="1"/>
  <c r="AF175" i="27"/>
  <c r="AD175" i="27"/>
  <c r="S175" i="15" s="1"/>
  <c r="Y175" i="15" s="1"/>
  <c r="AE175" i="15" s="1"/>
  <c r="X176" i="27"/>
  <c r="W174" i="15"/>
  <c r="AM174" i="15" s="1"/>
  <c r="AQ174" i="15" s="1"/>
  <c r="AK174" i="15"/>
  <c r="AO174" i="15" s="1"/>
  <c r="AA174" i="15"/>
  <c r="AG174" i="15" s="1"/>
  <c r="AL174" i="15"/>
  <c r="AP174" i="15" s="1"/>
  <c r="AN126" i="15"/>
  <c r="AR126" i="15" s="1"/>
  <c r="AC126" i="15"/>
  <c r="AI126" i="15" s="1"/>
  <c r="AF128" i="27"/>
  <c r="AC128" i="27"/>
  <c r="R128" i="15" s="1"/>
  <c r="X128" i="15" s="1"/>
  <c r="AD128" i="15" s="1"/>
  <c r="AE128" i="27"/>
  <c r="T128" i="15" s="1"/>
  <c r="Z128" i="15" s="1"/>
  <c r="AF128" i="15" s="1"/>
  <c r="AH128" i="27"/>
  <c r="AG128" i="27"/>
  <c r="V128" i="15" s="1"/>
  <c r="AB128" i="15" s="1"/>
  <c r="AH128" i="15" s="1"/>
  <c r="AD128" i="27"/>
  <c r="S128" i="15" s="1"/>
  <c r="Y128" i="15" s="1"/>
  <c r="AE128" i="15" s="1"/>
  <c r="X129" i="27"/>
  <c r="AM127" i="15"/>
  <c r="AQ127" i="15" s="1"/>
  <c r="AN127" i="15"/>
  <c r="AR127" i="15" s="1"/>
  <c r="AC127" i="15"/>
  <c r="AI127" i="15" s="1"/>
  <c r="AK127" i="15"/>
  <c r="AO127" i="15" s="1"/>
  <c r="AA127" i="15"/>
  <c r="AG127" i="15" s="1"/>
  <c r="AL127" i="15"/>
  <c r="AP127" i="15" s="1"/>
  <c r="AB88" i="27"/>
  <c r="AA90" i="27"/>
  <c r="AA176" i="27"/>
  <c r="AB132" i="27"/>
  <c r="AL86" i="15"/>
  <c r="AP86" i="15" s="1"/>
  <c r="AA86" i="15"/>
  <c r="AG86" i="15" s="1"/>
  <c r="AC86" i="15"/>
  <c r="AI86" i="15" s="1"/>
  <c r="AN86" i="15"/>
  <c r="AR86" i="15" s="1"/>
  <c r="AD88" i="27"/>
  <c r="S88" i="15" s="1"/>
  <c r="Y88" i="15" s="1"/>
  <c r="AE88" i="15" s="1"/>
  <c r="AE88" i="27"/>
  <c r="T88" i="15" s="1"/>
  <c r="Z88" i="15" s="1"/>
  <c r="AF88" i="15" s="1"/>
  <c r="AG88" i="27"/>
  <c r="V88" i="15" s="1"/>
  <c r="AB88" i="15" s="1"/>
  <c r="AH88" i="15" s="1"/>
  <c r="AH88" i="27"/>
  <c r="W88" i="15" s="1"/>
  <c r="AF88" i="27"/>
  <c r="AC88" i="27"/>
  <c r="R88" i="15" s="1"/>
  <c r="X89" i="27"/>
  <c r="U87" i="15"/>
  <c r="W87" i="15"/>
  <c r="AM87" i="15" s="1"/>
  <c r="AQ87" i="15" s="1"/>
  <c r="AL43" i="15"/>
  <c r="AP43" i="15" s="1"/>
  <c r="AA43" i="15"/>
  <c r="AG43" i="15" s="1"/>
  <c r="AN43" i="15"/>
  <c r="AR43" i="15" s="1"/>
  <c r="AC43" i="15"/>
  <c r="AI43" i="15" s="1"/>
  <c r="AG45" i="27"/>
  <c r="V45" i="15" s="1"/>
  <c r="AB45" i="15" s="1"/>
  <c r="AH45" i="15" s="1"/>
  <c r="AD45" i="27"/>
  <c r="S45" i="15" s="1"/>
  <c r="Y45" i="15" s="1"/>
  <c r="AE45" i="15" s="1"/>
  <c r="AE45" i="27"/>
  <c r="T45" i="15" s="1"/>
  <c r="Z45" i="15" s="1"/>
  <c r="AF45" i="15" s="1"/>
  <c r="AH45" i="27"/>
  <c r="AC45" i="27"/>
  <c r="R45" i="15" s="1"/>
  <c r="X45" i="15" s="1"/>
  <c r="AD45" i="15" s="1"/>
  <c r="AF45" i="27"/>
  <c r="U45" i="15" s="1"/>
  <c r="X46" i="27"/>
  <c r="W44" i="15"/>
  <c r="AM44" i="15" s="1"/>
  <c r="AQ44" i="15" s="1"/>
  <c r="U44" i="15"/>
  <c r="AK44" i="15" s="1"/>
  <c r="AO44" i="15" s="1"/>
  <c r="AA221" i="27"/>
  <c r="AL217" i="15"/>
  <c r="AP217" i="15" s="1"/>
  <c r="AA217" i="15"/>
  <c r="AF219" i="27"/>
  <c r="AH219" i="27"/>
  <c r="W219" i="15" s="1"/>
  <c r="AE219" i="27"/>
  <c r="T219" i="15" s="1"/>
  <c r="Z219" i="15" s="1"/>
  <c r="AF219" i="15" s="1"/>
  <c r="AG219" i="27"/>
  <c r="V219" i="15" s="1"/>
  <c r="AB219" i="15" s="1"/>
  <c r="AH219" i="15" s="1"/>
  <c r="AC219" i="27"/>
  <c r="R219" i="15" s="1"/>
  <c r="AD219" i="27"/>
  <c r="S219" i="15" s="1"/>
  <c r="Y219" i="15" s="1"/>
  <c r="AE219" i="15" s="1"/>
  <c r="X220" i="27"/>
  <c r="AK218" i="15"/>
  <c r="AO218" i="15" s="1"/>
  <c r="AL218" i="15"/>
  <c r="AP218" i="15" s="1"/>
  <c r="AA218" i="15"/>
  <c r="AG218" i="15" s="1"/>
  <c r="W218" i="15"/>
  <c r="AM218" i="15" s="1"/>
  <c r="AQ218" i="15" s="1"/>
  <c r="AB220" i="27"/>
  <c r="AB44" i="27"/>
  <c r="AM125" i="27"/>
  <c r="AQ144" i="27"/>
  <c r="AQ145" i="27"/>
  <c r="AN127" i="27"/>
  <c r="AO130" i="27"/>
  <c r="AO131" i="27"/>
  <c r="AP135" i="27"/>
  <c r="AM124" i="27"/>
  <c r="AJ90" i="30" l="1"/>
  <c r="AT90" i="30" s="1"/>
  <c r="AI90" i="30"/>
  <c r="AS90" i="30" s="1"/>
  <c r="AO90" i="30"/>
  <c r="AP221" i="30"/>
  <c r="AO221" i="30"/>
  <c r="AP178" i="30"/>
  <c r="AO178" i="30"/>
  <c r="AO129" i="30"/>
  <c r="AP129" i="30"/>
  <c r="AP92" i="30"/>
  <c r="AO46" i="30"/>
  <c r="AP46" i="30"/>
  <c r="AI221" i="30"/>
  <c r="AS221" i="30" s="1"/>
  <c r="AH221" i="30"/>
  <c r="AR221" i="30" s="1"/>
  <c r="AG221" i="30"/>
  <c r="AQ221" i="30" s="1"/>
  <c r="AL221" i="30"/>
  <c r="AV221" i="30" s="1"/>
  <c r="AK221" i="30"/>
  <c r="AU221" i="30" s="1"/>
  <c r="AJ221" i="30"/>
  <c r="AT221" i="30" s="1"/>
  <c r="AK178" i="30"/>
  <c r="AU178" i="30" s="1"/>
  <c r="AL178" i="30"/>
  <c r="AV178" i="30" s="1"/>
  <c r="AG178" i="30"/>
  <c r="AQ178" i="30" s="1"/>
  <c r="AJ178" i="30"/>
  <c r="AT178" i="30" s="1"/>
  <c r="AI178" i="30"/>
  <c r="AS178" i="30" s="1"/>
  <c r="AH178" i="30"/>
  <c r="AR178" i="30" s="1"/>
  <c r="AL129" i="30"/>
  <c r="AV129" i="30" s="1"/>
  <c r="AK129" i="30"/>
  <c r="AU129" i="30" s="1"/>
  <c r="AI129" i="30"/>
  <c r="AS129" i="30" s="1"/>
  <c r="AG129" i="30"/>
  <c r="AQ129" i="30" s="1"/>
  <c r="AH129" i="30"/>
  <c r="AR129" i="30" s="1"/>
  <c r="AJ129" i="30"/>
  <c r="AT129" i="30" s="1"/>
  <c r="AL92" i="30"/>
  <c r="AV92" i="30" s="1"/>
  <c r="AK92" i="30"/>
  <c r="AU92" i="30" s="1"/>
  <c r="AG92" i="30"/>
  <c r="AQ92" i="30" s="1"/>
  <c r="AH92" i="30"/>
  <c r="AR92" i="30" s="1"/>
  <c r="AI45" i="30"/>
  <c r="AS45" i="30" s="1"/>
  <c r="AG45" i="30"/>
  <c r="AQ45" i="30" s="1"/>
  <c r="AJ45" i="30"/>
  <c r="AT45" i="30" s="1"/>
  <c r="AL45" i="30"/>
  <c r="AV45" i="30" s="1"/>
  <c r="AK45" i="30"/>
  <c r="AU45" i="30" s="1"/>
  <c r="AH45" i="30"/>
  <c r="AR45" i="30" s="1"/>
  <c r="AB177" i="27"/>
  <c r="AK87" i="15"/>
  <c r="AO87" i="15" s="1"/>
  <c r="Q126" i="24"/>
  <c r="R126" i="24" s="1"/>
  <c r="Q86" i="24"/>
  <c r="R86" i="24" s="1"/>
  <c r="Q43" i="24"/>
  <c r="R43" i="24" s="1"/>
  <c r="AG217" i="15"/>
  <c r="Q217" i="24"/>
  <c r="R217" i="24" s="1"/>
  <c r="X88" i="15"/>
  <c r="AD88" i="15" s="1"/>
  <c r="X219" i="15"/>
  <c r="AD219" i="15" s="1"/>
  <c r="Q127" i="24"/>
  <c r="R127" i="24" s="1"/>
  <c r="AB45" i="27"/>
  <c r="AB221" i="27"/>
  <c r="AC218" i="15"/>
  <c r="AI218" i="15" s="1"/>
  <c r="AN218" i="15"/>
  <c r="AR218" i="15" s="1"/>
  <c r="AH220" i="27"/>
  <c r="AC220" i="27"/>
  <c r="R220" i="15" s="1"/>
  <c r="AF220" i="27"/>
  <c r="U220" i="15" s="1"/>
  <c r="AG220" i="27"/>
  <c r="V220" i="15" s="1"/>
  <c r="AB220" i="15" s="1"/>
  <c r="AH220" i="15" s="1"/>
  <c r="AD220" i="27"/>
  <c r="S220" i="15" s="1"/>
  <c r="Y220" i="15" s="1"/>
  <c r="AE220" i="15" s="1"/>
  <c r="AE220" i="27"/>
  <c r="T220" i="15" s="1"/>
  <c r="Z220" i="15" s="1"/>
  <c r="AF220" i="15" s="1"/>
  <c r="X221" i="27"/>
  <c r="AM219" i="15"/>
  <c r="AQ219" i="15" s="1"/>
  <c r="AN219" i="15"/>
  <c r="AR219" i="15" s="1"/>
  <c r="AC219" i="15"/>
  <c r="AI219" i="15" s="1"/>
  <c r="U219" i="15"/>
  <c r="AK219" i="15" s="1"/>
  <c r="AO219" i="15" s="1"/>
  <c r="AA222" i="27"/>
  <c r="AL44" i="15"/>
  <c r="AP44" i="15" s="1"/>
  <c r="AA44" i="15"/>
  <c r="AG44" i="15" s="1"/>
  <c r="AN44" i="15"/>
  <c r="AR44" i="15" s="1"/>
  <c r="AC44" i="15"/>
  <c r="AI44" i="15" s="1"/>
  <c r="AE46" i="27"/>
  <c r="T46" i="15" s="1"/>
  <c r="Z46" i="15" s="1"/>
  <c r="AF46" i="15" s="1"/>
  <c r="AH46" i="27"/>
  <c r="AC46" i="27"/>
  <c r="R46" i="15" s="1"/>
  <c r="X46" i="15" s="1"/>
  <c r="AD46" i="15" s="1"/>
  <c r="AG46" i="27"/>
  <c r="V46" i="15" s="1"/>
  <c r="AB46" i="15" s="1"/>
  <c r="AH46" i="15" s="1"/>
  <c r="AF46" i="27"/>
  <c r="AD46" i="27"/>
  <c r="S46" i="15" s="1"/>
  <c r="Y46" i="15" s="1"/>
  <c r="AE46" i="15" s="1"/>
  <c r="X47" i="27"/>
  <c r="AK45" i="15"/>
  <c r="AO45" i="15" s="1"/>
  <c r="AL45" i="15"/>
  <c r="AP45" i="15" s="1"/>
  <c r="AA45" i="15"/>
  <c r="AG45" i="15" s="1"/>
  <c r="W45" i="15"/>
  <c r="AM45" i="15" s="1"/>
  <c r="AQ45" i="15" s="1"/>
  <c r="AC87" i="15"/>
  <c r="AI87" i="15" s="1"/>
  <c r="AN87" i="15"/>
  <c r="AR87" i="15" s="1"/>
  <c r="AA87" i="15"/>
  <c r="AG87" i="15" s="1"/>
  <c r="AL87" i="15"/>
  <c r="AP87" i="15" s="1"/>
  <c r="AD89" i="27"/>
  <c r="S89" i="15" s="1"/>
  <c r="Y89" i="15" s="1"/>
  <c r="AE89" i="15" s="1"/>
  <c r="AG89" i="27"/>
  <c r="V89" i="15" s="1"/>
  <c r="AB89" i="15" s="1"/>
  <c r="AH89" i="15" s="1"/>
  <c r="AF89" i="27"/>
  <c r="AE89" i="27"/>
  <c r="T89" i="15" s="1"/>
  <c r="Z89" i="15" s="1"/>
  <c r="AF89" i="15" s="1"/>
  <c r="AH89" i="27"/>
  <c r="W89" i="15" s="1"/>
  <c r="AC89" i="27"/>
  <c r="R89" i="15" s="1"/>
  <c r="X90" i="27"/>
  <c r="U88" i="15"/>
  <c r="AK88" i="15" s="1"/>
  <c r="AO88" i="15" s="1"/>
  <c r="AM88" i="15"/>
  <c r="AQ88" i="15" s="1"/>
  <c r="AN88" i="15"/>
  <c r="AR88" i="15" s="1"/>
  <c r="AC88" i="15"/>
  <c r="AI88" i="15" s="1"/>
  <c r="AB133" i="27"/>
  <c r="AA177" i="27"/>
  <c r="AA91" i="27"/>
  <c r="AB89" i="27"/>
  <c r="AH129" i="27"/>
  <c r="AD129" i="27"/>
  <c r="S129" i="15" s="1"/>
  <c r="Y129" i="15" s="1"/>
  <c r="AE129" i="15" s="1"/>
  <c r="AE129" i="27"/>
  <c r="T129" i="15" s="1"/>
  <c r="Z129" i="15" s="1"/>
  <c r="AF129" i="15" s="1"/>
  <c r="AF129" i="27"/>
  <c r="U129" i="15" s="1"/>
  <c r="AG129" i="27"/>
  <c r="V129" i="15" s="1"/>
  <c r="AB129" i="15" s="1"/>
  <c r="AH129" i="15" s="1"/>
  <c r="AC129" i="27"/>
  <c r="R129" i="15" s="1"/>
  <c r="X129" i="15" s="1"/>
  <c r="AD129" i="15" s="1"/>
  <c r="X130" i="27"/>
  <c r="W128" i="15"/>
  <c r="AM128" i="15" s="1"/>
  <c r="AQ128" i="15" s="1"/>
  <c r="U128" i="15"/>
  <c r="AK128" i="15" s="1"/>
  <c r="AO128" i="15" s="1"/>
  <c r="AN174" i="15"/>
  <c r="AR174" i="15" s="1"/>
  <c r="AC174" i="15"/>
  <c r="AI174" i="15" s="1"/>
  <c r="AD176" i="27"/>
  <c r="S176" i="15" s="1"/>
  <c r="Y176" i="15" s="1"/>
  <c r="AE176" i="15" s="1"/>
  <c r="AF176" i="27"/>
  <c r="AG176" i="27"/>
  <c r="V176" i="15" s="1"/>
  <c r="AB176" i="15" s="1"/>
  <c r="AH176" i="15" s="1"/>
  <c r="AC176" i="27"/>
  <c r="R176" i="15" s="1"/>
  <c r="X176" i="15" s="1"/>
  <c r="AD176" i="15" s="1"/>
  <c r="AE176" i="27"/>
  <c r="T176" i="15" s="1"/>
  <c r="Z176" i="15" s="1"/>
  <c r="AF176" i="15" s="1"/>
  <c r="AH176" i="27"/>
  <c r="W176" i="15" s="1"/>
  <c r="X177" i="27"/>
  <c r="U175" i="15"/>
  <c r="AK175" i="15" s="1"/>
  <c r="AO175" i="15" s="1"/>
  <c r="AM175" i="15"/>
  <c r="AQ175" i="15" s="1"/>
  <c r="AC175" i="15"/>
  <c r="AI175" i="15" s="1"/>
  <c r="AN175" i="15"/>
  <c r="AR175" i="15" s="1"/>
  <c r="AA129" i="27"/>
  <c r="AA47" i="27"/>
  <c r="AP137" i="27"/>
  <c r="AN129" i="27"/>
  <c r="AP136" i="27"/>
  <c r="AQ146" i="27"/>
  <c r="AM126" i="27"/>
  <c r="AN128" i="27"/>
  <c r="AO132" i="27"/>
  <c r="AO91" i="30" l="1"/>
  <c r="AI91" i="30"/>
  <c r="AS91" i="30" s="1"/>
  <c r="AJ91" i="30"/>
  <c r="AT91" i="30" s="1"/>
  <c r="AO222" i="30"/>
  <c r="AP222" i="30"/>
  <c r="AO179" i="30"/>
  <c r="AP179" i="30"/>
  <c r="AP130" i="30"/>
  <c r="AO130" i="30"/>
  <c r="AP93" i="30"/>
  <c r="AP47" i="30"/>
  <c r="AO47" i="30"/>
  <c r="AJ222" i="30"/>
  <c r="AT222" i="30" s="1"/>
  <c r="AL222" i="30"/>
  <c r="AV222" i="30" s="1"/>
  <c r="AK222" i="30"/>
  <c r="AU222" i="30" s="1"/>
  <c r="AG222" i="30"/>
  <c r="AQ222" i="30" s="1"/>
  <c r="AH222" i="30"/>
  <c r="AR222" i="30" s="1"/>
  <c r="AI222" i="30"/>
  <c r="AS222" i="30" s="1"/>
  <c r="AH179" i="30"/>
  <c r="AR179" i="30" s="1"/>
  <c r="AI179" i="30"/>
  <c r="AS179" i="30" s="1"/>
  <c r="AJ179" i="30"/>
  <c r="AT179" i="30" s="1"/>
  <c r="AG179" i="30"/>
  <c r="AQ179" i="30" s="1"/>
  <c r="AK179" i="30"/>
  <c r="AU179" i="30" s="1"/>
  <c r="AL179" i="30"/>
  <c r="AV179" i="30" s="1"/>
  <c r="AJ130" i="30"/>
  <c r="AT130" i="30" s="1"/>
  <c r="AH130" i="30"/>
  <c r="AR130" i="30" s="1"/>
  <c r="AG130" i="30"/>
  <c r="AQ130" i="30" s="1"/>
  <c r="AI130" i="30"/>
  <c r="AS130" i="30" s="1"/>
  <c r="AL130" i="30"/>
  <c r="AV130" i="30" s="1"/>
  <c r="AK130" i="30"/>
  <c r="AU130" i="30" s="1"/>
  <c r="AH93" i="30"/>
  <c r="AR93" i="30" s="1"/>
  <c r="AG93" i="30"/>
  <c r="AQ93" i="30" s="1"/>
  <c r="AL93" i="30"/>
  <c r="AV93" i="30" s="1"/>
  <c r="AK93" i="30"/>
  <c r="AU93" i="30" s="1"/>
  <c r="AJ46" i="30"/>
  <c r="AT46" i="30" s="1"/>
  <c r="AI46" i="30"/>
  <c r="AS46" i="30" s="1"/>
  <c r="AK46" i="30"/>
  <c r="AU46" i="30" s="1"/>
  <c r="AL46" i="30"/>
  <c r="AV46" i="30" s="1"/>
  <c r="AH46" i="30"/>
  <c r="AR46" i="30" s="1"/>
  <c r="AG46" i="30"/>
  <c r="AQ46" i="30" s="1"/>
  <c r="AB178" i="27"/>
  <c r="X89" i="15"/>
  <c r="AD89" i="15" s="1"/>
  <c r="Q218" i="24"/>
  <c r="R218" i="24" s="1"/>
  <c r="Q44" i="24"/>
  <c r="R44" i="24" s="1"/>
  <c r="X220" i="15"/>
  <c r="AD220" i="15" s="1"/>
  <c r="Q87" i="24"/>
  <c r="R87" i="24" s="1"/>
  <c r="Q174" i="24"/>
  <c r="R174" i="24" s="1"/>
  <c r="AA48" i="27"/>
  <c r="AA130" i="27"/>
  <c r="AA175" i="15"/>
  <c r="AG175" i="15" s="1"/>
  <c r="AL175" i="15"/>
  <c r="AP175" i="15" s="1"/>
  <c r="AF177" i="27"/>
  <c r="AC177" i="27"/>
  <c r="R177" i="15" s="1"/>
  <c r="X177" i="15" s="1"/>
  <c r="AD177" i="15" s="1"/>
  <c r="AH177" i="27"/>
  <c r="AD177" i="27"/>
  <c r="S177" i="15" s="1"/>
  <c r="Y177" i="15" s="1"/>
  <c r="AE177" i="15" s="1"/>
  <c r="AG177" i="27"/>
  <c r="V177" i="15" s="1"/>
  <c r="AB177" i="15" s="1"/>
  <c r="AH177" i="15" s="1"/>
  <c r="AE177" i="27"/>
  <c r="T177" i="15" s="1"/>
  <c r="Z177" i="15" s="1"/>
  <c r="AF177" i="15" s="1"/>
  <c r="X178" i="27"/>
  <c r="AM176" i="15"/>
  <c r="AQ176" i="15" s="1"/>
  <c r="AN176" i="15"/>
  <c r="AR176" i="15" s="1"/>
  <c r="AC176" i="15"/>
  <c r="AI176" i="15" s="1"/>
  <c r="U176" i="15"/>
  <c r="AK176" i="15" s="1"/>
  <c r="AO176" i="15" s="1"/>
  <c r="AL128" i="15"/>
  <c r="AP128" i="15" s="1"/>
  <c r="AA128" i="15"/>
  <c r="AN128" i="15"/>
  <c r="AR128" i="15" s="1"/>
  <c r="AC128" i="15"/>
  <c r="AI128" i="15" s="1"/>
  <c r="AH130" i="27"/>
  <c r="AC130" i="27"/>
  <c r="R130" i="15" s="1"/>
  <c r="X130" i="15" s="1"/>
  <c r="AD130" i="15" s="1"/>
  <c r="AG130" i="27"/>
  <c r="V130" i="15" s="1"/>
  <c r="AB130" i="15" s="1"/>
  <c r="AH130" i="15" s="1"/>
  <c r="AD130" i="27"/>
  <c r="S130" i="15" s="1"/>
  <c r="Y130" i="15" s="1"/>
  <c r="AE130" i="15" s="1"/>
  <c r="AE130" i="27"/>
  <c r="T130" i="15" s="1"/>
  <c r="Z130" i="15" s="1"/>
  <c r="AF130" i="15" s="1"/>
  <c r="AF130" i="27"/>
  <c r="U130" i="15" s="1"/>
  <c r="X131" i="27"/>
  <c r="AK129" i="15"/>
  <c r="AO129" i="15" s="1"/>
  <c r="AA129" i="15"/>
  <c r="AG129" i="15" s="1"/>
  <c r="AL129" i="15"/>
  <c r="AP129" i="15" s="1"/>
  <c r="W129" i="15"/>
  <c r="AM129" i="15" s="1"/>
  <c r="AQ129" i="15" s="1"/>
  <c r="AB90" i="27"/>
  <c r="AA92" i="27"/>
  <c r="AA178" i="27"/>
  <c r="AB134" i="27"/>
  <c r="AL88" i="15"/>
  <c r="AP88" i="15" s="1"/>
  <c r="AA88" i="15"/>
  <c r="AG88" i="15" s="1"/>
  <c r="AC90" i="27"/>
  <c r="R90" i="15" s="1"/>
  <c r="AE90" i="27"/>
  <c r="T90" i="15" s="1"/>
  <c r="Z90" i="15" s="1"/>
  <c r="AF90" i="15" s="1"/>
  <c r="AF90" i="27"/>
  <c r="AG90" i="27"/>
  <c r="V90" i="15" s="1"/>
  <c r="AB90" i="15" s="1"/>
  <c r="AH90" i="15" s="1"/>
  <c r="AD90" i="27"/>
  <c r="S90" i="15" s="1"/>
  <c r="Y90" i="15" s="1"/>
  <c r="AE90" i="15" s="1"/>
  <c r="AH90" i="27"/>
  <c r="X91" i="27"/>
  <c r="AM89" i="15"/>
  <c r="AQ89" i="15" s="1"/>
  <c r="AN89" i="15"/>
  <c r="AR89" i="15" s="1"/>
  <c r="AC89" i="15"/>
  <c r="AI89" i="15" s="1"/>
  <c r="U89" i="15"/>
  <c r="AK89" i="15" s="1"/>
  <c r="AO89" i="15" s="1"/>
  <c r="AC45" i="15"/>
  <c r="AI45" i="15" s="1"/>
  <c r="AN45" i="15"/>
  <c r="AR45" i="15" s="1"/>
  <c r="AE47" i="27"/>
  <c r="T47" i="15" s="1"/>
  <c r="Z47" i="15" s="1"/>
  <c r="AF47" i="15" s="1"/>
  <c r="AC47" i="27"/>
  <c r="R47" i="15" s="1"/>
  <c r="X47" i="15" s="1"/>
  <c r="AD47" i="15" s="1"/>
  <c r="AF47" i="27"/>
  <c r="AD47" i="27"/>
  <c r="S47" i="15" s="1"/>
  <c r="Y47" i="15" s="1"/>
  <c r="AE47" i="15" s="1"/>
  <c r="AH47" i="27"/>
  <c r="W47" i="15" s="1"/>
  <c r="AG47" i="27"/>
  <c r="V47" i="15" s="1"/>
  <c r="AB47" i="15" s="1"/>
  <c r="AH47" i="15" s="1"/>
  <c r="X48" i="27"/>
  <c r="U46" i="15"/>
  <c r="AK46" i="15" s="1"/>
  <c r="AO46" i="15" s="1"/>
  <c r="W46" i="15"/>
  <c r="AM46" i="15" s="1"/>
  <c r="AQ46" i="15" s="1"/>
  <c r="AA223" i="27"/>
  <c r="AL219" i="15"/>
  <c r="AP219" i="15" s="1"/>
  <c r="AA219" i="15"/>
  <c r="AG219" i="15" s="1"/>
  <c r="AF221" i="27"/>
  <c r="U221" i="15" s="1"/>
  <c r="AC221" i="27"/>
  <c r="R221" i="15" s="1"/>
  <c r="AH221" i="27"/>
  <c r="AG221" i="27"/>
  <c r="V221" i="15" s="1"/>
  <c r="AB221" i="15" s="1"/>
  <c r="AH221" i="15" s="1"/>
  <c r="AD221" i="27"/>
  <c r="S221" i="15" s="1"/>
  <c r="Y221" i="15" s="1"/>
  <c r="AE221" i="15" s="1"/>
  <c r="AE221" i="27"/>
  <c r="T221" i="15" s="1"/>
  <c r="Z221" i="15" s="1"/>
  <c r="AF221" i="15" s="1"/>
  <c r="X222" i="27"/>
  <c r="AK220" i="15"/>
  <c r="AO220" i="15" s="1"/>
  <c r="AA220" i="15"/>
  <c r="AG220" i="15" s="1"/>
  <c r="AL220" i="15"/>
  <c r="AP220" i="15" s="1"/>
  <c r="W220" i="15"/>
  <c r="AM220" i="15" s="1"/>
  <c r="AQ220" i="15" s="1"/>
  <c r="AB222" i="27"/>
  <c r="AB46" i="27"/>
  <c r="AQ147" i="27"/>
  <c r="AN130" i="27"/>
  <c r="AM128" i="27"/>
  <c r="AP138" i="27"/>
  <c r="AM127" i="27"/>
  <c r="AO133" i="27"/>
  <c r="AI92" i="30" l="1"/>
  <c r="AS92" i="30" s="1"/>
  <c r="AJ92" i="30"/>
  <c r="AT92" i="30" s="1"/>
  <c r="AO92" i="30"/>
  <c r="AP223" i="30"/>
  <c r="AO223" i="30"/>
  <c r="AP180" i="30"/>
  <c r="AO180" i="30"/>
  <c r="AO131" i="30"/>
  <c r="AP131" i="30"/>
  <c r="AP95" i="30"/>
  <c r="AP94" i="30"/>
  <c r="AO48" i="30"/>
  <c r="AP48" i="30"/>
  <c r="AI223" i="30"/>
  <c r="AS223" i="30" s="1"/>
  <c r="AH223" i="30"/>
  <c r="AR223" i="30" s="1"/>
  <c r="AG223" i="30"/>
  <c r="AQ223" i="30" s="1"/>
  <c r="AL223" i="30"/>
  <c r="AV223" i="30" s="1"/>
  <c r="AK223" i="30"/>
  <c r="AU223" i="30" s="1"/>
  <c r="AJ223" i="30"/>
  <c r="AT223" i="30" s="1"/>
  <c r="AL180" i="30"/>
  <c r="AV180" i="30" s="1"/>
  <c r="AK180" i="30"/>
  <c r="AU180" i="30" s="1"/>
  <c r="AG180" i="30"/>
  <c r="AQ180" i="30" s="1"/>
  <c r="AJ180" i="30"/>
  <c r="AT180" i="30" s="1"/>
  <c r="AI180" i="30"/>
  <c r="AS180" i="30" s="1"/>
  <c r="AH180" i="30"/>
  <c r="AR180" i="30" s="1"/>
  <c r="AL131" i="30"/>
  <c r="AV131" i="30" s="1"/>
  <c r="AK131" i="30"/>
  <c r="AU131" i="30" s="1"/>
  <c r="AI131" i="30"/>
  <c r="AS131" i="30" s="1"/>
  <c r="AG131" i="30"/>
  <c r="AQ131" i="30" s="1"/>
  <c r="AH131" i="30"/>
  <c r="AR131" i="30" s="1"/>
  <c r="AJ131" i="30"/>
  <c r="AT131" i="30" s="1"/>
  <c r="AL94" i="30"/>
  <c r="AV94" i="30" s="1"/>
  <c r="AK94" i="30"/>
  <c r="AU94" i="30" s="1"/>
  <c r="AG94" i="30"/>
  <c r="AQ94" i="30" s="1"/>
  <c r="AH95" i="30"/>
  <c r="AR95" i="30" s="1"/>
  <c r="AH94" i="30"/>
  <c r="AR94" i="30" s="1"/>
  <c r="AK47" i="30"/>
  <c r="AU47" i="30" s="1"/>
  <c r="AL47" i="30"/>
  <c r="AV47" i="30" s="1"/>
  <c r="AJ47" i="30"/>
  <c r="AT47" i="30" s="1"/>
  <c r="AG47" i="30"/>
  <c r="AQ47" i="30" s="1"/>
  <c r="AH47" i="30"/>
  <c r="AR47" i="30" s="1"/>
  <c r="AI47" i="30"/>
  <c r="AS47" i="30" s="1"/>
  <c r="AB179" i="27"/>
  <c r="Q175" i="24"/>
  <c r="R175" i="24" s="1"/>
  <c r="Q219" i="24"/>
  <c r="R219" i="24" s="1"/>
  <c r="AG128" i="15"/>
  <c r="Q128" i="24"/>
  <c r="R128" i="24" s="1"/>
  <c r="X221" i="15"/>
  <c r="AD221" i="15" s="1"/>
  <c r="X90" i="15"/>
  <c r="AD90" i="15" s="1"/>
  <c r="Q45" i="24"/>
  <c r="R45" i="24" s="1"/>
  <c r="Q88" i="24"/>
  <c r="R88" i="24" s="1"/>
  <c r="AB47" i="27"/>
  <c r="AB223" i="27"/>
  <c r="AC220" i="15"/>
  <c r="AI220" i="15" s="1"/>
  <c r="AN220" i="15"/>
  <c r="AR220" i="15" s="1"/>
  <c r="AE222" i="27"/>
  <c r="T222" i="15" s="1"/>
  <c r="Z222" i="15" s="1"/>
  <c r="AF222" i="15" s="1"/>
  <c r="AC222" i="27"/>
  <c r="R222" i="15" s="1"/>
  <c r="AF222" i="27"/>
  <c r="AH222" i="27"/>
  <c r="AD222" i="27"/>
  <c r="S222" i="15" s="1"/>
  <c r="Y222" i="15" s="1"/>
  <c r="AE222" i="15" s="1"/>
  <c r="AG222" i="27"/>
  <c r="V222" i="15" s="1"/>
  <c r="AB222" i="15" s="1"/>
  <c r="AH222" i="15" s="1"/>
  <c r="X223" i="27"/>
  <c r="W221" i="15"/>
  <c r="AM221" i="15" s="1"/>
  <c r="AQ221" i="15" s="1"/>
  <c r="AK221" i="15"/>
  <c r="AO221" i="15" s="1"/>
  <c r="AA221" i="15"/>
  <c r="AG221" i="15" s="1"/>
  <c r="AL221" i="15"/>
  <c r="AP221" i="15" s="1"/>
  <c r="AA224" i="27"/>
  <c r="AC46" i="15"/>
  <c r="AI46" i="15" s="1"/>
  <c r="AN46" i="15"/>
  <c r="AR46" i="15" s="1"/>
  <c r="AA46" i="15"/>
  <c r="AG46" i="15" s="1"/>
  <c r="AL46" i="15"/>
  <c r="AP46" i="15" s="1"/>
  <c r="AC48" i="27"/>
  <c r="R48" i="15" s="1"/>
  <c r="X48" i="15" s="1"/>
  <c r="AD48" i="15" s="1"/>
  <c r="AF48" i="27"/>
  <c r="AD48" i="27"/>
  <c r="S48" i="15" s="1"/>
  <c r="Y48" i="15" s="1"/>
  <c r="AE48" i="15" s="1"/>
  <c r="AH48" i="27"/>
  <c r="W48" i="15" s="1"/>
  <c r="AE48" i="27"/>
  <c r="T48" i="15" s="1"/>
  <c r="Z48" i="15" s="1"/>
  <c r="AF48" i="15" s="1"/>
  <c r="AG48" i="27"/>
  <c r="V48" i="15" s="1"/>
  <c r="AB48" i="15" s="1"/>
  <c r="AH48" i="15" s="1"/>
  <c r="X49" i="27"/>
  <c r="AM47" i="15"/>
  <c r="AQ47" i="15" s="1"/>
  <c r="AC47" i="15"/>
  <c r="AI47" i="15" s="1"/>
  <c r="AN47" i="15"/>
  <c r="AR47" i="15" s="1"/>
  <c r="U47" i="15"/>
  <c r="AL89" i="15"/>
  <c r="AP89" i="15" s="1"/>
  <c r="AA89" i="15"/>
  <c r="AG89" i="15" s="1"/>
  <c r="AD91" i="27"/>
  <c r="S91" i="15" s="1"/>
  <c r="Y91" i="15" s="1"/>
  <c r="AE91" i="15" s="1"/>
  <c r="AF91" i="27"/>
  <c r="AE91" i="27"/>
  <c r="T91" i="15" s="1"/>
  <c r="Z91" i="15" s="1"/>
  <c r="AF91" i="15" s="1"/>
  <c r="AG91" i="27"/>
  <c r="V91" i="15" s="1"/>
  <c r="AB91" i="15" s="1"/>
  <c r="AH91" i="15" s="1"/>
  <c r="AC91" i="27"/>
  <c r="R91" i="15" s="1"/>
  <c r="AH91" i="27"/>
  <c r="X92" i="27"/>
  <c r="W90" i="15"/>
  <c r="AM90" i="15" s="1"/>
  <c r="AQ90" i="15" s="1"/>
  <c r="U90" i="15"/>
  <c r="AK90" i="15" s="1"/>
  <c r="AO90" i="15" s="1"/>
  <c r="AB135" i="27"/>
  <c r="AA179" i="27"/>
  <c r="AA93" i="27"/>
  <c r="AB91" i="27"/>
  <c r="AC129" i="15"/>
  <c r="AI129" i="15" s="1"/>
  <c r="AN129" i="15"/>
  <c r="AR129" i="15" s="1"/>
  <c r="AD131" i="27"/>
  <c r="S131" i="15" s="1"/>
  <c r="Y131" i="15" s="1"/>
  <c r="AE131" i="15" s="1"/>
  <c r="AG131" i="27"/>
  <c r="V131" i="15" s="1"/>
  <c r="AB131" i="15" s="1"/>
  <c r="AH131" i="15" s="1"/>
  <c r="AF131" i="27"/>
  <c r="AE131" i="27"/>
  <c r="T131" i="15" s="1"/>
  <c r="Z131" i="15" s="1"/>
  <c r="AF131" i="15" s="1"/>
  <c r="AH131" i="27"/>
  <c r="AC131" i="27"/>
  <c r="R131" i="15" s="1"/>
  <c r="X131" i="15" s="1"/>
  <c r="AD131" i="15" s="1"/>
  <c r="X132" i="27"/>
  <c r="AK130" i="15"/>
  <c r="AO130" i="15" s="1"/>
  <c r="AA130" i="15"/>
  <c r="AG130" i="15" s="1"/>
  <c r="AL130" i="15"/>
  <c r="AP130" i="15" s="1"/>
  <c r="W130" i="15"/>
  <c r="AM130" i="15" s="1"/>
  <c r="AQ130" i="15" s="1"/>
  <c r="AA176" i="15"/>
  <c r="AG176" i="15" s="1"/>
  <c r="AL176" i="15"/>
  <c r="AP176" i="15" s="1"/>
  <c r="AC178" i="27"/>
  <c r="R178" i="15" s="1"/>
  <c r="X178" i="15" s="1"/>
  <c r="AD178" i="15" s="1"/>
  <c r="AG178" i="27"/>
  <c r="V178" i="15" s="1"/>
  <c r="AB178" i="15" s="1"/>
  <c r="AH178" i="15" s="1"/>
  <c r="AE178" i="27"/>
  <c r="T178" i="15" s="1"/>
  <c r="Z178" i="15" s="1"/>
  <c r="AF178" i="15" s="1"/>
  <c r="AH178" i="27"/>
  <c r="W178" i="15" s="1"/>
  <c r="AD178" i="27"/>
  <c r="S178" i="15" s="1"/>
  <c r="Y178" i="15" s="1"/>
  <c r="AE178" i="15" s="1"/>
  <c r="AF178" i="27"/>
  <c r="U178" i="15" s="1"/>
  <c r="X179" i="27"/>
  <c r="W177" i="15"/>
  <c r="AM177" i="15" s="1"/>
  <c r="AQ177" i="15" s="1"/>
  <c r="U177" i="15"/>
  <c r="AK177" i="15" s="1"/>
  <c r="AO177" i="15" s="1"/>
  <c r="AA131" i="27"/>
  <c r="AA49" i="27"/>
  <c r="AO134" i="27"/>
  <c r="AN131" i="27"/>
  <c r="AP139" i="27"/>
  <c r="AM129" i="27"/>
  <c r="AQ148" i="27"/>
  <c r="AO93" i="30" l="1"/>
  <c r="AJ93" i="30"/>
  <c r="AT93" i="30" s="1"/>
  <c r="AI93" i="30"/>
  <c r="AS93" i="30" s="1"/>
  <c r="AO224" i="30"/>
  <c r="AP224" i="30"/>
  <c r="AO181" i="30"/>
  <c r="AP181" i="30"/>
  <c r="AP132" i="30"/>
  <c r="AO132" i="30"/>
  <c r="AP49" i="30"/>
  <c r="AO49" i="30"/>
  <c r="AJ224" i="30"/>
  <c r="AT224" i="30" s="1"/>
  <c r="AL224" i="30"/>
  <c r="AV224" i="30" s="1"/>
  <c r="AK224" i="30"/>
  <c r="AU224" i="30" s="1"/>
  <c r="AG224" i="30"/>
  <c r="AQ224" i="30" s="1"/>
  <c r="AH224" i="30"/>
  <c r="AR224" i="30" s="1"/>
  <c r="AI224" i="30"/>
  <c r="AS224" i="30" s="1"/>
  <c r="AI181" i="30"/>
  <c r="AS181" i="30" s="1"/>
  <c r="AJ181" i="30"/>
  <c r="AT181" i="30" s="1"/>
  <c r="AG181" i="30"/>
  <c r="AQ181" i="30" s="1"/>
  <c r="AH181" i="30"/>
  <c r="AR181" i="30" s="1"/>
  <c r="AL181" i="30"/>
  <c r="AV181" i="30" s="1"/>
  <c r="AK181" i="30"/>
  <c r="AU181" i="30" s="1"/>
  <c r="AJ132" i="30"/>
  <c r="AT132" i="30" s="1"/>
  <c r="AH132" i="30"/>
  <c r="AR132" i="30" s="1"/>
  <c r="AG132" i="30"/>
  <c r="AQ132" i="30" s="1"/>
  <c r="AG95" i="30"/>
  <c r="AQ95" i="30" s="1"/>
  <c r="AI132" i="30"/>
  <c r="AS132" i="30" s="1"/>
  <c r="AK132" i="30"/>
  <c r="AU132" i="30" s="1"/>
  <c r="AL132" i="30"/>
  <c r="AV132" i="30" s="1"/>
  <c r="AL95" i="30"/>
  <c r="AV95" i="30" s="1"/>
  <c r="AK95" i="30"/>
  <c r="AU95" i="30" s="1"/>
  <c r="AI48" i="30"/>
  <c r="AS48" i="30" s="1"/>
  <c r="AG48" i="30"/>
  <c r="AQ48" i="30" s="1"/>
  <c r="AJ48" i="30"/>
  <c r="AT48" i="30" s="1"/>
  <c r="AH48" i="30"/>
  <c r="AR48" i="30" s="1"/>
  <c r="AK48" i="30"/>
  <c r="AU48" i="30" s="1"/>
  <c r="AL48" i="30"/>
  <c r="AV48" i="30" s="1"/>
  <c r="AB180" i="27"/>
  <c r="Q176" i="24"/>
  <c r="R176" i="24" s="1"/>
  <c r="AK47" i="15"/>
  <c r="AO47" i="15" s="1"/>
  <c r="Q46" i="24"/>
  <c r="R46" i="24" s="1"/>
  <c r="Q129" i="24"/>
  <c r="R129" i="24" s="1"/>
  <c r="Q220" i="24"/>
  <c r="R220" i="24" s="1"/>
  <c r="Q89" i="24"/>
  <c r="R89" i="24" s="1"/>
  <c r="X222" i="15"/>
  <c r="AD222" i="15" s="1"/>
  <c r="X91" i="15"/>
  <c r="AD91" i="15" s="1"/>
  <c r="AA50" i="27"/>
  <c r="AA132" i="27"/>
  <c r="AL177" i="15"/>
  <c r="AP177" i="15" s="1"/>
  <c r="AA177" i="15"/>
  <c r="AG177" i="15" s="1"/>
  <c r="AC177" i="15"/>
  <c r="AI177" i="15" s="1"/>
  <c r="AN177" i="15"/>
  <c r="AR177" i="15" s="1"/>
  <c r="AG179" i="27"/>
  <c r="V179" i="15" s="1"/>
  <c r="AB179" i="15" s="1"/>
  <c r="AH179" i="15" s="1"/>
  <c r="AF179" i="27"/>
  <c r="AC179" i="27"/>
  <c r="R179" i="15" s="1"/>
  <c r="X179" i="15" s="1"/>
  <c r="AD179" i="15" s="1"/>
  <c r="AE179" i="27"/>
  <c r="T179" i="15" s="1"/>
  <c r="Z179" i="15" s="1"/>
  <c r="AF179" i="15" s="1"/>
  <c r="AD179" i="27"/>
  <c r="S179" i="15" s="1"/>
  <c r="Y179" i="15" s="1"/>
  <c r="AE179" i="15" s="1"/>
  <c r="AH179" i="27"/>
  <c r="X180" i="27"/>
  <c r="AK178" i="15"/>
  <c r="AO178" i="15" s="1"/>
  <c r="AA178" i="15"/>
  <c r="AG178" i="15" s="1"/>
  <c r="AL178" i="15"/>
  <c r="AP178" i="15" s="1"/>
  <c r="AM178" i="15"/>
  <c r="AQ178" i="15" s="1"/>
  <c r="AN178" i="15"/>
  <c r="AR178" i="15" s="1"/>
  <c r="AC178" i="15"/>
  <c r="AI178" i="15" s="1"/>
  <c r="AC130" i="15"/>
  <c r="AN130" i="15"/>
  <c r="AR130" i="15" s="1"/>
  <c r="AG132" i="27"/>
  <c r="V132" i="15" s="1"/>
  <c r="AB132" i="15" s="1"/>
  <c r="AH132" i="15" s="1"/>
  <c r="AE132" i="27"/>
  <c r="T132" i="15" s="1"/>
  <c r="Z132" i="15" s="1"/>
  <c r="AF132" i="15" s="1"/>
  <c r="AD132" i="27"/>
  <c r="S132" i="15" s="1"/>
  <c r="Y132" i="15" s="1"/>
  <c r="AE132" i="15" s="1"/>
  <c r="AF132" i="27"/>
  <c r="AC132" i="27"/>
  <c r="R132" i="15" s="1"/>
  <c r="X132" i="15" s="1"/>
  <c r="AD132" i="15" s="1"/>
  <c r="AH132" i="27"/>
  <c r="X133" i="27"/>
  <c r="W131" i="15"/>
  <c r="AM131" i="15" s="1"/>
  <c r="AQ131" i="15" s="1"/>
  <c r="U131" i="15"/>
  <c r="AK131" i="15" s="1"/>
  <c r="AO131" i="15" s="1"/>
  <c r="AB92" i="27"/>
  <c r="AA94" i="27"/>
  <c r="AA180" i="27"/>
  <c r="AB136" i="27"/>
  <c r="AL90" i="15"/>
  <c r="AP90" i="15" s="1"/>
  <c r="AA90" i="15"/>
  <c r="AG90" i="15" s="1"/>
  <c r="AC90" i="15"/>
  <c r="AI90" i="15" s="1"/>
  <c r="AN90" i="15"/>
  <c r="AR90" i="15" s="1"/>
  <c r="AH92" i="27"/>
  <c r="W92" i="15" s="1"/>
  <c r="AD92" i="27"/>
  <c r="S92" i="15" s="1"/>
  <c r="Y92" i="15" s="1"/>
  <c r="AE92" i="15" s="1"/>
  <c r="AC92" i="27"/>
  <c r="R92" i="15" s="1"/>
  <c r="AG92" i="27"/>
  <c r="V92" i="15" s="1"/>
  <c r="AB92" i="15" s="1"/>
  <c r="AH92" i="15" s="1"/>
  <c r="AE92" i="27"/>
  <c r="T92" i="15" s="1"/>
  <c r="Z92" i="15" s="1"/>
  <c r="AF92" i="15" s="1"/>
  <c r="AF92" i="27"/>
  <c r="U92" i="15" s="1"/>
  <c r="X93" i="27"/>
  <c r="W91" i="15"/>
  <c r="AM91" i="15" s="1"/>
  <c r="AQ91" i="15" s="1"/>
  <c r="U91" i="15"/>
  <c r="AK91" i="15" s="1"/>
  <c r="AO91" i="15" s="1"/>
  <c r="AL47" i="15"/>
  <c r="AP47" i="15" s="1"/>
  <c r="AA47" i="15"/>
  <c r="AG47" i="15" s="1"/>
  <c r="AC49" i="27"/>
  <c r="R49" i="15" s="1"/>
  <c r="X49" i="15" s="1"/>
  <c r="AD49" i="15" s="1"/>
  <c r="AH49" i="27"/>
  <c r="AD49" i="27"/>
  <c r="S49" i="15" s="1"/>
  <c r="Y49" i="15" s="1"/>
  <c r="AE49" i="15" s="1"/>
  <c r="AE49" i="27"/>
  <c r="T49" i="15" s="1"/>
  <c r="Z49" i="15" s="1"/>
  <c r="AF49" i="15" s="1"/>
  <c r="AG49" i="27"/>
  <c r="V49" i="15" s="1"/>
  <c r="AB49" i="15" s="1"/>
  <c r="AH49" i="15" s="1"/>
  <c r="AF49" i="27"/>
  <c r="U49" i="15" s="1"/>
  <c r="X50" i="27"/>
  <c r="AM48" i="15"/>
  <c r="AQ48" i="15" s="1"/>
  <c r="AC48" i="15"/>
  <c r="AI48" i="15" s="1"/>
  <c r="AN48" i="15"/>
  <c r="AR48" i="15" s="1"/>
  <c r="U48" i="15"/>
  <c r="AK48" i="15" s="1"/>
  <c r="AO48" i="15" s="1"/>
  <c r="AA225" i="27"/>
  <c r="AC221" i="15"/>
  <c r="AI221" i="15" s="1"/>
  <c r="AN221" i="15"/>
  <c r="AR221" i="15" s="1"/>
  <c r="AE223" i="27"/>
  <c r="T223" i="15" s="1"/>
  <c r="Z223" i="15" s="1"/>
  <c r="AF223" i="15" s="1"/>
  <c r="AG223" i="27"/>
  <c r="V223" i="15" s="1"/>
  <c r="AB223" i="15" s="1"/>
  <c r="AH223" i="15" s="1"/>
  <c r="AH223" i="27"/>
  <c r="AD223" i="27"/>
  <c r="S223" i="15" s="1"/>
  <c r="Y223" i="15" s="1"/>
  <c r="AE223" i="15" s="1"/>
  <c r="AC223" i="27"/>
  <c r="R223" i="15" s="1"/>
  <c r="AF223" i="27"/>
  <c r="U223" i="15" s="1"/>
  <c r="X224" i="27"/>
  <c r="W222" i="15"/>
  <c r="AM222" i="15" s="1"/>
  <c r="AQ222" i="15" s="1"/>
  <c r="U222" i="15"/>
  <c r="AK222" i="15" s="1"/>
  <c r="AO222" i="15" s="1"/>
  <c r="AB224" i="27"/>
  <c r="AB48" i="27"/>
  <c r="AO135" i="27"/>
  <c r="AQ149" i="27"/>
  <c r="AM130" i="27"/>
  <c r="AN132" i="27"/>
  <c r="AP140" i="27"/>
  <c r="AQ150" i="27"/>
  <c r="AJ94" i="30" l="1"/>
  <c r="AT94" i="30" s="1"/>
  <c r="AI94" i="30"/>
  <c r="AS94" i="30" s="1"/>
  <c r="AO95" i="30"/>
  <c r="AO94" i="30"/>
  <c r="AP225" i="30"/>
  <c r="AO225" i="30"/>
  <c r="AP183" i="30"/>
  <c r="AP182" i="30"/>
  <c r="AO183" i="30"/>
  <c r="AO182" i="30"/>
  <c r="AO133" i="30"/>
  <c r="AP133" i="30"/>
  <c r="AO50" i="30"/>
  <c r="AP50" i="30"/>
  <c r="AI225" i="30"/>
  <c r="AS225" i="30" s="1"/>
  <c r="AH225" i="30"/>
  <c r="AR225" i="30" s="1"/>
  <c r="AG225" i="30"/>
  <c r="AQ225" i="30" s="1"/>
  <c r="AL225" i="30"/>
  <c r="AV225" i="30" s="1"/>
  <c r="AK225" i="30"/>
  <c r="AU225" i="30" s="1"/>
  <c r="AJ225" i="30"/>
  <c r="AT225" i="30" s="1"/>
  <c r="AK182" i="30"/>
  <c r="AU182" i="30" s="1"/>
  <c r="AL182" i="30"/>
  <c r="AV182" i="30" s="1"/>
  <c r="AH183" i="30"/>
  <c r="AR183" i="30" s="1"/>
  <c r="AH182" i="30"/>
  <c r="AR182" i="30" s="1"/>
  <c r="AG182" i="30"/>
  <c r="AQ182" i="30" s="1"/>
  <c r="AJ183" i="30"/>
  <c r="AT183" i="30" s="1"/>
  <c r="AJ182" i="30"/>
  <c r="AT182" i="30" s="1"/>
  <c r="AI182" i="30"/>
  <c r="AS182" i="30" s="1"/>
  <c r="AI133" i="30"/>
  <c r="AS133" i="30" s="1"/>
  <c r="AL133" i="30"/>
  <c r="AV133" i="30" s="1"/>
  <c r="AK133" i="30"/>
  <c r="AU133" i="30" s="1"/>
  <c r="AG133" i="30"/>
  <c r="AQ133" i="30" s="1"/>
  <c r="AH133" i="30"/>
  <c r="AR133" i="30" s="1"/>
  <c r="AJ133" i="30"/>
  <c r="AT133" i="30" s="1"/>
  <c r="AK49" i="30"/>
  <c r="AU49" i="30" s="1"/>
  <c r="AL49" i="30"/>
  <c r="AV49" i="30" s="1"/>
  <c r="AG49" i="30"/>
  <c r="AQ49" i="30" s="1"/>
  <c r="AH49" i="30"/>
  <c r="AR49" i="30" s="1"/>
  <c r="AJ49" i="30"/>
  <c r="AT49" i="30" s="1"/>
  <c r="AI49" i="30"/>
  <c r="AS49" i="30" s="1"/>
  <c r="AB181" i="27"/>
  <c r="X92" i="15"/>
  <c r="AD92" i="15" s="1"/>
  <c r="AI130" i="15"/>
  <c r="Q130" i="24"/>
  <c r="R130" i="24" s="1"/>
  <c r="Q221" i="24"/>
  <c r="R221" i="24" s="1"/>
  <c r="Q90" i="24"/>
  <c r="R90" i="24" s="1"/>
  <c r="Q178" i="24"/>
  <c r="R178" i="24" s="1"/>
  <c r="Q177" i="24"/>
  <c r="R177" i="24" s="1"/>
  <c r="X223" i="15"/>
  <c r="AD223" i="15" s="1"/>
  <c r="Q47" i="24"/>
  <c r="R47" i="24" s="1"/>
  <c r="AB49" i="27"/>
  <c r="AB225" i="27"/>
  <c r="AL222" i="15"/>
  <c r="AP222" i="15" s="1"/>
  <c r="AA222" i="15"/>
  <c r="AG222" i="15" s="1"/>
  <c r="AN222" i="15"/>
  <c r="AR222" i="15" s="1"/>
  <c r="AC222" i="15"/>
  <c r="AI222" i="15" s="1"/>
  <c r="AE224" i="27"/>
  <c r="T224" i="15" s="1"/>
  <c r="Z224" i="15" s="1"/>
  <c r="AF224" i="15" s="1"/>
  <c r="AH224" i="27"/>
  <c r="AD224" i="27"/>
  <c r="S224" i="15" s="1"/>
  <c r="Y224" i="15" s="1"/>
  <c r="AE224" i="15" s="1"/>
  <c r="AG224" i="27"/>
  <c r="V224" i="15" s="1"/>
  <c r="AB224" i="15" s="1"/>
  <c r="AH224" i="15" s="1"/>
  <c r="AC224" i="27"/>
  <c r="R224" i="15" s="1"/>
  <c r="AF224" i="27"/>
  <c r="X225" i="27"/>
  <c r="AK223" i="15"/>
  <c r="AO223" i="15" s="1"/>
  <c r="AA223" i="15"/>
  <c r="AG223" i="15" s="1"/>
  <c r="AL223" i="15"/>
  <c r="AP223" i="15" s="1"/>
  <c r="W223" i="15"/>
  <c r="AA226" i="27"/>
  <c r="AA48" i="15"/>
  <c r="AG48" i="15" s="1"/>
  <c r="AL48" i="15"/>
  <c r="AP48" i="15" s="1"/>
  <c r="AF50" i="27"/>
  <c r="AE50" i="27"/>
  <c r="T50" i="15" s="1"/>
  <c r="Z50" i="15" s="1"/>
  <c r="AF50" i="15" s="1"/>
  <c r="AC50" i="27"/>
  <c r="R50" i="15" s="1"/>
  <c r="X50" i="15" s="1"/>
  <c r="AD50" i="15" s="1"/>
  <c r="AG50" i="27"/>
  <c r="V50" i="15" s="1"/>
  <c r="AB50" i="15" s="1"/>
  <c r="AH50" i="15" s="1"/>
  <c r="AH50" i="27"/>
  <c r="W50" i="15" s="1"/>
  <c r="AD50" i="27"/>
  <c r="S50" i="15" s="1"/>
  <c r="Y50" i="15" s="1"/>
  <c r="AE50" i="15" s="1"/>
  <c r="X51" i="27"/>
  <c r="AK49" i="15"/>
  <c r="AO49" i="15" s="1"/>
  <c r="AL49" i="15"/>
  <c r="AP49" i="15" s="1"/>
  <c r="AA49" i="15"/>
  <c r="AG49" i="15" s="1"/>
  <c r="W49" i="15"/>
  <c r="AM49" i="15" s="1"/>
  <c r="AQ49" i="15" s="1"/>
  <c r="AL91" i="15"/>
  <c r="AP91" i="15" s="1"/>
  <c r="AA91" i="15"/>
  <c r="AG91" i="15" s="1"/>
  <c r="AC91" i="15"/>
  <c r="AI91" i="15" s="1"/>
  <c r="AN91" i="15"/>
  <c r="AR91" i="15" s="1"/>
  <c r="AF93" i="27"/>
  <c r="U93" i="15" s="1"/>
  <c r="AD93" i="27"/>
  <c r="S93" i="15" s="1"/>
  <c r="Y93" i="15" s="1"/>
  <c r="AE93" i="15" s="1"/>
  <c r="AH93" i="27"/>
  <c r="W93" i="15" s="1"/>
  <c r="AC93" i="27"/>
  <c r="R93" i="15" s="1"/>
  <c r="AE93" i="27"/>
  <c r="T93" i="15" s="1"/>
  <c r="Z93" i="15" s="1"/>
  <c r="AF93" i="15" s="1"/>
  <c r="AG93" i="27"/>
  <c r="V93" i="15" s="1"/>
  <c r="AB93" i="15" s="1"/>
  <c r="AH93" i="15" s="1"/>
  <c r="X94" i="27"/>
  <c r="AK92" i="15"/>
  <c r="AO92" i="15" s="1"/>
  <c r="AA92" i="15"/>
  <c r="AG92" i="15" s="1"/>
  <c r="AL92" i="15"/>
  <c r="AP92" i="15" s="1"/>
  <c r="AM92" i="15"/>
  <c r="AQ92" i="15" s="1"/>
  <c r="AN92" i="15"/>
  <c r="AR92" i="15" s="1"/>
  <c r="AC92" i="15"/>
  <c r="AI92" i="15" s="1"/>
  <c r="AB137" i="27"/>
  <c r="AA181" i="27"/>
  <c r="AA95" i="27"/>
  <c r="AB93" i="27"/>
  <c r="AL131" i="15"/>
  <c r="AP131" i="15" s="1"/>
  <c r="AA131" i="15"/>
  <c r="AG131" i="15" s="1"/>
  <c r="AN131" i="15"/>
  <c r="AR131" i="15" s="1"/>
  <c r="AC131" i="15"/>
  <c r="AI131" i="15" s="1"/>
  <c r="AD133" i="27"/>
  <c r="S133" i="15" s="1"/>
  <c r="Y133" i="15" s="1"/>
  <c r="AE133" i="15" s="1"/>
  <c r="AE133" i="27"/>
  <c r="T133" i="15" s="1"/>
  <c r="Z133" i="15" s="1"/>
  <c r="AF133" i="15" s="1"/>
  <c r="AG133" i="27"/>
  <c r="V133" i="15" s="1"/>
  <c r="AB133" i="15" s="1"/>
  <c r="AH133" i="15" s="1"/>
  <c r="AF133" i="27"/>
  <c r="AC133" i="27"/>
  <c r="R133" i="15" s="1"/>
  <c r="X133" i="15" s="1"/>
  <c r="AD133" i="15" s="1"/>
  <c r="AH133" i="27"/>
  <c r="X134" i="27"/>
  <c r="W132" i="15"/>
  <c r="AM132" i="15" s="1"/>
  <c r="AQ132" i="15" s="1"/>
  <c r="U132" i="15"/>
  <c r="AK132" i="15" s="1"/>
  <c r="AO132" i="15" s="1"/>
  <c r="AE180" i="27"/>
  <c r="T180" i="15" s="1"/>
  <c r="Z180" i="15" s="1"/>
  <c r="AF180" i="15" s="1"/>
  <c r="AG180" i="27"/>
  <c r="V180" i="15" s="1"/>
  <c r="AB180" i="15" s="1"/>
  <c r="AH180" i="15" s="1"/>
  <c r="AF180" i="27"/>
  <c r="AH180" i="27"/>
  <c r="AD180" i="27"/>
  <c r="S180" i="15" s="1"/>
  <c r="Y180" i="15" s="1"/>
  <c r="AE180" i="15" s="1"/>
  <c r="AC180" i="27"/>
  <c r="R180" i="15" s="1"/>
  <c r="X180" i="15" s="1"/>
  <c r="AD180" i="15" s="1"/>
  <c r="X181" i="27"/>
  <c r="W179" i="15"/>
  <c r="AM179" i="15" s="1"/>
  <c r="AQ179" i="15" s="1"/>
  <c r="U179" i="15"/>
  <c r="AK179" i="15" s="1"/>
  <c r="AO179" i="15" s="1"/>
  <c r="AA133" i="27"/>
  <c r="AA51" i="27"/>
  <c r="AQ151" i="27"/>
  <c r="AO136" i="27"/>
  <c r="AM131" i="27"/>
  <c r="AP141" i="27"/>
  <c r="AN133" i="27"/>
  <c r="AJ95" i="30" l="1"/>
  <c r="AT95" i="30" s="1"/>
  <c r="AI95" i="30"/>
  <c r="AS95" i="30" s="1"/>
  <c r="AO227" i="30"/>
  <c r="AO226" i="30"/>
  <c r="AP227" i="30"/>
  <c r="AP226" i="30"/>
  <c r="AG183" i="30"/>
  <c r="AQ183" i="30" s="1"/>
  <c r="AP134" i="30"/>
  <c r="AO134" i="30"/>
  <c r="AP51" i="30"/>
  <c r="AO51" i="30"/>
  <c r="AI183" i="30"/>
  <c r="AS183" i="30" s="1"/>
  <c r="AJ227" i="30"/>
  <c r="AT227" i="30" s="1"/>
  <c r="AJ226" i="30"/>
  <c r="AT226" i="30" s="1"/>
  <c r="AL226" i="30"/>
  <c r="AV226" i="30" s="1"/>
  <c r="AK226" i="30"/>
  <c r="AU226" i="30" s="1"/>
  <c r="AG226" i="30"/>
  <c r="AQ226" i="30" s="1"/>
  <c r="AH227" i="30"/>
  <c r="AR227" i="30" s="1"/>
  <c r="AH226" i="30"/>
  <c r="AR226" i="30" s="1"/>
  <c r="AI226" i="30"/>
  <c r="AS226" i="30" s="1"/>
  <c r="AL183" i="30"/>
  <c r="AV183" i="30" s="1"/>
  <c r="AK183" i="30"/>
  <c r="AU183" i="30" s="1"/>
  <c r="AH134" i="30"/>
  <c r="AR134" i="30" s="1"/>
  <c r="AJ134" i="30"/>
  <c r="AT134" i="30" s="1"/>
  <c r="AG134" i="30"/>
  <c r="AQ134" i="30" s="1"/>
  <c r="AK134" i="30"/>
  <c r="AU134" i="30" s="1"/>
  <c r="AL134" i="30"/>
  <c r="AV134" i="30" s="1"/>
  <c r="AI134" i="30"/>
  <c r="AS134" i="30" s="1"/>
  <c r="AK50" i="30"/>
  <c r="AU50" i="30" s="1"/>
  <c r="AL50" i="30"/>
  <c r="AV50" i="30" s="1"/>
  <c r="AJ51" i="30"/>
  <c r="AT51" i="30" s="1"/>
  <c r="AJ50" i="30"/>
  <c r="AT50" i="30" s="1"/>
  <c r="AI50" i="30"/>
  <c r="AS50" i="30" s="1"/>
  <c r="AH51" i="30"/>
  <c r="AR51" i="30" s="1"/>
  <c r="AH50" i="30"/>
  <c r="AR50" i="30" s="1"/>
  <c r="AG50" i="30"/>
  <c r="AQ50" i="30" s="1"/>
  <c r="AB182" i="27"/>
  <c r="AB226" i="27"/>
  <c r="AB227" i="27" s="1"/>
  <c r="Q48" i="24"/>
  <c r="R48" i="24" s="1"/>
  <c r="Q131" i="24"/>
  <c r="R131" i="24" s="1"/>
  <c r="X93" i="15"/>
  <c r="AD93" i="15" s="1"/>
  <c r="AM223" i="15"/>
  <c r="AQ223" i="15" s="1"/>
  <c r="X224" i="15"/>
  <c r="AD224" i="15" s="1"/>
  <c r="Q92" i="24"/>
  <c r="R92" i="24" s="1"/>
  <c r="Q91" i="24"/>
  <c r="R91" i="24" s="1"/>
  <c r="Q222" i="24"/>
  <c r="R222" i="24" s="1"/>
  <c r="AA134" i="27"/>
  <c r="AL179" i="15"/>
  <c r="AP179" i="15" s="1"/>
  <c r="AA179" i="15"/>
  <c r="AG179" i="15" s="1"/>
  <c r="AN179" i="15"/>
  <c r="AR179" i="15" s="1"/>
  <c r="AC179" i="15"/>
  <c r="AI179" i="15" s="1"/>
  <c r="AD181" i="27"/>
  <c r="S181" i="15" s="1"/>
  <c r="Y181" i="15" s="1"/>
  <c r="AE181" i="15" s="1"/>
  <c r="AH181" i="27"/>
  <c r="AC181" i="27"/>
  <c r="R181" i="15" s="1"/>
  <c r="X181" i="15" s="1"/>
  <c r="AD181" i="15" s="1"/>
  <c r="AG181" i="27"/>
  <c r="V181" i="15" s="1"/>
  <c r="AB181" i="15" s="1"/>
  <c r="AH181" i="15" s="1"/>
  <c r="AE181" i="27"/>
  <c r="T181" i="15" s="1"/>
  <c r="Z181" i="15" s="1"/>
  <c r="AF181" i="15" s="1"/>
  <c r="AF181" i="27"/>
  <c r="X182" i="27"/>
  <c r="W180" i="15"/>
  <c r="AM180" i="15" s="1"/>
  <c r="AQ180" i="15" s="1"/>
  <c r="U180" i="15"/>
  <c r="AK180" i="15" s="1"/>
  <c r="AO180" i="15" s="1"/>
  <c r="AL132" i="15"/>
  <c r="AP132" i="15" s="1"/>
  <c r="AA132" i="15"/>
  <c r="AG132" i="15" s="1"/>
  <c r="AC132" i="15"/>
  <c r="AI132" i="15" s="1"/>
  <c r="AN132" i="15"/>
  <c r="AR132" i="15" s="1"/>
  <c r="AD134" i="27"/>
  <c r="S134" i="15" s="1"/>
  <c r="Y134" i="15" s="1"/>
  <c r="AE134" i="15" s="1"/>
  <c r="AF134" i="27"/>
  <c r="U134" i="15" s="1"/>
  <c r="AC134" i="27"/>
  <c r="R134" i="15" s="1"/>
  <c r="X134" i="15" s="1"/>
  <c r="AD134" i="15" s="1"/>
  <c r="AH134" i="27"/>
  <c r="W134" i="15" s="1"/>
  <c r="AE134" i="27"/>
  <c r="T134" i="15" s="1"/>
  <c r="Z134" i="15" s="1"/>
  <c r="AF134" i="15" s="1"/>
  <c r="AG134" i="27"/>
  <c r="V134" i="15" s="1"/>
  <c r="AB134" i="15" s="1"/>
  <c r="AH134" i="15" s="1"/>
  <c r="X135" i="27"/>
  <c r="W133" i="15"/>
  <c r="AM133" i="15" s="1"/>
  <c r="AQ133" i="15" s="1"/>
  <c r="U133" i="15"/>
  <c r="AK133" i="15" s="1"/>
  <c r="AO133" i="15" s="1"/>
  <c r="AB94" i="27"/>
  <c r="AA182" i="27"/>
  <c r="AB138" i="27"/>
  <c r="AH94" i="27"/>
  <c r="AF94" i="27"/>
  <c r="U94" i="15" s="1"/>
  <c r="AG94" i="27"/>
  <c r="V94" i="15" s="1"/>
  <c r="AB94" i="15" s="1"/>
  <c r="AH94" i="15" s="1"/>
  <c r="AC94" i="27"/>
  <c r="R94" i="15" s="1"/>
  <c r="AE94" i="27"/>
  <c r="T94" i="15" s="1"/>
  <c r="Z94" i="15" s="1"/>
  <c r="AF94" i="15" s="1"/>
  <c r="AD94" i="27"/>
  <c r="S94" i="15" s="1"/>
  <c r="Y94" i="15" s="1"/>
  <c r="AE94" i="15" s="1"/>
  <c r="X95" i="27"/>
  <c r="AM93" i="15"/>
  <c r="AQ93" i="15" s="1"/>
  <c r="AC93" i="15"/>
  <c r="AI93" i="15" s="1"/>
  <c r="AN93" i="15"/>
  <c r="AR93" i="15" s="1"/>
  <c r="AK93" i="15"/>
  <c r="AO93" i="15" s="1"/>
  <c r="AL93" i="15"/>
  <c r="AP93" i="15" s="1"/>
  <c r="AA93" i="15"/>
  <c r="AG93" i="15" s="1"/>
  <c r="AC49" i="15"/>
  <c r="AN49" i="15"/>
  <c r="AR49" i="15" s="1"/>
  <c r="AH51" i="27"/>
  <c r="AF51" i="27"/>
  <c r="U51" i="15" s="1"/>
  <c r="AD51" i="27"/>
  <c r="S51" i="15" s="1"/>
  <c r="Y51" i="15" s="1"/>
  <c r="AE51" i="15" s="1"/>
  <c r="AC51" i="27"/>
  <c r="R51" i="15" s="1"/>
  <c r="X51" i="15" s="1"/>
  <c r="AD51" i="15" s="1"/>
  <c r="AG51" i="27"/>
  <c r="V51" i="15" s="1"/>
  <c r="AB51" i="15" s="1"/>
  <c r="AH51" i="15" s="1"/>
  <c r="AE51" i="27"/>
  <c r="T51" i="15" s="1"/>
  <c r="Z51" i="15" s="1"/>
  <c r="AF51" i="15" s="1"/>
  <c r="AM50" i="15"/>
  <c r="AQ50" i="15" s="1"/>
  <c r="AC50" i="15"/>
  <c r="AI50" i="15" s="1"/>
  <c r="AN50" i="15"/>
  <c r="AR50" i="15" s="1"/>
  <c r="U50" i="15"/>
  <c r="AK50" i="15" s="1"/>
  <c r="AO50" i="15" s="1"/>
  <c r="AA227" i="27"/>
  <c r="AC223" i="15"/>
  <c r="AI223" i="15" s="1"/>
  <c r="AN223" i="15"/>
  <c r="AR223" i="15" s="1"/>
  <c r="AE225" i="27"/>
  <c r="T225" i="15" s="1"/>
  <c r="Z225" i="15" s="1"/>
  <c r="AF225" i="15" s="1"/>
  <c r="AG225" i="27"/>
  <c r="V225" i="15" s="1"/>
  <c r="AB225" i="15" s="1"/>
  <c r="AH225" i="15" s="1"/>
  <c r="AC225" i="27"/>
  <c r="R225" i="15" s="1"/>
  <c r="AH225" i="27"/>
  <c r="W225" i="15" s="1"/>
  <c r="AF225" i="27"/>
  <c r="AD225" i="27"/>
  <c r="S225" i="15" s="1"/>
  <c r="Y225" i="15" s="1"/>
  <c r="AE225" i="15" s="1"/>
  <c r="X226" i="27"/>
  <c r="U224" i="15"/>
  <c r="AK224" i="15" s="1"/>
  <c r="AO224" i="15" s="1"/>
  <c r="W224" i="15"/>
  <c r="AM224" i="15" s="1"/>
  <c r="AB50" i="27"/>
  <c r="AQ155" i="27"/>
  <c r="AQ162" i="27"/>
  <c r="AQ163" i="27"/>
  <c r="AQ170" i="27"/>
  <c r="AQ169" i="27"/>
  <c r="AQ159" i="27"/>
  <c r="AQ152" i="27"/>
  <c r="AQ153" i="27"/>
  <c r="AQ167" i="27"/>
  <c r="AQ158" i="27"/>
  <c r="AO137" i="27"/>
  <c r="AP142" i="27"/>
  <c r="AQ157" i="27"/>
  <c r="AQ160" i="27"/>
  <c r="AQ165" i="27"/>
  <c r="AQ166" i="27"/>
  <c r="AQ161" i="27"/>
  <c r="AN134" i="27"/>
  <c r="AQ168" i="27"/>
  <c r="AQ154" i="27"/>
  <c r="AM132" i="27"/>
  <c r="AQ164" i="27"/>
  <c r="AQ156" i="27"/>
  <c r="AO135" i="30" l="1"/>
  <c r="AP135" i="30"/>
  <c r="AI227" i="30"/>
  <c r="AS227" i="30" s="1"/>
  <c r="AG227" i="30"/>
  <c r="AQ227" i="30" s="1"/>
  <c r="AL227" i="30"/>
  <c r="AV227" i="30" s="1"/>
  <c r="AK227" i="30"/>
  <c r="AU227" i="30" s="1"/>
  <c r="AG51" i="30"/>
  <c r="AQ51" i="30" s="1"/>
  <c r="AI135" i="30"/>
  <c r="AS135" i="30" s="1"/>
  <c r="AL135" i="30"/>
  <c r="AV135" i="30" s="1"/>
  <c r="AK135" i="30"/>
  <c r="AU135" i="30" s="1"/>
  <c r="AG135" i="30"/>
  <c r="AQ135" i="30" s="1"/>
  <c r="AJ135" i="30"/>
  <c r="AT135" i="30" s="1"/>
  <c r="AH135" i="30"/>
  <c r="AR135" i="30" s="1"/>
  <c r="AI51" i="30"/>
  <c r="AS51" i="30" s="1"/>
  <c r="AL51" i="30"/>
  <c r="AV51" i="30" s="1"/>
  <c r="AK51" i="30"/>
  <c r="AU51" i="30" s="1"/>
  <c r="AB183" i="27"/>
  <c r="X94" i="15"/>
  <c r="AD94" i="15" s="1"/>
  <c r="Q223" i="24"/>
  <c r="R223" i="24" s="1"/>
  <c r="X225" i="15"/>
  <c r="AD225" i="15" s="1"/>
  <c r="AI49" i="15"/>
  <c r="Q49" i="24"/>
  <c r="R49" i="24" s="1"/>
  <c r="Q179" i="24"/>
  <c r="R179" i="24" s="1"/>
  <c r="Q93" i="24"/>
  <c r="R93" i="24" s="1"/>
  <c r="Q132" i="24"/>
  <c r="R132" i="24" s="1"/>
  <c r="AB51" i="27"/>
  <c r="AQ224" i="15"/>
  <c r="AN224" i="15"/>
  <c r="AR224" i="15" s="1"/>
  <c r="AC224" i="15"/>
  <c r="AI224" i="15" s="1"/>
  <c r="AL224" i="15"/>
  <c r="AP224" i="15" s="1"/>
  <c r="AA224" i="15"/>
  <c r="AG224" i="15" s="1"/>
  <c r="AF226" i="27"/>
  <c r="AE226" i="27"/>
  <c r="T226" i="15" s="1"/>
  <c r="Z226" i="15" s="1"/>
  <c r="AF226" i="15" s="1"/>
  <c r="AH226" i="27"/>
  <c r="AD226" i="27"/>
  <c r="S226" i="15" s="1"/>
  <c r="Y226" i="15" s="1"/>
  <c r="AE226" i="15" s="1"/>
  <c r="AG226" i="27"/>
  <c r="V226" i="15" s="1"/>
  <c r="AB226" i="15" s="1"/>
  <c r="AH226" i="15" s="1"/>
  <c r="AC226" i="27"/>
  <c r="R226" i="15" s="1"/>
  <c r="X227" i="27"/>
  <c r="U225" i="15"/>
  <c r="AK225" i="15" s="1"/>
  <c r="AO225" i="15" s="1"/>
  <c r="AM225" i="15"/>
  <c r="AQ225" i="15" s="1"/>
  <c r="AN225" i="15"/>
  <c r="AR225" i="15" s="1"/>
  <c r="AC225" i="15"/>
  <c r="AI225" i="15" s="1"/>
  <c r="AA50" i="15"/>
  <c r="AG50" i="15" s="1"/>
  <c r="AL50" i="15"/>
  <c r="AP50" i="15" s="1"/>
  <c r="AK51" i="15"/>
  <c r="AO51" i="15" s="1"/>
  <c r="AA51" i="15"/>
  <c r="AG51" i="15" s="1"/>
  <c r="AL51" i="15"/>
  <c r="AP51" i="15" s="1"/>
  <c r="W51" i="15"/>
  <c r="AM51" i="15" s="1"/>
  <c r="AQ51" i="15" s="1"/>
  <c r="AF95" i="27"/>
  <c r="U95" i="15" s="1"/>
  <c r="AC95" i="27"/>
  <c r="R95" i="15" s="1"/>
  <c r="AG95" i="27"/>
  <c r="V95" i="15" s="1"/>
  <c r="AB95" i="15" s="1"/>
  <c r="AH95" i="15" s="1"/>
  <c r="AE95" i="27"/>
  <c r="T95" i="15" s="1"/>
  <c r="Z95" i="15" s="1"/>
  <c r="AF95" i="15" s="1"/>
  <c r="AD95" i="27"/>
  <c r="S95" i="15" s="1"/>
  <c r="Y95" i="15" s="1"/>
  <c r="AE95" i="15" s="1"/>
  <c r="AH95" i="27"/>
  <c r="W95" i="15" s="1"/>
  <c r="AK94" i="15"/>
  <c r="AO94" i="15" s="1"/>
  <c r="AL94" i="15"/>
  <c r="AP94" i="15" s="1"/>
  <c r="AA94" i="15"/>
  <c r="AG94" i="15" s="1"/>
  <c r="W94" i="15"/>
  <c r="AB139" i="27"/>
  <c r="AA183" i="27"/>
  <c r="AB95" i="27"/>
  <c r="AL133" i="15"/>
  <c r="AP133" i="15" s="1"/>
  <c r="AA133" i="15"/>
  <c r="AG133" i="15" s="1"/>
  <c r="AN133" i="15"/>
  <c r="AR133" i="15" s="1"/>
  <c r="AC133" i="15"/>
  <c r="AI133" i="15" s="1"/>
  <c r="AE135" i="27"/>
  <c r="T135" i="15" s="1"/>
  <c r="Z135" i="15" s="1"/>
  <c r="AF135" i="15" s="1"/>
  <c r="AG135" i="27"/>
  <c r="V135" i="15" s="1"/>
  <c r="AB135" i="15" s="1"/>
  <c r="AH135" i="15" s="1"/>
  <c r="AD135" i="27"/>
  <c r="S135" i="15" s="1"/>
  <c r="Y135" i="15" s="1"/>
  <c r="AE135" i="15" s="1"/>
  <c r="AF135" i="27"/>
  <c r="AH135" i="27"/>
  <c r="W135" i="15" s="1"/>
  <c r="AC135" i="27"/>
  <c r="R135" i="15" s="1"/>
  <c r="X135" i="15" s="1"/>
  <c r="AD135" i="15" s="1"/>
  <c r="X136" i="27"/>
  <c r="AM134" i="15"/>
  <c r="AQ134" i="15" s="1"/>
  <c r="AN134" i="15"/>
  <c r="AR134" i="15" s="1"/>
  <c r="AC134" i="15"/>
  <c r="AI134" i="15" s="1"/>
  <c r="AK134" i="15"/>
  <c r="AO134" i="15" s="1"/>
  <c r="AA134" i="15"/>
  <c r="AG134" i="15" s="1"/>
  <c r="AL134" i="15"/>
  <c r="AP134" i="15" s="1"/>
  <c r="AL180" i="15"/>
  <c r="AP180" i="15" s="1"/>
  <c r="AA180" i="15"/>
  <c r="AG180" i="15" s="1"/>
  <c r="AC180" i="15"/>
  <c r="AI180" i="15" s="1"/>
  <c r="AN180" i="15"/>
  <c r="AR180" i="15" s="1"/>
  <c r="AE182" i="27"/>
  <c r="T182" i="15" s="1"/>
  <c r="Z182" i="15" s="1"/>
  <c r="AF182" i="15" s="1"/>
  <c r="AD182" i="27"/>
  <c r="S182" i="15" s="1"/>
  <c r="Y182" i="15" s="1"/>
  <c r="AE182" i="15" s="1"/>
  <c r="AG182" i="27"/>
  <c r="V182" i="15" s="1"/>
  <c r="AB182" i="15" s="1"/>
  <c r="AH182" i="15" s="1"/>
  <c r="AH182" i="27"/>
  <c r="W182" i="15" s="1"/>
  <c r="AC182" i="27"/>
  <c r="R182" i="15" s="1"/>
  <c r="X182" i="15" s="1"/>
  <c r="AD182" i="15" s="1"/>
  <c r="AF182" i="27"/>
  <c r="U182" i="15" s="1"/>
  <c r="X183" i="27"/>
  <c r="U181" i="15"/>
  <c r="W181" i="15"/>
  <c r="AM181" i="15" s="1"/>
  <c r="AQ181" i="15" s="1"/>
  <c r="AA135" i="27"/>
  <c r="AP165" i="27"/>
  <c r="AP148" i="27"/>
  <c r="AN151" i="27"/>
  <c r="AM153" i="27"/>
  <c r="AO156" i="27"/>
  <c r="AO150" i="27"/>
  <c r="AN138" i="27"/>
  <c r="AO164" i="27"/>
  <c r="AO146" i="27"/>
  <c r="AN159" i="27"/>
  <c r="AM138" i="27"/>
  <c r="AP147" i="27"/>
  <c r="AP162" i="27"/>
  <c r="AN164" i="27"/>
  <c r="AM167" i="27"/>
  <c r="AO166" i="27"/>
  <c r="AO144" i="27"/>
  <c r="AO138" i="27"/>
  <c r="AO162" i="27"/>
  <c r="AM137" i="27"/>
  <c r="AN154" i="27"/>
  <c r="AM154" i="27"/>
  <c r="AM161" i="27"/>
  <c r="AO152" i="27"/>
  <c r="AO139" i="27"/>
  <c r="AM136" i="27"/>
  <c r="AP159" i="27"/>
  <c r="AP144" i="27"/>
  <c r="AO163" i="27"/>
  <c r="AM159" i="27"/>
  <c r="AO160" i="27"/>
  <c r="AM152" i="27"/>
  <c r="AO159" i="27"/>
  <c r="AO154" i="27"/>
  <c r="AM168" i="27"/>
  <c r="AO140" i="27"/>
  <c r="AM155" i="27"/>
  <c r="AP153" i="27"/>
  <c r="AP163" i="27"/>
  <c r="AM144" i="27"/>
  <c r="AO170" i="27"/>
  <c r="AM143" i="27"/>
  <c r="AM163" i="27"/>
  <c r="AM165" i="27"/>
  <c r="AP169" i="27"/>
  <c r="AP155" i="27"/>
  <c r="AP157" i="27"/>
  <c r="AM164" i="27"/>
  <c r="AN167" i="27"/>
  <c r="AM147" i="27"/>
  <c r="AM135" i="27"/>
  <c r="AN160" i="27"/>
  <c r="AM162" i="27"/>
  <c r="AM148" i="27"/>
  <c r="AO153" i="27"/>
  <c r="AN140" i="27"/>
  <c r="AM169" i="27"/>
  <c r="AO149" i="27"/>
  <c r="AP150" i="27"/>
  <c r="AP164" i="27"/>
  <c r="AP156" i="27"/>
  <c r="AN149" i="27"/>
  <c r="AN162" i="27"/>
  <c r="AM141" i="27"/>
  <c r="AN165" i="27"/>
  <c r="AN135" i="27"/>
  <c r="AM145" i="27"/>
  <c r="AM166" i="27"/>
  <c r="AO157" i="27"/>
  <c r="AO158" i="27"/>
  <c r="AP151" i="27"/>
  <c r="AP152" i="27"/>
  <c r="AP154" i="27"/>
  <c r="AO155" i="27"/>
  <c r="AN169" i="27"/>
  <c r="AM146" i="27"/>
  <c r="AN142" i="27"/>
  <c r="AO151" i="27"/>
  <c r="AN150" i="27"/>
  <c r="AM142" i="27"/>
  <c r="AO142" i="27"/>
  <c r="AO148" i="27"/>
  <c r="AO141" i="27"/>
  <c r="AN141" i="27"/>
  <c r="AP145" i="27"/>
  <c r="AP146" i="27"/>
  <c r="AP170" i="27"/>
  <c r="AN168" i="27"/>
  <c r="AN158" i="27"/>
  <c r="AM140" i="27"/>
  <c r="AO145" i="27"/>
  <c r="AO161" i="27"/>
  <c r="AN153" i="27"/>
  <c r="AM157" i="27"/>
  <c r="AM170" i="27"/>
  <c r="AM149" i="27"/>
  <c r="AM150" i="27"/>
  <c r="AN146" i="27"/>
  <c r="AO147" i="27"/>
  <c r="AP143" i="27"/>
  <c r="AP158" i="27"/>
  <c r="AN137" i="27"/>
  <c r="AN152" i="27"/>
  <c r="AN143" i="27"/>
  <c r="AN163" i="27"/>
  <c r="AO165" i="27"/>
  <c r="AM160" i="27"/>
  <c r="AN170" i="27"/>
  <c r="AN139" i="27"/>
  <c r="AO168" i="27"/>
  <c r="AP149" i="27"/>
  <c r="AM134" i="27"/>
  <c r="AN144" i="27"/>
  <c r="AN161" i="27"/>
  <c r="AM151" i="27"/>
  <c r="AO143" i="27"/>
  <c r="AO169" i="27"/>
  <c r="AP167" i="27"/>
  <c r="AM158" i="27"/>
  <c r="AN157" i="27"/>
  <c r="AN145" i="27"/>
  <c r="AN166" i="27"/>
  <c r="AP160" i="27"/>
  <c r="AN136" i="27"/>
  <c r="AP161" i="27"/>
  <c r="AN147" i="27"/>
  <c r="AM139" i="27"/>
  <c r="AN155" i="27"/>
  <c r="AM156" i="27"/>
  <c r="AP166" i="27"/>
  <c r="AO167" i="27"/>
  <c r="AN148" i="27"/>
  <c r="AP168" i="27"/>
  <c r="AM133" i="27"/>
  <c r="AN156" i="27"/>
  <c r="AP136" i="30" l="1"/>
  <c r="AO136" i="30"/>
  <c r="AH136" i="30"/>
  <c r="AR136" i="30" s="1"/>
  <c r="AJ136" i="30"/>
  <c r="AT136" i="30" s="1"/>
  <c r="AK136" i="30"/>
  <c r="AU136" i="30" s="1"/>
  <c r="AL136" i="30"/>
  <c r="AV136" i="30" s="1"/>
  <c r="AG136" i="30"/>
  <c r="AQ136" i="30" s="1"/>
  <c r="AI136" i="30"/>
  <c r="AS136" i="30" s="1"/>
  <c r="Q134" i="24"/>
  <c r="R134" i="24" s="1"/>
  <c r="AM94" i="15"/>
  <c r="AQ94" i="15" s="1"/>
  <c r="X226" i="15"/>
  <c r="AD226" i="15" s="1"/>
  <c r="Q224" i="24"/>
  <c r="R224" i="24" s="1"/>
  <c r="AK181" i="15"/>
  <c r="AO181" i="15" s="1"/>
  <c r="Q133" i="24"/>
  <c r="R133" i="24" s="1"/>
  <c r="X95" i="15"/>
  <c r="AD95" i="15" s="1"/>
  <c r="Q180" i="24"/>
  <c r="R180" i="24" s="1"/>
  <c r="Q50" i="24"/>
  <c r="R50" i="24" s="1"/>
  <c r="AA136" i="27"/>
  <c r="AC181" i="15"/>
  <c r="AI181" i="15" s="1"/>
  <c r="AN181" i="15"/>
  <c r="AR181" i="15" s="1"/>
  <c r="AL181" i="15"/>
  <c r="AP181" i="15" s="1"/>
  <c r="AA181" i="15"/>
  <c r="AG181" i="15" s="1"/>
  <c r="AC183" i="27"/>
  <c r="R183" i="15" s="1"/>
  <c r="X183" i="15" s="1"/>
  <c r="AD183" i="15" s="1"/>
  <c r="AE183" i="27"/>
  <c r="T183" i="15" s="1"/>
  <c r="Z183" i="15" s="1"/>
  <c r="AF183" i="15" s="1"/>
  <c r="AG183" i="27"/>
  <c r="V183" i="15" s="1"/>
  <c r="AB183" i="15" s="1"/>
  <c r="AH183" i="15" s="1"/>
  <c r="AD183" i="27"/>
  <c r="S183" i="15" s="1"/>
  <c r="Y183" i="15" s="1"/>
  <c r="AE183" i="15" s="1"/>
  <c r="AH183" i="27"/>
  <c r="AF183" i="27"/>
  <c r="U183" i="15" s="1"/>
  <c r="AK182" i="15"/>
  <c r="AO182" i="15" s="1"/>
  <c r="AL182" i="15"/>
  <c r="AP182" i="15" s="1"/>
  <c r="AA182" i="15"/>
  <c r="AG182" i="15" s="1"/>
  <c r="AM182" i="15"/>
  <c r="AQ182" i="15" s="1"/>
  <c r="AC182" i="15"/>
  <c r="AI182" i="15" s="1"/>
  <c r="AN182" i="15"/>
  <c r="AR182" i="15" s="1"/>
  <c r="AD136" i="27"/>
  <c r="S136" i="15" s="1"/>
  <c r="Y136" i="15" s="1"/>
  <c r="AE136" i="15" s="1"/>
  <c r="AF136" i="27"/>
  <c r="AG136" i="27"/>
  <c r="V136" i="15" s="1"/>
  <c r="AB136" i="15" s="1"/>
  <c r="AH136" i="15" s="1"/>
  <c r="AH136" i="27"/>
  <c r="AE136" i="27"/>
  <c r="T136" i="15" s="1"/>
  <c r="Z136" i="15" s="1"/>
  <c r="AF136" i="15" s="1"/>
  <c r="AC136" i="27"/>
  <c r="R136" i="15" s="1"/>
  <c r="X136" i="15" s="1"/>
  <c r="AD136" i="15" s="1"/>
  <c r="X137" i="27"/>
  <c r="AM135" i="15"/>
  <c r="AQ135" i="15" s="1"/>
  <c r="AN135" i="15"/>
  <c r="AR135" i="15" s="1"/>
  <c r="AC135" i="15"/>
  <c r="AI135" i="15" s="1"/>
  <c r="U135" i="15"/>
  <c r="AK135" i="15" s="1"/>
  <c r="AO135" i="15" s="1"/>
  <c r="AC94" i="15"/>
  <c r="AI94" i="15" s="1"/>
  <c r="AN94" i="15"/>
  <c r="AR94" i="15" s="1"/>
  <c r="AM95" i="15"/>
  <c r="AQ95" i="15" s="1"/>
  <c r="AN95" i="15"/>
  <c r="AR95" i="15" s="1"/>
  <c r="AC95" i="15"/>
  <c r="AI95" i="15" s="1"/>
  <c r="AK95" i="15"/>
  <c r="AO95" i="15" s="1"/>
  <c r="AA95" i="15"/>
  <c r="AG95" i="15" s="1"/>
  <c r="AL95" i="15"/>
  <c r="AP95" i="15" s="1"/>
  <c r="AN51" i="15"/>
  <c r="AR51" i="15" s="1"/>
  <c r="AC51" i="15"/>
  <c r="AI51" i="15" s="1"/>
  <c r="AA225" i="15"/>
  <c r="AG225" i="15" s="1"/>
  <c r="AL225" i="15"/>
  <c r="AP225" i="15" s="1"/>
  <c r="AD227" i="27"/>
  <c r="S227" i="15" s="1"/>
  <c r="Y227" i="15" s="1"/>
  <c r="AE227" i="15" s="1"/>
  <c r="AE227" i="27"/>
  <c r="T227" i="15" s="1"/>
  <c r="Z227" i="15" s="1"/>
  <c r="AF227" i="15" s="1"/>
  <c r="AC227" i="27"/>
  <c r="R227" i="15" s="1"/>
  <c r="AG227" i="27"/>
  <c r="V227" i="15" s="1"/>
  <c r="AB227" i="15" s="1"/>
  <c r="AH227" i="15" s="1"/>
  <c r="AF227" i="27"/>
  <c r="U227" i="15" s="1"/>
  <c r="AH227" i="27"/>
  <c r="W226" i="15"/>
  <c r="AM226" i="15" s="1"/>
  <c r="AQ226" i="15" s="1"/>
  <c r="U226" i="15"/>
  <c r="AK226" i="15" s="1"/>
  <c r="AO226" i="15" s="1"/>
  <c r="AP137" i="30" l="1"/>
  <c r="AO137" i="30"/>
  <c r="AL137" i="30"/>
  <c r="AV137" i="30" s="1"/>
  <c r="AK137" i="30"/>
  <c r="AU137" i="30" s="1"/>
  <c r="AG137" i="30"/>
  <c r="AQ137" i="30" s="1"/>
  <c r="AJ137" i="30"/>
  <c r="AT137" i="30" s="1"/>
  <c r="AI137" i="30"/>
  <c r="AS137" i="30" s="1"/>
  <c r="AH137" i="30"/>
  <c r="AR137" i="30" s="1"/>
  <c r="Q182" i="24"/>
  <c r="R182" i="24" s="1"/>
  <c r="Q225" i="24"/>
  <c r="R225" i="24" s="1"/>
  <c r="Q94" i="24"/>
  <c r="R94" i="24" s="1"/>
  <c r="Q181" i="24"/>
  <c r="R181" i="24" s="1"/>
  <c r="X227" i="15"/>
  <c r="AD227" i="15" s="1"/>
  <c r="Q95" i="24"/>
  <c r="R95" i="24" s="1"/>
  <c r="Q51" i="24"/>
  <c r="R51" i="24" s="1"/>
  <c r="AL226" i="15"/>
  <c r="AP226" i="15" s="1"/>
  <c r="AA226" i="15"/>
  <c r="AN226" i="15"/>
  <c r="AR226" i="15" s="1"/>
  <c r="AC226" i="15"/>
  <c r="AI226" i="15" s="1"/>
  <c r="W227" i="15"/>
  <c r="AM227" i="15" s="1"/>
  <c r="AQ227" i="15" s="1"/>
  <c r="AK227" i="15"/>
  <c r="AO227" i="15" s="1"/>
  <c r="AL227" i="15"/>
  <c r="AP227" i="15" s="1"/>
  <c r="AA227" i="15"/>
  <c r="AG227" i="15" s="1"/>
  <c r="AA135" i="15"/>
  <c r="AG135" i="15" s="1"/>
  <c r="AL135" i="15"/>
  <c r="AP135" i="15" s="1"/>
  <c r="AH137" i="27"/>
  <c r="AG137" i="27"/>
  <c r="V137" i="15" s="1"/>
  <c r="AB137" i="15" s="1"/>
  <c r="AH137" i="15" s="1"/>
  <c r="AE137" i="27"/>
  <c r="T137" i="15" s="1"/>
  <c r="Z137" i="15" s="1"/>
  <c r="AF137" i="15" s="1"/>
  <c r="AD137" i="27"/>
  <c r="S137" i="15" s="1"/>
  <c r="Y137" i="15" s="1"/>
  <c r="AE137" i="15" s="1"/>
  <c r="AF137" i="27"/>
  <c r="U137" i="15" s="1"/>
  <c r="AC137" i="27"/>
  <c r="R137" i="15" s="1"/>
  <c r="X137" i="15" s="1"/>
  <c r="AD137" i="15" s="1"/>
  <c r="X138" i="27"/>
  <c r="W136" i="15"/>
  <c r="AM136" i="15" s="1"/>
  <c r="AQ136" i="15" s="1"/>
  <c r="U136" i="15"/>
  <c r="AK136" i="15" s="1"/>
  <c r="AO136" i="15" s="1"/>
  <c r="AK183" i="15"/>
  <c r="AO183" i="15" s="1"/>
  <c r="AA183" i="15"/>
  <c r="AG183" i="15" s="1"/>
  <c r="AL183" i="15"/>
  <c r="AP183" i="15" s="1"/>
  <c r="W183" i="15"/>
  <c r="AM183" i="15" s="1"/>
  <c r="AQ183" i="15" s="1"/>
  <c r="AA137" i="27"/>
  <c r="AP139" i="30" l="1"/>
  <c r="AP138" i="30"/>
  <c r="AO139" i="30"/>
  <c r="AO138" i="30"/>
  <c r="AJ139" i="30"/>
  <c r="AT139" i="30" s="1"/>
  <c r="AJ138" i="30"/>
  <c r="AT138" i="30" s="1"/>
  <c r="AH139" i="30"/>
  <c r="AR139" i="30" s="1"/>
  <c r="AH138" i="30"/>
  <c r="AR138" i="30" s="1"/>
  <c r="AI138" i="30"/>
  <c r="AS138" i="30" s="1"/>
  <c r="AG138" i="30"/>
  <c r="AQ138" i="30" s="1"/>
  <c r="AL138" i="30"/>
  <c r="AV138" i="30" s="1"/>
  <c r="AK138" i="30"/>
  <c r="AU138" i="30" s="1"/>
  <c r="Q135" i="24"/>
  <c r="R135" i="24" s="1"/>
  <c r="AG226" i="15"/>
  <c r="Q226" i="24"/>
  <c r="R226" i="24" s="1"/>
  <c r="AA138" i="27"/>
  <c r="AN183" i="15"/>
  <c r="AR183" i="15" s="1"/>
  <c r="AC183" i="15"/>
  <c r="AI183" i="15" s="1"/>
  <c r="AL136" i="15"/>
  <c r="AP136" i="15" s="1"/>
  <c r="AA136" i="15"/>
  <c r="AG136" i="15" s="1"/>
  <c r="AN136" i="15"/>
  <c r="AR136" i="15" s="1"/>
  <c r="AC136" i="15"/>
  <c r="AI136" i="15" s="1"/>
  <c r="AE138" i="27"/>
  <c r="T138" i="15" s="1"/>
  <c r="Z138" i="15" s="1"/>
  <c r="AF138" i="15" s="1"/>
  <c r="AF138" i="27"/>
  <c r="AH138" i="27"/>
  <c r="W138" i="15" s="1"/>
  <c r="AG138" i="27"/>
  <c r="V138" i="15" s="1"/>
  <c r="AB138" i="15" s="1"/>
  <c r="AH138" i="15" s="1"/>
  <c r="AD138" i="27"/>
  <c r="S138" i="15" s="1"/>
  <c r="Y138" i="15" s="1"/>
  <c r="AE138" i="15" s="1"/>
  <c r="AC138" i="27"/>
  <c r="R138" i="15" s="1"/>
  <c r="X138" i="15" s="1"/>
  <c r="AD138" i="15" s="1"/>
  <c r="X139" i="27"/>
  <c r="AK137" i="15"/>
  <c r="AO137" i="15" s="1"/>
  <c r="AL137" i="15"/>
  <c r="AP137" i="15" s="1"/>
  <c r="AA137" i="15"/>
  <c r="AG137" i="15" s="1"/>
  <c r="W137" i="15"/>
  <c r="AM137" i="15" s="1"/>
  <c r="AQ137" i="15" s="1"/>
  <c r="AN227" i="15"/>
  <c r="AR227" i="15" s="1"/>
  <c r="AC227" i="15"/>
  <c r="AI227" i="15" s="1"/>
  <c r="AG139" i="30" l="1"/>
  <c r="AQ139" i="30" s="1"/>
  <c r="AI139" i="30"/>
  <c r="AS139" i="30" s="1"/>
  <c r="AK139" i="30"/>
  <c r="AU139" i="30" s="1"/>
  <c r="AL139" i="30"/>
  <c r="AV139" i="30" s="1"/>
  <c r="Q136" i="24"/>
  <c r="R136" i="24" s="1"/>
  <c r="Q227" i="24"/>
  <c r="R227" i="24" s="1"/>
  <c r="Q183" i="24"/>
  <c r="R183" i="24" s="1"/>
  <c r="AC137" i="15"/>
  <c r="AI137" i="15" s="1"/>
  <c r="AN137" i="15"/>
  <c r="AR137" i="15" s="1"/>
  <c r="AF139" i="27"/>
  <c r="AH139" i="27"/>
  <c r="W139" i="15" s="1"/>
  <c r="AE139" i="27"/>
  <c r="T139" i="15" s="1"/>
  <c r="Z139" i="15" s="1"/>
  <c r="AF139" i="15" s="1"/>
  <c r="AD139" i="27"/>
  <c r="S139" i="15" s="1"/>
  <c r="Y139" i="15" s="1"/>
  <c r="AE139" i="15" s="1"/>
  <c r="AG139" i="27"/>
  <c r="V139" i="15" s="1"/>
  <c r="AB139" i="15" s="1"/>
  <c r="AH139" i="15" s="1"/>
  <c r="AC139" i="27"/>
  <c r="R139" i="15" s="1"/>
  <c r="X139" i="15" s="1"/>
  <c r="AD139" i="15" s="1"/>
  <c r="AM138" i="15"/>
  <c r="AQ138" i="15" s="1"/>
  <c r="AN138" i="15"/>
  <c r="AR138" i="15" s="1"/>
  <c r="AC138" i="15"/>
  <c r="AI138" i="15" s="1"/>
  <c r="U138" i="15"/>
  <c r="AK138" i="15" s="1"/>
  <c r="AO138" i="15" s="1"/>
  <c r="AA139" i="27"/>
  <c r="Q137" i="24" l="1"/>
  <c r="R137" i="24" s="1"/>
  <c r="AA138" i="15"/>
  <c r="AG138" i="15" s="1"/>
  <c r="AL138" i="15"/>
  <c r="AP138" i="15" s="1"/>
  <c r="AM139" i="15"/>
  <c r="AQ139" i="15" s="1"/>
  <c r="AN139" i="15"/>
  <c r="AR139" i="15" s="1"/>
  <c r="AC139" i="15"/>
  <c r="AI139" i="15" s="1"/>
  <c r="U139" i="15"/>
  <c r="AK139" i="15"/>
  <c r="Q138" i="24" l="1"/>
  <c r="R138" i="24" s="1"/>
  <c r="AA139" i="15"/>
  <c r="AG139" i="15" s="1"/>
  <c r="AL139" i="15"/>
  <c r="AP139" i="15" s="1"/>
  <c r="AO139" i="15"/>
  <c r="Q139" i="24" l="1"/>
  <c r="R139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E20" authorId="0" shapeId="0" xr:uid="{BEBF1F70-0741-4875-984F-549A9EE7B0AD}">
      <text>
        <r>
          <rPr>
            <b/>
            <sz val="9"/>
            <color indexed="81"/>
            <rFont val="宋体"/>
            <family val="3"/>
            <charset val="134"/>
          </rPr>
          <t>（随机藏品集齐所需总价值-重复藏品的藏品币价值）/藏品种类数</t>
        </r>
      </text>
    </comment>
    <comment ref="G20" authorId="0" shapeId="0" xr:uid="{6AC53356-AADE-4F71-9C39-D22FEC523A86}">
      <text>
        <r>
          <rPr>
            <b/>
            <sz val="9"/>
            <color indexed="81"/>
            <rFont val="宋体"/>
            <family val="3"/>
            <charset val="134"/>
          </rPr>
          <t>（随机藏品集齐所需总价值-重复藏品的藏品币价值）/藏品种类数</t>
        </r>
      </text>
    </comment>
    <comment ref="I20" authorId="0" shapeId="0" xr:uid="{69F8A091-7EA0-4FDC-B110-146E93B08B63}">
      <text>
        <r>
          <rPr>
            <b/>
            <sz val="9"/>
            <color indexed="81"/>
            <rFont val="宋体"/>
            <family val="3"/>
            <charset val="134"/>
          </rPr>
          <t>（随机藏品集齐所需总价值-重复藏品的藏品币价值）/藏品种类数</t>
        </r>
      </text>
    </comment>
    <comment ref="D35" authorId="0" shapeId="0" xr:uid="{CD820878-6B83-4C90-A9E1-C8485D2F1C5D}">
      <text>
        <r>
          <rPr>
            <b/>
            <sz val="9"/>
            <color indexed="81"/>
            <rFont val="宋体"/>
            <family val="3"/>
            <charset val="134"/>
          </rPr>
          <t>职业加成考虑为队伍中4个武将生效，故加成数值为全加成的1.5倍</t>
        </r>
      </text>
    </comment>
  </commentList>
</comments>
</file>

<file path=xl/sharedStrings.xml><?xml version="1.0" encoding="utf-8"?>
<sst xmlns="http://schemas.openxmlformats.org/spreadsheetml/2006/main" count="1153" uniqueCount="226">
  <si>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</si>
  <si>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</si>
  <si>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</si>
  <si>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</si>
  <si>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</si>
  <si>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中r</t>
    <phoneticPr fontId="1" type="noConversion"/>
  </si>
  <si>
    <t>天数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</si>
  <si>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</si>
  <si>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</si>
  <si>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</si>
  <si>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大殿等级</t>
  </si>
  <si>
    <t>小r</t>
    <phoneticPr fontId="1" type="noConversion"/>
  </si>
  <si>
    <t>大r</t>
    <phoneticPr fontId="1" type="noConversion"/>
  </si>
  <si>
    <t>中r</t>
    <phoneticPr fontId="1" type="noConversion"/>
  </si>
  <si>
    <t>大r</t>
    <phoneticPr fontId="1" type="noConversion"/>
  </si>
  <si>
    <t>天数</t>
    <phoneticPr fontId="1" type="noConversion"/>
  </si>
  <si>
    <t>超r</t>
    <phoneticPr fontId="1" type="noConversion"/>
  </si>
  <si>
    <t>非r</t>
  </si>
  <si>
    <t>小r</t>
  </si>
  <si>
    <t>中r</t>
  </si>
  <si>
    <t>大r</t>
  </si>
  <si>
    <t>超r</t>
  </si>
  <si>
    <t>定义等级累积停留天数（天）</t>
  </si>
  <si>
    <t>定义等级阶段停留天数（天）</t>
  </si>
  <si>
    <t>天数对应定义等级</t>
  </si>
  <si>
    <t>定义等级</t>
  </si>
  <si>
    <t>紫</t>
  </si>
  <si>
    <t>橙</t>
  </si>
  <si>
    <t>红</t>
  </si>
  <si>
    <t>橙+</t>
  </si>
  <si>
    <t>槽位解锁数量</t>
  </si>
  <si>
    <t>预期天数</t>
  </si>
  <si>
    <t>玩家阶段队伍实力</t>
    <phoneticPr fontId="1" type="noConversion"/>
  </si>
  <si>
    <t>辅助列</t>
  </si>
  <si>
    <t>期望次数</t>
  </si>
  <si>
    <t>目前总共格子数位</t>
  </si>
  <si>
    <t>格子数</t>
  </si>
  <si>
    <t>藏品目前分为：紫，橙，红；每1种藏品都有对应的赝品.</t>
  </si>
  <si>
    <t>紫+</t>
  </si>
  <si>
    <t>紫+</t>
    <phoneticPr fontId="1" type="noConversion"/>
  </si>
  <si>
    <t>橙</t>
    <phoneticPr fontId="1" type="noConversion"/>
  </si>
  <si>
    <t>橙+</t>
    <phoneticPr fontId="1" type="noConversion"/>
  </si>
  <si>
    <t>红</t>
    <phoneticPr fontId="1" type="noConversion"/>
  </si>
  <si>
    <t>红+</t>
  </si>
  <si>
    <t>红+</t>
    <phoneticPr fontId="1" type="noConversion"/>
  </si>
  <si>
    <t>有+为真品，没有为赝品</t>
    <phoneticPr fontId="1" type="noConversion"/>
  </si>
  <si>
    <t>藏品种类数量</t>
    <phoneticPr fontId="1" type="noConversion"/>
  </si>
  <si>
    <t>紫</t>
    <phoneticPr fontId="1" type="noConversion"/>
  </si>
  <si>
    <t>预估达成定义等级</t>
    <phoneticPr fontId="1" type="noConversion"/>
  </si>
  <si>
    <t>藏品品质</t>
    <phoneticPr fontId="1" type="noConversion"/>
  </si>
  <si>
    <t>藏品品质达成种类数预估</t>
    <phoneticPr fontId="1" type="noConversion"/>
  </si>
  <si>
    <t>预估获取藏品种类数</t>
    <phoneticPr fontId="1" type="noConversion"/>
  </si>
  <si>
    <t>预估上阵藏品数</t>
    <phoneticPr fontId="1" type="noConversion"/>
  </si>
  <si>
    <t>槽位数</t>
    <phoneticPr fontId="1" type="noConversion"/>
  </si>
  <si>
    <t>阶段消耗货币</t>
    <phoneticPr fontId="1" type="noConversion"/>
  </si>
  <si>
    <t>累计消耗货币</t>
    <phoneticPr fontId="1" type="noConversion"/>
  </si>
  <si>
    <t>预估等级</t>
    <phoneticPr fontId="1" type="noConversion"/>
  </si>
  <si>
    <t>求节点封顶</t>
    <phoneticPr fontId="1" type="noConversion"/>
  </si>
  <si>
    <t>主属性为三围，三种不同的藏品类型对应统武智加成</t>
  </si>
  <si>
    <t>藏品属性分为主属性+副属性，真品/赝品均有主属性，真品拥有全部副属性，赝品只拥有最高50%副属性</t>
    <phoneticPr fontId="1" type="noConversion"/>
  </si>
  <si>
    <t>主属性加成（三围/单属性）</t>
    <phoneticPr fontId="1" type="noConversion"/>
  </si>
  <si>
    <t>最高副属性条数</t>
    <phoneticPr fontId="1" type="noConversion"/>
  </si>
  <si>
    <t>副属性加成（技能效用/单条）</t>
    <phoneticPr fontId="1" type="noConversion"/>
  </si>
  <si>
    <t>最低副属性条数</t>
    <phoneticPr fontId="1" type="noConversion"/>
  </si>
  <si>
    <t>最高副属性加成</t>
    <phoneticPr fontId="1" type="noConversion"/>
  </si>
  <si>
    <t>最低副属性加成</t>
    <phoneticPr fontId="1" type="noConversion"/>
  </si>
  <si>
    <t>副属性设计</t>
    <phoneticPr fontId="1" type="noConversion"/>
  </si>
  <si>
    <t>武将暴击</t>
    <phoneticPr fontId="1" type="noConversion"/>
  </si>
  <si>
    <t>武将韧性</t>
    <phoneticPr fontId="1" type="noConversion"/>
  </si>
  <si>
    <t>武将闪避</t>
    <phoneticPr fontId="1" type="noConversion"/>
  </si>
  <si>
    <t>武将命中</t>
    <phoneticPr fontId="1" type="noConversion"/>
  </si>
  <si>
    <t>士兵暴击</t>
    <phoneticPr fontId="1" type="noConversion"/>
  </si>
  <si>
    <t>士兵韧性</t>
    <phoneticPr fontId="1" type="noConversion"/>
  </si>
  <si>
    <t>士兵闪避</t>
    <phoneticPr fontId="1" type="noConversion"/>
  </si>
  <si>
    <t>士兵命中</t>
    <phoneticPr fontId="1" type="noConversion"/>
  </si>
  <si>
    <t>士兵暴伤</t>
    <phoneticPr fontId="1" type="noConversion"/>
  </si>
  <si>
    <t>武将暴伤</t>
    <phoneticPr fontId="1" type="noConversion"/>
  </si>
  <si>
    <t>属性条目</t>
    <phoneticPr fontId="1" type="noConversion"/>
  </si>
  <si>
    <t>1%属性加成</t>
    <phoneticPr fontId="1" type="noConversion"/>
  </si>
  <si>
    <t>职业武将暴击</t>
    <phoneticPr fontId="1" type="noConversion"/>
  </si>
  <si>
    <t>职业武将韧性</t>
    <phoneticPr fontId="1" type="noConversion"/>
  </si>
  <si>
    <t>职业武将闪避</t>
    <phoneticPr fontId="1" type="noConversion"/>
  </si>
  <si>
    <t>职业武将命中</t>
    <phoneticPr fontId="1" type="noConversion"/>
  </si>
  <si>
    <t>职业武将暴伤</t>
    <phoneticPr fontId="1" type="noConversion"/>
  </si>
  <si>
    <t>职业士兵暴击</t>
    <phoneticPr fontId="1" type="noConversion"/>
  </si>
  <si>
    <t>职业士兵韧性</t>
    <phoneticPr fontId="1" type="noConversion"/>
  </si>
  <si>
    <t>职业士兵闪避</t>
    <phoneticPr fontId="1" type="noConversion"/>
  </si>
  <si>
    <t>职业士兵命中</t>
    <phoneticPr fontId="1" type="noConversion"/>
  </si>
  <si>
    <t>职业士兵暴伤</t>
    <phoneticPr fontId="1" type="noConversion"/>
  </si>
  <si>
    <t>例：骑将暴击提升</t>
    <phoneticPr fontId="1" type="noConversion"/>
  </si>
  <si>
    <t>副属性为暴击、韧性、闪避、命中，红色藏品的属性仅投放职业加成属性，红色之下藏品的属性仅投放全局加成属性</t>
    <phoneticPr fontId="1" type="noConversion"/>
  </si>
  <si>
    <t>藏品三围加成</t>
    <phoneticPr fontId="1" type="noConversion"/>
  </si>
  <si>
    <t>藏品技能效用加成</t>
    <phoneticPr fontId="1" type="noConversion"/>
  </si>
  <si>
    <t>属性</t>
    <phoneticPr fontId="1" type="noConversion"/>
  </si>
  <si>
    <t>技能效用</t>
    <phoneticPr fontId="1" type="noConversion"/>
  </si>
  <si>
    <t>总计</t>
    <phoneticPr fontId="1" type="noConversion"/>
  </si>
  <si>
    <t>三围</t>
    <phoneticPr fontId="1" type="noConversion"/>
  </si>
  <si>
    <t>求节点封顶</t>
    <phoneticPr fontId="1" type="noConversion"/>
  </si>
  <si>
    <t>战力</t>
    <phoneticPr fontId="1" type="noConversion"/>
  </si>
  <si>
    <t>消耗价值</t>
    <phoneticPr fontId="1" type="noConversion"/>
  </si>
  <si>
    <t>功能开启设定玩家定义等级</t>
    <phoneticPr fontId="1" type="noConversion"/>
  </si>
  <si>
    <t>藏品的常规活动每月开放两期，每期活动持续</t>
    <phoneticPr fontId="1" type="noConversion"/>
  </si>
  <si>
    <t>天</t>
    <phoneticPr fontId="1" type="noConversion"/>
  </si>
  <si>
    <t>1.9.0版本由于未开发专属玩法活动，暂时先用活动副本代替，活动副本每月1号，16号定时开启</t>
    <phoneticPr fontId="1" type="noConversion"/>
  </si>
  <si>
    <t>副本关数</t>
    <phoneticPr fontId="1" type="noConversion"/>
  </si>
  <si>
    <t>副本难度等级</t>
    <phoneticPr fontId="1" type="noConversion"/>
  </si>
  <si>
    <t>各r完成进度</t>
    <phoneticPr fontId="1" type="noConversion"/>
  </si>
  <si>
    <t>阶段奖励</t>
    <phoneticPr fontId="1" type="noConversion"/>
  </si>
  <si>
    <t>紫色藏品宝箱</t>
  </si>
  <si>
    <t>紫色藏品宝箱</t>
    <phoneticPr fontId="1" type="noConversion"/>
  </si>
  <si>
    <t>橙色藏品宝箱</t>
  </si>
  <si>
    <t>橙色藏品宝箱</t>
    <phoneticPr fontId="1" type="noConversion"/>
  </si>
  <si>
    <t>红色藏品宝箱</t>
  </si>
  <si>
    <t>红色藏品宝箱</t>
    <phoneticPr fontId="1" type="noConversion"/>
  </si>
  <si>
    <t>藏品币</t>
  </si>
  <si>
    <t>藏品币</t>
    <phoneticPr fontId="1" type="noConversion"/>
  </si>
  <si>
    <t>黄金</t>
  </si>
  <si>
    <t>黄金</t>
    <phoneticPr fontId="1" type="noConversion"/>
  </si>
  <si>
    <t>累计奖励</t>
    <phoneticPr fontId="1" type="noConversion"/>
  </si>
  <si>
    <t>宝箱产出概率</t>
    <phoneticPr fontId="1" type="noConversion"/>
  </si>
  <si>
    <t>累计收益</t>
    <phoneticPr fontId="1" type="noConversion"/>
  </si>
  <si>
    <t>累计获得藏品</t>
    <phoneticPr fontId="1" type="noConversion"/>
  </si>
  <si>
    <t>累计产出藏品数量</t>
    <phoneticPr fontId="1" type="noConversion"/>
  </si>
  <si>
    <t>真品收集数</t>
  </si>
  <si>
    <t>P(不同橙卡)</t>
  </si>
  <si>
    <t>真品期望次数</t>
  </si>
  <si>
    <t>紫色</t>
    <phoneticPr fontId="1" type="noConversion"/>
  </si>
  <si>
    <t>橙色</t>
    <phoneticPr fontId="1" type="noConversion"/>
  </si>
  <si>
    <t>红色</t>
    <phoneticPr fontId="1" type="noConversion"/>
  </si>
  <si>
    <t>真品概率</t>
    <phoneticPr fontId="1" type="noConversion"/>
  </si>
  <si>
    <t>赝品期望次数</t>
    <phoneticPr fontId="1" type="noConversion"/>
  </si>
  <si>
    <t>汇总</t>
    <phoneticPr fontId="1" type="noConversion"/>
  </si>
  <si>
    <t>累计产出藏品种类数</t>
    <phoneticPr fontId="1" type="noConversion"/>
  </si>
  <si>
    <t>藏品种类数产销</t>
    <phoneticPr fontId="1" type="noConversion"/>
  </si>
  <si>
    <t>后续版本如果出了专属玩法活动，直接占用这一部分奖励</t>
    <phoneticPr fontId="1" type="noConversion"/>
  </si>
  <si>
    <t>付费活动会搭配专属玩法进行，玩法暂时按丝绸之路框架设计</t>
    <phoneticPr fontId="1" type="noConversion"/>
  </si>
  <si>
    <t>橙色路线</t>
    <phoneticPr fontId="1" type="noConversion"/>
  </si>
  <si>
    <t>红色路线</t>
    <phoneticPr fontId="1" type="noConversion"/>
  </si>
  <si>
    <t>黄金购买次数</t>
    <phoneticPr fontId="1" type="noConversion"/>
  </si>
  <si>
    <t>付费购买次数</t>
    <phoneticPr fontId="1" type="noConversion"/>
  </si>
  <si>
    <t>付费活动周期/次</t>
    <phoneticPr fontId="1" type="noConversion"/>
  </si>
  <si>
    <t>礼包中路线价值占比</t>
    <phoneticPr fontId="1" type="noConversion"/>
  </si>
  <si>
    <t>路线奖励设计</t>
    <phoneticPr fontId="1" type="noConversion"/>
  </si>
  <si>
    <t>橙色藏品自选宝箱</t>
    <phoneticPr fontId="1" type="noConversion"/>
  </si>
  <si>
    <t>随机藏品价值</t>
    <phoneticPr fontId="1" type="noConversion"/>
  </si>
  <si>
    <t>指定藏品价值</t>
    <phoneticPr fontId="1" type="noConversion"/>
  </si>
  <si>
    <t>分解藏品币</t>
    <phoneticPr fontId="1" type="noConversion"/>
  </si>
  <si>
    <t>红色藏品自选宝箱</t>
    <phoneticPr fontId="1" type="noConversion"/>
  </si>
  <si>
    <t>藏品种类数</t>
    <phoneticPr fontId="1" type="noConversion"/>
  </si>
  <si>
    <t>宝箱价值</t>
    <phoneticPr fontId="1" type="noConversion"/>
  </si>
  <si>
    <t>紫色藏品自选宝箱</t>
    <phoneticPr fontId="1" type="noConversion"/>
  </si>
  <si>
    <t>藏品币</t>
    <phoneticPr fontId="1" type="noConversion"/>
  </si>
  <si>
    <t>路线总价值</t>
    <phoneticPr fontId="1" type="noConversion"/>
  </si>
  <si>
    <t>藏品币兑换黄金价值</t>
    <phoneticPr fontId="1" type="noConversion"/>
  </si>
  <si>
    <t>=</t>
    <phoneticPr fontId="1" type="noConversion"/>
  </si>
  <si>
    <t>黄金</t>
    <phoneticPr fontId="1" type="noConversion"/>
  </si>
  <si>
    <t>付费礼包价格</t>
    <phoneticPr fontId="1" type="noConversion"/>
  </si>
  <si>
    <t>返利比</t>
    <phoneticPr fontId="1" type="noConversion"/>
  </si>
  <si>
    <t>档位</t>
    <phoneticPr fontId="1" type="noConversion"/>
  </si>
  <si>
    <t>常规</t>
  </si>
  <si>
    <t>节日</t>
  </si>
  <si>
    <t>推送</t>
  </si>
  <si>
    <t>限量</t>
  </si>
  <si>
    <t>礼包返利比</t>
    <phoneticPr fontId="1" type="noConversion"/>
  </si>
  <si>
    <t>礼包中黄金价值</t>
    <phoneticPr fontId="1" type="noConversion"/>
  </si>
  <si>
    <t>礼包中路线价值</t>
    <phoneticPr fontId="1" type="noConversion"/>
  </si>
  <si>
    <t>礼包中藏品币价值</t>
    <phoneticPr fontId="1" type="noConversion"/>
  </si>
  <si>
    <t>实际返利比</t>
    <phoneticPr fontId="1" type="noConversion"/>
  </si>
  <si>
    <t>付费礼包设计</t>
    <phoneticPr fontId="1" type="noConversion"/>
  </si>
  <si>
    <t>黄金购买价格</t>
    <phoneticPr fontId="1" type="noConversion"/>
  </si>
  <si>
    <t>产出藏品</t>
    <phoneticPr fontId="1" type="noConversion"/>
  </si>
  <si>
    <t>产出藏品自选</t>
    <phoneticPr fontId="1" type="noConversion"/>
  </si>
  <si>
    <t>产出藏品币</t>
    <phoneticPr fontId="1" type="noConversion"/>
  </si>
  <si>
    <t>礼包开启天数</t>
    <phoneticPr fontId="1" type="noConversion"/>
  </si>
  <si>
    <t>每期付费活动参与情况</t>
    <phoneticPr fontId="1" type="noConversion"/>
  </si>
  <si>
    <t>橙色路线-礼包</t>
    <phoneticPr fontId="1" type="noConversion"/>
  </si>
  <si>
    <t>橙色路线-黄金</t>
    <phoneticPr fontId="1" type="noConversion"/>
  </si>
  <si>
    <t>红色路线-礼包</t>
    <phoneticPr fontId="1" type="noConversion"/>
  </si>
  <si>
    <t>红色路线-黄金</t>
    <phoneticPr fontId="1" type="noConversion"/>
  </si>
  <si>
    <t>预估充值额度</t>
    <phoneticPr fontId="1" type="noConversion"/>
  </si>
  <si>
    <t>预估15日付费额度</t>
    <phoneticPr fontId="1" type="noConversion"/>
  </si>
  <si>
    <t>付费占比</t>
    <phoneticPr fontId="1" type="noConversion"/>
  </si>
  <si>
    <t>累计产出藏品</t>
    <phoneticPr fontId="1" type="noConversion"/>
  </si>
  <si>
    <t>累计产出藏品自选</t>
    <phoneticPr fontId="1" type="noConversion"/>
  </si>
  <si>
    <t>累计产出藏品币</t>
    <phoneticPr fontId="1" type="noConversion"/>
  </si>
  <si>
    <t>紫</t>
    <phoneticPr fontId="1" type="noConversion"/>
  </si>
  <si>
    <t>紫+</t>
    <phoneticPr fontId="1" type="noConversion"/>
  </si>
  <si>
    <t>橙+藏品数量产出占比</t>
    <phoneticPr fontId="1" type="noConversion"/>
  </si>
  <si>
    <t>红+藏品数量产出占比</t>
    <phoneticPr fontId="1" type="noConversion"/>
  </si>
  <si>
    <t>活动</t>
    <phoneticPr fontId="1" type="noConversion"/>
  </si>
  <si>
    <t>付费</t>
    <phoneticPr fontId="1" type="noConversion"/>
  </si>
  <si>
    <t>橙+藏品种类产出占比</t>
    <phoneticPr fontId="1" type="noConversion"/>
  </si>
  <si>
    <t>红+藏品种类产出占比</t>
    <phoneticPr fontId="1" type="noConversion"/>
  </si>
  <si>
    <t>总计消耗黄金价值</t>
    <phoneticPr fontId="1" type="noConversion"/>
  </si>
  <si>
    <t>藏品币累计消耗</t>
    <phoneticPr fontId="1" type="noConversion"/>
  </si>
  <si>
    <t>藏品币产出</t>
    <phoneticPr fontId="1" type="noConversion"/>
  </si>
  <si>
    <t>产销比</t>
    <phoneticPr fontId="1" type="noConversion"/>
  </si>
  <si>
    <t>调整系数2</t>
    <phoneticPr fontId="1" type="noConversion"/>
  </si>
  <si>
    <t>调整系数1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</si>
  <si>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</si>
  <si>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</si>
  <si>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</si>
  <si>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求节点封顶</t>
  </si>
  <si>
    <t>定义等级</t>
    <phoneticPr fontId="1" type="noConversion"/>
  </si>
  <si>
    <t>定义等级对应黄金产出</t>
    <phoneticPr fontId="1" type="noConversion"/>
  </si>
  <si>
    <t>定义等级对应三围加成</t>
    <phoneticPr fontId="1" type="noConversion"/>
  </si>
  <si>
    <t>定义等级对应技能效用加成</t>
    <phoneticPr fontId="1" type="noConversion"/>
  </si>
  <si>
    <t>0.5%属性加成</t>
    <phoneticPr fontId="1" type="noConversion"/>
  </si>
  <si>
    <t>品质对应实力加成</t>
    <phoneticPr fontId="1" type="noConversion"/>
  </si>
  <si>
    <t>总实力加成</t>
    <phoneticPr fontId="1" type="noConversion"/>
  </si>
  <si>
    <t>累计加成玩家实力</t>
    <phoneticPr fontId="1" type="noConversion"/>
  </si>
  <si>
    <t>三维实力</t>
  </si>
  <si>
    <t>技能效用实力</t>
  </si>
  <si>
    <t>总实力</t>
  </si>
  <si>
    <t>技能效用100%实力</t>
  </si>
  <si>
    <t>每日挑战丝绸之路次数</t>
    <phoneticPr fontId="1" type="noConversion"/>
  </si>
  <si>
    <t>关卡等级</t>
    <phoneticPr fontId="1" type="noConversion"/>
  </si>
  <si>
    <t>难度等级</t>
    <phoneticPr fontId="1" type="noConversion"/>
  </si>
  <si>
    <t>路点奖励</t>
    <phoneticPr fontId="1" type="noConversion"/>
  </si>
  <si>
    <t>通关奖励</t>
    <phoneticPr fontId="1" type="noConversion"/>
  </si>
  <si>
    <t>指定橙色赝品</t>
    <phoneticPr fontId="1" type="noConversion"/>
  </si>
  <si>
    <t>指定紫色赝品</t>
    <phoneticPr fontId="1" type="noConversion"/>
  </si>
  <si>
    <t>丝绸之路产量/活动投放产量</t>
    <phoneticPr fontId="1" type="noConversion"/>
  </si>
  <si>
    <t>三种宝箱权重出一个，红色没开时全投橙色</t>
    <phoneticPr fontId="1" type="noConversion"/>
  </si>
  <si>
    <t>由于奖励模式不一致，丝绸之路不能直接调用活动投放的奖励，需要重新调整奖励分配</t>
    <phoneticPr fontId="1" type="noConversion"/>
  </si>
  <si>
    <t>降低玩家红色藏品的获取效率，提升橙色藏品的获取效率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</si>
</sst>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0_);[Red]\(0.00\)"/>
    <numFmt numFmtId="178" formatCode="0.00_ "/>
  </numFmts>
  <fonts count="1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2"/>
      <scheme val="minor"/>
    </font>
    <font>
      <sz val="9"/>
      <color rgb="FFFF0000"/>
      <name val="宋体"/>
      <family val="2"/>
      <scheme val="minor"/>
    </font>
    <font>
      <sz val="9"/>
      <color theme="0" tint="-0.249977111117893"/>
      <name val="宋体"/>
      <family val="2"/>
      <scheme val="minor"/>
    </font>
    <font>
      <sz val="9"/>
      <color theme="0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/>
  </cellStyleXfs>
  <cellXfs count="102">
    <xf numFmtId="0" fontId="0" fillId="0" borderId="0" xfId="0"/>
    <xf numFmtId="0" fontId="2" fillId="0" borderId="0" xfId="0" applyFont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10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1" fontId="10" fillId="0" borderId="2" xfId="0" applyNumberFormat="1" applyFont="1" applyBorder="1" applyAlignment="1">
      <alignment horizontal="center" vertical="center"/>
    </xf>
    <xf numFmtId="176" fontId="10" fillId="0" borderId="2" xfId="0" applyNumberFormat="1" applyFont="1" applyFill="1" applyBorder="1" applyAlignment="1">
      <alignment horizontal="center" vertical="center"/>
    </xf>
    <xf numFmtId="176" fontId="1" fillId="0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1" fontId="2" fillId="0" borderId="0" xfId="0" applyNumberFormat="1" applyFont="1" applyBorder="1" applyAlignment="1">
      <alignment horizontal="center" vertical="center"/>
    </xf>
    <xf numFmtId="176" fontId="1" fillId="0" borderId="2" xfId="0" applyNumberFormat="1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9" fillId="0" borderId="2" xfId="0" applyFont="1" applyBorder="1" applyAlignment="1">
      <alignment horizontal="center" vertical="center"/>
    </xf>
    <xf numFmtId="1" fontId="9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176" fontId="3" fillId="0" borderId="0" xfId="0" applyNumberFormat="1" applyFont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 wrapText="1"/>
    </xf>
    <xf numFmtId="176" fontId="3" fillId="0" borderId="4" xfId="0" applyNumberFormat="1" applyFont="1" applyBorder="1" applyAlignment="1">
      <alignment horizontal="center" vertical="center" wrapText="1"/>
    </xf>
    <xf numFmtId="176" fontId="3" fillId="0" borderId="2" xfId="0" applyNumberFormat="1" applyFont="1" applyBorder="1" applyAlignment="1">
      <alignment horizontal="center" vertical="center"/>
    </xf>
    <xf numFmtId="176" fontId="3" fillId="0" borderId="0" xfId="0" applyNumberFormat="1" applyFont="1" applyAlignment="1">
      <alignment horizontal="center"/>
    </xf>
    <xf numFmtId="176" fontId="3" fillId="0" borderId="2" xfId="0" applyNumberFormat="1" applyFont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176" fontId="3" fillId="0" borderId="0" xfId="0" applyNumberFormat="1" applyFont="1" applyBorder="1" applyAlignment="1">
      <alignment horizontal="center" vertical="center" wrapText="1"/>
    </xf>
    <xf numFmtId="176" fontId="3" fillId="0" borderId="0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/>
    </xf>
    <xf numFmtId="177" fontId="3" fillId="0" borderId="2" xfId="0" applyNumberFormat="1" applyFont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178" fontId="3" fillId="0" borderId="5" xfId="0" applyNumberFormat="1" applyFont="1" applyBorder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178" fontId="3" fillId="0" borderId="2" xfId="0" applyNumberFormat="1" applyFont="1" applyFill="1" applyBorder="1" applyAlignment="1">
      <alignment horizontal="center" vertical="center"/>
    </xf>
    <xf numFmtId="178" fontId="2" fillId="0" borderId="2" xfId="0" applyNumberFormat="1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/>
    </xf>
    <xf numFmtId="178" fontId="11" fillId="0" borderId="0" xfId="0" applyNumberFormat="1" applyFont="1" applyAlignment="1">
      <alignment horizontal="center" vertical="center"/>
    </xf>
    <xf numFmtId="178" fontId="3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0" xfId="0" applyNumberFormat="1" applyFont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shrinkToFit="1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178" fontId="3" fillId="0" borderId="1" xfId="0" applyNumberFormat="1" applyFont="1" applyBorder="1" applyAlignment="1">
      <alignment horizontal="center" vertical="center"/>
    </xf>
    <xf numFmtId="178" fontId="3" fillId="0" borderId="5" xfId="0" applyNumberFormat="1" applyFont="1" applyBorder="1" applyAlignment="1">
      <alignment horizontal="center" vertical="center"/>
    </xf>
    <xf numFmtId="178" fontId="3" fillId="0" borderId="3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/>
    </xf>
  </cellXfs>
  <cellStyles count="3">
    <cellStyle name="常规" xfId="0" builtinId="0"/>
    <cellStyle name="常规 2" xfId="1" xr:uid="{00000000-0005-0000-0000-000002000000}"/>
    <cellStyle name="超链接 2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1846981627296588"/>
          <c:y val="0.19537037037037036"/>
          <c:w val="0.85853018372703416"/>
          <c:h val="0.715748760571595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实力!$B$7</c:f>
              <c:strCache>
                <c:ptCount val="1"/>
                <c:pt idx="0">
                  <c:v>总实力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实力!$C$7:$H$7</c:f>
              <c:numCache>
                <c:formatCode>General</c:formatCode>
                <c:ptCount val="6"/>
                <c:pt idx="0">
                  <c:v>600</c:v>
                </c:pt>
                <c:pt idx="1">
                  <c:v>2400</c:v>
                </c:pt>
                <c:pt idx="2">
                  <c:v>5300</c:v>
                </c:pt>
                <c:pt idx="3">
                  <c:v>15000</c:v>
                </c:pt>
                <c:pt idx="4">
                  <c:v>31000</c:v>
                </c:pt>
                <c:pt idx="5">
                  <c:v>58000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0F-4163-913A-0EC5516CA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759656"/>
        <c:axId val="527763592"/>
      </c:scatterChart>
      <c:valAx>
        <c:axId val="52775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7763592"/>
        <c:crosses val="autoZero"/>
        <c:crossBetween val="midCat"/>
      </c:valAx>
      <c:valAx>
        <c:axId val="52776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775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1190625</xdr:colOff>
      <xdr:row>15</xdr:row>
      <xdr:rowOff>100012</xdr:rowOff>
    </xdr:from>
    <xdr:to>
      <xdr:col>8</xdr:col>
      <xdr:colOff>419100</xdr:colOff>
      <xdr:row>29</xdr:row>
      <xdr:rowOff>166687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49658F73-A8FA-4D5F-8F31-76D842330B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20184;&#36153;&#31036;&#21253;&#35774;&#35745;&#65288;&#24120;&#35268;&#31036;&#21253;&#6528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  <sheetName val="功能-分享和问卷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R6"/>
        </row>
      </sheetData>
      <sheetData sheetId="6">
        <row r="6">
          <cell r="Y6">
            <v>0.78396012978844121</v>
          </cell>
        </row>
      </sheetData>
      <sheetData sheetId="7">
        <row r="1">
          <cell r="AD1">
            <v>1000</v>
          </cell>
        </row>
      </sheetData>
      <sheetData sheetId="8">
        <row r="6">
          <cell r="H6">
            <v>15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</sheetData>
      <sheetData sheetId="11">
        <row r="5">
          <cell r="AJ5">
            <v>13341</v>
          </cell>
          <cell r="BF5">
            <v>22716</v>
          </cell>
          <cell r="BG5">
            <v>22782</v>
          </cell>
          <cell r="BH5">
            <v>22866</v>
          </cell>
          <cell r="BI5">
            <v>22956</v>
          </cell>
          <cell r="BJ5">
            <v>23034</v>
          </cell>
        </row>
        <row r="6">
          <cell r="BF6">
            <v>27276</v>
          </cell>
          <cell r="BG6">
            <v>27450</v>
          </cell>
          <cell r="BH6">
            <v>27714</v>
          </cell>
          <cell r="BI6">
            <v>28086</v>
          </cell>
          <cell r="BJ6">
            <v>28314</v>
          </cell>
        </row>
        <row r="7">
          <cell r="BF7">
            <v>31857</v>
          </cell>
          <cell r="BG7">
            <v>32166</v>
          </cell>
          <cell r="BH7">
            <v>32676</v>
          </cell>
          <cell r="BI7">
            <v>33426</v>
          </cell>
          <cell r="BJ7">
            <v>33876</v>
          </cell>
        </row>
        <row r="8">
          <cell r="BF8">
            <v>42955.5</v>
          </cell>
          <cell r="BG8">
            <v>43515.5</v>
          </cell>
          <cell r="BH8">
            <v>44464</v>
          </cell>
          <cell r="BI8">
            <v>45860.5</v>
          </cell>
          <cell r="BJ8">
            <v>46704</v>
          </cell>
        </row>
        <row r="9">
          <cell r="BF9">
            <v>56256</v>
          </cell>
          <cell r="BG9">
            <v>57168</v>
          </cell>
          <cell r="BH9">
            <v>58724</v>
          </cell>
          <cell r="BI9">
            <v>61028</v>
          </cell>
          <cell r="BJ9">
            <v>62428</v>
          </cell>
        </row>
        <row r="10">
          <cell r="BF10">
            <v>63984</v>
          </cell>
          <cell r="BG10">
            <v>65212</v>
          </cell>
          <cell r="BH10">
            <v>67324</v>
          </cell>
          <cell r="BI10">
            <v>70456</v>
          </cell>
          <cell r="BJ10">
            <v>72368</v>
          </cell>
        </row>
        <row r="11">
          <cell r="BF11">
            <v>72304</v>
          </cell>
          <cell r="BG11">
            <v>73888</v>
          </cell>
          <cell r="BH11">
            <v>76652</v>
          </cell>
          <cell r="BI11">
            <v>80644</v>
          </cell>
          <cell r="BJ11">
            <v>82920</v>
          </cell>
        </row>
        <row r="12">
          <cell r="BF12">
            <v>81240</v>
          </cell>
          <cell r="BG12">
            <v>83092</v>
          </cell>
          <cell r="BH12">
            <v>86368</v>
          </cell>
          <cell r="BI12">
            <v>91236</v>
          </cell>
          <cell r="BJ12">
            <v>94124</v>
          </cell>
        </row>
        <row r="13">
          <cell r="BF13">
            <v>99413.6</v>
          </cell>
          <cell r="BG13">
            <v>101864.40000000001</v>
          </cell>
          <cell r="BH13">
            <v>106304</v>
          </cell>
          <cell r="BI13">
            <v>112882.00000000001</v>
          </cell>
          <cell r="BJ13">
            <v>116820</v>
          </cell>
        </row>
        <row r="14">
          <cell r="BF14">
            <v>120374.39999999999</v>
          </cell>
          <cell r="BG14">
            <v>123321.59999999999</v>
          </cell>
          <cell r="BH14">
            <v>129148.79999999999</v>
          </cell>
          <cell r="BI14">
            <v>137803.20000000001</v>
          </cell>
          <cell r="BJ14">
            <v>143035.20000000001</v>
          </cell>
        </row>
        <row r="15">
          <cell r="BF15">
            <v>139575</v>
          </cell>
          <cell r="BG15">
            <v>143025</v>
          </cell>
          <cell r="BH15">
            <v>149780</v>
          </cell>
          <cell r="BI15">
            <v>160330</v>
          </cell>
          <cell r="BJ15">
            <v>166520</v>
          </cell>
        </row>
        <row r="16">
          <cell r="BF16">
            <v>151335</v>
          </cell>
          <cell r="BG16">
            <v>155545</v>
          </cell>
          <cell r="BH16">
            <v>162445</v>
          </cell>
          <cell r="BI16">
            <v>174130</v>
          </cell>
          <cell r="BJ16">
            <v>181420</v>
          </cell>
        </row>
        <row r="17">
          <cell r="BF17">
            <v>163705</v>
          </cell>
          <cell r="BG17">
            <v>168280</v>
          </cell>
          <cell r="BH17">
            <v>176240</v>
          </cell>
          <cell r="BI17">
            <v>188405</v>
          </cell>
          <cell r="BJ17">
            <v>196955</v>
          </cell>
        </row>
        <row r="18">
          <cell r="BF18">
            <v>176570</v>
          </cell>
          <cell r="BG18">
            <v>181520</v>
          </cell>
          <cell r="BH18">
            <v>189810</v>
          </cell>
          <cell r="BI18">
            <v>203045</v>
          </cell>
          <cell r="BJ18">
            <v>212530</v>
          </cell>
        </row>
        <row r="19">
          <cell r="BF19">
            <v>189960</v>
          </cell>
          <cell r="BG19">
            <v>195240</v>
          </cell>
          <cell r="BH19">
            <v>204085</v>
          </cell>
          <cell r="BI19">
            <v>218170</v>
          </cell>
          <cell r="BJ19">
            <v>229965</v>
          </cell>
        </row>
        <row r="20">
          <cell r="BF20">
            <v>216112.8</v>
          </cell>
          <cell r="BG20">
            <v>222080.59999999998</v>
          </cell>
          <cell r="BH20">
            <v>231901.5</v>
          </cell>
          <cell r="BI20">
            <v>249656.5</v>
          </cell>
          <cell r="BJ20">
            <v>262482.5</v>
          </cell>
        </row>
        <row r="21">
          <cell r="BF21">
            <v>244473.59999999998</v>
          </cell>
          <cell r="BG21">
            <v>251126.39999999997</v>
          </cell>
          <cell r="BH21">
            <v>263060</v>
          </cell>
          <cell r="BI21">
            <v>282436</v>
          </cell>
          <cell r="BJ21">
            <v>297242.39999999997</v>
          </cell>
        </row>
        <row r="22">
          <cell r="BF22">
            <v>275299.90000000002</v>
          </cell>
          <cell r="BG22">
            <v>283831.30000000005</v>
          </cell>
          <cell r="BH22">
            <v>296427.80000000005</v>
          </cell>
          <cell r="BI22">
            <v>318216.5</v>
          </cell>
          <cell r="BJ22">
            <v>335249.80000000005</v>
          </cell>
        </row>
        <row r="23">
          <cell r="BF23">
            <v>299772</v>
          </cell>
          <cell r="BG23">
            <v>308118</v>
          </cell>
          <cell r="BH23">
            <v>321666</v>
          </cell>
          <cell r="BI23">
            <v>345120</v>
          </cell>
          <cell r="BJ23">
            <v>364074</v>
          </cell>
        </row>
        <row r="24">
          <cell r="BF24">
            <v>319686</v>
          </cell>
          <cell r="BG24">
            <v>327474</v>
          </cell>
          <cell r="BH24">
            <v>341910</v>
          </cell>
          <cell r="BI24">
            <v>365976</v>
          </cell>
          <cell r="BJ24">
            <v>386118</v>
          </cell>
        </row>
        <row r="25">
          <cell r="BF25">
            <v>339636</v>
          </cell>
          <cell r="BG25">
            <v>348258</v>
          </cell>
          <cell r="BH25">
            <v>363978</v>
          </cell>
          <cell r="BI25">
            <v>389910</v>
          </cell>
          <cell r="BJ25">
            <v>411870</v>
          </cell>
        </row>
        <row r="26">
          <cell r="BF26">
            <v>360222</v>
          </cell>
          <cell r="BG26">
            <v>369666</v>
          </cell>
          <cell r="BH26">
            <v>386538</v>
          </cell>
          <cell r="BI26">
            <v>414318</v>
          </cell>
          <cell r="BJ26">
            <v>439956</v>
          </cell>
        </row>
        <row r="27">
          <cell r="BF27">
            <v>381264</v>
          </cell>
          <cell r="BG27">
            <v>391674</v>
          </cell>
          <cell r="BH27">
            <v>409326</v>
          </cell>
          <cell r="BI27">
            <v>439428</v>
          </cell>
          <cell r="BJ27">
            <v>468192</v>
          </cell>
        </row>
        <row r="28">
          <cell r="BF28">
            <v>402726</v>
          </cell>
          <cell r="BG28">
            <v>414024</v>
          </cell>
          <cell r="BH28">
            <v>433044</v>
          </cell>
          <cell r="BI28">
            <v>466230</v>
          </cell>
          <cell r="BJ28">
            <v>497856</v>
          </cell>
        </row>
        <row r="29">
          <cell r="BF29">
            <v>424542</v>
          </cell>
          <cell r="BG29">
            <v>436890</v>
          </cell>
          <cell r="BH29">
            <v>458004</v>
          </cell>
          <cell r="BI29">
            <v>494154</v>
          </cell>
          <cell r="BJ29">
            <v>528090</v>
          </cell>
        </row>
        <row r="30">
          <cell r="BF30">
            <v>446916</v>
          </cell>
          <cell r="BG30">
            <v>460956</v>
          </cell>
          <cell r="BH30">
            <v>484104</v>
          </cell>
          <cell r="BI30">
            <v>522564</v>
          </cell>
          <cell r="BJ30">
            <v>559548</v>
          </cell>
        </row>
        <row r="31">
          <cell r="BF31">
            <v>470418</v>
          </cell>
          <cell r="BG31">
            <v>486222</v>
          </cell>
          <cell r="BH31">
            <v>510864</v>
          </cell>
          <cell r="BI31">
            <v>552060</v>
          </cell>
          <cell r="BJ31">
            <v>591858</v>
          </cell>
        </row>
        <row r="32">
          <cell r="BF32">
            <v>495072</v>
          </cell>
          <cell r="BG32">
            <v>513486</v>
          </cell>
          <cell r="BH32">
            <v>540870</v>
          </cell>
          <cell r="BI32">
            <v>592788</v>
          </cell>
          <cell r="BJ32">
            <v>639876</v>
          </cell>
        </row>
        <row r="33">
          <cell r="BF33">
            <v>524136</v>
          </cell>
          <cell r="BG33">
            <v>546504</v>
          </cell>
          <cell r="BH33">
            <v>580836</v>
          </cell>
          <cell r="BI33">
            <v>641064</v>
          </cell>
          <cell r="BJ33">
            <v>692844</v>
          </cell>
        </row>
        <row r="34">
          <cell r="BF34">
            <v>554232</v>
          </cell>
          <cell r="BG34">
            <v>580752</v>
          </cell>
          <cell r="BH34">
            <v>622416</v>
          </cell>
          <cell r="BI34">
            <v>691548</v>
          </cell>
          <cell r="BJ34">
            <v>748668</v>
          </cell>
        </row>
        <row r="35">
          <cell r="BF35">
            <v>590184</v>
          </cell>
          <cell r="BG35">
            <v>621192</v>
          </cell>
          <cell r="BH35">
            <v>671202</v>
          </cell>
          <cell r="BI35">
            <v>750420</v>
          </cell>
          <cell r="BJ35">
            <v>813120</v>
          </cell>
        </row>
        <row r="36">
          <cell r="BF36">
            <v>627360</v>
          </cell>
          <cell r="BG36">
            <v>663546</v>
          </cell>
          <cell r="BH36">
            <v>722364</v>
          </cell>
          <cell r="BI36">
            <v>812550</v>
          </cell>
          <cell r="BJ36">
            <v>881466</v>
          </cell>
        </row>
        <row r="37">
          <cell r="BF37">
            <v>666216</v>
          </cell>
          <cell r="BG37">
            <v>707448</v>
          </cell>
          <cell r="BH37">
            <v>776118</v>
          </cell>
          <cell r="BI37">
            <v>878016</v>
          </cell>
          <cell r="BJ37">
            <v>952974</v>
          </cell>
        </row>
        <row r="38">
          <cell r="BF38">
            <v>706434</v>
          </cell>
          <cell r="BG38">
            <v>753570</v>
          </cell>
          <cell r="BH38">
            <v>832476</v>
          </cell>
          <cell r="BI38">
            <v>942594</v>
          </cell>
          <cell r="BJ38">
            <v>1019580</v>
          </cell>
        </row>
        <row r="39">
          <cell r="BF39">
            <v>752082</v>
          </cell>
          <cell r="BG39">
            <v>802908</v>
          </cell>
          <cell r="BH39">
            <v>883836</v>
          </cell>
          <cell r="BI39">
            <v>1000482</v>
          </cell>
          <cell r="BJ39">
            <v>1082262</v>
          </cell>
        </row>
        <row r="40">
          <cell r="BF40">
            <v>804888</v>
          </cell>
          <cell r="BG40">
            <v>855180</v>
          </cell>
          <cell r="BH40">
            <v>934506</v>
          </cell>
          <cell r="BI40">
            <v>1060482</v>
          </cell>
          <cell r="BJ40">
            <v>1146834</v>
          </cell>
        </row>
        <row r="41">
          <cell r="BF41">
            <v>860058</v>
          </cell>
          <cell r="BG41">
            <v>909258</v>
          </cell>
          <cell r="BH41">
            <v>987078</v>
          </cell>
          <cell r="BI41">
            <v>1121976</v>
          </cell>
          <cell r="BJ41">
            <v>1214364</v>
          </cell>
        </row>
        <row r="42">
          <cell r="BF42">
            <v>917460</v>
          </cell>
          <cell r="BG42">
            <v>965472</v>
          </cell>
          <cell r="BH42">
            <v>1041144</v>
          </cell>
          <cell r="BI42">
            <v>1185966</v>
          </cell>
          <cell r="BJ42">
            <v>1284528</v>
          </cell>
        </row>
        <row r="43">
          <cell r="BF43">
            <v>977358</v>
          </cell>
          <cell r="BG43">
            <v>1023654</v>
          </cell>
          <cell r="BH43">
            <v>1097184</v>
          </cell>
          <cell r="BI43">
            <v>1252716</v>
          </cell>
          <cell r="BJ43">
            <v>1357716</v>
          </cell>
        </row>
        <row r="44">
          <cell r="BF44">
            <v>1039956</v>
          </cell>
          <cell r="BG44">
            <v>1080510</v>
          </cell>
          <cell r="BH44">
            <v>1154922</v>
          </cell>
          <cell r="BI44">
            <v>1323294</v>
          </cell>
          <cell r="BJ44">
            <v>1434768</v>
          </cell>
        </row>
        <row r="45">
          <cell r="BF45">
            <v>1083990</v>
          </cell>
          <cell r="BG45">
            <v>1123992</v>
          </cell>
          <cell r="BH45">
            <v>1204488</v>
          </cell>
          <cell r="BI45">
            <v>1386138</v>
          </cell>
          <cell r="BJ45">
            <v>1504656</v>
          </cell>
        </row>
        <row r="46">
          <cell r="BF46">
            <v>1129710</v>
          </cell>
          <cell r="BG46">
            <v>1169460</v>
          </cell>
          <cell r="BH46">
            <v>1255398</v>
          </cell>
          <cell r="BI46">
            <v>1451814</v>
          </cell>
          <cell r="BJ46">
            <v>1576116</v>
          </cell>
        </row>
        <row r="47">
          <cell r="BF47">
            <v>1177194</v>
          </cell>
          <cell r="BG47">
            <v>1218108</v>
          </cell>
          <cell r="BH47">
            <v>1307406</v>
          </cell>
          <cell r="BI47">
            <v>1519506</v>
          </cell>
          <cell r="BJ47">
            <v>1651386</v>
          </cell>
        </row>
        <row r="48">
          <cell r="BF48">
            <v>1226382</v>
          </cell>
          <cell r="BG48">
            <v>1268790</v>
          </cell>
          <cell r="BH48">
            <v>1362888</v>
          </cell>
          <cell r="BI48">
            <v>1591950</v>
          </cell>
          <cell r="BJ48">
            <v>1727340</v>
          </cell>
        </row>
        <row r="49">
          <cell r="BF49">
            <v>1276404</v>
          </cell>
          <cell r="BG49">
            <v>1322472</v>
          </cell>
          <cell r="BH49">
            <v>1422756</v>
          </cell>
          <cell r="BI49">
            <v>1665660</v>
          </cell>
          <cell r="BJ49">
            <v>1805226</v>
          </cell>
        </row>
        <row r="50">
          <cell r="BF50">
            <v>1328442</v>
          </cell>
          <cell r="BG50">
            <v>1377858</v>
          </cell>
          <cell r="BH50">
            <v>1486728</v>
          </cell>
          <cell r="BI50">
            <v>1738350</v>
          </cell>
          <cell r="BJ50">
            <v>1884918</v>
          </cell>
        </row>
        <row r="51">
          <cell r="BF51">
            <v>1382172</v>
          </cell>
          <cell r="BG51">
            <v>1435038</v>
          </cell>
          <cell r="BH51">
            <v>1550148</v>
          </cell>
          <cell r="BI51">
            <v>1813302</v>
          </cell>
          <cell r="BJ51">
            <v>1966938</v>
          </cell>
        </row>
        <row r="52">
          <cell r="BF52">
            <v>1438056</v>
          </cell>
          <cell r="BG52">
            <v>1492830</v>
          </cell>
          <cell r="BH52">
            <v>1614942</v>
          </cell>
          <cell r="BI52">
            <v>1889850</v>
          </cell>
          <cell r="BJ52">
            <v>2051340</v>
          </cell>
        </row>
        <row r="53">
          <cell r="BF53">
            <v>1495404</v>
          </cell>
          <cell r="BG53">
            <v>1550610</v>
          </cell>
          <cell r="BH53">
            <v>1681242</v>
          </cell>
          <cell r="BI53">
            <v>1994556</v>
          </cell>
          <cell r="BJ53">
            <v>2137476</v>
          </cell>
        </row>
        <row r="54">
          <cell r="BF54">
            <v>1554810</v>
          </cell>
          <cell r="BG54">
            <v>1615872</v>
          </cell>
          <cell r="BH54">
            <v>1791768</v>
          </cell>
          <cell r="BI54">
            <v>2076912</v>
          </cell>
          <cell r="BJ54">
            <v>2226168</v>
          </cell>
        </row>
        <row r="55">
          <cell r="BF55">
            <v>1630014</v>
          </cell>
          <cell r="BG55">
            <v>1694178</v>
          </cell>
          <cell r="BH55">
            <v>1928148</v>
          </cell>
          <cell r="BI55">
            <v>2182542</v>
          </cell>
          <cell r="BJ55">
            <v>2346540</v>
          </cell>
        </row>
        <row r="56">
          <cell r="BF56">
            <v>1707486</v>
          </cell>
          <cell r="BG56">
            <v>1776780</v>
          </cell>
          <cell r="BH56">
            <v>2069394</v>
          </cell>
          <cell r="BI56">
            <v>2292270</v>
          </cell>
          <cell r="BJ56">
            <v>2471412</v>
          </cell>
        </row>
        <row r="57">
          <cell r="BF57">
            <v>1787772</v>
          </cell>
          <cell r="BG57">
            <v>1862490</v>
          </cell>
          <cell r="BH57">
            <v>2216058</v>
          </cell>
          <cell r="BI57">
            <v>2407830</v>
          </cell>
          <cell r="BJ57">
            <v>2599458</v>
          </cell>
        </row>
        <row r="58">
          <cell r="BF58">
            <v>1872696</v>
          </cell>
          <cell r="BG58">
            <v>1955484</v>
          </cell>
          <cell r="BH58">
            <v>2303316</v>
          </cell>
          <cell r="BI58">
            <v>2537130</v>
          </cell>
          <cell r="BJ58">
            <v>2730582</v>
          </cell>
        </row>
        <row r="59">
          <cell r="BF59">
            <v>1963668</v>
          </cell>
          <cell r="BG59">
            <v>2052402</v>
          </cell>
          <cell r="BH59">
            <v>2378004</v>
          </cell>
          <cell r="BI59">
            <v>2670438</v>
          </cell>
          <cell r="BJ59">
            <v>2867016</v>
          </cell>
        </row>
        <row r="60">
          <cell r="BF60">
            <v>2059608</v>
          </cell>
          <cell r="BG60">
            <v>2152062</v>
          </cell>
          <cell r="BH60">
            <v>2454306</v>
          </cell>
          <cell r="BI60">
            <v>2808192</v>
          </cell>
          <cell r="BJ60">
            <v>3007662</v>
          </cell>
        </row>
        <row r="61">
          <cell r="BF61">
            <v>2158614</v>
          </cell>
          <cell r="BG61">
            <v>2255322</v>
          </cell>
          <cell r="BH61">
            <v>2532810</v>
          </cell>
          <cell r="BI61">
            <v>2951220</v>
          </cell>
          <cell r="BJ61">
            <v>3153324</v>
          </cell>
        </row>
        <row r="62">
          <cell r="BF62">
            <v>2261250</v>
          </cell>
          <cell r="BG62">
            <v>2361006</v>
          </cell>
          <cell r="BH62">
            <v>2614206</v>
          </cell>
          <cell r="BI62">
            <v>3100434</v>
          </cell>
          <cell r="BJ62">
            <v>3395928</v>
          </cell>
        </row>
        <row r="63">
          <cell r="BF63">
            <v>2366742</v>
          </cell>
          <cell r="BG63">
            <v>2470260</v>
          </cell>
          <cell r="BH63">
            <v>2698734</v>
          </cell>
          <cell r="BI63">
            <v>3257340</v>
          </cell>
          <cell r="BJ63">
            <v>3562044</v>
          </cell>
        </row>
        <row r="64">
          <cell r="BF64">
            <v>2490414</v>
          </cell>
          <cell r="BG64">
            <v>2630544</v>
          </cell>
          <cell r="BH64">
            <v>2868030</v>
          </cell>
          <cell r="BI64">
            <v>3475218</v>
          </cell>
          <cell r="BJ64">
            <v>3796824</v>
          </cell>
        </row>
        <row r="65">
          <cell r="BF65">
            <v>2642196</v>
          </cell>
          <cell r="BG65">
            <v>2823774</v>
          </cell>
          <cell r="BH65">
            <v>3085332</v>
          </cell>
          <cell r="BI65">
            <v>3732240</v>
          </cell>
          <cell r="BJ65">
            <v>4058118</v>
          </cell>
        </row>
        <row r="66">
          <cell r="BF66">
            <v>2800536</v>
          </cell>
          <cell r="BG66">
            <v>3022926</v>
          </cell>
          <cell r="BH66">
            <v>3313938</v>
          </cell>
          <cell r="BI66">
            <v>4001838</v>
          </cell>
          <cell r="BJ66">
            <v>4331904</v>
          </cell>
        </row>
        <row r="67">
          <cell r="BF67">
            <v>2964798</v>
          </cell>
          <cell r="BG67">
            <v>3231210</v>
          </cell>
          <cell r="BH67">
            <v>3553128</v>
          </cell>
          <cell r="BI67">
            <v>4285242</v>
          </cell>
          <cell r="BJ67">
            <v>4617648</v>
          </cell>
        </row>
        <row r="68">
          <cell r="BF68">
            <v>3136764</v>
          </cell>
          <cell r="BG68">
            <v>3447708</v>
          </cell>
          <cell r="BH68">
            <v>3805398</v>
          </cell>
          <cell r="BI68">
            <v>4581732</v>
          </cell>
          <cell r="BJ68">
            <v>4913484</v>
          </cell>
        </row>
        <row r="69">
          <cell r="BF69">
            <v>3316092</v>
          </cell>
          <cell r="BG69">
            <v>3676338</v>
          </cell>
          <cell r="BH69">
            <v>4072902</v>
          </cell>
          <cell r="BI69">
            <v>4884288</v>
          </cell>
          <cell r="BJ69">
            <v>5212716</v>
          </cell>
        </row>
        <row r="70">
          <cell r="BF70">
            <v>3489840</v>
          </cell>
          <cell r="BG70">
            <v>3907932</v>
          </cell>
          <cell r="BH70">
            <v>4345710</v>
          </cell>
          <cell r="BI70">
            <v>5184936</v>
          </cell>
          <cell r="BJ70">
            <v>5526288</v>
          </cell>
        </row>
        <row r="71">
          <cell r="BF71">
            <v>3669258</v>
          </cell>
          <cell r="BG71">
            <v>4149894</v>
          </cell>
          <cell r="BH71">
            <v>4624320</v>
          </cell>
          <cell r="BI71">
            <v>5500842</v>
          </cell>
          <cell r="BJ71">
            <v>5860674</v>
          </cell>
        </row>
        <row r="72">
          <cell r="BF72">
            <v>3853356</v>
          </cell>
          <cell r="BG72">
            <v>4399938</v>
          </cell>
          <cell r="BH72">
            <v>4913328</v>
          </cell>
          <cell r="BI72">
            <v>5844066</v>
          </cell>
          <cell r="BJ72">
            <v>6220290</v>
          </cell>
        </row>
        <row r="73">
          <cell r="BF73">
            <v>4043166</v>
          </cell>
          <cell r="BG73">
            <v>4658892</v>
          </cell>
          <cell r="BH73">
            <v>5224170</v>
          </cell>
          <cell r="BI73">
            <v>6195210</v>
          </cell>
          <cell r="BJ73">
            <v>6597648</v>
          </cell>
        </row>
        <row r="74">
          <cell r="BF74">
            <v>4260048</v>
          </cell>
          <cell r="BG74">
            <v>4960356</v>
          </cell>
          <cell r="BH74">
            <v>5670456</v>
          </cell>
          <cell r="BI74">
            <v>6767100</v>
          </cell>
          <cell r="BJ74">
            <v>7085184</v>
          </cell>
        </row>
        <row r="75">
          <cell r="BF75">
            <v>4510182</v>
          </cell>
          <cell r="BG75">
            <v>5254344</v>
          </cell>
          <cell r="BH75">
            <v>5976282</v>
          </cell>
          <cell r="BI75">
            <v>7156476</v>
          </cell>
          <cell r="BJ75">
            <v>7512150</v>
          </cell>
        </row>
        <row r="76">
          <cell r="BF76">
            <v>4781742</v>
          </cell>
          <cell r="BG76">
            <v>5563848</v>
          </cell>
          <cell r="BH76">
            <v>6295554</v>
          </cell>
          <cell r="BI76">
            <v>7571568</v>
          </cell>
          <cell r="BJ76">
            <v>7977000</v>
          </cell>
        </row>
        <row r="77">
          <cell r="BF77">
            <v>5070846</v>
          </cell>
          <cell r="BG77">
            <v>5879160</v>
          </cell>
          <cell r="BH77">
            <v>6644778</v>
          </cell>
          <cell r="BI77">
            <v>8077662</v>
          </cell>
          <cell r="BJ77">
            <v>8507952</v>
          </cell>
        </row>
        <row r="78">
          <cell r="BF78">
            <v>5375628</v>
          </cell>
          <cell r="BG78">
            <v>6209016</v>
          </cell>
          <cell r="BH78">
            <v>7020798</v>
          </cell>
          <cell r="BI78">
            <v>8618682</v>
          </cell>
          <cell r="BJ78">
            <v>9108474</v>
          </cell>
        </row>
        <row r="79">
          <cell r="BF79">
            <v>5699256</v>
          </cell>
          <cell r="BG79">
            <v>6577158</v>
          </cell>
          <cell r="BH79">
            <v>7429542</v>
          </cell>
          <cell r="BI79">
            <v>9191712</v>
          </cell>
          <cell r="BJ79">
            <v>9743712</v>
          </cell>
        </row>
        <row r="80">
          <cell r="BF80">
            <v>6075402</v>
          </cell>
          <cell r="BG80">
            <v>6981126</v>
          </cell>
          <cell r="BH80">
            <v>7883688</v>
          </cell>
          <cell r="BI80">
            <v>9796842</v>
          </cell>
          <cell r="BJ80">
            <v>10449306</v>
          </cell>
        </row>
        <row r="81">
          <cell r="BF81">
            <v>6475530</v>
          </cell>
          <cell r="BG81">
            <v>7407126</v>
          </cell>
          <cell r="BH81">
            <v>8366514</v>
          </cell>
          <cell r="BI81">
            <v>10424136</v>
          </cell>
          <cell r="BJ81">
            <v>11183118</v>
          </cell>
        </row>
        <row r="82">
          <cell r="BF82">
            <v>6837246</v>
          </cell>
          <cell r="BG82">
            <v>7815510</v>
          </cell>
          <cell r="BH82">
            <v>8852100</v>
          </cell>
          <cell r="BI82">
            <v>11092050</v>
          </cell>
          <cell r="BJ82">
            <v>11898732</v>
          </cell>
        </row>
        <row r="83">
          <cell r="BF83">
            <v>7206294</v>
          </cell>
          <cell r="BG83">
            <v>8283150</v>
          </cell>
          <cell r="BH83">
            <v>9352434</v>
          </cell>
          <cell r="BI83">
            <v>11790144</v>
          </cell>
          <cell r="BJ83">
            <v>12651816</v>
          </cell>
        </row>
        <row r="84">
          <cell r="BF84">
            <v>7591818</v>
          </cell>
          <cell r="BG84">
            <v>8793300</v>
          </cell>
          <cell r="BH84">
            <v>9867750</v>
          </cell>
          <cell r="BI84">
            <v>12527832</v>
          </cell>
          <cell r="BJ84">
            <v>13460526</v>
          </cell>
        </row>
        <row r="85">
          <cell r="BF85">
            <v>7998912</v>
          </cell>
          <cell r="BG85">
            <v>9374640</v>
          </cell>
          <cell r="BH85">
            <v>10450206</v>
          </cell>
          <cell r="BI85">
            <v>13491456</v>
          </cell>
          <cell r="BJ85">
            <v>14500794</v>
          </cell>
        </row>
        <row r="86">
          <cell r="BF86">
            <v>8473962</v>
          </cell>
          <cell r="BG86">
            <v>9940014</v>
          </cell>
          <cell r="BH86">
            <v>11067426</v>
          </cell>
          <cell r="BI86">
            <v>14520438</v>
          </cell>
          <cell r="BJ86">
            <v>15569310</v>
          </cell>
        </row>
        <row r="87">
          <cell r="BF87">
            <v>8962314</v>
          </cell>
          <cell r="BG87">
            <v>10490964</v>
          </cell>
          <cell r="BH87">
            <v>11759286</v>
          </cell>
          <cell r="BI87">
            <v>15579732</v>
          </cell>
          <cell r="BJ87">
            <v>16522008</v>
          </cell>
        </row>
        <row r="88">
          <cell r="BF88">
            <v>9470388</v>
          </cell>
          <cell r="BG88">
            <v>11081778</v>
          </cell>
          <cell r="BH88">
            <v>12496626</v>
          </cell>
          <cell r="BI88">
            <v>16675014</v>
          </cell>
          <cell r="BJ88">
            <v>17589486</v>
          </cell>
        </row>
        <row r="89">
          <cell r="BF89">
            <v>9947994</v>
          </cell>
          <cell r="BG89">
            <v>11742942</v>
          </cell>
          <cell r="BH89">
            <v>13311852</v>
          </cell>
          <cell r="BI89">
            <v>17662194</v>
          </cell>
          <cell r="BJ89">
            <v>18698364</v>
          </cell>
        </row>
        <row r="90">
          <cell r="BF90">
            <v>10503738</v>
          </cell>
          <cell r="BG90">
            <v>12486912</v>
          </cell>
          <cell r="BH90">
            <v>14185926</v>
          </cell>
          <cell r="BI90">
            <v>18664938</v>
          </cell>
          <cell r="BJ90">
            <v>19665288</v>
          </cell>
        </row>
        <row r="91">
          <cell r="BF91">
            <v>11122080</v>
          </cell>
          <cell r="BG91">
            <v>13262310</v>
          </cell>
          <cell r="BH91">
            <v>15057924</v>
          </cell>
          <cell r="BI91">
            <v>19678122</v>
          </cell>
          <cell r="BJ91">
            <v>20700282</v>
          </cell>
        </row>
        <row r="92">
          <cell r="BF92">
            <v>11679168</v>
          </cell>
          <cell r="BG92">
            <v>14063940</v>
          </cell>
          <cell r="BH92">
            <v>15989436</v>
          </cell>
          <cell r="BI92">
            <v>20694960</v>
          </cell>
          <cell r="BJ92">
            <v>21716076</v>
          </cell>
        </row>
        <row r="93">
          <cell r="BF93">
            <v>12159522</v>
          </cell>
          <cell r="BG93">
            <v>14800722</v>
          </cell>
          <cell r="BH93">
            <v>16941942</v>
          </cell>
          <cell r="BI93">
            <v>21744762</v>
          </cell>
          <cell r="BJ93">
            <v>22696080</v>
          </cell>
        </row>
        <row r="94">
          <cell r="BF94">
            <v>12616074</v>
          </cell>
          <cell r="BG94">
            <v>15503874</v>
          </cell>
          <cell r="BH94">
            <v>18005070</v>
          </cell>
          <cell r="BI94">
            <v>22780392</v>
          </cell>
          <cell r="BJ94">
            <v>23732160</v>
          </cell>
        </row>
        <row r="95">
          <cell r="BF95">
            <v>13100052</v>
          </cell>
          <cell r="BG95">
            <v>16326048</v>
          </cell>
          <cell r="BH95">
            <v>18893484</v>
          </cell>
          <cell r="BI95">
            <v>23760276</v>
          </cell>
          <cell r="BJ95">
            <v>24821616</v>
          </cell>
        </row>
        <row r="96">
          <cell r="BF96">
            <v>13656246</v>
          </cell>
          <cell r="BG96">
            <v>17131674</v>
          </cell>
          <cell r="BH96">
            <v>19715808</v>
          </cell>
          <cell r="BI96">
            <v>24802782</v>
          </cell>
          <cell r="BJ96">
            <v>25859334</v>
          </cell>
        </row>
        <row r="97">
          <cell r="BF97">
            <v>14197410</v>
          </cell>
          <cell r="BG97">
            <v>17953662</v>
          </cell>
          <cell r="BH97">
            <v>20587878</v>
          </cell>
          <cell r="BI97">
            <v>25890600</v>
          </cell>
          <cell r="BJ97">
            <v>26910522</v>
          </cell>
        </row>
        <row r="98">
          <cell r="BF98">
            <v>14731860</v>
          </cell>
          <cell r="BG98">
            <v>18714858</v>
          </cell>
          <cell r="BH98">
            <v>21530886</v>
          </cell>
          <cell r="BI98">
            <v>26996544</v>
          </cell>
          <cell r="BJ98">
            <v>27983832</v>
          </cell>
        </row>
        <row r="99">
          <cell r="BF99">
            <v>15294642</v>
          </cell>
          <cell r="BG99">
            <v>19516122</v>
          </cell>
          <cell r="BH99">
            <v>22450212</v>
          </cell>
          <cell r="BI99">
            <v>27991794</v>
          </cell>
          <cell r="BJ99">
            <v>29108670</v>
          </cell>
        </row>
        <row r="100">
          <cell r="BF100">
            <v>15897222</v>
          </cell>
          <cell r="BG100">
            <v>20473518</v>
          </cell>
          <cell r="BH100">
            <v>23320272</v>
          </cell>
          <cell r="BI100">
            <v>29063004</v>
          </cell>
          <cell r="BJ100">
            <v>30279324</v>
          </cell>
        </row>
        <row r="101">
          <cell r="BF101">
            <v>16567974</v>
          </cell>
          <cell r="BG101">
            <v>21220404</v>
          </cell>
          <cell r="BH101">
            <v>24256206</v>
          </cell>
          <cell r="BI101">
            <v>30195174</v>
          </cell>
          <cell r="BJ101">
            <v>31511208</v>
          </cell>
        </row>
        <row r="102">
          <cell r="BF102">
            <v>17170146</v>
          </cell>
          <cell r="BG102">
            <v>21927630</v>
          </cell>
          <cell r="BH102">
            <v>25229964</v>
          </cell>
          <cell r="BI102">
            <v>31332024</v>
          </cell>
          <cell r="BJ102">
            <v>32779164</v>
          </cell>
        </row>
        <row r="103">
          <cell r="BF103">
            <v>17823042</v>
          </cell>
          <cell r="BG103">
            <v>22660758</v>
          </cell>
          <cell r="BH103">
            <v>26231892</v>
          </cell>
          <cell r="BI103">
            <v>32496552</v>
          </cell>
          <cell r="BJ103">
            <v>33886782</v>
          </cell>
        </row>
        <row r="104">
          <cell r="BF104">
            <v>18506772</v>
          </cell>
          <cell r="BG104">
            <v>23414310</v>
          </cell>
          <cell r="BH104">
            <v>27260196</v>
          </cell>
          <cell r="BI104">
            <v>33675408</v>
          </cell>
          <cell r="BJ104">
            <v>35022594</v>
          </cell>
        </row>
        <row r="105">
          <cell r="BF105">
            <v>19252938</v>
          </cell>
          <cell r="BG105">
            <v>24234468</v>
          </cell>
          <cell r="BH105">
            <v>28194312</v>
          </cell>
          <cell r="BI105">
            <v>34514820</v>
          </cell>
          <cell r="BJ105">
            <v>35839044</v>
          </cell>
        </row>
        <row r="106">
          <cell r="BF106">
            <v>19991094</v>
          </cell>
          <cell r="BG106">
            <v>25076274</v>
          </cell>
          <cell r="BH106">
            <v>29140740</v>
          </cell>
          <cell r="BI106">
            <v>35381760</v>
          </cell>
          <cell r="BJ106">
            <v>36679266</v>
          </cell>
        </row>
        <row r="107">
          <cell r="BF107">
            <v>20752038</v>
          </cell>
          <cell r="BG107">
            <v>25941888</v>
          </cell>
          <cell r="BH107">
            <v>30129378</v>
          </cell>
          <cell r="BI107">
            <v>36282246</v>
          </cell>
          <cell r="BJ107">
            <v>37557378</v>
          </cell>
        </row>
        <row r="108">
          <cell r="BF108">
            <v>21533604</v>
          </cell>
          <cell r="BG108">
            <v>26774538</v>
          </cell>
          <cell r="BH108">
            <v>31162236</v>
          </cell>
          <cell r="BI108">
            <v>37234152</v>
          </cell>
          <cell r="BJ108">
            <v>38464338</v>
          </cell>
        </row>
        <row r="109">
          <cell r="BF109">
            <v>22276314</v>
          </cell>
          <cell r="BG109">
            <v>27616176</v>
          </cell>
          <cell r="BH109">
            <v>32235042</v>
          </cell>
          <cell r="BI109">
            <v>38197164</v>
          </cell>
          <cell r="BJ109">
            <v>39410628</v>
          </cell>
        </row>
        <row r="110">
          <cell r="BF110">
            <v>23036070</v>
          </cell>
          <cell r="BG110">
            <v>28512012</v>
          </cell>
          <cell r="BH110">
            <v>33223680</v>
          </cell>
          <cell r="BI110">
            <v>39214986</v>
          </cell>
          <cell r="BJ110">
            <v>40279830</v>
          </cell>
        </row>
        <row r="111">
          <cell r="BF111">
            <v>23827356</v>
          </cell>
          <cell r="BG111">
            <v>29425776</v>
          </cell>
          <cell r="BH111">
            <v>34163082</v>
          </cell>
          <cell r="BI111">
            <v>40194282</v>
          </cell>
          <cell r="BJ111">
            <v>41139438</v>
          </cell>
        </row>
        <row r="112">
          <cell r="BF112">
            <v>24582768</v>
          </cell>
          <cell r="BG112">
            <v>30363228</v>
          </cell>
          <cell r="BH112">
            <v>35070582</v>
          </cell>
          <cell r="BI112">
            <v>41114910</v>
          </cell>
          <cell r="BJ112">
            <v>41999040</v>
          </cell>
        </row>
        <row r="113">
          <cell r="BF113">
            <v>25313802</v>
          </cell>
          <cell r="BG113">
            <v>31301478</v>
          </cell>
          <cell r="BH113">
            <v>36008808</v>
          </cell>
          <cell r="BI113">
            <v>42045108</v>
          </cell>
          <cell r="BJ113">
            <v>42882372</v>
          </cell>
        </row>
        <row r="114">
          <cell r="BF114">
            <v>26049816</v>
          </cell>
          <cell r="BG114">
            <v>32270460</v>
          </cell>
          <cell r="BH114">
            <v>36973272</v>
          </cell>
          <cell r="BI114">
            <v>43013550</v>
          </cell>
          <cell r="BJ114">
            <v>43850544</v>
          </cell>
        </row>
        <row r="115">
          <cell r="BF115">
            <v>26923824</v>
          </cell>
          <cell r="BG115">
            <v>33246702</v>
          </cell>
          <cell r="BH115">
            <v>37993992</v>
          </cell>
          <cell r="BI115">
            <v>43952730</v>
          </cell>
          <cell r="BJ115">
            <v>44833722</v>
          </cell>
        </row>
        <row r="116">
          <cell r="BF116">
            <v>27815082</v>
          </cell>
          <cell r="BG116">
            <v>34246032</v>
          </cell>
          <cell r="BH116">
            <v>39081354</v>
          </cell>
          <cell r="BI116">
            <v>44931522</v>
          </cell>
          <cell r="BJ116">
            <v>45808692</v>
          </cell>
        </row>
        <row r="117">
          <cell r="BF117">
            <v>28734972</v>
          </cell>
          <cell r="BG117">
            <v>35312970</v>
          </cell>
          <cell r="BH117">
            <v>40222434</v>
          </cell>
          <cell r="BI117">
            <v>45914280</v>
          </cell>
          <cell r="BJ117">
            <v>46805844</v>
          </cell>
        </row>
        <row r="118">
          <cell r="BF118">
            <v>29720820</v>
          </cell>
          <cell r="BG118">
            <v>36429468</v>
          </cell>
          <cell r="BH118">
            <v>41373456</v>
          </cell>
          <cell r="BI118">
            <v>46911804</v>
          </cell>
          <cell r="BJ118">
            <v>47819280</v>
          </cell>
        </row>
        <row r="119">
          <cell r="BF119">
            <v>30733320</v>
          </cell>
          <cell r="BG119">
            <v>37551636</v>
          </cell>
          <cell r="BH119">
            <v>42542544</v>
          </cell>
          <cell r="BI119">
            <v>47926926</v>
          </cell>
          <cell r="BJ119">
            <v>48856398</v>
          </cell>
        </row>
        <row r="120">
          <cell r="BF120">
            <v>31750446</v>
          </cell>
          <cell r="BG120">
            <v>38555172</v>
          </cell>
          <cell r="BH120">
            <v>43753650</v>
          </cell>
          <cell r="BI120">
            <v>48960150</v>
          </cell>
          <cell r="BJ120">
            <v>49905690</v>
          </cell>
        </row>
        <row r="121">
          <cell r="BF121">
            <v>32776254</v>
          </cell>
          <cell r="BG121">
            <v>39572286</v>
          </cell>
          <cell r="BH121">
            <v>44937444</v>
          </cell>
          <cell r="BI121">
            <v>49962888</v>
          </cell>
          <cell r="BJ121">
            <v>50936640</v>
          </cell>
        </row>
        <row r="122">
          <cell r="BF122">
            <v>33828222</v>
          </cell>
          <cell r="BG122">
            <v>40599006</v>
          </cell>
          <cell r="BH122">
            <v>46154676</v>
          </cell>
          <cell r="BI122">
            <v>50978514</v>
          </cell>
          <cell r="BJ122">
            <v>51970404</v>
          </cell>
        </row>
        <row r="123">
          <cell r="BF123">
            <v>34908366</v>
          </cell>
          <cell r="BG123">
            <v>41653224</v>
          </cell>
          <cell r="BH123">
            <v>47391414</v>
          </cell>
          <cell r="BI123">
            <v>52016652</v>
          </cell>
          <cell r="BJ123">
            <v>53002092</v>
          </cell>
        </row>
        <row r="124">
          <cell r="BF124">
            <v>36017922</v>
          </cell>
          <cell r="BG124">
            <v>42725610</v>
          </cell>
          <cell r="BH124">
            <v>48657816</v>
          </cell>
          <cell r="BI124">
            <v>53046354</v>
          </cell>
          <cell r="BJ124">
            <v>54060498</v>
          </cell>
        </row>
        <row r="125">
          <cell r="BF125">
            <v>37002204</v>
          </cell>
          <cell r="BG125">
            <v>43765122</v>
          </cell>
          <cell r="BH125">
            <v>49847604</v>
          </cell>
          <cell r="BI125">
            <v>54105162</v>
          </cell>
          <cell r="BJ125">
            <v>55130538</v>
          </cell>
        </row>
        <row r="126">
          <cell r="BF126">
            <v>38008968</v>
          </cell>
          <cell r="BG126">
            <v>44814594</v>
          </cell>
          <cell r="BH126">
            <v>51081696</v>
          </cell>
          <cell r="BI126">
            <v>55178130</v>
          </cell>
          <cell r="BJ126">
            <v>56215740</v>
          </cell>
        </row>
        <row r="127">
          <cell r="BF127">
            <v>39003354</v>
          </cell>
          <cell r="BG127">
            <v>45907158</v>
          </cell>
          <cell r="BH127">
            <v>52342254</v>
          </cell>
          <cell r="BI127">
            <v>56290146</v>
          </cell>
          <cell r="BJ127">
            <v>57299976</v>
          </cell>
        </row>
        <row r="128">
          <cell r="BF128">
            <v>40014336</v>
          </cell>
          <cell r="BG128">
            <v>47018916</v>
          </cell>
          <cell r="BH128">
            <v>53630706</v>
          </cell>
          <cell r="BI128">
            <v>57369606</v>
          </cell>
          <cell r="BJ128">
            <v>58393974</v>
          </cell>
        </row>
        <row r="129">
          <cell r="BF129">
            <v>41040822</v>
          </cell>
          <cell r="BG129">
            <v>48139596</v>
          </cell>
          <cell r="BH129">
            <v>54900438</v>
          </cell>
          <cell r="BI129">
            <v>58463418</v>
          </cell>
          <cell r="BJ129">
            <v>59462364</v>
          </cell>
        </row>
        <row r="130">
          <cell r="BF130">
            <v>42090096</v>
          </cell>
          <cell r="BG130">
            <v>49184340</v>
          </cell>
          <cell r="BH130">
            <v>56132442</v>
          </cell>
          <cell r="BI130">
            <v>59484066</v>
          </cell>
          <cell r="BJ130">
            <v>60499716</v>
          </cell>
        </row>
        <row r="131">
          <cell r="BF131">
            <v>43152864</v>
          </cell>
          <cell r="BG131">
            <v>50258622</v>
          </cell>
          <cell r="BH131">
            <v>57361332</v>
          </cell>
          <cell r="BI131">
            <v>60520260</v>
          </cell>
          <cell r="BJ131">
            <v>61552422</v>
          </cell>
        </row>
        <row r="132">
          <cell r="BF132">
            <v>44250168</v>
          </cell>
          <cell r="BG132">
            <v>51330948</v>
          </cell>
          <cell r="BH132">
            <v>58618800</v>
          </cell>
          <cell r="BI132">
            <v>61575516</v>
          </cell>
          <cell r="BJ132">
            <v>62631204</v>
          </cell>
        </row>
        <row r="133">
          <cell r="BF133">
            <v>45358890</v>
          </cell>
          <cell r="BG133">
            <v>52445892</v>
          </cell>
          <cell r="BH133">
            <v>59921280</v>
          </cell>
          <cell r="BI133">
            <v>62675856</v>
          </cell>
          <cell r="BJ133">
            <v>63747906</v>
          </cell>
        </row>
        <row r="134">
          <cell r="BF134">
            <v>46502736</v>
          </cell>
          <cell r="BG134">
            <v>53579772</v>
          </cell>
          <cell r="BH134">
            <v>61255326</v>
          </cell>
          <cell r="BI134">
            <v>63797202</v>
          </cell>
          <cell r="BJ134">
            <v>64883658</v>
          </cell>
        </row>
        <row r="135">
          <cell r="BF135">
            <v>47627226</v>
          </cell>
          <cell r="BG135">
            <v>54818400</v>
          </cell>
          <cell r="BH135">
            <v>62410368</v>
          </cell>
          <cell r="BI135">
            <v>64932024</v>
          </cell>
          <cell r="BJ135">
            <v>65975178</v>
          </cell>
        </row>
        <row r="136">
          <cell r="BF136">
            <v>48783966</v>
          </cell>
          <cell r="BG136">
            <v>56079516</v>
          </cell>
          <cell r="BH136">
            <v>63588834</v>
          </cell>
          <cell r="BI136">
            <v>66028164</v>
          </cell>
          <cell r="BJ136">
            <v>67000548</v>
          </cell>
        </row>
        <row r="137">
          <cell r="BF137">
            <v>49956942</v>
          </cell>
          <cell r="BG137">
            <v>57369486</v>
          </cell>
          <cell r="BH137">
            <v>64722318</v>
          </cell>
          <cell r="BI137">
            <v>67050018</v>
          </cell>
          <cell r="BJ137">
            <v>68042988</v>
          </cell>
        </row>
        <row r="138">
          <cell r="BF138">
            <v>51160452</v>
          </cell>
          <cell r="BG138">
            <v>58620756</v>
          </cell>
          <cell r="BH138">
            <v>65796990</v>
          </cell>
          <cell r="BI138">
            <v>68097480</v>
          </cell>
          <cell r="BJ138">
            <v>69092844</v>
          </cell>
        </row>
        <row r="139">
          <cell r="BF139">
            <v>52321428</v>
          </cell>
          <cell r="BG139">
            <v>59849754</v>
          </cell>
          <cell r="BH139">
            <v>66909720</v>
          </cell>
          <cell r="BI139">
            <v>69161376</v>
          </cell>
          <cell r="BJ139">
            <v>70185852</v>
          </cell>
        </row>
        <row r="140">
          <cell r="BF140">
            <v>53424132</v>
          </cell>
          <cell r="BG140">
            <v>61164660</v>
          </cell>
          <cell r="BH140">
            <v>68099028</v>
          </cell>
          <cell r="BI140">
            <v>70319790</v>
          </cell>
          <cell r="BJ140">
            <v>71338614</v>
          </cell>
        </row>
        <row r="141">
          <cell r="BF141">
            <v>54544188</v>
          </cell>
          <cell r="BG141">
            <v>62500152</v>
          </cell>
          <cell r="BH141">
            <v>69309144</v>
          </cell>
          <cell r="BI141">
            <v>71471448</v>
          </cell>
          <cell r="BJ141">
            <v>72510960</v>
          </cell>
        </row>
        <row r="142">
          <cell r="BF142">
            <v>55684854</v>
          </cell>
          <cell r="BG142">
            <v>63862974</v>
          </cell>
          <cell r="BH142">
            <v>70521954</v>
          </cell>
          <cell r="BI142">
            <v>72645078</v>
          </cell>
          <cell r="BJ142">
            <v>73660146</v>
          </cell>
        </row>
        <row r="143">
          <cell r="BF143">
            <v>56846382</v>
          </cell>
          <cell r="BG143">
            <v>65243964</v>
          </cell>
          <cell r="BH143">
            <v>71760234</v>
          </cell>
          <cell r="BI143">
            <v>73796994</v>
          </cell>
          <cell r="BJ143">
            <v>74845578</v>
          </cell>
        </row>
        <row r="144">
          <cell r="BF144">
            <v>58026048</v>
          </cell>
          <cell r="BG144">
            <v>66653022</v>
          </cell>
          <cell r="BH144">
            <v>72982314</v>
          </cell>
          <cell r="BI144">
            <v>74980842</v>
          </cell>
          <cell r="BJ144">
            <v>76106532</v>
          </cell>
        </row>
        <row r="145">
          <cell r="BF145">
            <v>59207712</v>
          </cell>
          <cell r="BG145">
            <v>68030802</v>
          </cell>
          <cell r="BH145">
            <v>74247138</v>
          </cell>
          <cell r="BI145">
            <v>76264980</v>
          </cell>
          <cell r="BJ145">
            <v>77425500</v>
          </cell>
        </row>
        <row r="146">
          <cell r="BF146">
            <v>60404046</v>
          </cell>
          <cell r="BG146">
            <v>69458388</v>
          </cell>
          <cell r="BH146">
            <v>75598494</v>
          </cell>
          <cell r="BI146">
            <v>77597262</v>
          </cell>
          <cell r="BJ146">
            <v>78777054</v>
          </cell>
        </row>
        <row r="147">
          <cell r="BF147">
            <v>61643514</v>
          </cell>
          <cell r="BG147">
            <v>70916670</v>
          </cell>
          <cell r="BH147">
            <v>76982052</v>
          </cell>
          <cell r="BI147">
            <v>78946452</v>
          </cell>
          <cell r="BJ147">
            <v>80161932</v>
          </cell>
        </row>
        <row r="148">
          <cell r="BF148">
            <v>62923578</v>
          </cell>
          <cell r="BG148">
            <v>72436602</v>
          </cell>
          <cell r="BH148">
            <v>78377814</v>
          </cell>
          <cell r="BI148">
            <v>80324262</v>
          </cell>
          <cell r="BJ148">
            <v>81537624</v>
          </cell>
        </row>
        <row r="149">
          <cell r="BF149">
            <v>64236936</v>
          </cell>
          <cell r="BG149">
            <v>73976298</v>
          </cell>
          <cell r="BH149">
            <v>79808718</v>
          </cell>
          <cell r="BI149">
            <v>81698334</v>
          </cell>
          <cell r="BJ149">
            <v>82926462</v>
          </cell>
        </row>
        <row r="150">
          <cell r="BF150">
            <v>65561028</v>
          </cell>
          <cell r="BG150">
            <v>75554136</v>
          </cell>
          <cell r="BH150">
            <v>81231456</v>
          </cell>
          <cell r="BI150">
            <v>83081244</v>
          </cell>
          <cell r="BJ150">
            <v>84332826</v>
          </cell>
        </row>
        <row r="151">
          <cell r="BF151">
            <v>66922524</v>
          </cell>
          <cell r="BG151">
            <v>77133216</v>
          </cell>
          <cell r="BH151">
            <v>82674714</v>
          </cell>
          <cell r="BI151">
            <v>84483024</v>
          </cell>
          <cell r="BJ151">
            <v>85766646</v>
          </cell>
        </row>
        <row r="152">
          <cell r="BF152">
            <v>68291448</v>
          </cell>
          <cell r="BG152">
            <v>78765414</v>
          </cell>
          <cell r="BH152">
            <v>84163860</v>
          </cell>
          <cell r="BI152">
            <v>85932822</v>
          </cell>
          <cell r="BJ152">
            <v>87224178</v>
          </cell>
        </row>
        <row r="153">
          <cell r="BF153">
            <v>69700770</v>
          </cell>
          <cell r="BG153">
            <v>80429268</v>
          </cell>
          <cell r="BH153">
            <v>85684278</v>
          </cell>
          <cell r="BI153">
            <v>87402738</v>
          </cell>
          <cell r="BJ153">
            <v>88743072</v>
          </cell>
        </row>
        <row r="154">
          <cell r="BF154">
            <v>71068494</v>
          </cell>
          <cell r="BG154">
            <v>82077498</v>
          </cell>
          <cell r="BH154">
            <v>87225186</v>
          </cell>
          <cell r="BI154">
            <v>88944828</v>
          </cell>
          <cell r="BJ154">
            <v>90510666</v>
          </cell>
        </row>
        <row r="155">
          <cell r="BF155">
            <v>72431904</v>
          </cell>
          <cell r="BG155">
            <v>83506566</v>
          </cell>
          <cell r="BH155">
            <v>88634460</v>
          </cell>
          <cell r="BI155">
            <v>90571038</v>
          </cell>
          <cell r="BJ155">
            <v>92272992</v>
          </cell>
        </row>
        <row r="156">
          <cell r="BF156">
            <v>73805280</v>
          </cell>
          <cell r="BG156">
            <v>84958302</v>
          </cell>
          <cell r="BH156">
            <v>90185028</v>
          </cell>
          <cell r="BI156">
            <v>92220450</v>
          </cell>
          <cell r="BJ156">
            <v>93141078</v>
          </cell>
        </row>
        <row r="157">
          <cell r="BF157">
            <v>75275982</v>
          </cell>
          <cell r="BG157">
            <v>86536560</v>
          </cell>
          <cell r="BH157">
            <v>91781490</v>
          </cell>
          <cell r="BI157">
            <v>93098634</v>
          </cell>
          <cell r="BJ157">
            <v>93739848</v>
          </cell>
        </row>
        <row r="158">
          <cell r="BF158">
            <v>76763100</v>
          </cell>
          <cell r="BG158">
            <v>88137198</v>
          </cell>
          <cell r="BH158">
            <v>92634120</v>
          </cell>
          <cell r="BI158">
            <v>93695208</v>
          </cell>
          <cell r="BJ158">
            <v>93862482</v>
          </cell>
        </row>
        <row r="159">
          <cell r="BF159">
            <v>78283638</v>
          </cell>
          <cell r="BG159">
            <v>89430822</v>
          </cell>
          <cell r="BH159">
            <v>93224682</v>
          </cell>
          <cell r="BI159">
            <v>93840378</v>
          </cell>
          <cell r="BJ159">
            <v>93943086</v>
          </cell>
        </row>
        <row r="160">
          <cell r="BF160">
            <v>79355910</v>
          </cell>
          <cell r="BG160">
            <v>90331476</v>
          </cell>
          <cell r="BH160">
            <v>93380550</v>
          </cell>
          <cell r="BI160">
            <v>93920352</v>
          </cell>
          <cell r="BJ160">
            <v>94023702</v>
          </cell>
        </row>
        <row r="161">
          <cell r="BF161">
            <v>80171352</v>
          </cell>
          <cell r="BG161">
            <v>91035978</v>
          </cell>
          <cell r="BH161">
            <v>93459918</v>
          </cell>
          <cell r="BI161">
            <v>94000338</v>
          </cell>
          <cell r="BJ161">
            <v>94104342</v>
          </cell>
        </row>
        <row r="162">
          <cell r="BF162">
            <v>80713668</v>
          </cell>
          <cell r="BG162">
            <v>91464654</v>
          </cell>
          <cell r="BH162">
            <v>93539298</v>
          </cell>
          <cell r="BI162">
            <v>94080354</v>
          </cell>
          <cell r="BJ162">
            <v>94184994</v>
          </cell>
        </row>
        <row r="163">
          <cell r="BF163">
            <v>81105744</v>
          </cell>
          <cell r="BG163">
            <v>91748052</v>
          </cell>
          <cell r="BH163">
            <v>93618702</v>
          </cell>
          <cell r="BI163">
            <v>94160388</v>
          </cell>
          <cell r="BJ163">
            <v>94265676</v>
          </cell>
        </row>
        <row r="164">
          <cell r="BF164">
            <v>81498114</v>
          </cell>
          <cell r="BG164">
            <v>92031654</v>
          </cell>
          <cell r="BH164">
            <v>93698106</v>
          </cell>
          <cell r="BI164">
            <v>94240416</v>
          </cell>
          <cell r="BJ164">
            <v>94346352</v>
          </cell>
        </row>
      </sheetData>
      <sheetData sheetId="12"/>
      <sheetData sheetId="13">
        <row r="6">
          <cell r="T6">
            <v>0</v>
          </cell>
        </row>
      </sheetData>
      <sheetData sheetId="14">
        <row r="6">
          <cell r="C6">
            <v>562785.51873358048</v>
          </cell>
        </row>
      </sheetData>
      <sheetData sheetId="15"/>
      <sheetData sheetId="16">
        <row r="3">
          <cell r="C3"/>
        </row>
      </sheetData>
      <sheetData sheetId="17">
        <row r="5">
          <cell r="B5">
            <v>1</v>
          </cell>
        </row>
      </sheetData>
      <sheetData sheetId="18">
        <row r="6">
          <cell r="C6">
            <v>8101.9050195413729</v>
          </cell>
        </row>
      </sheetData>
      <sheetData sheetId="19">
        <row r="6">
          <cell r="D6">
            <v>39202.306950863218</v>
          </cell>
        </row>
      </sheetData>
      <sheetData sheetId="20">
        <row r="6">
          <cell r="V6">
            <v>3390.3908593159599</v>
          </cell>
        </row>
      </sheetData>
      <sheetData sheetId="21">
        <row r="5">
          <cell r="AG5">
            <v>0</v>
          </cell>
        </row>
      </sheetData>
      <sheetData sheetId="22">
        <row r="6">
          <cell r="C6">
            <v>5.0636889117865597E-3</v>
          </cell>
        </row>
      </sheetData>
      <sheetData sheetId="23">
        <row r="4">
          <cell r="L4">
            <v>1.9884843757322645E-6</v>
          </cell>
        </row>
      </sheetData>
      <sheetData sheetId="24">
        <row r="4">
          <cell r="K4">
            <v>1</v>
          </cell>
        </row>
        <row r="16">
          <cell r="C16">
            <v>0</v>
          </cell>
          <cell r="D16">
            <v>24</v>
          </cell>
          <cell r="E16">
            <v>150</v>
          </cell>
          <cell r="F16">
            <v>1050</v>
          </cell>
          <cell r="G16">
            <v>4500</v>
          </cell>
        </row>
        <row r="17">
          <cell r="C17">
            <v>0</v>
          </cell>
          <cell r="D17">
            <v>120</v>
          </cell>
          <cell r="E17">
            <v>750</v>
          </cell>
          <cell r="F17">
            <v>5250</v>
          </cell>
          <cell r="G17">
            <v>22500</v>
          </cell>
        </row>
        <row r="18">
          <cell r="C18">
            <v>0</v>
          </cell>
          <cell r="D18">
            <v>240</v>
          </cell>
          <cell r="E18">
            <v>1500</v>
          </cell>
          <cell r="F18">
            <v>10500</v>
          </cell>
          <cell r="G18">
            <v>45000</v>
          </cell>
        </row>
        <row r="19">
          <cell r="C19">
            <v>0</v>
          </cell>
          <cell r="D19">
            <v>480</v>
          </cell>
          <cell r="E19">
            <v>3000</v>
          </cell>
          <cell r="F19">
            <v>21000</v>
          </cell>
          <cell r="G19">
            <v>90000</v>
          </cell>
        </row>
        <row r="20">
          <cell r="C20">
            <v>0</v>
          </cell>
          <cell r="D20">
            <v>1440</v>
          </cell>
          <cell r="E20">
            <v>9000</v>
          </cell>
          <cell r="F20">
            <v>63000</v>
          </cell>
          <cell r="G20">
            <v>270000</v>
          </cell>
        </row>
        <row r="21">
          <cell r="C21">
            <v>0</v>
          </cell>
          <cell r="D21">
            <v>2880</v>
          </cell>
          <cell r="E21">
            <v>18000</v>
          </cell>
          <cell r="F21">
            <v>126000</v>
          </cell>
          <cell r="G21">
            <v>540000</v>
          </cell>
        </row>
        <row r="22">
          <cell r="C22">
            <v>0</v>
          </cell>
          <cell r="D22">
            <v>5760</v>
          </cell>
          <cell r="E22">
            <v>36000</v>
          </cell>
          <cell r="F22">
            <v>252000</v>
          </cell>
          <cell r="G22">
            <v>1080000</v>
          </cell>
        </row>
      </sheetData>
      <sheetData sheetId="25">
        <row r="5">
          <cell r="AK5">
            <v>50</v>
          </cell>
        </row>
      </sheetData>
      <sheetData sheetId="26">
        <row r="2">
          <cell r="D2">
            <v>0.5</v>
          </cell>
        </row>
      </sheetData>
      <sheetData sheetId="27">
        <row r="3">
          <cell r="J3">
            <v>10000</v>
          </cell>
        </row>
      </sheetData>
      <sheetData sheetId="28">
        <row r="5">
          <cell r="BC5">
            <v>200000</v>
          </cell>
        </row>
      </sheetData>
      <sheetData sheetId="29">
        <row r="5">
          <cell r="K5">
            <v>12491.935266914652</v>
          </cell>
        </row>
      </sheetData>
      <sheetData sheetId="30">
        <row r="4">
          <cell r="P4">
            <v>2</v>
          </cell>
        </row>
      </sheetData>
      <sheetData sheetId="31">
        <row r="59">
          <cell r="D59">
            <v>300</v>
          </cell>
        </row>
      </sheetData>
      <sheetData sheetId="32">
        <row r="5">
          <cell r="J5" t="str">
            <v>黄金</v>
          </cell>
        </row>
      </sheetData>
      <sheetData sheetId="33">
        <row r="5">
          <cell r="BJ5">
            <v>3000</v>
          </cell>
        </row>
      </sheetData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>
        <row r="12">
          <cell r="H12">
            <v>12</v>
          </cell>
        </row>
      </sheetData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数据引用"/>
      <sheetName val="道具投放节奏"/>
      <sheetName val="首充"/>
      <sheetName val="直购礼包"/>
      <sheetName val="直购礼包（开服2个月后）"/>
      <sheetName val="直购礼包2.0"/>
      <sheetName val="3赛季直购礼包"/>
      <sheetName val="线上130追加活动直购"/>
      <sheetName val="每日特惠"/>
      <sheetName val="月卡"/>
      <sheetName val="特权卡"/>
      <sheetName val="军团馈赠"/>
      <sheetName val="军团馈赠2.0"/>
      <sheetName val="循环礼包折算（港澳台）"/>
      <sheetName val="礼包可购买上限（港澳台）"/>
      <sheetName val="Sheet1"/>
    </sheetNames>
    <sheetDataSet>
      <sheetData sheetId="0"/>
      <sheetData sheetId="1">
        <row r="7">
          <cell r="AH7">
            <v>1</v>
          </cell>
          <cell r="AI7">
            <v>8</v>
          </cell>
          <cell r="AJ7">
            <v>14</v>
          </cell>
          <cell r="AK7">
            <v>14</v>
          </cell>
          <cell r="AL7">
            <v>14</v>
          </cell>
        </row>
        <row r="8">
          <cell r="AH8">
            <v>3</v>
          </cell>
          <cell r="AI8">
            <v>7</v>
          </cell>
          <cell r="AJ8">
            <v>12</v>
          </cell>
          <cell r="AK8">
            <v>12</v>
          </cell>
          <cell r="AL8">
            <v>12</v>
          </cell>
        </row>
        <row r="9">
          <cell r="AH9">
            <v>6</v>
          </cell>
          <cell r="AI9">
            <v>6</v>
          </cell>
          <cell r="AJ9">
            <v>9.5</v>
          </cell>
          <cell r="AK9">
            <v>9.5</v>
          </cell>
          <cell r="AL9">
            <v>9.5</v>
          </cell>
        </row>
        <row r="10">
          <cell r="AH10">
            <v>12</v>
          </cell>
          <cell r="AI10">
            <v>5.6</v>
          </cell>
          <cell r="AJ10">
            <v>8.9</v>
          </cell>
          <cell r="AK10">
            <v>8.9</v>
          </cell>
          <cell r="AL10">
            <v>8.9</v>
          </cell>
        </row>
        <row r="11">
          <cell r="AH11">
            <v>18</v>
          </cell>
          <cell r="AI11">
            <v>5.2</v>
          </cell>
          <cell r="AJ11">
            <v>8.25</v>
          </cell>
          <cell r="AK11">
            <v>8.25</v>
          </cell>
          <cell r="AL11">
            <v>8.25</v>
          </cell>
        </row>
        <row r="12">
          <cell r="AH12">
            <v>30</v>
          </cell>
          <cell r="AI12">
            <v>4.4000000000000004</v>
          </cell>
          <cell r="AJ12">
            <v>7</v>
          </cell>
          <cell r="AK12">
            <v>7</v>
          </cell>
          <cell r="AL12">
            <v>7</v>
          </cell>
        </row>
        <row r="13">
          <cell r="AH13">
            <v>68</v>
          </cell>
          <cell r="AI13">
            <v>3.9000000000000004</v>
          </cell>
          <cell r="AJ13">
            <v>6.25</v>
          </cell>
          <cell r="AK13">
            <v>6.25</v>
          </cell>
          <cell r="AL13">
            <v>6.25</v>
          </cell>
        </row>
        <row r="14">
          <cell r="AH14">
            <v>98</v>
          </cell>
          <cell r="AI14">
            <v>3.4</v>
          </cell>
          <cell r="AJ14">
            <v>5.5</v>
          </cell>
          <cell r="AK14">
            <v>5.5</v>
          </cell>
          <cell r="AL14">
            <v>5.5</v>
          </cell>
        </row>
        <row r="15">
          <cell r="AH15">
            <v>128</v>
          </cell>
          <cell r="AI15">
            <v>2.9</v>
          </cell>
          <cell r="AJ15">
            <v>4.8</v>
          </cell>
          <cell r="AK15">
            <v>4.8</v>
          </cell>
          <cell r="AL15">
            <v>4.8</v>
          </cell>
        </row>
        <row r="16">
          <cell r="AH16">
            <v>198</v>
          </cell>
          <cell r="AI16">
            <v>2.8</v>
          </cell>
          <cell r="AJ16">
            <v>4.5</v>
          </cell>
          <cell r="AK16">
            <v>4.5</v>
          </cell>
          <cell r="AL16">
            <v>4.5</v>
          </cell>
        </row>
        <row r="17">
          <cell r="AH17">
            <v>328</v>
          </cell>
          <cell r="AI17">
            <v>2.6</v>
          </cell>
          <cell r="AJ17">
            <v>4.25</v>
          </cell>
          <cell r="AK17">
            <v>4.25</v>
          </cell>
          <cell r="AL17">
            <v>4.25</v>
          </cell>
        </row>
        <row r="18">
          <cell r="AH18">
            <v>648</v>
          </cell>
          <cell r="AI18">
            <v>2.4</v>
          </cell>
          <cell r="AJ18">
            <v>4</v>
          </cell>
          <cell r="AK18">
            <v>4</v>
          </cell>
          <cell r="AL18">
            <v>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V7">
            <v>25080.636639367563</v>
          </cell>
          <cell r="AC7">
            <v>2977611.7998951534</v>
          </cell>
          <cell r="AP7">
            <v>18561.304735699334</v>
          </cell>
          <cell r="AX7">
            <v>1983056.2797831665</v>
          </cell>
        </row>
        <row r="8">
          <cell r="V8">
            <v>32727.225836078185</v>
          </cell>
          <cell r="AC8">
            <v>4035637.4685130902</v>
          </cell>
          <cell r="AP8">
            <v>25851.742776641666</v>
          </cell>
          <cell r="AX8">
            <v>2871238.3432038086</v>
          </cell>
        </row>
        <row r="9">
          <cell r="V9">
            <v>41196.659640093167</v>
          </cell>
          <cell r="AC9">
            <v>5265153.3454167768</v>
          </cell>
          <cell r="AP9">
            <v>34520.768630077589</v>
          </cell>
          <cell r="AX9">
            <v>3977203.3653132012</v>
          </cell>
        </row>
        <row r="10">
          <cell r="V10">
            <v>50992.571859367876</v>
          </cell>
          <cell r="AC10">
            <v>6741553.4953668173</v>
          </cell>
          <cell r="AP10">
            <v>45109.938262160664</v>
          </cell>
          <cell r="AX10">
            <v>5380691.6643902697</v>
          </cell>
        </row>
        <row r="11">
          <cell r="V11">
            <v>62239.956978975126</v>
          </cell>
          <cell r="AC11">
            <v>8496866.07863863</v>
          </cell>
          <cell r="AP11">
            <v>57902.086559282572</v>
          </cell>
          <cell r="AX11">
            <v>7137626.8696307149</v>
          </cell>
        </row>
        <row r="12">
          <cell r="V12">
            <v>75061.792173359383</v>
          </cell>
          <cell r="AC12">
            <v>10564341.824792627</v>
          </cell>
          <cell r="AP12">
            <v>73199.335081210753</v>
          </cell>
          <cell r="AX12">
            <v>9310032.0845781174</v>
          </cell>
        </row>
        <row r="13">
          <cell r="V13">
            <v>89587.594708717836</v>
          </cell>
          <cell r="AC13">
            <v>12979576.660284679</v>
          </cell>
          <cell r="AP13">
            <v>91331.259636631119</v>
          </cell>
          <cell r="AX13">
            <v>11967302.547681915</v>
          </cell>
        </row>
        <row r="14">
          <cell r="V14">
            <v>105953.6401324459</v>
          </cell>
          <cell r="AC14">
            <v>15780607.598771535</v>
          </cell>
          <cell r="AP14">
            <v>112656.52775069339</v>
          </cell>
          <cell r="AX14">
            <v>15186771.839135069</v>
          </cell>
        </row>
        <row r="15">
          <cell r="V15">
            <v>123400.23912441831</v>
          </cell>
          <cell r="AC15">
            <v>18869935.45521386</v>
          </cell>
          <cell r="AP15">
            <v>136565.32070143879</v>
          </cell>
          <cell r="AX15">
            <v>18915892.697259642</v>
          </cell>
        </row>
        <row r="16">
          <cell r="V16">
            <v>143357.90045859426</v>
          </cell>
          <cell r="AC16">
            <v>22480942.802831516</v>
          </cell>
          <cell r="AP16">
            <v>164834.64044644413</v>
          </cell>
          <cell r="AX16">
            <v>23431382.792942211</v>
          </cell>
        </row>
        <row r="17">
          <cell r="V17">
            <v>169719.42352935299</v>
          </cell>
          <cell r="AC17">
            <v>26748177.631580912</v>
          </cell>
          <cell r="AP17">
            <v>197936.14416234035</v>
          </cell>
          <cell r="AX17">
            <v>28845337.554329854</v>
          </cell>
        </row>
        <row r="18">
          <cell r="V18">
            <v>198511.84237098278</v>
          </cell>
          <cell r="AC18">
            <v>30820802.811337307</v>
          </cell>
          <cell r="AP18">
            <v>225884.4978660231</v>
          </cell>
          <cell r="AX18">
            <v>33055795.984306019</v>
          </cell>
        </row>
        <row r="19">
          <cell r="V19">
            <v>230801.27326360089</v>
          </cell>
          <cell r="AC19">
            <v>35322287.9927736</v>
          </cell>
          <cell r="AP19">
            <v>256992.41716532738</v>
          </cell>
          <cell r="AX19">
            <v>37761853.824553959</v>
          </cell>
        </row>
        <row r="20">
          <cell r="V20">
            <v>266693.34537474497</v>
          </cell>
          <cell r="AC20">
            <v>40254871.416324154</v>
          </cell>
          <cell r="AP20">
            <v>290794.69722929434</v>
          </cell>
          <cell r="AX20">
            <v>42899642.198399797</v>
          </cell>
        </row>
        <row r="21">
          <cell r="V21">
            <v>306469.60666414158</v>
          </cell>
          <cell r="AC21">
            <v>45647547.936670288</v>
          </cell>
          <cell r="AP21">
            <v>327555.54123736033</v>
          </cell>
          <cell r="AX21">
            <v>48512081.713554278</v>
          </cell>
        </row>
        <row r="22">
          <cell r="V22">
            <v>350393.3666996971</v>
          </cell>
          <cell r="AC22">
            <v>51525782.15540877</v>
          </cell>
          <cell r="AP22">
            <v>367423.50007673842</v>
          </cell>
          <cell r="AX22">
            <v>54625370.359590456</v>
          </cell>
        </row>
        <row r="23">
          <cell r="V23">
            <v>398726.090399582</v>
          </cell>
          <cell r="AC23">
            <v>57914156.84488675</v>
          </cell>
          <cell r="AP23">
            <v>410548.00886703958</v>
          </cell>
          <cell r="AX23">
            <v>61266031.449787244</v>
          </cell>
        </row>
        <row r="24">
          <cell r="V24">
            <v>451938.70587794448</v>
          </cell>
          <cell r="AC24">
            <v>64866790.47219155</v>
          </cell>
          <cell r="AP24">
            <v>457838.75398884091</v>
          </cell>
          <cell r="AX24">
            <v>68574645.236661211</v>
          </cell>
        </row>
        <row r="25">
          <cell r="V25">
            <v>510125.13280813396</v>
          </cell>
          <cell r="AC25">
            <v>73383447.533829853</v>
          </cell>
          <cell r="AP25">
            <v>508628.38979860779</v>
          </cell>
          <cell r="AX25">
            <v>77513877.151631624</v>
          </cell>
        </row>
        <row r="26">
          <cell r="V26">
            <v>574151.60576929804</v>
          </cell>
          <cell r="AC26">
            <v>81848969.136268795</v>
          </cell>
          <cell r="AP26">
            <v>565313.60681360483</v>
          </cell>
          <cell r="AX26">
            <v>86632409.436111838</v>
          </cell>
        </row>
        <row r="27">
          <cell r="V27">
            <v>643098.43337016716</v>
          </cell>
          <cell r="AC27">
            <v>92352136.509073704</v>
          </cell>
          <cell r="AP27">
            <v>623260.24382837792</v>
          </cell>
          <cell r="AX27">
            <v>96284899.359286726</v>
          </cell>
        </row>
        <row r="28">
          <cell r="V28">
            <v>716985.73908294225</v>
          </cell>
          <cell r="AC28">
            <v>103706763.48446584</v>
          </cell>
          <cell r="AP28">
            <v>685931.52328036726</v>
          </cell>
          <cell r="AX28">
            <v>106839243.53270432</v>
          </cell>
        </row>
        <row r="29">
          <cell r="V29">
            <v>795729.12022720557</v>
          </cell>
          <cell r="AC29">
            <v>115913659.96923363</v>
          </cell>
          <cell r="AP29">
            <v>752331.66939472896</v>
          </cell>
          <cell r="AX29">
            <v>118130585.96285897</v>
          </cell>
        </row>
        <row r="30">
          <cell r="V30">
            <v>879375.92681984836</v>
          </cell>
          <cell r="AC30">
            <v>128992350.06082052</v>
          </cell>
          <cell r="AP30">
            <v>822203.41626404098</v>
          </cell>
          <cell r="AX30">
            <v>130130314.92681056</v>
          </cell>
        </row>
        <row r="31">
          <cell r="V31">
            <v>967954.25000133645</v>
          </cell>
          <cell r="AC31">
            <v>142959447.20742729</v>
          </cell>
          <cell r="AP31">
            <v>895224.75869992294</v>
          </cell>
          <cell r="AX31">
            <v>142798015.14655894</v>
          </cell>
        </row>
        <row r="32">
          <cell r="V32">
            <v>1061765.7239190149</v>
          </cell>
          <cell r="AC32">
            <v>157877669.54462984</v>
          </cell>
          <cell r="AP32">
            <v>973147.92691440962</v>
          </cell>
          <cell r="AX32">
            <v>156430443.47008049</v>
          </cell>
        </row>
        <row r="33">
          <cell r="V33">
            <v>1163711.5339528853</v>
          </cell>
          <cell r="AC33">
            <v>174193828.77509338</v>
          </cell>
          <cell r="AP33">
            <v>1058144.1542592577</v>
          </cell>
          <cell r="AX33">
            <v>171394623.20774621</v>
          </cell>
        </row>
        <row r="34">
          <cell r="V34">
            <v>1274249.0868092873</v>
          </cell>
          <cell r="AC34">
            <v>191994671.94262683</v>
          </cell>
          <cell r="AP34">
            <v>1150904.0461660868</v>
          </cell>
          <cell r="AX34">
            <v>187823373.48133343</v>
          </cell>
        </row>
        <row r="35">
          <cell r="V35">
            <v>1414242.6427520034</v>
          </cell>
          <cell r="AC35">
            <v>213043199.19683948</v>
          </cell>
          <cell r="AP35">
            <v>1258563.7538214445</v>
          </cell>
          <cell r="AX35">
            <v>207035202.09058625</v>
          </cell>
        </row>
        <row r="36">
          <cell r="V36">
            <v>1566926.0950079164</v>
          </cell>
          <cell r="AC36">
            <v>235707088.65215147</v>
          </cell>
          <cell r="AP36">
            <v>1373870.1948295189</v>
          </cell>
          <cell r="AX36">
            <v>227620789.62774846</v>
          </cell>
        </row>
        <row r="37">
          <cell r="V37">
            <v>1763991.2815877921</v>
          </cell>
          <cell r="AC37">
            <v>265860835.93827927</v>
          </cell>
          <cell r="AP37">
            <v>1506611.5894309955</v>
          </cell>
          <cell r="AX37">
            <v>252199565.90496182</v>
          </cell>
        </row>
        <row r="38">
          <cell r="V38">
            <v>1977872.7864443474</v>
          </cell>
          <cell r="AC38">
            <v>298651992.85310322</v>
          </cell>
          <cell r="AP38">
            <v>1647747.2973478492</v>
          </cell>
          <cell r="AX38">
            <v>278621239.49207592</v>
          </cell>
        </row>
        <row r="39">
          <cell r="V39">
            <v>2210768.786386915</v>
          </cell>
          <cell r="AC39">
            <v>334422836.53324223</v>
          </cell>
          <cell r="AP39">
            <v>1801685.7732525726</v>
          </cell>
          <cell r="AX39">
            <v>307673648.4655636</v>
          </cell>
        </row>
        <row r="40">
          <cell r="V40">
            <v>2462913.4287055428</v>
          </cell>
          <cell r="AC40">
            <v>373219834.80699372</v>
          </cell>
          <cell r="AP40">
            <v>1964593.3761685239</v>
          </cell>
          <cell r="AX40">
            <v>338751913.15362126</v>
          </cell>
        </row>
        <row r="41">
          <cell r="V41">
            <v>2771313.9599526674</v>
          </cell>
          <cell r="AC41">
            <v>418258990.07675093</v>
          </cell>
          <cell r="AP41">
            <v>2153174.3797753244</v>
          </cell>
          <cell r="AX41">
            <v>374916692.8929227</v>
          </cell>
        </row>
        <row r="42">
          <cell r="V42">
            <v>3162599.7961218264</v>
          </cell>
          <cell r="AC42">
            <v>471074902.31014377</v>
          </cell>
          <cell r="AP42">
            <v>2371572.46854871</v>
          </cell>
          <cell r="AX42">
            <v>416512631.21234637</v>
          </cell>
        </row>
        <row r="43">
          <cell r="V43">
            <v>3593926.8728946913</v>
          </cell>
          <cell r="AC43">
            <v>528638358.9704504</v>
          </cell>
          <cell r="AP43">
            <v>2608095.9609702602</v>
          </cell>
          <cell r="AX43">
            <v>461912977.61171126</v>
          </cell>
        </row>
        <row r="44">
          <cell r="V44">
            <v>4069153.4244563268</v>
          </cell>
          <cell r="AC44">
            <v>591169215.67809963</v>
          </cell>
          <cell r="AP44">
            <v>2862932.2329013105</v>
          </cell>
          <cell r="AX44">
            <v>511021339.62707663</v>
          </cell>
        </row>
        <row r="45">
          <cell r="V45">
            <v>4591655.6355169285</v>
          </cell>
          <cell r="AC45">
            <v>659211524.49316633</v>
          </cell>
          <cell r="AP45">
            <v>3137905.3999376753</v>
          </cell>
          <cell r="AX45">
            <v>564390483.37628746</v>
          </cell>
        </row>
        <row r="46">
          <cell r="V46">
            <v>5165314.2749919537</v>
          </cell>
          <cell r="AC46">
            <v>733186888.90496302</v>
          </cell>
          <cell r="AP46">
            <v>3435479.3669688557</v>
          </cell>
          <cell r="AX46">
            <v>622533033.45833278</v>
          </cell>
        </row>
        <row r="47">
          <cell r="V47">
            <v>5516952.0652554883</v>
          </cell>
          <cell r="AC47">
            <v>789519720.54272008</v>
          </cell>
          <cell r="AP47">
            <v>3686385.8390894379</v>
          </cell>
          <cell r="AX47">
            <v>672923992.26552916</v>
          </cell>
        </row>
        <row r="48">
          <cell r="V48">
            <v>5888473.1234322768</v>
          </cell>
          <cell r="AC48">
            <v>849471622.10530341</v>
          </cell>
          <cell r="AP48">
            <v>3957133.3939128313</v>
          </cell>
          <cell r="AX48">
            <v>727572818.99261546</v>
          </cell>
        </row>
        <row r="49">
          <cell r="V49">
            <v>6278594.0126950396</v>
          </cell>
          <cell r="AC49">
            <v>912696610.55527711</v>
          </cell>
          <cell r="AP49">
            <v>4240724.6123791533</v>
          </cell>
          <cell r="AX49">
            <v>785064971.18371248</v>
          </cell>
        </row>
        <row r="50">
          <cell r="V50">
            <v>6688974.3316400796</v>
          </cell>
          <cell r="AC50">
            <v>979700517.74316335</v>
          </cell>
          <cell r="AP50">
            <v>4546029.9406896709</v>
          </cell>
          <cell r="AX50">
            <v>847164758.87375176</v>
          </cell>
        </row>
        <row r="51">
          <cell r="V51">
            <v>7106717.7606414557</v>
          </cell>
          <cell r="AC51">
            <v>1050947144.3488843</v>
          </cell>
          <cell r="AP51">
            <v>4861530.1613067966</v>
          </cell>
          <cell r="AX51">
            <v>912539516.52468753</v>
          </cell>
        </row>
        <row r="52">
          <cell r="V52">
            <v>7546164.9331920082</v>
          </cell>
          <cell r="AC52">
            <v>1126545712.3391342</v>
          </cell>
          <cell r="AP52">
            <v>5205000.7225440843</v>
          </cell>
          <cell r="AX52">
            <v>983976337.43436027</v>
          </cell>
        </row>
        <row r="53">
          <cell r="V53">
            <v>8006526.0296821743</v>
          </cell>
          <cell r="AC53">
            <v>1206457084.9005728</v>
          </cell>
          <cell r="AP53">
            <v>5572849.0594560038</v>
          </cell>
          <cell r="AX53">
            <v>1060889198.8980248</v>
          </cell>
        </row>
        <row r="54">
          <cell r="V54">
            <v>8490557.2222692706</v>
          </cell>
          <cell r="AC54">
            <v>1291175928.5008359</v>
          </cell>
          <cell r="AP54">
            <v>5972861.3629036499</v>
          </cell>
          <cell r="AX54">
            <v>1144469856.9867995</v>
          </cell>
        </row>
        <row r="55">
          <cell r="V55">
            <v>8992614.7610296123</v>
          </cell>
          <cell r="AC55">
            <v>1379922137.8021812</v>
          </cell>
          <cell r="AP55">
            <v>6399353.4297224879</v>
          </cell>
          <cell r="AX55">
            <v>1233951315.2908554</v>
          </cell>
        </row>
        <row r="56">
          <cell r="V56">
            <v>9520515.3309130967</v>
          </cell>
          <cell r="AC56">
            <v>1473593974.1070352</v>
          </cell>
          <cell r="AP56">
            <v>6843072.6144785248</v>
          </cell>
          <cell r="AX56">
            <v>1327946338.4897876</v>
          </cell>
        </row>
        <row r="57">
          <cell r="V57">
            <v>10160592.024593221</v>
          </cell>
          <cell r="AC57">
            <v>1599801392.6655467</v>
          </cell>
          <cell r="AP57">
            <v>7347976.6222184608</v>
          </cell>
          <cell r="AX57">
            <v>1448003947.4962521</v>
          </cell>
        </row>
        <row r="58">
          <cell r="V58">
            <v>10829391.976194341</v>
          </cell>
          <cell r="AC58">
            <v>1733690623.1329007</v>
          </cell>
          <cell r="AP58">
            <v>7875772.6392931947</v>
          </cell>
          <cell r="AX58">
            <v>1575319481.7775688</v>
          </cell>
        </row>
        <row r="59">
          <cell r="V59">
            <v>11532007.682980997</v>
          </cell>
          <cell r="AC59">
            <v>1876674119.3332005</v>
          </cell>
          <cell r="AP59">
            <v>8442361.2128453199</v>
          </cell>
          <cell r="AX59">
            <v>1713636637.0422637</v>
          </cell>
        </row>
        <row r="60">
          <cell r="V60">
            <v>12316759.499254452</v>
          </cell>
          <cell r="AC60">
            <v>2031769265.6573269</v>
          </cell>
          <cell r="AP60">
            <v>9060100.1450686175</v>
          </cell>
          <cell r="AX60">
            <v>1862694356.1183362</v>
          </cell>
        </row>
        <row r="61">
          <cell r="V61">
            <v>13210340.507979978</v>
          </cell>
          <cell r="AC61">
            <v>2201213835.0117722</v>
          </cell>
          <cell r="AP61">
            <v>9747269.7708460297</v>
          </cell>
          <cell r="AX61">
            <v>2025019657.7072592</v>
          </cell>
        </row>
        <row r="62">
          <cell r="V62">
            <v>14151164.026311141</v>
          </cell>
          <cell r="AC62">
            <v>2384988134.0152359</v>
          </cell>
          <cell r="AP62">
            <v>10485931.955779374</v>
          </cell>
          <cell r="AX62">
            <v>2202778109.8286877</v>
          </cell>
        </row>
        <row r="63">
          <cell r="V63">
            <v>15133238.07046156</v>
          </cell>
          <cell r="AC63">
            <v>2580057759.9958563</v>
          </cell>
          <cell r="AP63">
            <v>11265380.669943439</v>
          </cell>
          <cell r="AX63">
            <v>2392769670.9251795</v>
          </cell>
        </row>
        <row r="64">
          <cell r="V64">
            <v>16169148.033848945</v>
          </cell>
          <cell r="AC64">
            <v>2787663726.167161</v>
          </cell>
          <cell r="AP64">
            <v>12101019.918687379</v>
          </cell>
          <cell r="AX64">
            <v>2597912391.1122065</v>
          </cell>
        </row>
        <row r="65">
          <cell r="V65">
            <v>17255767.128320731</v>
          </cell>
          <cell r="AC65">
            <v>3007475667.9579072</v>
          </cell>
          <cell r="AP65">
            <v>12979389.053489884</v>
          </cell>
          <cell r="AX65">
            <v>2815575036.8522148</v>
          </cell>
        </row>
        <row r="66">
          <cell r="V66">
            <v>18562846.891686574</v>
          </cell>
          <cell r="AC66">
            <v>3264127273.2698674</v>
          </cell>
          <cell r="AP66">
            <v>14105319.43001271</v>
          </cell>
          <cell r="AX66">
            <v>3071818388.6269331</v>
          </cell>
        </row>
        <row r="67">
          <cell r="V67">
            <v>20196502.276084792</v>
          </cell>
          <cell r="AC67">
            <v>3573149135.7973356</v>
          </cell>
          <cell r="AP67">
            <v>15736713.379291097</v>
          </cell>
          <cell r="AX67">
            <v>3378039640.6780033</v>
          </cell>
        </row>
        <row r="68">
          <cell r="V68">
            <v>21931346.218930256</v>
          </cell>
          <cell r="AC68">
            <v>3908141454.4265184</v>
          </cell>
          <cell r="AP68">
            <v>17530312.587829564</v>
          </cell>
          <cell r="AX68">
            <v>3715155486.9017348</v>
          </cell>
        </row>
        <row r="69">
          <cell r="V69">
            <v>23767433.113016717</v>
          </cell>
          <cell r="AC69">
            <v>4266634890.1175346</v>
          </cell>
          <cell r="AP69">
            <v>19478692.423880525</v>
          </cell>
          <cell r="AX69">
            <v>4078095824.8683586</v>
          </cell>
        </row>
        <row r="70">
          <cell r="V70">
            <v>25726627.519038334</v>
          </cell>
          <cell r="AC70">
            <v>4651609386.9560022</v>
          </cell>
          <cell r="AP70">
            <v>21624064.972845417</v>
          </cell>
          <cell r="AX70">
            <v>4473491946.5257673</v>
          </cell>
        </row>
        <row r="71">
          <cell r="V71">
            <v>27811605.94090797</v>
          </cell>
          <cell r="AC71">
            <v>5063699371.323576</v>
          </cell>
          <cell r="AP71">
            <v>23969404.713206977</v>
          </cell>
          <cell r="AX71">
            <v>4900472763.511591</v>
          </cell>
        </row>
        <row r="72">
          <cell r="V72">
            <v>29749821.796977207</v>
          </cell>
          <cell r="AC72">
            <v>5489564307.1465349</v>
          </cell>
          <cell r="AP72">
            <v>26254000.029979177</v>
          </cell>
          <cell r="AX72">
            <v>5347676605.1752987</v>
          </cell>
        </row>
        <row r="73">
          <cell r="V73">
            <v>31768460.672205441</v>
          </cell>
          <cell r="AC73">
            <v>5942009118.125741</v>
          </cell>
          <cell r="AP73">
            <v>28702078.164050769</v>
          </cell>
          <cell r="AX73">
            <v>5827934748.1350079</v>
          </cell>
        </row>
        <row r="74">
          <cell r="V74">
            <v>33893698.673464261</v>
          </cell>
          <cell r="AC74">
            <v>6416243224.1891689</v>
          </cell>
          <cell r="AP74">
            <v>31348827.235932644</v>
          </cell>
          <cell r="AX74">
            <v>6337276858.2539768</v>
          </cell>
        </row>
        <row r="75">
          <cell r="V75">
            <v>36132597.131656542</v>
          </cell>
          <cell r="AC75">
            <v>6917813710.6215935</v>
          </cell>
          <cell r="AP75">
            <v>34217684.644691609</v>
          </cell>
          <cell r="AX75">
            <v>6883220139.9266319</v>
          </cell>
        </row>
        <row r="76">
          <cell r="V76">
            <v>38659017.050258994</v>
          </cell>
          <cell r="AC76">
            <v>7486991148.5007639</v>
          </cell>
          <cell r="AP76">
            <v>37961385.622458838</v>
          </cell>
          <cell r="AX76">
            <v>7602400813.2095852</v>
          </cell>
        </row>
        <row r="77">
          <cell r="V77">
            <v>41740635.583685681</v>
          </cell>
          <cell r="AC77">
            <v>8166012319.54105</v>
          </cell>
          <cell r="AP77">
            <v>42652339.39964655</v>
          </cell>
          <cell r="AX77">
            <v>8465156611.3030453</v>
          </cell>
        </row>
        <row r="78">
          <cell r="V78">
            <v>45173636.793819159</v>
          </cell>
          <cell r="AC78">
            <v>8925489486.1490326</v>
          </cell>
          <cell r="AP78">
            <v>48060499.805814773</v>
          </cell>
          <cell r="AX78">
            <v>9452726892.8720131</v>
          </cell>
        </row>
        <row r="79">
          <cell r="V79">
            <v>48920161.196034282</v>
          </cell>
          <cell r="AC79">
            <v>9762549417.5214539</v>
          </cell>
          <cell r="AP79">
            <v>54072079.213965379</v>
          </cell>
          <cell r="AX79">
            <v>10540092100.14028</v>
          </cell>
        </row>
        <row r="80">
          <cell r="V80">
            <v>52963575.447562724</v>
          </cell>
          <cell r="AC80">
            <v>10674686935.403603</v>
          </cell>
          <cell r="AP80">
            <v>60708752.890148349</v>
          </cell>
          <cell r="AX80">
            <v>11727558007.960682</v>
          </cell>
        </row>
        <row r="81">
          <cell r="V81">
            <v>57312044.529149354</v>
          </cell>
          <cell r="AC81">
            <v>11663574273.569818</v>
          </cell>
          <cell r="AP81">
            <v>68217758.787294537</v>
          </cell>
          <cell r="AX81">
            <v>13058896110.947649</v>
          </cell>
        </row>
        <row r="82">
          <cell r="V82">
            <v>62144623.148588017</v>
          </cell>
          <cell r="AC82">
            <v>12884457719.71809</v>
          </cell>
          <cell r="AP82">
            <v>76844983.335108072</v>
          </cell>
          <cell r="AX82">
            <v>14705201658.820717</v>
          </cell>
        </row>
        <row r="83">
          <cell r="V83">
            <v>67344167.077929869</v>
          </cell>
          <cell r="AC83">
            <v>14216641949.469837</v>
          </cell>
          <cell r="AP83">
            <v>86617008.921820164</v>
          </cell>
          <cell r="AX83">
            <v>16566121407.907393</v>
          </cell>
        </row>
        <row r="84">
          <cell r="V84">
            <v>72586947.644206092</v>
          </cell>
          <cell r="AC84">
            <v>15494100211.857807</v>
          </cell>
          <cell r="AP84">
            <v>95941300.976078615</v>
          </cell>
          <cell r="AX84">
            <v>18233804814.748009</v>
          </cell>
        </row>
        <row r="85">
          <cell r="V85">
            <v>78188495.62926501</v>
          </cell>
          <cell r="AC85">
            <v>16860345009.970783</v>
          </cell>
          <cell r="AP85">
            <v>105861463.44207393</v>
          </cell>
          <cell r="AX85">
            <v>19975232572.826008</v>
          </cell>
        </row>
        <row r="86">
          <cell r="V86">
            <v>84140113.386684656</v>
          </cell>
          <cell r="AC86">
            <v>18324310000.676506</v>
          </cell>
          <cell r="AP86">
            <v>116749832.16390705</v>
          </cell>
          <cell r="AX86">
            <v>21867187606.58926</v>
          </cell>
        </row>
        <row r="87">
          <cell r="V87">
            <v>90645159.622150928</v>
          </cell>
          <cell r="AC87">
            <v>19777966773.158257</v>
          </cell>
          <cell r="AP87">
            <v>129221440.75571422</v>
          </cell>
          <cell r="AX87">
            <v>23926616646.693359</v>
          </cell>
        </row>
        <row r="88">
          <cell r="V88">
            <v>98320950.724567696</v>
          </cell>
          <cell r="AC88">
            <v>21449314765.885525</v>
          </cell>
          <cell r="AP88">
            <v>145043184.88200587</v>
          </cell>
          <cell r="AX88">
            <v>26336363515.537209</v>
          </cell>
        </row>
        <row r="89">
          <cell r="V89">
            <v>106634997.83467093</v>
          </cell>
          <cell r="AC89">
            <v>23243386013.550404</v>
          </cell>
          <cell r="AP89">
            <v>161746678.37004936</v>
          </cell>
          <cell r="AX89">
            <v>29074885749.830864</v>
          </cell>
        </row>
        <row r="90">
          <cell r="V90">
            <v>115602203.28846857</v>
          </cell>
          <cell r="AC90">
            <v>25168854571.332111</v>
          </cell>
          <cell r="AP90">
            <v>179826026.22697726</v>
          </cell>
          <cell r="AX90">
            <v>32161956878.728844</v>
          </cell>
        </row>
        <row r="91">
          <cell r="V91">
            <v>124349225.41537321</v>
          </cell>
          <cell r="AC91">
            <v>27049617905.305809</v>
          </cell>
          <cell r="AP91">
            <v>197420694.01258582</v>
          </cell>
          <cell r="AX91">
            <v>35355996945.189644</v>
          </cell>
        </row>
        <row r="92">
          <cell r="V92">
            <v>133650392.13745874</v>
          </cell>
          <cell r="AC92">
            <v>29337991935.103783</v>
          </cell>
          <cell r="AP92">
            <v>216954704.86716598</v>
          </cell>
          <cell r="AX92">
            <v>39292954803.054321</v>
          </cell>
        </row>
        <row r="93">
          <cell r="V93">
            <v>143087606.05252904</v>
          </cell>
          <cell r="AC93">
            <v>31744299532.58625</v>
          </cell>
          <cell r="AP93">
            <v>241779241.74861273</v>
          </cell>
          <cell r="AX93">
            <v>43894039663.011925</v>
          </cell>
        </row>
        <row r="94">
          <cell r="V94">
            <v>151676013.00725949</v>
          </cell>
          <cell r="AC94">
            <v>33859748025.209808</v>
          </cell>
          <cell r="AP94">
            <v>266557019.413614</v>
          </cell>
          <cell r="AX94">
            <v>48570743284.645271</v>
          </cell>
        </row>
        <row r="95">
          <cell r="V95">
            <v>159673572.44032758</v>
          </cell>
          <cell r="AC95">
            <v>35821542510.975624</v>
          </cell>
          <cell r="AP95">
            <v>287381871.26324499</v>
          </cell>
          <cell r="AX95">
            <v>52586047892.668564</v>
          </cell>
        </row>
        <row r="96">
          <cell r="V96">
            <v>167581981.71165198</v>
          </cell>
          <cell r="AC96">
            <v>37775522487.500687</v>
          </cell>
          <cell r="AP96">
            <v>306956055.73529583</v>
          </cell>
          <cell r="AX96">
            <v>56398574303.73407</v>
          </cell>
        </row>
        <row r="97">
          <cell r="V97">
            <v>175999917.05447966</v>
          </cell>
          <cell r="AC97">
            <v>39805373231.065811</v>
          </cell>
          <cell r="AP97">
            <v>329514802.41548073</v>
          </cell>
          <cell r="AX97">
            <v>60517257724.242645</v>
          </cell>
        </row>
        <row r="98">
          <cell r="V98">
            <v>185423378.06687281</v>
          </cell>
          <cell r="AC98">
            <v>42071374499.105789</v>
          </cell>
          <cell r="AP98">
            <v>357739094.74778259</v>
          </cell>
          <cell r="AX98">
            <v>65260544541.096741</v>
          </cell>
        </row>
        <row r="99">
          <cell r="V99">
            <v>194420824.39918154</v>
          </cell>
          <cell r="AC99">
            <v>44251939740.666275</v>
          </cell>
          <cell r="AP99">
            <v>385953055.41325229</v>
          </cell>
          <cell r="AX99">
            <v>70038907560.286743</v>
          </cell>
        </row>
        <row r="100">
          <cell r="V100">
            <v>203375349.4183788</v>
          </cell>
          <cell r="AC100">
            <v>46448970063.835953</v>
          </cell>
          <cell r="AP100">
            <v>414558340.50768769</v>
          </cell>
          <cell r="AX100">
            <v>75145314707.584137</v>
          </cell>
        </row>
        <row r="101">
          <cell r="V101">
            <v>212783605.7517069</v>
          </cell>
          <cell r="AC101">
            <v>48768419827.343628</v>
          </cell>
          <cell r="AP101">
            <v>446012614.90093333</v>
          </cell>
          <cell r="AX101">
            <v>80755013398.677383</v>
          </cell>
        </row>
        <row r="102">
          <cell r="V102">
            <v>222778408.20074582</v>
          </cell>
          <cell r="AC102">
            <v>51262093313.643387</v>
          </cell>
          <cell r="AP102">
            <v>480970506.99782395</v>
          </cell>
          <cell r="AX102">
            <v>86965781113.857788</v>
          </cell>
        </row>
        <row r="103">
          <cell r="V103">
            <v>233696145.77034354</v>
          </cell>
          <cell r="AC103">
            <v>54014380636.449303</v>
          </cell>
          <cell r="AP103">
            <v>522579204.23366791</v>
          </cell>
          <cell r="AX103">
            <v>93196018575.96048</v>
          </cell>
        </row>
        <row r="104">
          <cell r="V104">
            <v>243617287.7989046</v>
          </cell>
          <cell r="AC104">
            <v>56606756426.829498</v>
          </cell>
          <cell r="AP104">
            <v>560269553.74001765</v>
          </cell>
          <cell r="AX104">
            <v>99079782517.093246</v>
          </cell>
        </row>
        <row r="105">
          <cell r="V105">
            <v>254306038.7629202</v>
          </cell>
          <cell r="AC105">
            <v>59399746370.928436</v>
          </cell>
          <cell r="AP105">
            <v>603213473.82613385</v>
          </cell>
          <cell r="AX105">
            <v>105440865247.79436</v>
          </cell>
        </row>
        <row r="106">
          <cell r="V106">
            <v>265527264.41522074</v>
          </cell>
          <cell r="AC106">
            <v>62340499701.779266</v>
          </cell>
          <cell r="AP106">
            <v>649931305.11922991</v>
          </cell>
          <cell r="AX106">
            <v>112235975665.96973</v>
          </cell>
        </row>
        <row r="107">
          <cell r="V107">
            <v>277603332.86239129</v>
          </cell>
          <cell r="AC107">
            <v>65532004945.990799</v>
          </cell>
          <cell r="AP107">
            <v>703535429.86106968</v>
          </cell>
          <cell r="AX107">
            <v>119706932837.73247</v>
          </cell>
        </row>
        <row r="108">
          <cell r="V108">
            <v>289640576.74629688</v>
          </cell>
          <cell r="AC108">
            <v>68768844670.414215</v>
          </cell>
          <cell r="AP108">
            <v>757580214.70599556</v>
          </cell>
          <cell r="AX108">
            <v>127388574365.60919</v>
          </cell>
        </row>
        <row r="109">
          <cell r="V109">
            <v>302124597.12039196</v>
          </cell>
          <cell r="AC109">
            <v>72138715519.073807</v>
          </cell>
          <cell r="AP109">
            <v>815166377.87959993</v>
          </cell>
          <cell r="AX109">
            <v>135508522026.69003</v>
          </cell>
        </row>
        <row r="110">
          <cell r="V110">
            <v>315027999.53681439</v>
          </cell>
          <cell r="AC110">
            <v>75639109455.206757</v>
          </cell>
          <cell r="AP110">
            <v>876159980.2932781</v>
          </cell>
          <cell r="AX110">
            <v>144037579189.75638</v>
          </cell>
        </row>
        <row r="111">
          <cell r="V111">
            <v>327352007.61905318</v>
          </cell>
          <cell r="AC111">
            <v>79051688007.234146</v>
          </cell>
          <cell r="AP111">
            <v>935570208.63785994</v>
          </cell>
          <cell r="AX111">
            <v>152565048984.40991</v>
          </cell>
        </row>
        <row r="112">
          <cell r="V112">
            <v>339971288.30634511</v>
          </cell>
          <cell r="AC112">
            <v>82587643195.196457</v>
          </cell>
          <cell r="AP112">
            <v>997846348.54744089</v>
          </cell>
          <cell r="AX112">
            <v>161478733270.2373</v>
          </cell>
        </row>
        <row r="113">
          <cell r="V113">
            <v>353111003.41524971</v>
          </cell>
          <cell r="AC113">
            <v>86293212409.659882</v>
          </cell>
          <cell r="AP113">
            <v>1064594664.5463308</v>
          </cell>
          <cell r="AX113">
            <v>170979609074.99893</v>
          </cell>
        </row>
        <row r="114">
          <cell r="V114">
            <v>365755366.70645767</v>
          </cell>
          <cell r="AC114">
            <v>89885048081.946091</v>
          </cell>
          <cell r="AP114">
            <v>1129630991.8206859</v>
          </cell>
          <cell r="AX114">
            <v>180348313868.13831</v>
          </cell>
        </row>
        <row r="115">
          <cell r="V115">
            <v>378046226.23487616</v>
          </cell>
          <cell r="AC115">
            <v>93428482962.478302</v>
          </cell>
          <cell r="AP115">
            <v>1194028619.5350912</v>
          </cell>
          <cell r="AX115">
            <v>189839815428.45477</v>
          </cell>
        </row>
        <row r="116">
          <cell r="V116">
            <v>390511373.93147612</v>
          </cell>
          <cell r="AC116">
            <v>97046915237.032288</v>
          </cell>
          <cell r="AP116">
            <v>1260040041.0539813</v>
          </cell>
          <cell r="AX116">
            <v>199532956830.49274</v>
          </cell>
        </row>
        <row r="117">
          <cell r="V117">
            <v>404943253.959782</v>
          </cell>
          <cell r="AC117">
            <v>101188761125.21231</v>
          </cell>
          <cell r="AP117">
            <v>1344081352.5241055</v>
          </cell>
          <cell r="AX117">
            <v>210766184407.81348</v>
          </cell>
        </row>
        <row r="118">
          <cell r="V118">
            <v>419735185.77814412</v>
          </cell>
          <cell r="AC118">
            <v>105458195260.15805</v>
          </cell>
          <cell r="AP118">
            <v>1432039320.8245881</v>
          </cell>
          <cell r="AX118">
            <v>222423209319.61676</v>
          </cell>
        </row>
        <row r="119">
          <cell r="V119">
            <v>435052960.42756855</v>
          </cell>
          <cell r="AC119">
            <v>109894413545.62979</v>
          </cell>
          <cell r="AP119">
            <v>1525568437.5434473</v>
          </cell>
          <cell r="AX119">
            <v>234745270847.37469</v>
          </cell>
        </row>
        <row r="120">
          <cell r="V120">
            <v>452217476.15433073</v>
          </cell>
          <cell r="AC120">
            <v>114836393007.58185</v>
          </cell>
          <cell r="AP120">
            <v>1628798729.0543163</v>
          </cell>
          <cell r="AX120">
            <v>248350829112.60999</v>
          </cell>
        </row>
        <row r="121">
          <cell r="V121">
            <v>470276847.49164855</v>
          </cell>
          <cell r="AC121">
            <v>119999812539.48322</v>
          </cell>
          <cell r="AP121">
            <v>1738563971.264241</v>
          </cell>
          <cell r="AX121">
            <v>262754075778.43884</v>
          </cell>
        </row>
        <row r="122">
          <cell r="V122">
            <v>488734547.62832987</v>
          </cell>
          <cell r="AC122">
            <v>125252227338.68016</v>
          </cell>
          <cell r="AP122">
            <v>1852436670.440429</v>
          </cell>
          <cell r="AX122">
            <v>277585873156.98199</v>
          </cell>
        </row>
        <row r="123">
          <cell r="V123">
            <v>507662103.96216726</v>
          </cell>
          <cell r="AC123">
            <v>130606402724.27231</v>
          </cell>
          <cell r="AP123">
            <v>1971157691.5300508</v>
          </cell>
          <cell r="AX123">
            <v>292951691073.6546</v>
          </cell>
        </row>
        <row r="124">
          <cell r="V124">
            <v>527207176.02591836</v>
          </cell>
          <cell r="AC124">
            <v>136134487047.03525</v>
          </cell>
          <cell r="AP124">
            <v>2096324998.8739772</v>
          </cell>
          <cell r="AX124">
            <v>308999929704.14777</v>
          </cell>
        </row>
        <row r="125">
          <cell r="V125">
            <v>547407846.45526314</v>
          </cell>
          <cell r="AC125">
            <v>141850240330.72849</v>
          </cell>
          <cell r="AP125">
            <v>2228464988.4711142</v>
          </cell>
          <cell r="AX125">
            <v>325797740690.42065</v>
          </cell>
        </row>
        <row r="126">
          <cell r="V126">
            <v>568291875.75056374</v>
          </cell>
          <cell r="AC126">
            <v>147778387597.01688</v>
          </cell>
          <cell r="AP126">
            <v>2368015210.344523</v>
          </cell>
          <cell r="AX126">
            <v>343429356242.59796</v>
          </cell>
        </row>
        <row r="127">
          <cell r="V127">
            <v>587635411.19619036</v>
          </cell>
          <cell r="AC127">
            <v>153340263558.05865</v>
          </cell>
          <cell r="AP127">
            <v>2490284827.303422</v>
          </cell>
          <cell r="AX127">
            <v>360268332665.47449</v>
          </cell>
        </row>
        <row r="128">
          <cell r="V128">
            <v>607338904.11603379</v>
          </cell>
          <cell r="AC128">
            <v>159079586864.54385</v>
          </cell>
          <cell r="AP128">
            <v>2618488668.6845102</v>
          </cell>
          <cell r="AX128">
            <v>377899092378.49017</v>
          </cell>
        </row>
        <row r="129">
          <cell r="V129">
            <v>627141455.97532594</v>
          </cell>
          <cell r="AC129">
            <v>164800593943.25787</v>
          </cell>
          <cell r="AP129">
            <v>2749732517.0478597</v>
          </cell>
          <cell r="AX129">
            <v>395740528013.62079</v>
          </cell>
        </row>
        <row r="130">
          <cell r="V130">
            <v>647524998.88385391</v>
          </cell>
          <cell r="AC130">
            <v>170654071366.56555</v>
          </cell>
          <cell r="AP130">
            <v>2887088548.7873549</v>
          </cell>
          <cell r="AX130">
            <v>414304873673.53284</v>
          </cell>
        </row>
        <row r="131">
          <cell r="V131">
            <v>668386393.94724107</v>
          </cell>
          <cell r="AC131">
            <v>176663632022.48547</v>
          </cell>
          <cell r="AP131">
            <v>3029403214.2733245</v>
          </cell>
          <cell r="AX131">
            <v>433482417806.94659</v>
          </cell>
        </row>
        <row r="132">
          <cell r="V132">
            <v>689317331.65942764</v>
          </cell>
          <cell r="AC132">
            <v>182849481859.62692</v>
          </cell>
          <cell r="AP132">
            <v>3178900510.2032356</v>
          </cell>
          <cell r="AX132">
            <v>453607341901.58472</v>
          </cell>
        </row>
        <row r="133">
          <cell r="V133">
            <v>710666343.18758678</v>
          </cell>
          <cell r="AC133">
            <v>189187980091.12677</v>
          </cell>
          <cell r="AP133">
            <v>3333332204.5453725</v>
          </cell>
          <cell r="AX133">
            <v>474333213357.5871</v>
          </cell>
        </row>
        <row r="134">
          <cell r="V134">
            <v>732767601.40389013</v>
          </cell>
          <cell r="AC134">
            <v>195766968398.25323</v>
          </cell>
          <cell r="AP134">
            <v>3496676947.5983858</v>
          </cell>
          <cell r="AX134">
            <v>496221793144.54565</v>
          </cell>
        </row>
        <row r="135">
          <cell r="V135">
            <v>755277794.18346047</v>
          </cell>
          <cell r="AC135">
            <v>202526300410.45764</v>
          </cell>
          <cell r="AP135">
            <v>3664855777.253932</v>
          </cell>
          <cell r="AX135">
            <v>518764164299.60895</v>
          </cell>
        </row>
        <row r="136">
          <cell r="V136">
            <v>778565751.56992579</v>
          </cell>
          <cell r="AC136">
            <v>209538403378.79031</v>
          </cell>
          <cell r="AP136">
            <v>3842523923.4549203</v>
          </cell>
          <cell r="AX136">
            <v>542544492609.75323</v>
          </cell>
        </row>
        <row r="137">
          <cell r="V137">
            <v>801799565.46383643</v>
          </cell>
          <cell r="AC137">
            <v>216580590755.66705</v>
          </cell>
          <cell r="AP137">
            <v>4019255949.2575598</v>
          </cell>
          <cell r="AX137">
            <v>566596711931.03333</v>
          </cell>
        </row>
        <row r="138">
          <cell r="V138">
            <v>825777171.01631737</v>
          </cell>
          <cell r="AC138">
            <v>223868921821.23859</v>
          </cell>
          <cell r="AP138">
            <v>4205139783.6222415</v>
          </cell>
          <cell r="AX138">
            <v>591868959593.61682</v>
          </cell>
        </row>
        <row r="139">
          <cell r="V139">
            <v>850257679.68527317</v>
          </cell>
          <cell r="AC139">
            <v>231339943225.06943</v>
          </cell>
          <cell r="AP139">
            <v>4397188034.7593756</v>
          </cell>
          <cell r="AX139">
            <v>617936612780.5426</v>
          </cell>
        </row>
        <row r="140">
          <cell r="V140">
            <v>875471609.77306271</v>
          </cell>
          <cell r="AC140">
            <v>239057974467.84601</v>
          </cell>
          <cell r="AP140">
            <v>4598499425.8411484</v>
          </cell>
          <cell r="AX140">
            <v>645231712010.26758</v>
          </cell>
        </row>
        <row r="141">
          <cell r="V141">
            <v>898859857.29708958</v>
          </cell>
          <cell r="AC141">
            <v>246323764200.21765</v>
          </cell>
          <cell r="AP141">
            <v>4794256777.6503239</v>
          </cell>
          <cell r="AX141">
            <v>671673699391.93896</v>
          </cell>
        </row>
        <row r="142">
          <cell r="V142">
            <v>921672301.2988739</v>
          </cell>
          <cell r="AC142">
            <v>253007641820.4473</v>
          </cell>
          <cell r="AP142">
            <v>4991936780.9411535</v>
          </cell>
          <cell r="AX142">
            <v>697024127429.43274</v>
          </cell>
        </row>
        <row r="143">
          <cell r="V143">
            <v>944935035.85223341</v>
          </cell>
          <cell r="AC143">
            <v>259836070236.0629</v>
          </cell>
          <cell r="AP143">
            <v>5196349477.904974</v>
          </cell>
          <cell r="AX143">
            <v>723153991574.85925</v>
          </cell>
        </row>
        <row r="144">
          <cell r="V144">
            <v>968703798.83815849</v>
          </cell>
          <cell r="AC144">
            <v>266824986868.04095</v>
          </cell>
          <cell r="AP144">
            <v>5408365969.9115744</v>
          </cell>
          <cell r="AX144">
            <v>750177564832.29272</v>
          </cell>
        </row>
        <row r="145">
          <cell r="V145">
            <v>992986825.19813633</v>
          </cell>
          <cell r="AC145">
            <v>273958814111.71777</v>
          </cell>
          <cell r="AP145">
            <v>5628224258.9759941</v>
          </cell>
          <cell r="AX145">
            <v>778067589082.02295</v>
          </cell>
        </row>
        <row r="146">
          <cell r="V146">
            <v>1017744177.4387813</v>
          </cell>
          <cell r="AC146">
            <v>281223124210.38538</v>
          </cell>
          <cell r="AP146">
            <v>5855478438.6725941</v>
          </cell>
          <cell r="AX146">
            <v>806741641705.47852</v>
          </cell>
        </row>
        <row r="147">
          <cell r="V147">
            <v>1043007953.3567982</v>
          </cell>
          <cell r="AC147">
            <v>288489743239.54462</v>
          </cell>
          <cell r="AP147">
            <v>6090695500.6899061</v>
          </cell>
          <cell r="AX147">
            <v>835950889911.18213</v>
          </cell>
        </row>
        <row r="148">
          <cell r="V148">
            <v>1068707758.8007902</v>
          </cell>
          <cell r="AC148">
            <v>295890484864.54663</v>
          </cell>
          <cell r="AP148">
            <v>6332962252.0089922</v>
          </cell>
          <cell r="AX148">
            <v>865913710092.00488</v>
          </cell>
        </row>
        <row r="149">
          <cell r="V149">
            <v>1095315856.0071397</v>
          </cell>
          <cell r="AC149">
            <v>303556559100.55206</v>
          </cell>
          <cell r="AP149">
            <v>6589362314.9407263</v>
          </cell>
          <cell r="AX149">
            <v>897540536812.05164</v>
          </cell>
        </row>
        <row r="150">
          <cell r="V150">
            <v>1122800303.4681206</v>
          </cell>
          <cell r="AC150">
            <v>311479817281.56726</v>
          </cell>
          <cell r="AP150">
            <v>6859755937.3216248</v>
          </cell>
          <cell r="AX150">
            <v>930752552492.18628</v>
          </cell>
        </row>
        <row r="151">
          <cell r="V151">
            <v>1151048431.8989196</v>
          </cell>
          <cell r="AC151">
            <v>319629656857.94055</v>
          </cell>
          <cell r="AP151">
            <v>7142756721.1195545</v>
          </cell>
          <cell r="AX151">
            <v>965425214423.20288</v>
          </cell>
        </row>
        <row r="152">
          <cell r="V152">
            <v>1179687069.2628458</v>
          </cell>
          <cell r="AC152">
            <v>327902941975.96893</v>
          </cell>
          <cell r="AP152">
            <v>7432874383.2036371</v>
          </cell>
          <cell r="AX152">
            <v>1000803815036.219</v>
          </cell>
        </row>
        <row r="153">
          <cell r="V153">
            <v>1209170353.853945</v>
          </cell>
          <cell r="AC153">
            <v>336426311531.67456</v>
          </cell>
          <cell r="AP153">
            <v>7737246482.6685448</v>
          </cell>
          <cell r="AX153">
            <v>1037839032301.1422</v>
          </cell>
        </row>
        <row r="154">
          <cell r="V154">
            <v>1238999923.2339463</v>
          </cell>
          <cell r="AC154">
            <v>345061624419.94843</v>
          </cell>
          <cell r="AP154">
            <v>8048299332.175251</v>
          </cell>
          <cell r="AX154">
            <v>1075501409277.6716</v>
          </cell>
        </row>
        <row r="155">
          <cell r="V155">
            <v>1269736953.2918205</v>
          </cell>
          <cell r="AC155">
            <v>353965566344.8999</v>
          </cell>
          <cell r="AP155">
            <v>8375037832.3599243</v>
          </cell>
          <cell r="AX155">
            <v>1114984124480.5085</v>
          </cell>
        </row>
        <row r="156">
          <cell r="V156">
            <v>1297729383.8898962</v>
          </cell>
          <cell r="AC156">
            <v>364177719868.71313</v>
          </cell>
          <cell r="AP156">
            <v>8695822621.0051651</v>
          </cell>
          <cell r="AX156">
            <v>1159952956068.3447</v>
          </cell>
        </row>
        <row r="157">
          <cell r="V157">
            <v>1323458277.347769</v>
          </cell>
          <cell r="AC157">
            <v>373977786119.06287</v>
          </cell>
          <cell r="AP157">
            <v>9023509897.5102253</v>
          </cell>
          <cell r="AX157">
            <v>1205912062943.2522</v>
          </cell>
        </row>
        <row r="158">
          <cell r="V158">
            <v>1349425677.1484809</v>
          </cell>
          <cell r="AC158">
            <v>383942079996.68085</v>
          </cell>
          <cell r="AP158">
            <v>9358523020.9325867</v>
          </cell>
          <cell r="AX158">
            <v>1252988476340.1565</v>
          </cell>
        </row>
        <row r="159">
          <cell r="V159">
            <v>1377127335.6547596</v>
          </cell>
          <cell r="AC159">
            <v>394500257982.20782</v>
          </cell>
          <cell r="AP159">
            <v>9726305289.6209793</v>
          </cell>
          <cell r="AX159">
            <v>1304597936137.2473</v>
          </cell>
        </row>
        <row r="160">
          <cell r="V160">
            <v>1404468718.31515</v>
          </cell>
          <cell r="AC160">
            <v>405058120924.99738</v>
          </cell>
          <cell r="AP160">
            <v>10105451224.172171</v>
          </cell>
          <cell r="AX160">
            <v>1357885465861.3477</v>
          </cell>
        </row>
        <row r="161">
          <cell r="V161">
            <v>1432413120.0496335</v>
          </cell>
          <cell r="AC161">
            <v>415893029446.25275</v>
          </cell>
          <cell r="AP161">
            <v>10500110763.979519</v>
          </cell>
          <cell r="AX161">
            <v>1413415234530.2522</v>
          </cell>
        </row>
        <row r="162">
          <cell r="V162">
            <v>1454200327.6644249</v>
          </cell>
          <cell r="AC162">
            <v>423482980213.40778</v>
          </cell>
          <cell r="AP162">
            <v>10790164733.976358</v>
          </cell>
          <cell r="AX162">
            <v>1449694116522.0674</v>
          </cell>
        </row>
        <row r="163">
          <cell r="V163">
            <v>1472399035.1438432</v>
          </cell>
          <cell r="AC163">
            <v>429241059670.69849</v>
          </cell>
          <cell r="AP163">
            <v>11017952068.933083</v>
          </cell>
          <cell r="AX163">
            <v>1474690017896.6863</v>
          </cell>
        </row>
        <row r="164">
          <cell r="V164">
            <v>1485956523.4301889</v>
          </cell>
          <cell r="AC164">
            <v>433655303815.53729</v>
          </cell>
          <cell r="AP164">
            <v>11163184362.18907</v>
          </cell>
          <cell r="AX164">
            <v>1489521941395.0293</v>
          </cell>
        </row>
        <row r="165">
          <cell r="V165">
            <v>1496964404.1359634</v>
          </cell>
          <cell r="AC165">
            <v>437332423583.33014</v>
          </cell>
          <cell r="AP165">
            <v>11262480759.098345</v>
          </cell>
          <cell r="AX165">
            <v>1498721339073.4414</v>
          </cell>
        </row>
        <row r="166">
          <cell r="V166">
            <v>1508007355.3340783</v>
          </cell>
          <cell r="AC166">
            <v>441028555324.96997</v>
          </cell>
          <cell r="AP166">
            <v>11362206376.090078</v>
          </cell>
          <cell r="AX166">
            <v>1507943374675.9927</v>
          </cell>
        </row>
      </sheetData>
      <sheetData sheetId="15">
        <row r="7">
          <cell r="V7">
            <v>25211.862821914787</v>
          </cell>
          <cell r="AC7">
            <v>2986538.0741052823</v>
          </cell>
          <cell r="AP7">
            <v>18630.906420102652</v>
          </cell>
          <cell r="AX7">
            <v>1988582.215822883</v>
          </cell>
        </row>
        <row r="8">
          <cell r="V8">
            <v>33094.83962683862</v>
          </cell>
          <cell r="AC8">
            <v>4065052.9560200293</v>
          </cell>
          <cell r="AP8">
            <v>26138.01180511267</v>
          </cell>
          <cell r="AX8">
            <v>2898295.4021830517</v>
          </cell>
        </row>
        <row r="9">
          <cell r="V9">
            <v>41901.085672923</v>
          </cell>
          <cell r="AC9">
            <v>5325359.563089963</v>
          </cell>
          <cell r="AP9">
            <v>35133.696796633471</v>
          </cell>
          <cell r="AX9">
            <v>4038409.8955669189</v>
          </cell>
        </row>
        <row r="10">
          <cell r="V10">
            <v>52158.800802762838</v>
          </cell>
          <cell r="AC10">
            <v>6845907.8483008984</v>
          </cell>
          <cell r="AP10">
            <v>46191.959120675587</v>
          </cell>
          <cell r="AX10">
            <v>5493044.1015614569</v>
          </cell>
        </row>
        <row r="11">
          <cell r="V11">
            <v>64004.574896206395</v>
          </cell>
          <cell r="AC11">
            <v>8660283.5269786268</v>
          </cell>
          <cell r="AP11">
            <v>59620.011780665751</v>
          </cell>
          <cell r="AX11">
            <v>7321819.9062848678</v>
          </cell>
        </row>
        <row r="12">
          <cell r="V12">
            <v>77583.00540735705</v>
          </cell>
          <cell r="AC12">
            <v>10804620.367661037</v>
          </cell>
          <cell r="AP12">
            <v>75755.24401134433</v>
          </cell>
          <cell r="AX12">
            <v>9591952.4701698013</v>
          </cell>
        </row>
        <row r="13">
          <cell r="V13">
            <v>93046.988800230611</v>
          </cell>
          <cell r="AC13">
            <v>13317711.104205169</v>
          </cell>
          <cell r="AP13">
            <v>94967.16330556637</v>
          </cell>
          <cell r="AX13">
            <v>12378872.585375516</v>
          </cell>
        </row>
        <row r="14">
          <cell r="V14">
            <v>110266.62236620928</v>
          </cell>
          <cell r="AC14">
            <v>16198314.523280682</v>
          </cell>
          <cell r="AP14">
            <v>117349.30359766062</v>
          </cell>
          <cell r="AX14">
            <v>15725323.201168623</v>
          </cell>
        </row>
        <row r="15">
          <cell r="V15">
            <v>128876.50435109838</v>
          </cell>
          <cell r="AC15">
            <v>19406980.316244952</v>
          </cell>
          <cell r="AP15">
            <v>142710.55610240364</v>
          </cell>
          <cell r="AX15">
            <v>19635008.101316508</v>
          </cell>
        </row>
        <row r="16">
          <cell r="V16">
            <v>149653.44945725967</v>
          </cell>
          <cell r="AC16">
            <v>23063614.279016405</v>
          </cell>
          <cell r="AP16">
            <v>172057.51833312662</v>
          </cell>
          <cell r="AX16">
            <v>24271770.541301109</v>
          </cell>
        </row>
        <row r="17">
          <cell r="V17">
            <v>177275.07269752456</v>
          </cell>
          <cell r="AC17">
            <v>27449810.369036093</v>
          </cell>
          <cell r="AP17">
            <v>206506.28942726762</v>
          </cell>
          <cell r="AX17">
            <v>29897496.306512322</v>
          </cell>
        </row>
        <row r="18">
          <cell r="V18">
            <v>208626.51421429659</v>
          </cell>
          <cell r="AC18">
            <v>31811071.948054709</v>
          </cell>
          <cell r="AP18">
            <v>237100.450711085</v>
          </cell>
          <cell r="AX18">
            <v>34480527.590615727</v>
          </cell>
        </row>
        <row r="19">
          <cell r="V19">
            <v>242665.09271479351</v>
          </cell>
          <cell r="AC19">
            <v>36464564.564117774</v>
          </cell>
          <cell r="AP19">
            <v>269719.49972314207</v>
          </cell>
          <cell r="AX19">
            <v>39388961.12814869</v>
          </cell>
        </row>
        <row r="20">
          <cell r="V20">
            <v>280478.49844679073</v>
          </cell>
          <cell r="AC20">
            <v>41563120.925877497</v>
          </cell>
          <cell r="AP20">
            <v>305235.6568722208</v>
          </cell>
          <cell r="AX20">
            <v>44753891.875192001</v>
          </cell>
        </row>
        <row r="21">
          <cell r="V21">
            <v>322281.97237917263</v>
          </cell>
          <cell r="AC21">
            <v>47124543.295854144</v>
          </cell>
          <cell r="AP21">
            <v>343553.69230546273</v>
          </cell>
          <cell r="AX21">
            <v>50565550.787155852</v>
          </cell>
        </row>
        <row r="22">
          <cell r="V22">
            <v>368486.40028667223</v>
          </cell>
          <cell r="AC22">
            <v>53194786.545883171</v>
          </cell>
          <cell r="AP22">
            <v>385397.4703666456</v>
          </cell>
          <cell r="AX22">
            <v>56934615.682086855</v>
          </cell>
        </row>
        <row r="23">
          <cell r="V23">
            <v>419230.92448559415</v>
          </cell>
          <cell r="AC23">
            <v>59779528.568818577</v>
          </cell>
          <cell r="AP23">
            <v>430357.89559280529</v>
          </cell>
          <cell r="AX23">
            <v>63805092.022095278</v>
          </cell>
        </row>
        <row r="24">
          <cell r="V24">
            <v>475129.12454955344</v>
          </cell>
          <cell r="AC24">
            <v>67875546.931725413</v>
          </cell>
          <cell r="AP24">
            <v>479847.09730577789</v>
          </cell>
          <cell r="AX24">
            <v>72375900.978216201</v>
          </cell>
        </row>
        <row r="25">
          <cell r="V25">
            <v>536379.321936297</v>
          </cell>
          <cell r="AC25">
            <v>75945102.126425669</v>
          </cell>
          <cell r="AP25">
            <v>533673.75728913827</v>
          </cell>
          <cell r="AX25">
            <v>80971089.161451206</v>
          </cell>
        </row>
        <row r="26">
          <cell r="V26">
            <v>599902.67248660233</v>
          </cell>
          <cell r="AC26">
            <v>84458119.950612888</v>
          </cell>
          <cell r="AP26">
            <v>589756.23216186836</v>
          </cell>
          <cell r="AX26">
            <v>90092818.460595191</v>
          </cell>
        </row>
        <row r="27">
          <cell r="V27">
            <v>672786.09876793553</v>
          </cell>
          <cell r="AC27">
            <v>95475827.34282887</v>
          </cell>
          <cell r="AP27">
            <v>650631.65096546023</v>
          </cell>
          <cell r="AX27">
            <v>100335350.32392246</v>
          </cell>
        </row>
        <row r="28">
          <cell r="V28">
            <v>750976.23307994287</v>
          </cell>
          <cell r="AC28">
            <v>107406597.3033317</v>
          </cell>
          <cell r="AP28">
            <v>716029.9450240056</v>
          </cell>
          <cell r="AX28">
            <v>111449341.62497938</v>
          </cell>
        </row>
        <row r="29">
          <cell r="V29">
            <v>834579.47679032164</v>
          </cell>
          <cell r="AC29">
            <v>120280550.02287784</v>
          </cell>
          <cell r="AP29">
            <v>786066.37566317036</v>
          </cell>
          <cell r="AX29">
            <v>123470042.08388558</v>
          </cell>
        </row>
        <row r="30">
          <cell r="V30">
            <v>923284.52521958097</v>
          </cell>
          <cell r="AC30">
            <v>134067270.26961556</v>
          </cell>
          <cell r="AP30">
            <v>859105.6171351556</v>
          </cell>
          <cell r="AX30">
            <v>136155613.63741666</v>
          </cell>
        </row>
        <row r="31">
          <cell r="V31">
            <v>1017559.0942465661</v>
          </cell>
          <cell r="AC31">
            <v>148862084.98155245</v>
          </cell>
          <cell r="AP31">
            <v>936304.11155991815</v>
          </cell>
          <cell r="AX31">
            <v>149714667.36681092</v>
          </cell>
        </row>
        <row r="32">
          <cell r="V32">
            <v>1120545.9851546728</v>
          </cell>
          <cell r="AC32">
            <v>165142069.81096336</v>
          </cell>
          <cell r="AP32">
            <v>1020733.5666176054</v>
          </cell>
          <cell r="AX32">
            <v>164656438.34233421</v>
          </cell>
        </row>
        <row r="33">
          <cell r="V33">
            <v>1232481.4278444643</v>
          </cell>
          <cell r="AC33">
            <v>182958394.88341993</v>
          </cell>
          <cell r="AP33">
            <v>1113021.5675308646</v>
          </cell>
          <cell r="AX33">
            <v>181102042.74507451</v>
          </cell>
        </row>
        <row r="34">
          <cell r="V34">
            <v>1359670.7753917617</v>
          </cell>
          <cell r="AC34">
            <v>202695168.49473745</v>
          </cell>
          <cell r="AP34">
            <v>1214691.1846017626</v>
          </cell>
          <cell r="AX34">
            <v>199264892.55653402</v>
          </cell>
        </row>
        <row r="35">
          <cell r="V35">
            <v>1528779.4872143052</v>
          </cell>
          <cell r="AC35">
            <v>226507117.74760753</v>
          </cell>
          <cell r="AP35">
            <v>1336245.8229684024</v>
          </cell>
          <cell r="AX35">
            <v>220792240.90581185</v>
          </cell>
        </row>
        <row r="36">
          <cell r="V36">
            <v>1713611.3367184459</v>
          </cell>
          <cell r="AC36">
            <v>252247437.01648545</v>
          </cell>
          <cell r="AP36">
            <v>1467601.8195649928</v>
          </cell>
          <cell r="AX36">
            <v>244104339.97811496</v>
          </cell>
        </row>
        <row r="37">
          <cell r="V37">
            <v>1950162.9548620465</v>
          </cell>
          <cell r="AC37">
            <v>286195750.21566111</v>
          </cell>
          <cell r="AP37">
            <v>1616940.5232730822</v>
          </cell>
          <cell r="AX37">
            <v>271575531.09863228</v>
          </cell>
        </row>
        <row r="38">
          <cell r="V38">
            <v>2210631.4231098723</v>
          </cell>
          <cell r="AC38">
            <v>323466029.84709036</v>
          </cell>
          <cell r="AP38">
            <v>1779625.2486065286</v>
          </cell>
          <cell r="AX38">
            <v>301759098.94855022</v>
          </cell>
        </row>
        <row r="39">
          <cell r="V39">
            <v>2495298.3289206643</v>
          </cell>
          <cell r="AC39">
            <v>364078848.52586627</v>
          </cell>
          <cell r="AP39">
            <v>1951900.3316082316</v>
          </cell>
          <cell r="AX39">
            <v>334066881.56778908</v>
          </cell>
        </row>
        <row r="40">
          <cell r="V40">
            <v>2807835.9132140442</v>
          </cell>
          <cell r="AC40">
            <v>408710260.38224006</v>
          </cell>
          <cell r="AP40">
            <v>2141304.1382815265</v>
          </cell>
          <cell r="AX40">
            <v>369982258.8636173</v>
          </cell>
        </row>
        <row r="41">
          <cell r="V41">
            <v>3164075.3725227062</v>
          </cell>
          <cell r="AC41">
            <v>458527754.49588627</v>
          </cell>
          <cell r="AP41">
            <v>2346147.3292787955</v>
          </cell>
          <cell r="AX41">
            <v>409375761.97760659</v>
          </cell>
        </row>
        <row r="42">
          <cell r="V42">
            <v>3563119.8461875711</v>
          </cell>
          <cell r="AC42">
            <v>513537361.45394456</v>
          </cell>
          <cell r="AP42">
            <v>2568864.5077003376</v>
          </cell>
          <cell r="AX42">
            <v>452946290.24041629</v>
          </cell>
        </row>
        <row r="43">
          <cell r="V43">
            <v>3998018.5098870248</v>
          </cell>
          <cell r="AC43">
            <v>573145863.7732141</v>
          </cell>
          <cell r="AP43">
            <v>2805678.2584381825</v>
          </cell>
          <cell r="AX43">
            <v>499666250.76244664</v>
          </cell>
        </row>
        <row r="44">
          <cell r="V44">
            <v>4472002.8699101415</v>
          </cell>
          <cell r="AC44">
            <v>637684287.67337513</v>
          </cell>
          <cell r="AP44">
            <v>3061162.7742563994</v>
          </cell>
          <cell r="AX44">
            <v>550344736.04386425</v>
          </cell>
        </row>
        <row r="45">
          <cell r="V45">
            <v>4985172.3865326103</v>
          </cell>
          <cell r="AC45">
            <v>707242341.70480692</v>
          </cell>
          <cell r="AP45">
            <v>3333321.1830187459</v>
          </cell>
          <cell r="AX45">
            <v>604807395.59762502</v>
          </cell>
        </row>
        <row r="46">
          <cell r="V46">
            <v>5494725.7430782774</v>
          </cell>
          <cell r="AC46">
            <v>780007735.3825469</v>
          </cell>
          <cell r="AP46">
            <v>3607866.1227920353</v>
          </cell>
          <cell r="AX46">
            <v>661627775.69891071</v>
          </cell>
        </row>
        <row r="47">
          <cell r="V47">
            <v>5846303.15187605</v>
          </cell>
          <cell r="AC47">
            <v>837532223.2022264</v>
          </cell>
          <cell r="AP47">
            <v>3860524.4268589346</v>
          </cell>
          <cell r="AX47">
            <v>713341317.48301125</v>
          </cell>
        </row>
        <row r="48">
          <cell r="V48">
            <v>6215020.2403159123</v>
          </cell>
          <cell r="AC48">
            <v>898474435.31451619</v>
          </cell>
          <cell r="AP48">
            <v>4128145.1740402677</v>
          </cell>
          <cell r="AX48">
            <v>768473325.30523014</v>
          </cell>
        </row>
        <row r="49">
          <cell r="V49">
            <v>6610235.5546368714</v>
          </cell>
          <cell r="AC49">
            <v>965209242.86421824</v>
          </cell>
          <cell r="AP49">
            <v>4422780.9815874929</v>
          </cell>
          <cell r="AX49">
            <v>829729749.56490731</v>
          </cell>
        </row>
        <row r="50">
          <cell r="V50">
            <v>7033540.9813911319</v>
          </cell>
          <cell r="AC50">
            <v>1037225672.5585015</v>
          </cell>
          <cell r="AP50">
            <v>4733103.7330472376</v>
          </cell>
          <cell r="AX50">
            <v>894978275.89706159</v>
          </cell>
        </row>
        <row r="51">
          <cell r="V51">
            <v>7489370.0182654001</v>
          </cell>
          <cell r="AC51">
            <v>1115571609.8823805</v>
          </cell>
          <cell r="AP51">
            <v>5073159.2110358961</v>
          </cell>
          <cell r="AX51">
            <v>966715662.06745982</v>
          </cell>
        </row>
        <row r="52">
          <cell r="V52">
            <v>7967089.484291682</v>
          </cell>
          <cell r="AC52">
            <v>1198475807.5323462</v>
          </cell>
          <cell r="AP52">
            <v>5436715.1355241733</v>
          </cell>
          <cell r="AX52">
            <v>1043862384.7747462</v>
          </cell>
        </row>
        <row r="53">
          <cell r="V53">
            <v>8464883.2355343737</v>
          </cell>
          <cell r="AC53">
            <v>1285744292.4855998</v>
          </cell>
          <cell r="AP53">
            <v>5828948.921851404</v>
          </cell>
          <cell r="AX53">
            <v>1127082084.6648459</v>
          </cell>
        </row>
        <row r="54">
          <cell r="V54">
            <v>8970791.2056854982</v>
          </cell>
          <cell r="AC54">
            <v>1375615815.9633634</v>
          </cell>
          <cell r="AP54">
            <v>6240557.2646627771</v>
          </cell>
          <cell r="AX54">
            <v>1215026447.7833552</v>
          </cell>
        </row>
        <row r="55">
          <cell r="V55">
            <v>9478927.3083290681</v>
          </cell>
          <cell r="AC55">
            <v>1467199254.5332308</v>
          </cell>
          <cell r="AP55">
            <v>6664438.3924368573</v>
          </cell>
          <cell r="AX55">
            <v>1306362232.6968756</v>
          </cell>
        </row>
        <row r="56">
          <cell r="V56">
            <v>10093677.628258254</v>
          </cell>
          <cell r="AC56">
            <v>1571356814.9913208</v>
          </cell>
          <cell r="AP56">
            <v>7148502.344417599</v>
          </cell>
          <cell r="AX56">
            <v>1408957455.1455178</v>
          </cell>
        </row>
        <row r="57">
          <cell r="V57">
            <v>10807740.4884644</v>
          </cell>
          <cell r="AC57">
            <v>1704894843.1044393</v>
          </cell>
          <cell r="AP57">
            <v>7674983.613610344</v>
          </cell>
          <cell r="AX57">
            <v>1532406903.2558393</v>
          </cell>
        </row>
        <row r="58">
          <cell r="V58">
            <v>11568827.733361579</v>
          </cell>
          <cell r="AC58">
            <v>1851029089.1146054</v>
          </cell>
          <cell r="AP58">
            <v>8253526.6075493265</v>
          </cell>
          <cell r="AX58">
            <v>1670664483.5374639</v>
          </cell>
        </row>
        <row r="59">
          <cell r="V59">
            <v>12370167.023409486</v>
          </cell>
          <cell r="AC59">
            <v>2007644990.4988377</v>
          </cell>
          <cell r="AP59">
            <v>8866872.7100525387</v>
          </cell>
          <cell r="AX59">
            <v>1819354141.18611</v>
          </cell>
        </row>
        <row r="60">
          <cell r="V60">
            <v>13282908.376313984</v>
          </cell>
          <cell r="AC60">
            <v>2180974816.8548756</v>
          </cell>
          <cell r="AP60">
            <v>9573971.7098032292</v>
          </cell>
          <cell r="AX60">
            <v>1983713553.3198581</v>
          </cell>
        </row>
        <row r="61">
          <cell r="V61">
            <v>14270963.107596092</v>
          </cell>
          <cell r="AC61">
            <v>2367242287.721158</v>
          </cell>
          <cell r="AP61">
            <v>10328623.724939143</v>
          </cell>
          <cell r="AX61">
            <v>2159274572.936779</v>
          </cell>
        </row>
        <row r="62">
          <cell r="V62">
            <v>15304615.571122874</v>
          </cell>
          <cell r="AC62">
            <v>2564939888.4195433</v>
          </cell>
          <cell r="AP62">
            <v>11129943.954674639</v>
          </cell>
          <cell r="AX62">
            <v>2347279225.8305497</v>
          </cell>
        </row>
        <row r="63">
          <cell r="V63">
            <v>16394739.595622335</v>
          </cell>
          <cell r="AC63">
            <v>2775502961.2872791</v>
          </cell>
          <cell r="AP63">
            <v>11990748.468886159</v>
          </cell>
          <cell r="AX63">
            <v>2550485124.7153187</v>
          </cell>
        </row>
        <row r="64">
          <cell r="V64">
            <v>17529383.903158955</v>
          </cell>
          <cell r="AC64">
            <v>2998009688.7100391</v>
          </cell>
          <cell r="AP64">
            <v>12887382.867875505</v>
          </cell>
          <cell r="AX64">
            <v>2765427419.4758739</v>
          </cell>
        </row>
        <row r="65">
          <cell r="V65">
            <v>18716640.366678454</v>
          </cell>
          <cell r="AC65">
            <v>3233283797.2180967</v>
          </cell>
          <cell r="AP65">
            <v>13847599.077369481</v>
          </cell>
          <cell r="AX65">
            <v>2997388756.3981447</v>
          </cell>
        </row>
        <row r="66">
          <cell r="V66">
            <v>20352827.399718549</v>
          </cell>
          <cell r="AC66">
            <v>3550867360.2490106</v>
          </cell>
          <cell r="AP66">
            <v>15631756.77254794</v>
          </cell>
          <cell r="AX66">
            <v>3317379952.8897266</v>
          </cell>
        </row>
        <row r="67">
          <cell r="V67">
            <v>22362705.377500139</v>
          </cell>
          <cell r="AC67">
            <v>3932832400.1077347</v>
          </cell>
          <cell r="AP67">
            <v>18135266.168944605</v>
          </cell>
          <cell r="AX67">
            <v>3706871447.1285286</v>
          </cell>
        </row>
        <row r="68">
          <cell r="V68">
            <v>24497692.657174654</v>
          </cell>
          <cell r="AC68">
            <v>4341252909.4422741</v>
          </cell>
          <cell r="AP68">
            <v>20869902.132445395</v>
          </cell>
          <cell r="AX68">
            <v>4124387995.2428713</v>
          </cell>
        </row>
        <row r="69">
          <cell r="V69">
            <v>26786190.362827517</v>
          </cell>
          <cell r="AC69">
            <v>4781512596.4924383</v>
          </cell>
          <cell r="AP69">
            <v>23914211.666219864</v>
          </cell>
          <cell r="AX69">
            <v>4581697009.2213354</v>
          </cell>
        </row>
        <row r="70">
          <cell r="V70">
            <v>29216105.564537622</v>
          </cell>
          <cell r="AC70">
            <v>5252180292.2329435</v>
          </cell>
          <cell r="AP70">
            <v>27267145.989626303</v>
          </cell>
          <cell r="AX70">
            <v>5074173248.6967793</v>
          </cell>
        </row>
        <row r="71">
          <cell r="V71">
            <v>31804247.189777397</v>
          </cell>
          <cell r="AC71">
            <v>5766191246.4305115</v>
          </cell>
          <cell r="AP71">
            <v>30964487.238795411</v>
          </cell>
          <cell r="AX71">
            <v>5616956216.7548141</v>
          </cell>
        </row>
        <row r="72">
          <cell r="V72">
            <v>34418534.331156127</v>
          </cell>
          <cell r="AC72">
            <v>6315973645.8926849</v>
          </cell>
          <cell r="AP72">
            <v>34858786.434097037</v>
          </cell>
          <cell r="AX72">
            <v>6196785791.6818504</v>
          </cell>
        </row>
        <row r="73">
          <cell r="V73">
            <v>37191141.25547538</v>
          </cell>
          <cell r="AC73">
            <v>6906175209.0074024</v>
          </cell>
          <cell r="AP73">
            <v>39149174.162475325</v>
          </cell>
          <cell r="AX73">
            <v>6827107457.4180098</v>
          </cell>
        </row>
        <row r="74">
          <cell r="V74">
            <v>40150008.631010972</v>
          </cell>
          <cell r="AC74">
            <v>7532991271.6329365</v>
          </cell>
          <cell r="AP74">
            <v>43889173.085544616</v>
          </cell>
          <cell r="AX74">
            <v>7502195279.9656315</v>
          </cell>
        </row>
        <row r="75">
          <cell r="V75">
            <v>43282751.881519631</v>
          </cell>
          <cell r="AC75">
            <v>8201037114.0312099</v>
          </cell>
          <cell r="AP75">
            <v>49077901.237591326</v>
          </cell>
          <cell r="AX75">
            <v>8227858151.8365078</v>
          </cell>
        </row>
        <row r="76">
          <cell r="V76">
            <v>46850766.17291446</v>
          </cell>
          <cell r="AC76">
            <v>8968272402.90728</v>
          </cell>
          <cell r="AP76">
            <v>55929785.476210766</v>
          </cell>
          <cell r="AX76">
            <v>9194631182.8159466</v>
          </cell>
        </row>
        <row r="77">
          <cell r="V77">
            <v>50785013.921101153</v>
          </cell>
          <cell r="AC77">
            <v>9808323298.8435249</v>
          </cell>
          <cell r="AP77">
            <v>62511949.049494125</v>
          </cell>
          <cell r="AX77">
            <v>10242831469.510796</v>
          </cell>
        </row>
        <row r="78">
          <cell r="V78">
            <v>54988820.130351305</v>
          </cell>
          <cell r="AC78">
            <v>10712917434.299103</v>
          </cell>
          <cell r="AP78">
            <v>69926631.97670272</v>
          </cell>
          <cell r="AX78">
            <v>11411840084.162712</v>
          </cell>
        </row>
        <row r="79">
          <cell r="V79">
            <v>59358071.44515954</v>
          </cell>
          <cell r="AC79">
            <v>11680621641.954018</v>
          </cell>
          <cell r="AP79">
            <v>77806495.937247813</v>
          </cell>
          <cell r="AX79">
            <v>12650499159.971041</v>
          </cell>
        </row>
        <row r="80">
          <cell r="V80">
            <v>64001633.93036221</v>
          </cell>
          <cell r="AC80">
            <v>12720749207.739347</v>
          </cell>
          <cell r="AP80">
            <v>86491208.649262473</v>
          </cell>
          <cell r="AX80">
            <v>14005125848.383793</v>
          </cell>
        </row>
        <row r="81">
          <cell r="V81">
            <v>69104814.901803851</v>
          </cell>
          <cell r="AC81">
            <v>13920823677.081577</v>
          </cell>
          <cell r="AP81">
            <v>96287583.392673388</v>
          </cell>
          <cell r="AX81">
            <v>15580496923.253597</v>
          </cell>
        </row>
        <row r="82">
          <cell r="V82">
            <v>74316050.093625098</v>
          </cell>
          <cell r="AC82">
            <v>15295580616.131393</v>
          </cell>
          <cell r="AP82">
            <v>107492960.50367481</v>
          </cell>
          <cell r="AX82">
            <v>17458281240.506031</v>
          </cell>
        </row>
        <row r="83">
          <cell r="V83">
            <v>79866518.262620807</v>
          </cell>
          <cell r="AC83">
            <v>16784724465.118555</v>
          </cell>
          <cell r="AP83">
            <v>119967654.91773404</v>
          </cell>
          <cell r="AX83">
            <v>19547621422.906433</v>
          </cell>
        </row>
        <row r="84">
          <cell r="V84">
            <v>86030572.425063103</v>
          </cell>
          <cell r="AC84">
            <v>18281947664.406773</v>
          </cell>
          <cell r="AP84">
            <v>132562995.88470085</v>
          </cell>
          <cell r="AX84">
            <v>21492342810.941116</v>
          </cell>
        </row>
        <row r="85">
          <cell r="V85">
            <v>93673547.724917382</v>
          </cell>
          <cell r="AC85">
            <v>20022663595.969299</v>
          </cell>
          <cell r="AP85">
            <v>147454737.79190466</v>
          </cell>
          <cell r="AX85">
            <v>23667785607.742115</v>
          </cell>
        </row>
        <row r="86">
          <cell r="V86">
            <v>102065346.84616327</v>
          </cell>
          <cell r="AC86">
            <v>21939279996.830444</v>
          </cell>
          <cell r="AP86">
            <v>164973755.66321248</v>
          </cell>
          <cell r="AX86">
            <v>26121780422.91555</v>
          </cell>
        </row>
        <row r="87">
          <cell r="V87">
            <v>111283629.04188536</v>
          </cell>
          <cell r="AC87">
            <v>23994940482.145012</v>
          </cell>
          <cell r="AP87">
            <v>186822973.98188484</v>
          </cell>
          <cell r="AX87">
            <v>28975813592.108128</v>
          </cell>
        </row>
        <row r="88">
          <cell r="V88">
            <v>120783748.52806658</v>
          </cell>
          <cell r="AC88">
            <v>26108126287.461403</v>
          </cell>
          <cell r="AP88">
            <v>208325896.66493702</v>
          </cell>
          <cell r="AX88">
            <v>31953491168.775772</v>
          </cell>
        </row>
        <row r="89">
          <cell r="V89">
            <v>129733994.36960396</v>
          </cell>
          <cell r="AC89">
            <v>28075027669.417149</v>
          </cell>
          <cell r="AP89">
            <v>230736248.94665805</v>
          </cell>
          <cell r="AX89">
            <v>35242417253.230911</v>
          </cell>
        </row>
        <row r="90">
          <cell r="V90">
            <v>139267284.13608775</v>
          </cell>
          <cell r="AC90">
            <v>30174267910.480564</v>
          </cell>
          <cell r="AP90">
            <v>256429944.66373596</v>
          </cell>
          <cell r="AX90">
            <v>39029589899.141357</v>
          </cell>
        </row>
        <row r="91">
          <cell r="V91">
            <v>149204938.94589439</v>
          </cell>
          <cell r="AC91">
            <v>32536546354.08585</v>
          </cell>
          <cell r="AP91">
            <v>286525650.30975974</v>
          </cell>
          <cell r="AX91">
            <v>43484260325.543724</v>
          </cell>
        </row>
        <row r="92">
          <cell r="V92">
            <v>160035975.44084904</v>
          </cell>
          <cell r="AC92">
            <v>35269337533.452835</v>
          </cell>
          <cell r="AP92">
            <v>321613091.84816903</v>
          </cell>
          <cell r="AX92">
            <v>48776725625.110924</v>
          </cell>
        </row>
        <row r="93">
          <cell r="V93">
            <v>171410662.58415741</v>
          </cell>
          <cell r="AC93">
            <v>38214684712.499786</v>
          </cell>
          <cell r="AP93">
            <v>359995219.51302105</v>
          </cell>
          <cell r="AX93">
            <v>54781616390.268066</v>
          </cell>
        </row>
        <row r="94">
          <cell r="V94">
            <v>183739376.11123544</v>
          </cell>
          <cell r="AC94">
            <v>41214732501.338318</v>
          </cell>
          <cell r="AP94">
            <v>404440191.73283994</v>
          </cell>
          <cell r="AX94">
            <v>61366936185.852859</v>
          </cell>
        </row>
        <row r="95">
          <cell r="V95">
            <v>195664505.1093803</v>
          </cell>
          <cell r="AC95">
            <v>44135666702.877945</v>
          </cell>
          <cell r="AP95">
            <v>445415857.85282916</v>
          </cell>
          <cell r="AX95">
            <v>67371542683.721802</v>
          </cell>
        </row>
        <row r="96">
          <cell r="V96">
            <v>207498868.07588455</v>
          </cell>
          <cell r="AC96">
            <v>47056896688.085205</v>
          </cell>
          <cell r="AP96">
            <v>484677663.6548503</v>
          </cell>
          <cell r="AX96">
            <v>73083074929.067825</v>
          </cell>
        </row>
        <row r="97">
          <cell r="V97">
            <v>220821619.8717519</v>
          </cell>
          <cell r="AC97">
            <v>50317323519.860031</v>
          </cell>
          <cell r="AP97">
            <v>537174508.39242959</v>
          </cell>
          <cell r="AX97">
            <v>79805119301.840073</v>
          </cell>
        </row>
        <row r="98">
          <cell r="V98">
            <v>233678683.97209215</v>
          </cell>
          <cell r="AC98">
            <v>53500374639.541397</v>
          </cell>
          <cell r="AP98">
            <v>590579912.5273484</v>
          </cell>
          <cell r="AX98">
            <v>86591089941.181671</v>
          </cell>
        </row>
        <row r="99">
          <cell r="V99">
            <v>246963931.57483184</v>
          </cell>
          <cell r="AC99">
            <v>56805218445.294495</v>
          </cell>
          <cell r="AP99">
            <v>647043715.20496094</v>
          </cell>
          <cell r="AX99">
            <v>93911240891.076569</v>
          </cell>
        </row>
        <row r="100">
          <cell r="V100">
            <v>259120899.2483269</v>
          </cell>
          <cell r="AC100">
            <v>59950491302.994141</v>
          </cell>
          <cell r="AP100">
            <v>701808840.31611931</v>
          </cell>
          <cell r="AX100">
            <v>101326555472.89201</v>
          </cell>
        </row>
        <row r="101">
          <cell r="V101">
            <v>271864918.19583285</v>
          </cell>
          <cell r="AC101">
            <v>63276524223.337265</v>
          </cell>
          <cell r="AP101">
            <v>762157731.82814598</v>
          </cell>
          <cell r="AX101">
            <v>109561444880.80264</v>
          </cell>
        </row>
        <row r="102">
          <cell r="V102">
            <v>286596223.35652173</v>
          </cell>
          <cell r="AC102">
            <v>67094548913.021805</v>
          </cell>
          <cell r="AP102">
            <v>840104895.35352409</v>
          </cell>
          <cell r="AX102">
            <v>119165549331.84909</v>
          </cell>
        </row>
        <row r="103">
          <cell r="V103">
            <v>298849209.17417282</v>
          </cell>
          <cell r="AC103">
            <v>70348719073.059052</v>
          </cell>
          <cell r="AP103">
            <v>898256264.18175185</v>
          </cell>
          <cell r="AX103">
            <v>126865820642.0479</v>
          </cell>
        </row>
        <row r="104">
          <cell r="V104">
            <v>310475327.3864975</v>
          </cell>
          <cell r="AC104">
            <v>73502565415.150604</v>
          </cell>
          <cell r="AP104">
            <v>955017713.92883754</v>
          </cell>
          <cell r="AX104">
            <v>134357995216.15901</v>
          </cell>
        </row>
        <row r="105">
          <cell r="V105">
            <v>322569519.72316903</v>
          </cell>
          <cell r="AC105">
            <v>76795259337.74025</v>
          </cell>
          <cell r="AP105">
            <v>1015624764.9362973</v>
          </cell>
          <cell r="AX105">
            <v>142207514134.8251</v>
          </cell>
        </row>
        <row r="106">
          <cell r="V106">
            <v>335070124.55384535</v>
          </cell>
          <cell r="AC106">
            <v>80212070614.372742</v>
          </cell>
          <cell r="AP106">
            <v>1079640725.6532195</v>
          </cell>
          <cell r="AX106">
            <v>150444608568.5636</v>
          </cell>
        </row>
        <row r="107">
          <cell r="V107">
            <v>348541915.25368673</v>
          </cell>
          <cell r="AC107">
            <v>83896308940.405762</v>
          </cell>
          <cell r="AP107">
            <v>1152735002.0703514</v>
          </cell>
          <cell r="AX107">
            <v>159427232524.10239</v>
          </cell>
        </row>
        <row r="108">
          <cell r="V108">
            <v>362412803.89042455</v>
          </cell>
          <cell r="AC108">
            <v>87715786518.035965</v>
          </cell>
          <cell r="AP108">
            <v>1229963073.7974777</v>
          </cell>
          <cell r="AX108">
            <v>168841928834.40997</v>
          </cell>
        </row>
        <row r="109">
          <cell r="V109">
            <v>376756717.20907319</v>
          </cell>
          <cell r="AC109">
            <v>91682029439.019745</v>
          </cell>
          <cell r="AP109">
            <v>1311618406.2200723</v>
          </cell>
          <cell r="AX109">
            <v>178703978007.4906</v>
          </cell>
        </row>
        <row r="110">
          <cell r="V110">
            <v>390834940.79118347</v>
          </cell>
          <cell r="AC110">
            <v>95616493586.970398</v>
          </cell>
          <cell r="AP110">
            <v>1390577015.1478078</v>
          </cell>
          <cell r="AX110">
            <v>188725193793.17657</v>
          </cell>
        </row>
        <row r="111">
          <cell r="V111">
            <v>405066812.10953677</v>
          </cell>
          <cell r="AC111">
            <v>99653647390.617798</v>
          </cell>
          <cell r="AP111">
            <v>1471945751.0678949</v>
          </cell>
          <cell r="AX111">
            <v>199105673772.04132</v>
          </cell>
        </row>
        <row r="112">
          <cell r="V112">
            <v>420729152.21806622</v>
          </cell>
          <cell r="AC112">
            <v>103969556068.98801</v>
          </cell>
          <cell r="AP112">
            <v>1560213989.7883723</v>
          </cell>
          <cell r="AX112">
            <v>210309438479.32056</v>
          </cell>
        </row>
        <row r="113">
          <cell r="V113">
            <v>436767990.24768305</v>
          </cell>
          <cell r="AC113">
            <v>108400398416.70007</v>
          </cell>
          <cell r="AP113">
            <v>1652083740.0584145</v>
          </cell>
          <cell r="AX113">
            <v>221872570098.6069</v>
          </cell>
        </row>
        <row r="114">
          <cell r="V114">
            <v>452987823.02597451</v>
          </cell>
          <cell r="AC114">
            <v>112981862734.46077</v>
          </cell>
          <cell r="AP114">
            <v>1749135653.0697699</v>
          </cell>
          <cell r="AX114">
            <v>234099207402.6044</v>
          </cell>
        </row>
        <row r="115">
          <cell r="V115">
            <v>469138501.18131363</v>
          </cell>
          <cell r="AC115">
            <v>117640298067.34039</v>
          </cell>
          <cell r="AP115">
            <v>1848165335.3223381</v>
          </cell>
          <cell r="AX115">
            <v>246565830798.86505</v>
          </cell>
        </row>
        <row r="116">
          <cell r="V116">
            <v>485865551.30431676</v>
          </cell>
          <cell r="AC116">
            <v>122484192510.20419</v>
          </cell>
          <cell r="AP116">
            <v>1953107595.9430294</v>
          </cell>
          <cell r="AX116">
            <v>259754283809.8446</v>
          </cell>
        </row>
        <row r="117">
          <cell r="V117">
            <v>505070279.62275195</v>
          </cell>
          <cell r="AC117">
            <v>127482162077.5959</v>
          </cell>
          <cell r="AP117">
            <v>2057368192.0028949</v>
          </cell>
          <cell r="AX117">
            <v>273290472988.20419</v>
          </cell>
        </row>
        <row r="118">
          <cell r="V118">
            <v>524714108.40488601</v>
          </cell>
          <cell r="AC118">
            <v>132642109509.41626</v>
          </cell>
          <cell r="AP118">
            <v>2166720755.3806067</v>
          </cell>
          <cell r="AX118">
            <v>287486316912.60388</v>
          </cell>
        </row>
        <row r="119">
          <cell r="V119">
            <v>546455842.23168182</v>
          </cell>
          <cell r="AC119">
            <v>138347287127.19824</v>
          </cell>
          <cell r="AP119">
            <v>2286857305.9746895</v>
          </cell>
          <cell r="AX119">
            <v>303082376046.51031</v>
          </cell>
        </row>
        <row r="120">
          <cell r="V120">
            <v>569649451.52674866</v>
          </cell>
          <cell r="AC120">
            <v>144434428184.52975</v>
          </cell>
          <cell r="AP120">
            <v>2416129033.6004477</v>
          </cell>
          <cell r="AX120">
            <v>319852174626.93481</v>
          </cell>
        </row>
        <row r="121">
          <cell r="V121">
            <v>593503372.645702</v>
          </cell>
          <cell r="AC121">
            <v>150644424754.38593</v>
          </cell>
          <cell r="AP121">
            <v>2549049050.8051538</v>
          </cell>
          <cell r="AX121">
            <v>337080084623.19604</v>
          </cell>
        </row>
        <row r="122">
          <cell r="V122">
            <v>613749622.76993155</v>
          </cell>
          <cell r="AC122">
            <v>156205981626.87024</v>
          </cell>
          <cell r="AP122">
            <v>2681031245.152029</v>
          </cell>
          <cell r="AX122">
            <v>353375750794.42169</v>
          </cell>
        </row>
        <row r="123">
          <cell r="V123">
            <v>634692448.23224163</v>
          </cell>
          <cell r="AC123">
            <v>161867159090.32147</v>
          </cell>
          <cell r="AP123">
            <v>2818458683.7440524</v>
          </cell>
          <cell r="AX123">
            <v>370236433985.93884</v>
          </cell>
        </row>
        <row r="124">
          <cell r="V124">
            <v>655986749.09621322</v>
          </cell>
          <cell r="AC124">
            <v>167609482349.51712</v>
          </cell>
          <cell r="AP124">
            <v>2960687443.2896466</v>
          </cell>
          <cell r="AX124">
            <v>387558996175.13586</v>
          </cell>
        </row>
        <row r="125">
          <cell r="V125">
            <v>677976194.81788886</v>
          </cell>
          <cell r="AC125">
            <v>173548636054.32935</v>
          </cell>
          <cell r="AP125">
            <v>3110237738.8329587</v>
          </cell>
          <cell r="AX125">
            <v>405725985449.40393</v>
          </cell>
        </row>
        <row r="126">
          <cell r="V126">
            <v>700532105.35498977</v>
          </cell>
          <cell r="AC126">
            <v>179652484725.36313</v>
          </cell>
          <cell r="AP126">
            <v>3265668551.6062193</v>
          </cell>
          <cell r="AX126">
            <v>424542574571.59399</v>
          </cell>
        </row>
        <row r="127">
          <cell r="V127">
            <v>722029326.97225022</v>
          </cell>
          <cell r="AC127">
            <v>185622379057.19617</v>
          </cell>
          <cell r="AP127">
            <v>3423337390.6389475</v>
          </cell>
          <cell r="AX127">
            <v>443447186651.13513</v>
          </cell>
        </row>
        <row r="128">
          <cell r="V128">
            <v>743841997.39080954</v>
          </cell>
          <cell r="AC128">
            <v>191719123383.07449</v>
          </cell>
          <cell r="AP128">
            <v>3585801897.4458284</v>
          </cell>
          <cell r="AX128">
            <v>462840690028.76428</v>
          </cell>
        </row>
        <row r="129">
          <cell r="V129">
            <v>766805659.97213483</v>
          </cell>
          <cell r="AC129">
            <v>198081983228.10892</v>
          </cell>
          <cell r="AP129">
            <v>3758965082.7203016</v>
          </cell>
          <cell r="AX129">
            <v>483454412515.02057</v>
          </cell>
        </row>
        <row r="130">
          <cell r="V130">
            <v>790470213.02916753</v>
          </cell>
          <cell r="AC130">
            <v>204620295036.91248</v>
          </cell>
          <cell r="AP130">
            <v>3938611895.1604967</v>
          </cell>
          <cell r="AX130">
            <v>504751738659.52612</v>
          </cell>
        </row>
        <row r="131">
          <cell r="V131">
            <v>814547474.05421197</v>
          </cell>
          <cell r="AC131">
            <v>211244636833.94955</v>
          </cell>
          <cell r="AP131">
            <v>4125656758.162858</v>
          </cell>
          <cell r="AX131">
            <v>526740287833.427</v>
          </cell>
        </row>
        <row r="132">
          <cell r="V132">
            <v>834371184.16396832</v>
          </cell>
          <cell r="AC132">
            <v>217506960596.07153</v>
          </cell>
          <cell r="AP132">
            <v>4310322109.8184557</v>
          </cell>
          <cell r="AX132">
            <v>548287011848.63483</v>
          </cell>
        </row>
        <row r="133">
          <cell r="V133">
            <v>854785724.06413913</v>
          </cell>
          <cell r="AC133">
            <v>223974744240.40607</v>
          </cell>
          <cell r="AP133">
            <v>4504442195.0761528</v>
          </cell>
          <cell r="AX133">
            <v>570875962073.87146</v>
          </cell>
        </row>
        <row r="134">
          <cell r="V134">
            <v>875305804.3930757</v>
          </cell>
          <cell r="AC134">
            <v>230429131252.6839</v>
          </cell>
          <cell r="AP134">
            <v>4701649090.9103928</v>
          </cell>
          <cell r="AX134">
            <v>593454673491.97021</v>
          </cell>
        </row>
        <row r="135">
          <cell r="V135">
            <v>896634669.73598266</v>
          </cell>
          <cell r="AC135">
            <v>237129562689.9809</v>
          </cell>
          <cell r="AP135">
            <v>4911523926.2917776</v>
          </cell>
          <cell r="AX135">
            <v>617409012021.00537</v>
          </cell>
        </row>
        <row r="136">
          <cell r="V136">
            <v>918404965.68519282</v>
          </cell>
          <cell r="AC136">
            <v>243994320022.15402</v>
          </cell>
          <cell r="AP136">
            <v>5129333264.3791399</v>
          </cell>
          <cell r="AX136">
            <v>642163098618.59851</v>
          </cell>
        </row>
        <row r="137">
          <cell r="V137">
            <v>941984959.68899155</v>
          </cell>
          <cell r="AC137">
            <v>251389871149.14996</v>
          </cell>
          <cell r="AP137">
            <v>5374630087.5201902</v>
          </cell>
          <cell r="AX137">
            <v>668940220971.06384</v>
          </cell>
        </row>
        <row r="138">
          <cell r="V138">
            <v>966080436.61650312</v>
          </cell>
          <cell r="AC138">
            <v>258975491886.25946</v>
          </cell>
          <cell r="AP138">
            <v>5629875324.4782791</v>
          </cell>
          <cell r="AX138">
            <v>696641856622.90466</v>
          </cell>
        </row>
        <row r="139">
          <cell r="V139">
            <v>990797691.76473141</v>
          </cell>
          <cell r="AC139">
            <v>266781343897.16492</v>
          </cell>
          <cell r="AP139">
            <v>5896837170.1065235</v>
          </cell>
          <cell r="AX139">
            <v>725470168090.35474</v>
          </cell>
        </row>
        <row r="140">
          <cell r="V140">
            <v>1013850534.7292655</v>
          </cell>
          <cell r="AC140">
            <v>274191045676.70575</v>
          </cell>
          <cell r="AP140">
            <v>6159934367.2968731</v>
          </cell>
          <cell r="AX140">
            <v>753500501764.52783</v>
          </cell>
        </row>
        <row r="141">
          <cell r="V141">
            <v>1035502061.956918</v>
          </cell>
          <cell r="AC141">
            <v>281269852879.58887</v>
          </cell>
          <cell r="AP141">
            <v>6422460985.0139217</v>
          </cell>
          <cell r="AX141">
            <v>781147779046.65271</v>
          </cell>
        </row>
        <row r="142">
          <cell r="V142">
            <v>1062226434.1388113</v>
          </cell>
          <cell r="AC142">
            <v>288851541560.49475</v>
          </cell>
          <cell r="AP142">
            <v>6704791147.7222214</v>
          </cell>
          <cell r="AX142">
            <v>810594910932.1156</v>
          </cell>
        </row>
        <row r="143">
          <cell r="V143">
            <v>1089470757.0616846</v>
          </cell>
          <cell r="AC143">
            <v>296590529003.80151</v>
          </cell>
          <cell r="AP143">
            <v>6997162615.6760321</v>
          </cell>
          <cell r="AX143">
            <v>840908435694.73682</v>
          </cell>
        </row>
        <row r="144">
          <cell r="V144">
            <v>1117348153.3752763</v>
          </cell>
          <cell r="AC144">
            <v>304828339408.33136</v>
          </cell>
          <cell r="AP144">
            <v>7301543511.0888062</v>
          </cell>
          <cell r="AX144">
            <v>873197985034.18677</v>
          </cell>
        </row>
        <row r="145">
          <cell r="V145">
            <v>1145713736.2580233</v>
          </cell>
          <cell r="AC145">
            <v>313996446764.49249</v>
          </cell>
          <cell r="AP145">
            <v>7615842150.7074308</v>
          </cell>
          <cell r="AX145">
            <v>908585546243.25134</v>
          </cell>
        </row>
        <row r="146">
          <cell r="V146">
            <v>1174439383.8784869</v>
          </cell>
          <cell r="AC146">
            <v>323409834696.96094</v>
          </cell>
          <cell r="AP146">
            <v>7943401391.7841396</v>
          </cell>
          <cell r="AX146">
            <v>945425073438.40515</v>
          </cell>
        </row>
        <row r="147">
          <cell r="V147">
            <v>1204025522.7110987</v>
          </cell>
          <cell r="AC147">
            <v>332826366191.33398</v>
          </cell>
          <cell r="AP147">
            <v>8265849097.5297909</v>
          </cell>
          <cell r="AX147">
            <v>982335024856.14758</v>
          </cell>
        </row>
        <row r="148">
          <cell r="V148">
            <v>1234668663.5359259</v>
          </cell>
          <cell r="AC148">
            <v>342596782032.40253</v>
          </cell>
          <cell r="AP148">
            <v>8607158772.5157757</v>
          </cell>
          <cell r="AX148">
            <v>1021357901402.3895</v>
          </cell>
        </row>
        <row r="149">
          <cell r="V149">
            <v>1265812097.8348103</v>
          </cell>
          <cell r="AC149">
            <v>352634475430.97888</v>
          </cell>
          <cell r="AP149">
            <v>8962978091.8112202</v>
          </cell>
          <cell r="AX149">
            <v>1061888379085.9016</v>
          </cell>
        </row>
        <row r="150">
          <cell r="V150">
            <v>1297825614.297965</v>
          </cell>
          <cell r="AC150">
            <v>363086444825.43561</v>
          </cell>
          <cell r="AP150">
            <v>9342926425.4017601</v>
          </cell>
          <cell r="AX150">
            <v>1105193016228.9382</v>
          </cell>
        </row>
        <row r="151">
          <cell r="V151">
            <v>1330306689.945298</v>
          </cell>
          <cell r="AC151">
            <v>373744851166.52393</v>
          </cell>
          <cell r="AP151">
            <v>9733428044.1103611</v>
          </cell>
          <cell r="AX151">
            <v>1149626192253.7878</v>
          </cell>
        </row>
        <row r="152">
          <cell r="V152">
            <v>1363646533.2840567</v>
          </cell>
          <cell r="AC152">
            <v>384721681205.20331</v>
          </cell>
          <cell r="AP152">
            <v>10141533670.543428</v>
          </cell>
          <cell r="AX152">
            <v>1196015847451.4084</v>
          </cell>
        </row>
        <row r="153">
          <cell r="V153">
            <v>1397228820.8822803</v>
          </cell>
          <cell r="AC153">
            <v>395845326334.16016</v>
          </cell>
          <cell r="AP153">
            <v>10556541011.910053</v>
          </cell>
          <cell r="AX153">
            <v>1243094504036.9526</v>
          </cell>
        </row>
        <row r="154">
          <cell r="V154">
            <v>1431938555.3036802</v>
          </cell>
          <cell r="AC154">
            <v>407368375343.34314</v>
          </cell>
          <cell r="AP154">
            <v>10994531506.418802</v>
          </cell>
          <cell r="AX154">
            <v>1292751590733.6755</v>
          </cell>
        </row>
        <row r="155">
          <cell r="V155">
            <v>1467234910.785562</v>
          </cell>
          <cell r="AC155">
            <v>420328053217.21924</v>
          </cell>
          <cell r="AP155">
            <v>11446092613.114872</v>
          </cell>
          <cell r="AX155">
            <v>1347680563645.4883</v>
          </cell>
        </row>
        <row r="156">
          <cell r="V156">
            <v>1500440444.5156193</v>
          </cell>
          <cell r="AC156">
            <v>433281168407.82599</v>
          </cell>
          <cell r="AP156">
            <v>11901533652.086472</v>
          </cell>
          <cell r="AX156">
            <v>1404672279072.6487</v>
          </cell>
        </row>
        <row r="157">
          <cell r="V157">
            <v>1526792155.7746747</v>
          </cell>
          <cell r="AC157">
            <v>444390272952.76855</v>
          </cell>
          <cell r="AP157">
            <v>12297267336.374943</v>
          </cell>
          <cell r="AX157">
            <v>1457948197011.1931</v>
          </cell>
        </row>
        <row r="158">
          <cell r="V158">
            <v>1553571538.1927776</v>
          </cell>
          <cell r="AC158">
            <v>455744214619.45471</v>
          </cell>
          <cell r="AP158">
            <v>12705081969.886877</v>
          </cell>
          <cell r="AX158">
            <v>1513036915011.2131</v>
          </cell>
        </row>
        <row r="159">
          <cell r="V159">
            <v>1582569896.191406</v>
          </cell>
          <cell r="AC159">
            <v>467875449930.53839</v>
          </cell>
          <cell r="AP159">
            <v>13160190776.599958</v>
          </cell>
          <cell r="AX159">
            <v>1574165553563.6873</v>
          </cell>
        </row>
        <row r="160">
          <cell r="V160">
            <v>1611308098.4306693</v>
          </cell>
          <cell r="AC160">
            <v>480060536760.66064</v>
          </cell>
          <cell r="AP160">
            <v>13629946526.331388</v>
          </cell>
          <cell r="AX160">
            <v>1637482005063.7119</v>
          </cell>
        </row>
        <row r="161">
          <cell r="V161">
            <v>1637057434.0539634</v>
          </cell>
          <cell r="AC161">
            <v>488966864855.50507</v>
          </cell>
          <cell r="AP161">
            <v>14045321064.931339</v>
          </cell>
          <cell r="AX161">
            <v>1686015669050.9509</v>
          </cell>
        </row>
        <row r="162">
          <cell r="V162">
            <v>1656460479.3528054</v>
          </cell>
          <cell r="AC162">
            <v>495587905211.32434</v>
          </cell>
          <cell r="AP162">
            <v>14335843446.655704</v>
          </cell>
          <cell r="AX162">
            <v>1718035192292.3687</v>
          </cell>
        </row>
        <row r="163">
          <cell r="V163">
            <v>1672525420.2442989</v>
          </cell>
          <cell r="AC163">
            <v>501227710528.80627</v>
          </cell>
          <cell r="AP163">
            <v>14559697096.591002</v>
          </cell>
          <cell r="AX163">
            <v>1743373291034.1116</v>
          </cell>
        </row>
        <row r="164">
          <cell r="V164">
            <v>1683844677.186259</v>
          </cell>
          <cell r="AC164">
            <v>505458756298.49646</v>
          </cell>
          <cell r="AP164">
            <v>14687129573.124062</v>
          </cell>
          <cell r="AX164">
            <v>1757378583697.582</v>
          </cell>
        </row>
        <row r="165">
          <cell r="V165">
            <v>1692662878.1736465</v>
          </cell>
          <cell r="AC165">
            <v>508948859797.85785</v>
          </cell>
          <cell r="AP165">
            <v>14763339233.625885</v>
          </cell>
          <cell r="AX165">
            <v>1765243930225.4409</v>
          </cell>
        </row>
        <row r="166">
          <cell r="V166">
            <v>1701501447.3045275</v>
          </cell>
          <cell r="AC166">
            <v>512454760304.00458</v>
          </cell>
          <cell r="AP166">
            <v>14839746947.168816</v>
          </cell>
          <cell r="AX166">
            <v>1773126301671.6089</v>
          </cell>
        </row>
      </sheetData>
      <sheetData sheetId="16">
        <row r="7">
          <cell r="V7">
            <v>25391.091836841795</v>
          </cell>
          <cell r="AC7">
            <v>2998173.8332368759</v>
          </cell>
          <cell r="AP7">
            <v>18723.681809282018</v>
          </cell>
          <cell r="AX7">
            <v>1995727.0854589012</v>
          </cell>
        </row>
        <row r="8">
          <cell r="V8">
            <v>33648.984661609211</v>
          </cell>
          <cell r="AC8">
            <v>4111310.724731727</v>
          </cell>
          <cell r="AP8">
            <v>26616.386742564388</v>
          </cell>
          <cell r="AX8">
            <v>2945490.9605606357</v>
          </cell>
        </row>
        <row r="9">
          <cell r="V9">
            <v>43016.636006451488</v>
          </cell>
          <cell r="AC9">
            <v>5426877.4368589045</v>
          </cell>
          <cell r="AP9">
            <v>36231.162838679942</v>
          </cell>
          <cell r="AX9">
            <v>4153566.5379248373</v>
          </cell>
        </row>
        <row r="10">
          <cell r="V10">
            <v>54033.286351639188</v>
          </cell>
          <cell r="AC10">
            <v>7024952.7536826786</v>
          </cell>
          <cell r="AP10">
            <v>48184.635972596232</v>
          </cell>
          <cell r="AX10">
            <v>5710865.9836901482</v>
          </cell>
        </row>
        <row r="11">
          <cell r="V11">
            <v>66871.00953543486</v>
          </cell>
          <cell r="AC11">
            <v>8943969.9711638037</v>
          </cell>
          <cell r="AP11">
            <v>62852.103806788225</v>
          </cell>
          <cell r="AX11">
            <v>7687271.3775407383</v>
          </cell>
        </row>
        <row r="12">
          <cell r="V12">
            <v>81713.101762727165</v>
          </cell>
          <cell r="AC12">
            <v>11225486.894782901</v>
          </cell>
          <cell r="AP12">
            <v>80648.927750471048</v>
          </cell>
          <cell r="AX12">
            <v>10162128.033925965</v>
          </cell>
        </row>
        <row r="13">
          <cell r="V13">
            <v>98754.531546285929</v>
          </cell>
          <cell r="AC13">
            <v>13914331.275776707</v>
          </cell>
          <cell r="AP13">
            <v>102033.34176688052</v>
          </cell>
          <cell r="AX13">
            <v>13225073.669331942</v>
          </cell>
        </row>
        <row r="14">
          <cell r="V14">
            <v>117436.43802136682</v>
          </cell>
          <cell r="AC14">
            <v>16948207.686608355</v>
          </cell>
          <cell r="AP14">
            <v>126683.1132538579</v>
          </cell>
          <cell r="AX14">
            <v>16866899.397021271</v>
          </cell>
        </row>
        <row r="15">
          <cell r="V15">
            <v>138156.57807581412</v>
          </cell>
          <cell r="AC15">
            <v>20397586.791457649</v>
          </cell>
          <cell r="AP15">
            <v>155247.88614866216</v>
          </cell>
          <cell r="AX15">
            <v>21205161.282319333</v>
          </cell>
        </row>
        <row r="16">
          <cell r="V16">
            <v>161305.19631574361</v>
          </cell>
          <cell r="AC16">
            <v>24336287.708666593</v>
          </cell>
          <cell r="AP16">
            <v>188439.1413469855</v>
          </cell>
          <cell r="AX16">
            <v>26373521.124093451</v>
          </cell>
        </row>
        <row r="17">
          <cell r="V17">
            <v>190789.41169874318</v>
          </cell>
          <cell r="AC17">
            <v>28975657.028511539</v>
          </cell>
          <cell r="AP17">
            <v>226166.33532601976</v>
          </cell>
          <cell r="AX17">
            <v>32566551.614636008</v>
          </cell>
        </row>
        <row r="18">
          <cell r="V18">
            <v>223274.57367863297</v>
          </cell>
          <cell r="AC18">
            <v>33401718.356520854</v>
          </cell>
          <cell r="AP18">
            <v>258618.93420895832</v>
          </cell>
          <cell r="AX18">
            <v>37418573.262312472</v>
          </cell>
        </row>
        <row r="19">
          <cell r="V19">
            <v>260939.32473838667</v>
          </cell>
          <cell r="AC19">
            <v>38490580.265070602</v>
          </cell>
          <cell r="AP19">
            <v>296537.84558183386</v>
          </cell>
          <cell r="AX19">
            <v>43086857.670270488</v>
          </cell>
        </row>
        <row r="20">
          <cell r="V20">
            <v>300998.40296843974</v>
          </cell>
          <cell r="AC20">
            <v>43813094.834088847</v>
          </cell>
          <cell r="AP20">
            <v>334568.42903680907</v>
          </cell>
          <cell r="AX20">
            <v>48800352.665336445</v>
          </cell>
        </row>
        <row r="21">
          <cell r="V21">
            <v>345512.69247439777</v>
          </cell>
          <cell r="AC21">
            <v>49660397.102038264</v>
          </cell>
          <cell r="AP21">
            <v>377080.45605408796</v>
          </cell>
          <cell r="AX21">
            <v>55198446.188831173</v>
          </cell>
        </row>
        <row r="22">
          <cell r="V22">
            <v>394443.27310077229</v>
          </cell>
          <cell r="AC22">
            <v>56011912.951036841</v>
          </cell>
          <cell r="AP22">
            <v>422888.26645710127</v>
          </cell>
          <cell r="AX22">
            <v>62113075.670078084</v>
          </cell>
        </row>
        <row r="23">
          <cell r="V23">
            <v>448138.47259329783</v>
          </cell>
          <cell r="AC23">
            <v>63767058.184092745</v>
          </cell>
          <cell r="AP23">
            <v>472452.24442428048</v>
          </cell>
          <cell r="AX23">
            <v>70571743.46172446</v>
          </cell>
        </row>
        <row r="24">
          <cell r="V24">
            <v>507525.80654081353</v>
          </cell>
          <cell r="AC24">
            <v>71625408.440070823</v>
          </cell>
          <cell r="AP24">
            <v>528438.26347452728</v>
          </cell>
          <cell r="AX24">
            <v>79408115.211158633</v>
          </cell>
        </row>
        <row r="25">
          <cell r="V25">
            <v>572230.74115978449</v>
          </cell>
          <cell r="AC25">
            <v>80122097.409014925</v>
          </cell>
          <cell r="AP25">
            <v>588317.75430028222</v>
          </cell>
          <cell r="AX25">
            <v>88981675.343256429</v>
          </cell>
        </row>
        <row r="26">
          <cell r="V26">
            <v>639786.33592916233</v>
          </cell>
          <cell r="AC26">
            <v>89154256.931720048</v>
          </cell>
          <cell r="AP26">
            <v>650648.87974373298</v>
          </cell>
          <cell r="AX26">
            <v>99186284.080851108</v>
          </cell>
        </row>
        <row r="27">
          <cell r="V27">
            <v>717340.68803194701</v>
          </cell>
          <cell r="AC27">
            <v>101020788.98855758</v>
          </cell>
          <cell r="AP27">
            <v>718058.82535334292</v>
          </cell>
          <cell r="AX27">
            <v>110751984.65520832</v>
          </cell>
        </row>
        <row r="28">
          <cell r="V28">
            <v>800173.7891631627</v>
          </cell>
          <cell r="AC28">
            <v>113854616.89389926</v>
          </cell>
          <cell r="AP28">
            <v>789275.66374913289</v>
          </cell>
          <cell r="AX28">
            <v>123141539.6723524</v>
          </cell>
        </row>
        <row r="29">
          <cell r="V29">
            <v>887939.04950292723</v>
          </cell>
          <cell r="AC29">
            <v>127625269.23281749</v>
          </cell>
          <cell r="AP29">
            <v>862565.2291005007</v>
          </cell>
          <cell r="AX29">
            <v>136098510.04571965</v>
          </cell>
        </row>
        <row r="30">
          <cell r="V30">
            <v>982043.19005174073</v>
          </cell>
          <cell r="AC30">
            <v>142549533.06223714</v>
          </cell>
          <cell r="AP30">
            <v>942762.32914793107</v>
          </cell>
          <cell r="AX30">
            <v>150396872.67932287</v>
          </cell>
        </row>
        <row r="31">
          <cell r="V31">
            <v>1085220.0831659879</v>
          </cell>
          <cell r="AC31">
            <v>159052402.85585684</v>
          </cell>
          <cell r="AP31">
            <v>1030125.5517067703</v>
          </cell>
          <cell r="AX31">
            <v>166112604.61231065</v>
          </cell>
        </row>
        <row r="32">
          <cell r="V32">
            <v>1196820.513386657</v>
          </cell>
          <cell r="AC32">
            <v>177073839.48325172</v>
          </cell>
          <cell r="AP32">
            <v>1125381.0909122182</v>
          </cell>
          <cell r="AX32">
            <v>183399817.21987772</v>
          </cell>
        </row>
        <row r="33">
          <cell r="V33">
            <v>1315561.9954746217</v>
          </cell>
          <cell r="AC33">
            <v>196452756.26873517</v>
          </cell>
          <cell r="AP33">
            <v>1226140.4300036947</v>
          </cell>
          <cell r="AX33">
            <v>201901773.041152</v>
          </cell>
        </row>
        <row r="34">
          <cell r="V34">
            <v>1458524.696218404</v>
          </cell>
          <cell r="AC34">
            <v>218526448.60753396</v>
          </cell>
          <cell r="AP34">
            <v>1340535.9478478213</v>
          </cell>
          <cell r="AX34">
            <v>222747068.538389</v>
          </cell>
        </row>
        <row r="35">
          <cell r="V35">
            <v>1675681.2068048741</v>
          </cell>
          <cell r="AC35">
            <v>246995446.08811146</v>
          </cell>
          <cell r="AP35">
            <v>1491440.4644745823</v>
          </cell>
          <cell r="AX35">
            <v>249154289.92774564</v>
          </cell>
        </row>
        <row r="36">
          <cell r="V36">
            <v>1916416.762540305</v>
          </cell>
          <cell r="AC36">
            <v>278009032.05150151</v>
          </cell>
          <cell r="AP36">
            <v>1654104.2446669647</v>
          </cell>
          <cell r="AX36">
            <v>277722343.88438439</v>
          </cell>
        </row>
        <row r="37">
          <cell r="V37">
            <v>2222689.9257439761</v>
          </cell>
          <cell r="AC37">
            <v>318560408.27365005</v>
          </cell>
          <cell r="AP37">
            <v>1840934.5108936112</v>
          </cell>
          <cell r="AX37">
            <v>311616450.24296927</v>
          </cell>
        </row>
        <row r="38">
          <cell r="V38">
            <v>2564717.3674780503</v>
          </cell>
          <cell r="AC38">
            <v>363428440.74889088</v>
          </cell>
          <cell r="AP38">
            <v>2042768.3684611518</v>
          </cell>
          <cell r="AX38">
            <v>348618298.04416519</v>
          </cell>
        </row>
        <row r="39">
          <cell r="V39">
            <v>2946038.8369230255</v>
          </cell>
          <cell r="AC39">
            <v>413199445.34136307</v>
          </cell>
          <cell r="AP39">
            <v>2262874.941950242</v>
          </cell>
          <cell r="AX39">
            <v>389514795.09338248</v>
          </cell>
        </row>
        <row r="40">
          <cell r="V40">
            <v>3369614.3065202888</v>
          </cell>
          <cell r="AC40">
            <v>467987485.34651947</v>
          </cell>
          <cell r="AP40">
            <v>2501662.2210601401</v>
          </cell>
          <cell r="AX40">
            <v>434248130.16876054</v>
          </cell>
        </row>
        <row r="41">
          <cell r="V41">
            <v>3756018.2400836879</v>
          </cell>
          <cell r="AC41">
            <v>523570556.50671953</v>
          </cell>
          <cell r="AP41">
            <v>2728497.4176434064</v>
          </cell>
          <cell r="AX41">
            <v>479823715.9635995</v>
          </cell>
        </row>
        <row r="42">
          <cell r="V42">
            <v>4152415.0896874107</v>
          </cell>
          <cell r="AC42">
            <v>582370990.81659234</v>
          </cell>
          <cell r="AP42">
            <v>2953678.4758338807</v>
          </cell>
          <cell r="AX42">
            <v>527071952.73825598</v>
          </cell>
        </row>
        <row r="43">
          <cell r="V43">
            <v>4578470.6993954759</v>
          </cell>
          <cell r="AC43">
            <v>645860164.6225667</v>
          </cell>
          <cell r="AP43">
            <v>3197710.655017131</v>
          </cell>
          <cell r="AX43">
            <v>578562393.09166455</v>
          </cell>
        </row>
        <row r="44">
          <cell r="V44">
            <v>5034517.6236484786</v>
          </cell>
          <cell r="AC44">
            <v>714225335.07268488</v>
          </cell>
          <cell r="AP44">
            <v>3454042.0758587182</v>
          </cell>
          <cell r="AX44">
            <v>633291885.60515881</v>
          </cell>
        </row>
        <row r="45">
          <cell r="V45">
            <v>5522978.6190316826</v>
          </cell>
          <cell r="AC45">
            <v>787926612.18674874</v>
          </cell>
          <cell r="AP45">
            <v>3729137.9495765828</v>
          </cell>
          <cell r="AX45">
            <v>692582814.26113629</v>
          </cell>
        </row>
        <row r="46">
          <cell r="V46">
            <v>6032111.4301699372</v>
          </cell>
          <cell r="AC46">
            <v>867278337.0760721</v>
          </cell>
          <cell r="AP46">
            <v>4018360.6220682175</v>
          </cell>
          <cell r="AX46">
            <v>756436838.23522544</v>
          </cell>
        </row>
        <row r="47">
          <cell r="V47">
            <v>6440939.5692014154</v>
          </cell>
          <cell r="AC47">
            <v>934978427.87128425</v>
          </cell>
          <cell r="AP47">
            <v>4305539.7333276784</v>
          </cell>
          <cell r="AX47">
            <v>817760729.40854311</v>
          </cell>
        </row>
        <row r="48">
          <cell r="V48">
            <v>6868850.6376562212</v>
          </cell>
          <cell r="AC48">
            <v>1006493118.0175959</v>
          </cell>
          <cell r="AP48">
            <v>4612003.114403829</v>
          </cell>
          <cell r="AX48">
            <v>883649605.1814177</v>
          </cell>
        </row>
        <row r="49">
          <cell r="V49">
            <v>7315644.8419602821</v>
          </cell>
          <cell r="AC49">
            <v>1081847208.7255194</v>
          </cell>
          <cell r="AP49">
            <v>4932772.6590567408</v>
          </cell>
          <cell r="AX49">
            <v>953215872.80501318</v>
          </cell>
        </row>
        <row r="50">
          <cell r="V50">
            <v>7810878.5497620702</v>
          </cell>
          <cell r="AC50">
            <v>1163479367.7453251</v>
          </cell>
          <cell r="AP50">
            <v>5291845.3743032534</v>
          </cell>
          <cell r="AX50">
            <v>1030265831.5952973</v>
          </cell>
        </row>
        <row r="51">
          <cell r="V51">
            <v>8360842.664021967</v>
          </cell>
          <cell r="AC51">
            <v>1253259946.1602054</v>
          </cell>
          <cell r="AP51">
            <v>5689958.9391829874</v>
          </cell>
          <cell r="AX51">
            <v>1114519331.2352664</v>
          </cell>
        </row>
        <row r="52">
          <cell r="V52">
            <v>8951672.6641337797</v>
          </cell>
          <cell r="AC52">
            <v>1350762188.6463466</v>
          </cell>
          <cell r="AP52">
            <v>6134560.856786604</v>
          </cell>
          <cell r="AX52">
            <v>1208548610.5280976</v>
          </cell>
        </row>
        <row r="53">
          <cell r="V53">
            <v>9546170.3473790996</v>
          </cell>
          <cell r="AC53">
            <v>1449895721.0295479</v>
          </cell>
          <cell r="AP53">
            <v>6586202.5645949775</v>
          </cell>
          <cell r="AX53">
            <v>1304849440.3001361</v>
          </cell>
        </row>
        <row r="54">
          <cell r="V54">
            <v>10162725.113372838</v>
          </cell>
          <cell r="AC54">
            <v>1553464702.8669605</v>
          </cell>
          <cell r="AP54">
            <v>7063587.9172635889</v>
          </cell>
          <cell r="AX54">
            <v>1407148004.0093806</v>
          </cell>
        </row>
        <row r="55">
          <cell r="V55">
            <v>10803623.530459385</v>
          </cell>
          <cell r="AC55">
            <v>1661867513.615083</v>
          </cell>
          <cell r="AP55">
            <v>7563944.5696498696</v>
          </cell>
          <cell r="AX55">
            <v>1514949421.1421533</v>
          </cell>
        </row>
        <row r="56">
          <cell r="V56">
            <v>12279650.901234383</v>
          </cell>
          <cell r="AC56">
            <v>1895362075.8836632</v>
          </cell>
          <cell r="AP56">
            <v>8270974.5811723545</v>
          </cell>
          <cell r="AX56">
            <v>1662085317.7581177</v>
          </cell>
        </row>
        <row r="57">
          <cell r="V57">
            <v>14139676.453992385</v>
          </cell>
          <cell r="AC57">
            <v>2210408391.9467754</v>
          </cell>
          <cell r="AP57">
            <v>9088391.2083649691</v>
          </cell>
          <cell r="AX57">
            <v>1848749502.580662</v>
          </cell>
        </row>
        <row r="58">
          <cell r="V58">
            <v>16164134.769176755</v>
          </cell>
          <cell r="AC58">
            <v>2558502673.5021777</v>
          </cell>
          <cell r="AP58">
            <v>9963957.4458306395</v>
          </cell>
          <cell r="AX58">
            <v>2051000166.0431871</v>
          </cell>
        </row>
        <row r="59">
          <cell r="V59">
            <v>18362656.806602731</v>
          </cell>
          <cell r="AC59">
            <v>2942025444.925087</v>
          </cell>
          <cell r="AP59">
            <v>10910821.651525183</v>
          </cell>
          <cell r="AX59">
            <v>2271899459.2187114</v>
          </cell>
        </row>
        <row r="60">
          <cell r="V60">
            <v>19203120.770890228</v>
          </cell>
          <cell r="AC60">
            <v>3112833977.8968449</v>
          </cell>
          <cell r="AP60">
            <v>11657649.684499552</v>
          </cell>
          <cell r="AX60">
            <v>2450564741.2842407</v>
          </cell>
        </row>
        <row r="61">
          <cell r="V61">
            <v>19679080.096564844</v>
          </cell>
          <cell r="AC61">
            <v>3227721775.3888578</v>
          </cell>
          <cell r="AP61">
            <v>12387745.013305467</v>
          </cell>
          <cell r="AX61">
            <v>2630176802.5916581</v>
          </cell>
        </row>
        <row r="62">
          <cell r="V62">
            <v>20152758.990489181</v>
          </cell>
          <cell r="AC62">
            <v>3345399209.6093311</v>
          </cell>
          <cell r="AP62">
            <v>13152861.59541213</v>
          </cell>
          <cell r="AX62">
            <v>2820614618.79743</v>
          </cell>
        </row>
        <row r="63">
          <cell r="V63">
            <v>20637267.646534957</v>
          </cell>
          <cell r="AC63">
            <v>3466346820.9875827</v>
          </cell>
          <cell r="AP63">
            <v>13966583.855893368</v>
          </cell>
          <cell r="AX63">
            <v>3024250890.4355216</v>
          </cell>
        </row>
        <row r="64">
          <cell r="V64">
            <v>21136560.477147005</v>
          </cell>
          <cell r="AC64">
            <v>3590888748.0841804</v>
          </cell>
          <cell r="AP64">
            <v>14837395.967245495</v>
          </cell>
          <cell r="AX64">
            <v>3243058177.2035379</v>
          </cell>
        </row>
        <row r="65">
          <cell r="V65">
            <v>21651281.746908877</v>
          </cell>
          <cell r="AC65">
            <v>3719779508.074193</v>
          </cell>
          <cell r="AP65">
            <v>15763235.634106424</v>
          </cell>
          <cell r="AX65">
            <v>3477384211.5404754</v>
          </cell>
        </row>
        <row r="66">
          <cell r="V66">
            <v>23455333.751263775</v>
          </cell>
          <cell r="AC66">
            <v>4077856526.8784199</v>
          </cell>
          <cell r="AP66">
            <v>17680521.886482466</v>
          </cell>
          <cell r="AX66">
            <v>3845296597.774704</v>
          </cell>
        </row>
        <row r="67">
          <cell r="V67">
            <v>25848231.994612485</v>
          </cell>
          <cell r="AC67">
            <v>4528825275.7994318</v>
          </cell>
          <cell r="AP67">
            <v>20665804.437193949</v>
          </cell>
          <cell r="AX67">
            <v>4301769099.7977772</v>
          </cell>
        </row>
        <row r="68">
          <cell r="V68">
            <v>28419855.002081424</v>
          </cell>
          <cell r="AC68">
            <v>5016721172.9109221</v>
          </cell>
          <cell r="AP68">
            <v>24045425.588744204</v>
          </cell>
          <cell r="AX68">
            <v>4805311615.6752567</v>
          </cell>
        </row>
        <row r="69">
          <cell r="V69">
            <v>31180659.224978682</v>
          </cell>
          <cell r="AC69">
            <v>5543984331.8654537</v>
          </cell>
          <cell r="AP69">
            <v>27815834.506270461</v>
          </cell>
          <cell r="AX69">
            <v>5351368348.1469193</v>
          </cell>
        </row>
        <row r="70">
          <cell r="V70">
            <v>34156203.282852799</v>
          </cell>
          <cell r="AC70">
            <v>6115689328.6761055</v>
          </cell>
          <cell r="AP70">
            <v>32071014.02989519</v>
          </cell>
          <cell r="AX70">
            <v>5953676594.6848087</v>
          </cell>
        </row>
        <row r="71">
          <cell r="V71">
            <v>37378245.959290855</v>
          </cell>
          <cell r="AC71">
            <v>6752411145.6618347</v>
          </cell>
          <cell r="AP71">
            <v>36716724.777363092</v>
          </cell>
          <cell r="AX71">
            <v>6618317059.1123047</v>
          </cell>
        </row>
        <row r="72">
          <cell r="V72">
            <v>40807256.158035696</v>
          </cell>
          <cell r="AC72">
            <v>7453313789.6013641</v>
          </cell>
          <cell r="AP72">
            <v>41664888.45786874</v>
          </cell>
          <cell r="AX72">
            <v>7326829643.1387444</v>
          </cell>
        </row>
        <row r="73">
          <cell r="V73">
            <v>44402986.780749455</v>
          </cell>
          <cell r="AC73">
            <v>8198272669.7219963</v>
          </cell>
          <cell r="AP73">
            <v>47019924.939216219</v>
          </cell>
          <cell r="AX73">
            <v>8078348284.4697237</v>
          </cell>
        </row>
        <row r="74">
          <cell r="V74">
            <v>48232787.884914815</v>
          </cell>
          <cell r="AC74">
            <v>8992053726.9814186</v>
          </cell>
          <cell r="AP74">
            <v>52915776.563193627</v>
          </cell>
          <cell r="AX74">
            <v>8885358380.6731224</v>
          </cell>
        </row>
        <row r="75">
          <cell r="V75">
            <v>52476893.712827086</v>
          </cell>
          <cell r="AC75">
            <v>9871901835.2293129</v>
          </cell>
          <cell r="AP75">
            <v>59644348.54919149</v>
          </cell>
          <cell r="AX75">
            <v>9792195695.5075035</v>
          </cell>
        </row>
        <row r="76">
          <cell r="V76">
            <v>57526700.139569104</v>
          </cell>
          <cell r="AC76">
            <v>10970282245.856625</v>
          </cell>
          <cell r="AP76">
            <v>72345984.237597957</v>
          </cell>
          <cell r="AX76">
            <v>11630238468.461035</v>
          </cell>
        </row>
        <row r="77">
          <cell r="V77">
            <v>61756712.99830927</v>
          </cell>
          <cell r="AC77">
            <v>11923637735.885635</v>
          </cell>
          <cell r="AP77">
            <v>80039919.457222462</v>
          </cell>
          <cell r="AX77">
            <v>12853219694.305149</v>
          </cell>
        </row>
        <row r="78">
          <cell r="V78">
            <v>66234595.623013332</v>
          </cell>
          <cell r="AC78">
            <v>12944390199.388725</v>
          </cell>
          <cell r="AP78">
            <v>88471839.631285667</v>
          </cell>
          <cell r="AX78">
            <v>14190231276.147221</v>
          </cell>
        </row>
        <row r="79">
          <cell r="V79">
            <v>71229061.770801619</v>
          </cell>
          <cell r="AC79">
            <v>14110639348.775805</v>
          </cell>
          <cell r="AP79">
            <v>98188574.59296748</v>
          </cell>
          <cell r="AX79">
            <v>15708247951.709908</v>
          </cell>
        </row>
        <row r="80">
          <cell r="V80">
            <v>76657043.431078076</v>
          </cell>
          <cell r="AC80">
            <v>15397114433.976128</v>
          </cell>
          <cell r="AP80">
            <v>109295355.9687787</v>
          </cell>
          <cell r="AX80">
            <v>17426739505.402493</v>
          </cell>
        </row>
        <row r="81">
          <cell r="V81">
            <v>82559788.861657619</v>
          </cell>
          <cell r="AC81">
            <v>16848022863.402733</v>
          </cell>
          <cell r="AP81">
            <v>121091991.51105656</v>
          </cell>
          <cell r="AX81">
            <v>19289403141.79393</v>
          </cell>
        </row>
        <row r="82">
          <cell r="V82">
            <v>88981777.798766762</v>
          </cell>
          <cell r="AC82">
            <v>18411779266.090645</v>
          </cell>
          <cell r="AP82">
            <v>134580316.32975948</v>
          </cell>
          <cell r="AX82">
            <v>21414521927.981709</v>
          </cell>
        </row>
        <row r="83">
          <cell r="V83">
            <v>95879535.092941806</v>
          </cell>
          <cell r="AC83">
            <v>20132842344.545895</v>
          </cell>
          <cell r="AP83">
            <v>149759298.53451422</v>
          </cell>
          <cell r="AX83">
            <v>23823475212.617699</v>
          </cell>
        </row>
        <row r="84">
          <cell r="V84">
            <v>103306986.31849235</v>
          </cell>
          <cell r="AC84">
            <v>21887533789.827255</v>
          </cell>
          <cell r="AP84">
            <v>166204199.97804639</v>
          </cell>
          <cell r="AX84">
            <v>26299709170.464165</v>
          </cell>
        </row>
        <row r="85">
          <cell r="V85">
            <v>111192845.3613866</v>
          </cell>
          <cell r="AC85">
            <v>23706495437.289322</v>
          </cell>
          <cell r="AP85">
            <v>184298001.69542894</v>
          </cell>
          <cell r="AX85">
            <v>28949048870.61161</v>
          </cell>
        </row>
        <row r="86">
          <cell r="V86">
            <v>119498309.24750674</v>
          </cell>
          <cell r="AC86">
            <v>25633157912.57431</v>
          </cell>
          <cell r="AP86">
            <v>203712232.27685505</v>
          </cell>
          <cell r="AX86">
            <v>31780121571.644642</v>
          </cell>
        </row>
        <row r="87">
          <cell r="V87">
            <v>128222830.44577721</v>
          </cell>
          <cell r="AC87">
            <v>27645307003.956318</v>
          </cell>
          <cell r="AP87">
            <v>227782142.57088584</v>
          </cell>
          <cell r="AX87">
            <v>35332207014.463638</v>
          </cell>
        </row>
        <row r="88">
          <cell r="V88">
            <v>137636010.2635099</v>
          </cell>
          <cell r="AC88">
            <v>29809104722.161911</v>
          </cell>
          <cell r="AP88">
            <v>254646172.60396823</v>
          </cell>
          <cell r="AX88">
            <v>39306495993.223969</v>
          </cell>
        </row>
        <row r="89">
          <cell r="V89">
            <v>148079133.77722234</v>
          </cell>
          <cell r="AC89">
            <v>32228789469.521507</v>
          </cell>
          <cell r="AP89">
            <v>287135150.46404743</v>
          </cell>
          <cell r="AX89">
            <v>43985921912.439674</v>
          </cell>
        </row>
        <row r="90">
          <cell r="V90">
            <v>159314966.50788474</v>
          </cell>
          <cell r="AC90">
            <v>34844362095.983711</v>
          </cell>
          <cell r="AP90">
            <v>323899089.79493093</v>
          </cell>
          <cell r="AX90">
            <v>49207194539.684479</v>
          </cell>
        </row>
        <row r="91">
          <cell r="V91">
            <v>171601126.57715353</v>
          </cell>
          <cell r="AC91">
            <v>37869916215.164253</v>
          </cell>
          <cell r="AP91">
            <v>364445507.52467823</v>
          </cell>
          <cell r="AX91">
            <v>55421042584.041824</v>
          </cell>
        </row>
        <row r="92">
          <cell r="V92">
            <v>184672144.17902854</v>
          </cell>
          <cell r="AC92">
            <v>41219662455.57431</v>
          </cell>
          <cell r="AP92">
            <v>409157212.58207315</v>
          </cell>
          <cell r="AX92">
            <v>62490005244.230949</v>
          </cell>
        </row>
        <row r="93">
          <cell r="V93">
            <v>197974017.75517923</v>
          </cell>
          <cell r="AC93">
            <v>44621517224.141922</v>
          </cell>
          <cell r="AP93">
            <v>456850253.1746437</v>
          </cell>
          <cell r="AX93">
            <v>69165130494.697449</v>
          </cell>
        </row>
        <row r="94">
          <cell r="V94">
            <v>212256662.26255339</v>
          </cell>
          <cell r="AC94">
            <v>48229646627.38884</v>
          </cell>
          <cell r="AP94">
            <v>512932112.65635306</v>
          </cell>
          <cell r="AX94">
            <v>76360038235.43692</v>
          </cell>
        </row>
        <row r="95">
          <cell r="V95">
            <v>227256159.0871833</v>
          </cell>
          <cell r="AC95">
            <v>51981299751.044617</v>
          </cell>
          <cell r="AP95">
            <v>573647693.91689253</v>
          </cell>
          <cell r="AX95">
            <v>83886370648.842468</v>
          </cell>
        </row>
        <row r="96">
          <cell r="V96">
            <v>243915071.48686588</v>
          </cell>
          <cell r="AC96">
            <v>56151616844.486389</v>
          </cell>
          <cell r="AP96">
            <v>646525080.56146944</v>
          </cell>
          <cell r="AX96">
            <v>92499053877.576935</v>
          </cell>
        </row>
        <row r="97">
          <cell r="V97">
            <v>257884721.63931841</v>
          </cell>
          <cell r="AC97">
            <v>59716042433.249512</v>
          </cell>
          <cell r="AP97">
            <v>709894145.19320881</v>
          </cell>
          <cell r="AX97">
            <v>100407638389.60442</v>
          </cell>
        </row>
        <row r="98">
          <cell r="V98">
            <v>270914674.6652199</v>
          </cell>
          <cell r="AC98">
            <v>63114072282.028519</v>
          </cell>
          <cell r="AP98">
            <v>771004885.27669823</v>
          </cell>
          <cell r="AX98">
            <v>108448494131.08513</v>
          </cell>
        </row>
        <row r="99">
          <cell r="V99">
            <v>284761191.46550351</v>
          </cell>
          <cell r="AC99">
            <v>66734723815.22963</v>
          </cell>
          <cell r="AP99">
            <v>838738333.35451126</v>
          </cell>
          <cell r="AX99">
            <v>117344238564.18639</v>
          </cell>
        </row>
        <row r="100">
          <cell r="V100">
            <v>299606537.03635967</v>
          </cell>
          <cell r="AC100">
            <v>70642179339.961975</v>
          </cell>
          <cell r="AP100">
            <v>915995928.31395411</v>
          </cell>
          <cell r="AX100">
            <v>127042214778.19072</v>
          </cell>
        </row>
        <row r="101">
          <cell r="V101">
            <v>314342111.09992874</v>
          </cell>
          <cell r="AC101">
            <v>74507538414.450928</v>
          </cell>
          <cell r="AP101">
            <v>992603254.06056499</v>
          </cell>
          <cell r="AX101">
            <v>136325692099.83591</v>
          </cell>
        </row>
        <row r="102">
          <cell r="V102">
            <v>329847874.42086905</v>
          </cell>
          <cell r="AC102">
            <v>78312050611.005035</v>
          </cell>
          <cell r="AP102">
            <v>1063429851.651641</v>
          </cell>
          <cell r="AX102">
            <v>145113301938.21072</v>
          </cell>
        </row>
        <row r="103">
          <cell r="V103">
            <v>346480486.60919666</v>
          </cell>
          <cell r="AC103">
            <v>82401088822.486023</v>
          </cell>
          <cell r="AP103">
            <v>1143009716.4526064</v>
          </cell>
          <cell r="AX103">
            <v>154660352110.021</v>
          </cell>
        </row>
        <row r="104">
          <cell r="V104">
            <v>363340923.76806897</v>
          </cell>
          <cell r="AC104">
            <v>86680900396.536774</v>
          </cell>
          <cell r="AP104">
            <v>1229440099.8286893</v>
          </cell>
          <cell r="AX104">
            <v>164862920001.53925</v>
          </cell>
        </row>
        <row r="105">
          <cell r="V105">
            <v>380783902.15543556</v>
          </cell>
          <cell r="AC105">
            <v>91135138343.497757</v>
          </cell>
          <cell r="AP105">
            <v>1321198143.2335899</v>
          </cell>
          <cell r="AX105">
            <v>175603983120.15781</v>
          </cell>
        </row>
        <row r="106">
          <cell r="V106">
            <v>398858941.16434467</v>
          </cell>
          <cell r="AC106">
            <v>95758236139.207825</v>
          </cell>
          <cell r="AP106">
            <v>1418349268.0059259</v>
          </cell>
          <cell r="AX106">
            <v>186859153076.16196</v>
          </cell>
        </row>
        <row r="107">
          <cell r="V107">
            <v>416266743.73842454</v>
          </cell>
          <cell r="AC107">
            <v>100021317910.9044</v>
          </cell>
          <cell r="AP107">
            <v>1511197618.8165264</v>
          </cell>
          <cell r="AX107">
            <v>197506854117.98657</v>
          </cell>
        </row>
        <row r="108">
          <cell r="V108">
            <v>433899555.23262918</v>
          </cell>
          <cell r="AC108">
            <v>104395112453.21671</v>
          </cell>
          <cell r="AP108">
            <v>1607847931.5565505</v>
          </cell>
          <cell r="AX108">
            <v>208498428891.83478</v>
          </cell>
        </row>
        <row r="109">
          <cell r="V109">
            <v>452384963.24337441</v>
          </cell>
          <cell r="AC109">
            <v>108983318059.93622</v>
          </cell>
          <cell r="AP109">
            <v>1712132931.3144603</v>
          </cell>
          <cell r="AX109">
            <v>220249562416.65833</v>
          </cell>
        </row>
        <row r="110">
          <cell r="V110">
            <v>471778193.15169764</v>
          </cell>
          <cell r="AC110">
            <v>113800295195.59305</v>
          </cell>
          <cell r="AP110">
            <v>1824554912.2869291</v>
          </cell>
          <cell r="AX110">
            <v>232746335968.17261</v>
          </cell>
        </row>
        <row r="111">
          <cell r="V111">
            <v>491897351.70766819</v>
          </cell>
          <cell r="AC111">
            <v>118832884872.91794</v>
          </cell>
          <cell r="AP111">
            <v>1945010890.0249929</v>
          </cell>
          <cell r="AX111">
            <v>246047346262.78485</v>
          </cell>
        </row>
        <row r="112">
          <cell r="V112">
            <v>508897914.92791903</v>
          </cell>
          <cell r="AC112">
            <v>123385970911.44034</v>
          </cell>
          <cell r="AP112">
            <v>2067589476.3507786</v>
          </cell>
          <cell r="AX112">
            <v>258651702506.18665</v>
          </cell>
        </row>
        <row r="113">
          <cell r="V113">
            <v>525310133.06812912</v>
          </cell>
          <cell r="AC113">
            <v>127845557427.24033</v>
          </cell>
          <cell r="AP113">
            <v>2184977752.1818967</v>
          </cell>
          <cell r="AX113">
            <v>271309464733.25314</v>
          </cell>
        </row>
        <row r="114">
          <cell r="V114">
            <v>541387809.36868346</v>
          </cell>
          <cell r="AC114">
            <v>132257010469.83597</v>
          </cell>
          <cell r="AP114">
            <v>2299709575.4487844</v>
          </cell>
          <cell r="AX114">
            <v>283771155501.13574</v>
          </cell>
        </row>
        <row r="115">
          <cell r="V115">
            <v>558003544.88366973</v>
          </cell>
          <cell r="AC115">
            <v>136834152059.22281</v>
          </cell>
          <cell r="AP115">
            <v>2421431879.7815166</v>
          </cell>
          <cell r="AX115">
            <v>296971239158.89624</v>
          </cell>
        </row>
        <row r="116">
          <cell r="V116">
            <v>575127687.40225267</v>
          </cell>
          <cell r="AC116">
            <v>141564785686.86365</v>
          </cell>
          <cell r="AP116">
            <v>2549630079.3803473</v>
          </cell>
          <cell r="AX116">
            <v>310815560873.7572</v>
          </cell>
        </row>
        <row r="117">
          <cell r="V117">
            <v>593193614.42952228</v>
          </cell>
          <cell r="AC117">
            <v>146557156264.28445</v>
          </cell>
          <cell r="AP117">
            <v>2689557339.0943575</v>
          </cell>
          <cell r="AX117">
            <v>325610168671.04926</v>
          </cell>
        </row>
        <row r="118">
          <cell r="V118">
            <v>613292905.69736159</v>
          </cell>
          <cell r="AC118">
            <v>152075875294.28198</v>
          </cell>
          <cell r="AP118">
            <v>2842661408.7029676</v>
          </cell>
          <cell r="AX118">
            <v>341785235284.28833</v>
          </cell>
        </row>
        <row r="119">
          <cell r="V119">
            <v>634845610.25519037</v>
          </cell>
          <cell r="AC119">
            <v>157988115828.76459</v>
          </cell>
          <cell r="AP119">
            <v>3007688704.6296644</v>
          </cell>
          <cell r="AX119">
            <v>359181865062.72815</v>
          </cell>
        </row>
        <row r="120">
          <cell r="V120">
            <v>656754696.68667841</v>
          </cell>
          <cell r="AC120">
            <v>164026627080.72913</v>
          </cell>
          <cell r="AP120">
            <v>3178438848.3795004</v>
          </cell>
          <cell r="AX120">
            <v>377047518447.36133</v>
          </cell>
        </row>
        <row r="121">
          <cell r="V121">
            <v>679463249.44461608</v>
          </cell>
          <cell r="AC121">
            <v>170223204655.01678</v>
          </cell>
          <cell r="AP121">
            <v>3356295128.5165658</v>
          </cell>
          <cell r="AX121">
            <v>395518268767.26953</v>
          </cell>
        </row>
        <row r="122">
          <cell r="V122">
            <v>703448890.97151875</v>
          </cell>
          <cell r="AC122">
            <v>176652242389.1402</v>
          </cell>
          <cell r="AP122">
            <v>3545366350.3466086</v>
          </cell>
          <cell r="AX122">
            <v>414992754643.05823</v>
          </cell>
        </row>
        <row r="123">
          <cell r="V123">
            <v>727282498.32315123</v>
          </cell>
          <cell r="AC123">
            <v>182947756991.53467</v>
          </cell>
          <cell r="AP123">
            <v>3737697057.6078768</v>
          </cell>
          <cell r="AX123">
            <v>434504815354.22906</v>
          </cell>
        </row>
        <row r="124">
          <cell r="V124">
            <v>751915054.41015351</v>
          </cell>
          <cell r="AC124">
            <v>189463660335.1488</v>
          </cell>
          <cell r="AP124">
            <v>3940606945.1160936</v>
          </cell>
          <cell r="AX124">
            <v>454986437462.45673</v>
          </cell>
        </row>
        <row r="125">
          <cell r="V125">
            <v>776907830.87141418</v>
          </cell>
          <cell r="AC125">
            <v>196146468162.19131</v>
          </cell>
          <cell r="AP125">
            <v>4152035837.8231378</v>
          </cell>
          <cell r="AX125">
            <v>476199281011.53723</v>
          </cell>
        </row>
        <row r="126">
          <cell r="V126">
            <v>802448548.11825836</v>
          </cell>
          <cell r="AC126">
            <v>203038481046.2814</v>
          </cell>
          <cell r="AP126">
            <v>4374255530.3165169</v>
          </cell>
          <cell r="AX126">
            <v>498388192327.8396</v>
          </cell>
        </row>
        <row r="127">
          <cell r="V127">
            <v>827092108.35185993</v>
          </cell>
          <cell r="AC127">
            <v>209733385501.17834</v>
          </cell>
          <cell r="AP127">
            <v>4584723981.1304331</v>
          </cell>
          <cell r="AX127">
            <v>520034073511.5683</v>
          </cell>
        </row>
        <row r="128">
          <cell r="V128">
            <v>852585594.51709688</v>
          </cell>
          <cell r="AC128">
            <v>216696255223.33951</v>
          </cell>
          <cell r="AP128">
            <v>4808727739.1546221</v>
          </cell>
          <cell r="AX128">
            <v>543023375228.93433</v>
          </cell>
        </row>
        <row r="129">
          <cell r="V129">
            <v>878512655.36648619</v>
          </cell>
          <cell r="AC129">
            <v>223862003028.81622</v>
          </cell>
          <cell r="AP129">
            <v>5042741940.2299252</v>
          </cell>
          <cell r="AX129">
            <v>566954338213.75317</v>
          </cell>
        </row>
        <row r="130">
          <cell r="V130">
            <v>905296854.04325092</v>
          </cell>
          <cell r="AC130">
            <v>231214115375.84137</v>
          </cell>
          <cell r="AP130">
            <v>5288870193.7737627</v>
          </cell>
          <cell r="AX130">
            <v>591950486249.92261</v>
          </cell>
        </row>
        <row r="131">
          <cell r="V131">
            <v>932069497.33600712</v>
          </cell>
          <cell r="AC131">
            <v>238510538245.09259</v>
          </cell>
          <cell r="AP131">
            <v>5540350096.0722198</v>
          </cell>
          <cell r="AX131">
            <v>617087698108.16113</v>
          </cell>
        </row>
        <row r="132">
          <cell r="V132">
            <v>954715678.35135865</v>
          </cell>
          <cell r="AC132">
            <v>245654124781.91083</v>
          </cell>
          <cell r="AP132">
            <v>5795807663.7102184</v>
          </cell>
          <cell r="AX132">
            <v>642573357097.57837</v>
          </cell>
        </row>
        <row r="133">
          <cell r="V133">
            <v>977432309.48153555</v>
          </cell>
          <cell r="AC133">
            <v>253542866515.77771</v>
          </cell>
          <cell r="AP133">
            <v>6055296114.2079296</v>
          </cell>
          <cell r="AX133">
            <v>670031358577.00513</v>
          </cell>
        </row>
        <row r="134">
          <cell r="V134">
            <v>1000726635.2487777</v>
          </cell>
          <cell r="AC134">
            <v>261841771881.91168</v>
          </cell>
          <cell r="AP134">
            <v>6326482380.7627287</v>
          </cell>
          <cell r="AX134">
            <v>699112210206.8407</v>
          </cell>
        </row>
        <row r="135">
          <cell r="V135">
            <v>1024864239.907398</v>
          </cell>
          <cell r="AC135">
            <v>270471712066.15646</v>
          </cell>
          <cell r="AP135">
            <v>6613837485.0805025</v>
          </cell>
          <cell r="AX135">
            <v>729903857526.66638</v>
          </cell>
        </row>
        <row r="136">
          <cell r="V136">
            <v>1049637102.0831966</v>
          </cell>
          <cell r="AC136">
            <v>279383243540.16937</v>
          </cell>
          <cell r="AP136">
            <v>6914542490.5631208</v>
          </cell>
          <cell r="AX136">
            <v>762089340518.89832</v>
          </cell>
        </row>
        <row r="137">
          <cell r="V137">
            <v>1071675952.0440513</v>
          </cell>
          <cell r="AC137">
            <v>287676459641.97095</v>
          </cell>
          <cell r="AP137">
            <v>7174149255.6930084</v>
          </cell>
          <cell r="AX137">
            <v>792762315477.27466</v>
          </cell>
        </row>
        <row r="138">
          <cell r="V138">
            <v>1094208912.6029637</v>
          </cell>
          <cell r="AC138">
            <v>296206838328.54785</v>
          </cell>
          <cell r="AP138">
            <v>7443755514.3968821</v>
          </cell>
          <cell r="AX138">
            <v>824679571486.23547</v>
          </cell>
        </row>
        <row r="139">
          <cell r="V139">
            <v>1115029163.0184155</v>
          </cell>
          <cell r="AC139">
            <v>304375524124.6145</v>
          </cell>
          <cell r="AP139">
            <v>7705443378.5992498</v>
          </cell>
          <cell r="AX139">
            <v>855858261301.03223</v>
          </cell>
        </row>
        <row r="140">
          <cell r="V140">
            <v>1133514715.4114883</v>
          </cell>
          <cell r="AC140">
            <v>311999816351.42871</v>
          </cell>
          <cell r="AP140">
            <v>7954795540.6978407</v>
          </cell>
          <cell r="AX140">
            <v>885798577266.64905</v>
          </cell>
        </row>
        <row r="141">
          <cell r="V141">
            <v>1152636583.8830609</v>
          </cell>
          <cell r="AC141">
            <v>319888469863.88098</v>
          </cell>
          <cell r="AP141">
            <v>8217536271.6155357</v>
          </cell>
          <cell r="AX141">
            <v>917360691328.76514</v>
          </cell>
        </row>
        <row r="142">
          <cell r="V142">
            <v>1177028420.6834819</v>
          </cell>
          <cell r="AC142">
            <v>328286928573.00348</v>
          </cell>
          <cell r="AP142">
            <v>8498166748.3050909</v>
          </cell>
          <cell r="AX142">
            <v>950752857095.35742</v>
          </cell>
        </row>
        <row r="143">
          <cell r="V143">
            <v>1201887184.5655262</v>
          </cell>
          <cell r="AC143">
            <v>336909700486.25854</v>
          </cell>
          <cell r="AP143">
            <v>8788196935.185091</v>
          </cell>
          <cell r="AX143">
            <v>985397724476.38086</v>
          </cell>
        </row>
        <row r="144">
          <cell r="V144">
            <v>1226920395.0443358</v>
          </cell>
          <cell r="AC144">
            <v>345766334413.73547</v>
          </cell>
          <cell r="AP144">
            <v>9082609317.9830818</v>
          </cell>
          <cell r="AX144">
            <v>1021005060177.3754</v>
          </cell>
        </row>
        <row r="145">
          <cell r="V145">
            <v>1252500191.2498507</v>
          </cell>
          <cell r="AC145">
            <v>354854544447.88867</v>
          </cell>
          <cell r="AP145">
            <v>9388045166.3951511</v>
          </cell>
          <cell r="AX145">
            <v>1058011556145.696</v>
          </cell>
        </row>
        <row r="146">
          <cell r="V146">
            <v>1277945013.1135774</v>
          </cell>
          <cell r="AC146">
            <v>363982764534.8808</v>
          </cell>
          <cell r="AP146">
            <v>9692394742.433691</v>
          </cell>
          <cell r="AX146">
            <v>1095057405730.9589</v>
          </cell>
        </row>
        <row r="147">
          <cell r="V147">
            <v>1305545250.9854946</v>
          </cell>
          <cell r="AC147">
            <v>373449437827.41644</v>
          </cell>
          <cell r="AP147">
            <v>10010921433.330467</v>
          </cell>
          <cell r="AX147">
            <v>1134056550537.5537</v>
          </cell>
        </row>
        <row r="148">
          <cell r="V148">
            <v>1334762968.8256636</v>
          </cell>
          <cell r="AC148">
            <v>383448076892.14282</v>
          </cell>
          <cell r="AP148">
            <v>10359617555.024101</v>
          </cell>
          <cell r="AX148">
            <v>1176506357461.8398</v>
          </cell>
        </row>
        <row r="149">
          <cell r="V149">
            <v>1364711628.3164365</v>
          </cell>
          <cell r="AC149">
            <v>393728837915.06738</v>
          </cell>
          <cell r="AP149">
            <v>10722740217.93362</v>
          </cell>
          <cell r="AX149">
            <v>1220784965486.3914</v>
          </cell>
        </row>
        <row r="150">
          <cell r="V150">
            <v>1394956034.4833727</v>
          </cell>
          <cell r="AC150">
            <v>404168286646.16077</v>
          </cell>
          <cell r="AP150">
            <v>11092363914.7908</v>
          </cell>
          <cell r="AX150">
            <v>1265998923843.323</v>
          </cell>
        </row>
        <row r="151">
          <cell r="V151">
            <v>1425963769.0251091</v>
          </cell>
          <cell r="AC151">
            <v>414903524381.28735</v>
          </cell>
          <cell r="AP151">
            <v>11477377909.75419</v>
          </cell>
          <cell r="AX151">
            <v>1313169617657.116</v>
          </cell>
        </row>
        <row r="152">
          <cell r="V152">
            <v>1457031118.849323</v>
          </cell>
          <cell r="AC152">
            <v>425731705826.43085</v>
          </cell>
          <cell r="AP152">
            <v>11864548520.531878</v>
          </cell>
          <cell r="AX152">
            <v>1360790992235.8882</v>
          </cell>
        </row>
        <row r="153">
          <cell r="V153">
            <v>1488560047.3261085</v>
          </cell>
          <cell r="AC153">
            <v>436770955289.90186</v>
          </cell>
          <cell r="AP153">
            <v>12263258933.286791</v>
          </cell>
          <cell r="AX153">
            <v>1409942456166.8323</v>
          </cell>
        </row>
        <row r="154">
          <cell r="V154">
            <v>1520773385.7622054</v>
          </cell>
          <cell r="AC154">
            <v>449124622844.03333</v>
          </cell>
          <cell r="AP154">
            <v>12679250035.332714</v>
          </cell>
          <cell r="AX154">
            <v>1464672751009.3962</v>
          </cell>
        </row>
        <row r="155">
          <cell r="V155">
            <v>1553581957.3905694</v>
          </cell>
          <cell r="AC155">
            <v>462643437071.46802</v>
          </cell>
          <cell r="AP155">
            <v>13108210538.830097</v>
          </cell>
          <cell r="AX155">
            <v>1524187546030.3171</v>
          </cell>
        </row>
        <row r="156">
          <cell r="V156">
            <v>1586929905.4849939</v>
          </cell>
          <cell r="AC156">
            <v>476484417499.1698</v>
          </cell>
          <cell r="AP156">
            <v>13549204339.527596</v>
          </cell>
          <cell r="AX156">
            <v>1585722219470.1394</v>
          </cell>
        </row>
        <row r="157">
          <cell r="V157">
            <v>1613005341.7664044</v>
          </cell>
          <cell r="AC157">
            <v>488286655766.17505</v>
          </cell>
          <cell r="AP157">
            <v>13958371949.075834</v>
          </cell>
          <cell r="AX157">
            <v>1645875838347.1528</v>
          </cell>
        </row>
        <row r="158">
          <cell r="V158">
            <v>1640761427.7200818</v>
          </cell>
          <cell r="AC158">
            <v>500728674969.66113</v>
          </cell>
          <cell r="AP158">
            <v>14422775667.708353</v>
          </cell>
          <cell r="AX158">
            <v>1713287310983.7017</v>
          </cell>
        </row>
        <row r="159">
          <cell r="V159">
            <v>1669316649.0989444</v>
          </cell>
          <cell r="AC159">
            <v>513556346225.92041</v>
          </cell>
          <cell r="AP159">
            <v>14908755760.673594</v>
          </cell>
          <cell r="AX159">
            <v>1784088331631.0996</v>
          </cell>
        </row>
        <row r="160">
          <cell r="V160">
            <v>1687470178.1748517</v>
          </cell>
          <cell r="AC160">
            <v>520574018213.49695</v>
          </cell>
          <cell r="AP160">
            <v>15181487361.25156</v>
          </cell>
          <cell r="AX160">
            <v>1820487554313.5608</v>
          </cell>
        </row>
        <row r="161">
          <cell r="V161">
            <v>1701586053.9910703</v>
          </cell>
          <cell r="AC161">
            <v>525884370066.58502</v>
          </cell>
          <cell r="AP161">
            <v>15370180565.5056</v>
          </cell>
          <cell r="AX161">
            <v>1845202087118.5015</v>
          </cell>
        </row>
        <row r="162">
          <cell r="V162">
            <v>1708221270.3305535</v>
          </cell>
          <cell r="AC162">
            <v>528894201707.43048</v>
          </cell>
          <cell r="AP162">
            <v>15401624991.461433</v>
          </cell>
          <cell r="AX162">
            <v>1852506567605.4893</v>
          </cell>
        </row>
        <row r="163">
          <cell r="V163">
            <v>1713540560.893326</v>
          </cell>
          <cell r="AC163">
            <v>531503076232.24384</v>
          </cell>
          <cell r="AP163">
            <v>15405291511.176535</v>
          </cell>
          <cell r="AX163">
            <v>1856731156297.6553</v>
          </cell>
        </row>
        <row r="164">
          <cell r="V164">
            <v>1718865578.4129758</v>
          </cell>
          <cell r="AC164">
            <v>534119465700.6712</v>
          </cell>
          <cell r="AP164">
            <v>15408959698.732014</v>
          </cell>
          <cell r="AX164">
            <v>1860957819824.3052</v>
          </cell>
        </row>
        <row r="165">
          <cell r="V165">
            <v>1724196323.2561774</v>
          </cell>
          <cell r="AC165">
            <v>536743378364.48438</v>
          </cell>
          <cell r="AP165">
            <v>15412629550.235312</v>
          </cell>
          <cell r="AX165">
            <v>1865186558832.1323</v>
          </cell>
        </row>
        <row r="166">
          <cell r="V166">
            <v>1729528576.5494092</v>
          </cell>
          <cell r="AC166">
            <v>539374646660.4765</v>
          </cell>
          <cell r="AP166">
            <v>15416300099.622921</v>
          </cell>
          <cell r="AX166">
            <v>1869417106047.5972</v>
          </cell>
        </row>
      </sheetData>
      <sheetData sheetId="17">
        <row r="7">
          <cell r="V7">
            <v>25583.495659324144</v>
          </cell>
          <cell r="AC7">
            <v>3010760.8591112643</v>
          </cell>
          <cell r="AP7">
            <v>18823.688474268303</v>
          </cell>
          <cell r="AX7">
            <v>2003470.4619825557</v>
          </cell>
        </row>
        <row r="8">
          <cell r="V8">
            <v>34396.790574492297</v>
          </cell>
          <cell r="AC8">
            <v>4195975.2298777485</v>
          </cell>
          <cell r="AP8">
            <v>27137.506365927784</v>
          </cell>
          <cell r="AX8">
            <v>3008606.1049022302</v>
          </cell>
        </row>
        <row r="9">
          <cell r="V9">
            <v>44577.656731110896</v>
          </cell>
          <cell r="AC9">
            <v>5622630.055299012</v>
          </cell>
          <cell r="AP9">
            <v>37430.561911912358</v>
          </cell>
          <cell r="AX9">
            <v>4311006.1983993128</v>
          </cell>
        </row>
        <row r="10">
          <cell r="V10">
            <v>56685.066295660974</v>
          </cell>
          <cell r="AC10">
            <v>7376066.9650279358</v>
          </cell>
          <cell r="AP10">
            <v>50366.862867017357</v>
          </cell>
          <cell r="AX10">
            <v>6011947.0063401889</v>
          </cell>
        </row>
        <row r="11">
          <cell r="V11">
            <v>70939.533109377619</v>
          </cell>
          <cell r="AC11">
            <v>9503986.6313445196</v>
          </cell>
          <cell r="AP11">
            <v>66398.298050051817</v>
          </cell>
          <cell r="AX11">
            <v>8196152.5069285519</v>
          </cell>
        </row>
        <row r="12">
          <cell r="V12">
            <v>87577.348776763305</v>
          </cell>
          <cell r="AC12">
            <v>12058259.431033578</v>
          </cell>
          <cell r="AP12">
            <v>86028.507805166199</v>
          </cell>
          <cell r="AX12">
            <v>10960561.311535936</v>
          </cell>
        </row>
        <row r="13">
          <cell r="V13">
            <v>106679.09723001692</v>
          </cell>
          <cell r="AC13">
            <v>15070809.382812055</v>
          </cell>
          <cell r="AP13">
            <v>109639.83946870572</v>
          </cell>
          <cell r="AX13">
            <v>14392239.607216056</v>
          </cell>
        </row>
        <row r="14">
          <cell r="V14">
            <v>127627.80854425668</v>
          </cell>
          <cell r="AC14">
            <v>18472318.767257798</v>
          </cell>
          <cell r="AP14">
            <v>136877.0752311004</v>
          </cell>
          <cell r="AX14">
            <v>18482490.565439142</v>
          </cell>
        </row>
        <row r="15">
          <cell r="V15">
            <v>151314.8589706996</v>
          </cell>
          <cell r="AC15">
            <v>22407233.150355451</v>
          </cell>
          <cell r="AP15">
            <v>168957.34487296265</v>
          </cell>
          <cell r="AX15">
            <v>23433465.442342021</v>
          </cell>
        </row>
        <row r="16">
          <cell r="V16">
            <v>177959.59766764921</v>
          </cell>
          <cell r="AC16">
            <v>26929030.919471741</v>
          </cell>
          <cell r="AP16">
            <v>206473.36987769578</v>
          </cell>
          <cell r="AX16">
            <v>29374177.681471482</v>
          </cell>
        </row>
        <row r="17">
          <cell r="V17">
            <v>211531.05697681144</v>
          </cell>
          <cell r="AC17">
            <v>32239006.856892847</v>
          </cell>
          <cell r="AP17">
            <v>248472.30778692651</v>
          </cell>
          <cell r="AX17">
            <v>36481468.782508753</v>
          </cell>
        </row>
        <row r="18">
          <cell r="V18">
            <v>248982.35747177032</v>
          </cell>
          <cell r="AC18">
            <v>37269457.623588808</v>
          </cell>
          <cell r="AP18">
            <v>285236.06948473671</v>
          </cell>
          <cell r="AX18">
            <v>42010912.296717785</v>
          </cell>
        </row>
        <row r="19">
          <cell r="V19">
            <v>290581.72962394421</v>
          </cell>
          <cell r="AC19">
            <v>42775395.126727916</v>
          </cell>
          <cell r="AP19">
            <v>325216.42413457774</v>
          </cell>
          <cell r="AX19">
            <v>48012746.003889456</v>
          </cell>
        </row>
        <row r="20">
          <cell r="V20">
            <v>336498.39596823946</v>
          </cell>
          <cell r="AC20">
            <v>48761387.081985109</v>
          </cell>
          <cell r="AP20">
            <v>367937.68225321232</v>
          </cell>
          <cell r="AX20">
            <v>54421423.967421383</v>
          </cell>
        </row>
        <row r="21">
          <cell r="V21">
            <v>387318.70330187085</v>
          </cell>
          <cell r="AC21">
            <v>55293376.692221344</v>
          </cell>
          <cell r="AP21">
            <v>414721.18676717061</v>
          </cell>
          <cell r="AX21">
            <v>61435256.313832887</v>
          </cell>
        </row>
        <row r="22">
          <cell r="V22">
            <v>445984.56843445171</v>
          </cell>
          <cell r="AC22">
            <v>64281927.450935327</v>
          </cell>
          <cell r="AP22">
            <v>469190.83959509101</v>
          </cell>
          <cell r="AX22">
            <v>71274583.672264427</v>
          </cell>
        </row>
        <row r="23">
          <cell r="V23">
            <v>508210.84849350207</v>
          </cell>
          <cell r="AC23">
            <v>72548203.560584188</v>
          </cell>
          <cell r="AP23">
            <v>525587.33292931307</v>
          </cell>
          <cell r="AX23">
            <v>80254988.461674601</v>
          </cell>
        </row>
        <row r="24">
          <cell r="V24">
            <v>576852.62615900789</v>
          </cell>
          <cell r="AC24">
            <v>81592408.173191637</v>
          </cell>
          <cell r="AP24">
            <v>588350.71362250636</v>
          </cell>
          <cell r="AX24">
            <v>90349003.034616232</v>
          </cell>
        </row>
        <row r="25">
          <cell r="V25">
            <v>651517.26613694872</v>
          </cell>
          <cell r="AC25">
            <v>91344364.468776166</v>
          </cell>
          <cell r="AP25">
            <v>654731.46681382565</v>
          </cell>
          <cell r="AX25">
            <v>101198008.72124997</v>
          </cell>
        </row>
        <row r="26">
          <cell r="V26">
            <v>723950.44563461968</v>
          </cell>
          <cell r="AC26">
            <v>101680774.9266835</v>
          </cell>
          <cell r="AP26">
            <v>721067.33068110666</v>
          </cell>
          <cell r="AX26">
            <v>112637691.94008657</v>
          </cell>
        </row>
        <row r="27">
          <cell r="V27">
            <v>811943.80922469648</v>
          </cell>
          <cell r="AC27">
            <v>115584253.85279569</v>
          </cell>
          <cell r="AP27">
            <v>794515.11669008085</v>
          </cell>
          <cell r="AX27">
            <v>125927956.61700338</v>
          </cell>
        </row>
        <row r="28">
          <cell r="V28">
            <v>905803.41343726753</v>
          </cell>
          <cell r="AC28">
            <v>130650216.36103833</v>
          </cell>
          <cell r="AP28">
            <v>871608.0751069492</v>
          </cell>
          <cell r="AX28">
            <v>140122888.81656489</v>
          </cell>
        </row>
        <row r="29">
          <cell r="V29">
            <v>1006006.6942823143</v>
          </cell>
          <cell r="AC29">
            <v>146969185.55065629</v>
          </cell>
          <cell r="AP29">
            <v>953795.62614394166</v>
          </cell>
          <cell r="AX29">
            <v>155471878.39591277</v>
          </cell>
        </row>
        <row r="30">
          <cell r="V30">
            <v>1117292.1051960932</v>
          </cell>
          <cell r="AC30">
            <v>165276281.58214456</v>
          </cell>
          <cell r="AP30">
            <v>1045495.4624252797</v>
          </cell>
          <cell r="AX30">
            <v>172739507.1204294</v>
          </cell>
        </row>
        <row r="31">
          <cell r="V31">
            <v>1237177.9518757325</v>
          </cell>
          <cell r="AC31">
            <v>185255560.40937924</v>
          </cell>
          <cell r="AP31">
            <v>1145274.6703678013</v>
          </cell>
          <cell r="AX31">
            <v>191745126.86330605</v>
          </cell>
        </row>
        <row r="32">
          <cell r="V32">
            <v>1364412.7569481442</v>
          </cell>
          <cell r="AC32">
            <v>206757631.82385898</v>
          </cell>
          <cell r="AP32">
            <v>1248884.2097527192</v>
          </cell>
          <cell r="AX32">
            <v>211816006.91073918</v>
          </cell>
        </row>
        <row r="33">
          <cell r="V33">
            <v>1500514.0911324774</v>
          </cell>
          <cell r="AC33">
            <v>230047898.0686996</v>
          </cell>
          <cell r="AP33">
            <v>1361147.3554365125</v>
          </cell>
          <cell r="AX33">
            <v>233800164.67840865</v>
          </cell>
        </row>
        <row r="34">
          <cell r="V34">
            <v>1719192.285087937</v>
          </cell>
          <cell r="AC34">
            <v>260835625.95688277</v>
          </cell>
          <cell r="AP34">
            <v>1511735.5354036379</v>
          </cell>
          <cell r="AX34">
            <v>261743235.57913631</v>
          </cell>
        </row>
        <row r="35">
          <cell r="V35">
            <v>2004490.7355373926</v>
          </cell>
          <cell r="AC35">
            <v>297774172.40799171</v>
          </cell>
          <cell r="AP35">
            <v>1695744.6938169624</v>
          </cell>
          <cell r="AX35">
            <v>295284397.03875899</v>
          </cell>
        </row>
        <row r="36">
          <cell r="V36">
            <v>2324303.3731727018</v>
          </cell>
          <cell r="AC36">
            <v>338408039.38197118</v>
          </cell>
          <cell r="AP36">
            <v>1893613.0433319579</v>
          </cell>
          <cell r="AX36">
            <v>331587343.76198596</v>
          </cell>
        </row>
        <row r="37">
          <cell r="V37">
            <v>2729657.1202273313</v>
          </cell>
          <cell r="AC37">
            <v>391181322.13541555</v>
          </cell>
          <cell r="AP37">
            <v>2121486.6603160948</v>
          </cell>
          <cell r="AX37">
            <v>374757001.762815</v>
          </cell>
        </row>
        <row r="38">
          <cell r="V38">
            <v>3187680.5968479938</v>
          </cell>
          <cell r="AC38">
            <v>450088659.75579107</v>
          </cell>
          <cell r="AP38">
            <v>2370679.5454725837</v>
          </cell>
          <cell r="AX38">
            <v>422440969.64957291</v>
          </cell>
        </row>
        <row r="39">
          <cell r="V39">
            <v>3703068.7326603686</v>
          </cell>
          <cell r="AC39">
            <v>515544880.61858201</v>
          </cell>
          <cell r="AP39">
            <v>2642687.236495187</v>
          </cell>
          <cell r="AX39">
            <v>474929667.48392546</v>
          </cell>
        </row>
        <row r="40">
          <cell r="V40">
            <v>4231180.7512306385</v>
          </cell>
          <cell r="AC40">
            <v>585465936.27097273</v>
          </cell>
          <cell r="AP40">
            <v>2922223.2080297275</v>
          </cell>
          <cell r="AX40">
            <v>530718505.599226</v>
          </cell>
        </row>
        <row r="41">
          <cell r="V41">
            <v>4706540.1977004819</v>
          </cell>
          <cell r="AC41">
            <v>656583446.93710566</v>
          </cell>
          <cell r="AP41">
            <v>3177517.3931990438</v>
          </cell>
          <cell r="AX41">
            <v>586195127.65900838</v>
          </cell>
        </row>
        <row r="42">
          <cell r="V42">
            <v>5223369.650418953</v>
          </cell>
          <cell r="AC42">
            <v>733918564.04070485</v>
          </cell>
          <cell r="AP42">
            <v>3445993.3135963967</v>
          </cell>
          <cell r="AX42">
            <v>646190072.05485392</v>
          </cell>
        </row>
        <row r="43">
          <cell r="V43">
            <v>5776763.0037123812</v>
          </cell>
          <cell r="AC43">
            <v>817200684.13753772</v>
          </cell>
          <cell r="AP43">
            <v>3727224.2615337623</v>
          </cell>
          <cell r="AX43">
            <v>709780478.93221879</v>
          </cell>
        </row>
        <row r="44">
          <cell r="V44">
            <v>6371733.3248316478</v>
          </cell>
          <cell r="AC44">
            <v>907438769.72751188</v>
          </cell>
          <cell r="AP44">
            <v>4031649.3662706632</v>
          </cell>
          <cell r="AX44">
            <v>779259235.26395702</v>
          </cell>
        </row>
        <row r="45">
          <cell r="V45">
            <v>7007839.2866048487</v>
          </cell>
          <cell r="AC45">
            <v>1004663021.6510417</v>
          </cell>
          <cell r="AP45">
            <v>4352650.0940594794</v>
          </cell>
          <cell r="AX45">
            <v>853498127.76619124</v>
          </cell>
        </row>
        <row r="46">
          <cell r="V46">
            <v>7714945.8904421721</v>
          </cell>
          <cell r="AC46">
            <v>1112020462.3646059</v>
          </cell>
          <cell r="AP46">
            <v>4707150.557469775</v>
          </cell>
          <cell r="AX46">
            <v>935349881.41063762</v>
          </cell>
        </row>
        <row r="47">
          <cell r="V47">
            <v>8341525.6252147704</v>
          </cell>
          <cell r="AC47">
            <v>1206702339.7150488</v>
          </cell>
          <cell r="AP47">
            <v>5073170.6512221508</v>
          </cell>
          <cell r="AX47">
            <v>1014981987.3078831</v>
          </cell>
        </row>
        <row r="48">
          <cell r="V48">
            <v>9012230.365190085</v>
          </cell>
          <cell r="AC48">
            <v>1308170152.8384664</v>
          </cell>
          <cell r="AP48">
            <v>5475912.8330959389</v>
          </cell>
          <cell r="AX48">
            <v>1102727194.8670297</v>
          </cell>
        </row>
        <row r="49">
          <cell r="V49">
            <v>9723220.3050178885</v>
          </cell>
          <cell r="AC49">
            <v>1416131349.0199547</v>
          </cell>
          <cell r="AP49">
            <v>5903948.6298392201</v>
          </cell>
          <cell r="AX49">
            <v>1196572558.2620482</v>
          </cell>
        </row>
        <row r="50">
          <cell r="V50">
            <v>10507784.106661953</v>
          </cell>
          <cell r="AC50">
            <v>1536624305.2786553</v>
          </cell>
          <cell r="AP50">
            <v>6372325.2852112884</v>
          </cell>
          <cell r="AX50">
            <v>1300240842.0605192</v>
          </cell>
        </row>
        <row r="51">
          <cell r="V51">
            <v>11319684.094763683</v>
          </cell>
          <cell r="AC51">
            <v>1662455224.5065258</v>
          </cell>
          <cell r="AP51">
            <v>6870259.3272370342</v>
          </cell>
          <cell r="AX51">
            <v>1410403248.7127266</v>
          </cell>
        </row>
        <row r="52">
          <cell r="V52">
            <v>12136948.233956579</v>
          </cell>
          <cell r="AC52">
            <v>1790008745.0193138</v>
          </cell>
          <cell r="AP52">
            <v>7371609.4090751596</v>
          </cell>
          <cell r="AX52">
            <v>1522357992.207901</v>
          </cell>
        </row>
        <row r="53">
          <cell r="V53">
            <v>12997384.615527609</v>
          </cell>
          <cell r="AC53">
            <v>1924878173.2046461</v>
          </cell>
          <cell r="AP53">
            <v>7907415.6060048118</v>
          </cell>
          <cell r="AX53">
            <v>1642537529.759675</v>
          </cell>
        </row>
        <row r="54">
          <cell r="V54">
            <v>13896242.590331247</v>
          </cell>
          <cell r="AC54">
            <v>2066420002.2706723</v>
          </cell>
          <cell r="AP54">
            <v>8461389.0398291405</v>
          </cell>
          <cell r="AX54">
            <v>1767634544.732337</v>
          </cell>
        </row>
        <row r="55">
          <cell r="V55">
            <v>15021479.071470452</v>
          </cell>
          <cell r="AC55">
            <v>2255589311.1131468</v>
          </cell>
          <cell r="AP55">
            <v>9229618.8909348939</v>
          </cell>
          <cell r="AX55">
            <v>1937138089.3367939</v>
          </cell>
        </row>
        <row r="56">
          <cell r="V56">
            <v>16035666.447462831</v>
          </cell>
          <cell r="AC56">
            <v>2418435219.906445</v>
          </cell>
          <cell r="AP56">
            <v>9893614.3821856938</v>
          </cell>
          <cell r="AX56">
            <v>2082154822.1912169</v>
          </cell>
        </row>
        <row r="57">
          <cell r="V57">
            <v>17175852.867080849</v>
          </cell>
          <cell r="AC57">
            <v>2640851974.428318</v>
          </cell>
          <cell r="AP57">
            <v>10622626.362438295</v>
          </cell>
          <cell r="AX57">
            <v>2273830378.1437922</v>
          </cell>
        </row>
        <row r="58">
          <cell r="V58">
            <v>18380998.675071292</v>
          </cell>
          <cell r="AC58">
            <v>2879422605.5353045</v>
          </cell>
          <cell r="AP58">
            <v>11408166.070353167</v>
          </cell>
          <cell r="AX58">
            <v>2482356797.1283083</v>
          </cell>
        </row>
        <row r="59">
          <cell r="V59">
            <v>19679913.66665059</v>
          </cell>
          <cell r="AC59">
            <v>3139244133.1451092</v>
          </cell>
          <cell r="AP59">
            <v>12256232.371149762</v>
          </cell>
          <cell r="AX59">
            <v>2707763784.678514</v>
          </cell>
        </row>
        <row r="60">
          <cell r="V60">
            <v>21184247.501377415</v>
          </cell>
          <cell r="AC60">
            <v>3437576237.6196823</v>
          </cell>
          <cell r="AP60">
            <v>13237513.629389241</v>
          </cell>
          <cell r="AX60">
            <v>2963061788.1363378</v>
          </cell>
        </row>
        <row r="61">
          <cell r="V61">
            <v>22786495.145856813</v>
          </cell>
          <cell r="AC61">
            <v>3756793586.6369872</v>
          </cell>
          <cell r="AP61">
            <v>14258622.981141256</v>
          </cell>
          <cell r="AX61">
            <v>3234388756.5050697</v>
          </cell>
        </row>
        <row r="62">
          <cell r="V62">
            <v>24465449.029218867</v>
          </cell>
          <cell r="AC62">
            <v>4097546773.1077108</v>
          </cell>
          <cell r="AP62">
            <v>15355609.921356151</v>
          </cell>
          <cell r="AX62">
            <v>3528639520.5215645</v>
          </cell>
        </row>
        <row r="63">
          <cell r="V63">
            <v>26232218.503598399</v>
          </cell>
          <cell r="AC63">
            <v>4461123947.9794893</v>
          </cell>
          <cell r="AP63">
            <v>16524954.61520181</v>
          </cell>
          <cell r="AX63">
            <v>3845211896.8960781</v>
          </cell>
        </row>
        <row r="64">
          <cell r="V64">
            <v>28108189.942500718</v>
          </cell>
          <cell r="AC64">
            <v>4852502918.6881275</v>
          </cell>
          <cell r="AP64">
            <v>17787792.291803174</v>
          </cell>
          <cell r="AX64">
            <v>4190525633.9754448</v>
          </cell>
        </row>
        <row r="65">
          <cell r="V65">
            <v>30113070.712660786</v>
          </cell>
          <cell r="AC65">
            <v>5278811659.9627619</v>
          </cell>
          <cell r="AP65">
            <v>19142459.148951426</v>
          </cell>
          <cell r="AX65">
            <v>4567832623.7044373</v>
          </cell>
        </row>
        <row r="66">
          <cell r="V66">
            <v>32675536.112621222</v>
          </cell>
          <cell r="AC66">
            <v>5817603997.4209356</v>
          </cell>
          <cell r="AP66">
            <v>21749866.07321674</v>
          </cell>
          <cell r="AX66">
            <v>5074938823.341095</v>
          </cell>
        </row>
        <row r="67">
          <cell r="V67">
            <v>35851081.665821865</v>
          </cell>
          <cell r="AC67">
            <v>6437783077.3273449</v>
          </cell>
          <cell r="AP67">
            <v>25473314.042613454</v>
          </cell>
          <cell r="AX67">
            <v>5670094694.2377586</v>
          </cell>
        </row>
        <row r="68">
          <cell r="V68">
            <v>39259851.874340519</v>
          </cell>
          <cell r="AC68">
            <v>7108634427.6411877</v>
          </cell>
          <cell r="AP68">
            <v>29658451.169960897</v>
          </cell>
          <cell r="AX68">
            <v>6320189428.0208035</v>
          </cell>
        </row>
        <row r="69">
          <cell r="V69">
            <v>42922420.862690762</v>
          </cell>
          <cell r="AC69">
            <v>7834590456.8443947</v>
          </cell>
          <cell r="AP69">
            <v>34368764.149096325</v>
          </cell>
          <cell r="AX69">
            <v>7033468724.1386271</v>
          </cell>
        </row>
        <row r="70">
          <cell r="V70">
            <v>46841830.787636273</v>
          </cell>
          <cell r="AC70">
            <v>8617016291.7799892</v>
          </cell>
          <cell r="AP70">
            <v>39620274.697143659</v>
          </cell>
          <cell r="AX70">
            <v>7808016397.3749914</v>
          </cell>
        </row>
        <row r="71">
          <cell r="V71">
            <v>50616504.951142371</v>
          </cell>
          <cell r="AC71">
            <v>9412681515.7826633</v>
          </cell>
          <cell r="AP71">
            <v>45487065.83675316</v>
          </cell>
          <cell r="AX71">
            <v>8647837009.3833122</v>
          </cell>
        </row>
        <row r="72">
          <cell r="V72">
            <v>54126541.022358716</v>
          </cell>
          <cell r="AC72">
            <v>10211205627.077484</v>
          </cell>
          <cell r="AP72">
            <v>51853385.974970117</v>
          </cell>
          <cell r="AX72">
            <v>9532396110.1854172</v>
          </cell>
        </row>
        <row r="73">
          <cell r="V73">
            <v>57841185.995566905</v>
          </cell>
          <cell r="AC73">
            <v>11071235335.99003</v>
          </cell>
          <cell r="AP73">
            <v>58956946.66873163</v>
          </cell>
          <cell r="AX73">
            <v>10505814112.133526</v>
          </cell>
        </row>
        <row r="74">
          <cell r="V74">
            <v>62022775.699325554</v>
          </cell>
          <cell r="AC74">
            <v>12040452495.707005</v>
          </cell>
          <cell r="AP74">
            <v>67086390.967820197</v>
          </cell>
          <cell r="AX74">
            <v>11608272847.339304</v>
          </cell>
        </row>
        <row r="75">
          <cell r="V75">
            <v>66273348.147941619</v>
          </cell>
          <cell r="AC75">
            <v>13057785051.774151</v>
          </cell>
          <cell r="AP75">
            <v>75972392.135835767</v>
          </cell>
          <cell r="AX75">
            <v>12797723406.579025</v>
          </cell>
        </row>
        <row r="76">
          <cell r="V76">
            <v>72401167.067189142</v>
          </cell>
          <cell r="AC76">
            <v>14501269213.978874</v>
          </cell>
          <cell r="AP76">
            <v>94651968.515396208</v>
          </cell>
          <cell r="AX76">
            <v>15565203445.506327</v>
          </cell>
        </row>
        <row r="77">
          <cell r="V77">
            <v>77334520.221562594</v>
          </cell>
          <cell r="AC77">
            <v>15715035615.740356</v>
          </cell>
          <cell r="AP77">
            <v>106512890.41784623</v>
          </cell>
          <cell r="AX77">
            <v>17276757161.530201</v>
          </cell>
        </row>
        <row r="78">
          <cell r="V78">
            <v>82742129.915171593</v>
          </cell>
          <cell r="AC78">
            <v>17025307649.285458</v>
          </cell>
          <cell r="AP78">
            <v>119794632.01401237</v>
          </cell>
          <cell r="AX78">
            <v>19167410386.798008</v>
          </cell>
        </row>
        <row r="79">
          <cell r="V79">
            <v>90490768.995479822</v>
          </cell>
          <cell r="AC79">
            <v>18613115773.04842</v>
          </cell>
          <cell r="AP79">
            <v>136139101.86210817</v>
          </cell>
          <cell r="AX79">
            <v>21444104441.171562</v>
          </cell>
        </row>
        <row r="80">
          <cell r="V80">
            <v>98919613.040925533</v>
          </cell>
          <cell r="AC80">
            <v>20340656228.621399</v>
          </cell>
          <cell r="AP80">
            <v>154821517.93154392</v>
          </cell>
          <cell r="AX80">
            <v>24013699423.570225</v>
          </cell>
        </row>
        <row r="81">
          <cell r="V81">
            <v>107797702.73714909</v>
          </cell>
          <cell r="AC81">
            <v>22251992349.575035</v>
          </cell>
          <cell r="AP81">
            <v>175005991.25238466</v>
          </cell>
          <cell r="AX81">
            <v>26802126075.765488</v>
          </cell>
        </row>
        <row r="82">
          <cell r="V82">
            <v>116350632.63418454</v>
          </cell>
          <cell r="AC82">
            <v>24400896756.838562</v>
          </cell>
          <cell r="AP82">
            <v>196111809.01022136</v>
          </cell>
          <cell r="AX82">
            <v>29867352660.598145</v>
          </cell>
        </row>
        <row r="83">
          <cell r="V83">
            <v>125377222.37285733</v>
          </cell>
          <cell r="AC83">
            <v>26679889055.800941</v>
          </cell>
          <cell r="AP83">
            <v>219391417.50830665</v>
          </cell>
          <cell r="AX83">
            <v>33198350830.823936</v>
          </cell>
        </row>
        <row r="84">
          <cell r="V84">
            <v>135586824.07996875</v>
          </cell>
          <cell r="AC84">
            <v>29136731410.108429</v>
          </cell>
          <cell r="AP84">
            <v>245786526.7547769</v>
          </cell>
          <cell r="AX84">
            <v>36849674738.61721</v>
          </cell>
        </row>
        <row r="85">
          <cell r="V85">
            <v>146584103.2392689</v>
          </cell>
          <cell r="AC85">
            <v>31763699897.677822</v>
          </cell>
          <cell r="AP85">
            <v>274927849.33956409</v>
          </cell>
          <cell r="AX85">
            <v>40928355757.015808</v>
          </cell>
        </row>
        <row r="86">
          <cell r="V86">
            <v>158326634.64936861</v>
          </cell>
          <cell r="AC86">
            <v>34564512620.827873</v>
          </cell>
          <cell r="AP86">
            <v>308433522.74546695</v>
          </cell>
          <cell r="AX86">
            <v>45650225206.599815</v>
          </cell>
        </row>
        <row r="87">
          <cell r="V87">
            <v>172181392.25395495</v>
          </cell>
          <cell r="AC87">
            <v>37860619060.801476</v>
          </cell>
          <cell r="AP87">
            <v>358411271.80547875</v>
          </cell>
          <cell r="AX87">
            <v>51766290402.450378</v>
          </cell>
        </row>
        <row r="88">
          <cell r="V88">
            <v>187236241.09382293</v>
          </cell>
          <cell r="AC88">
            <v>41437434287.353828</v>
          </cell>
          <cell r="AP88">
            <v>415573185.23311985</v>
          </cell>
          <cell r="AX88">
            <v>58680170192.320946</v>
          </cell>
        </row>
        <row r="89">
          <cell r="V89">
            <v>202735819.76945841</v>
          </cell>
          <cell r="AC89">
            <v>45171149207.801018</v>
          </cell>
          <cell r="AP89">
            <v>479554891.43170446</v>
          </cell>
          <cell r="AX89">
            <v>66425894827.191711</v>
          </cell>
        </row>
        <row r="90">
          <cell r="V90">
            <v>218953401.23841918</v>
          </cell>
          <cell r="AC90">
            <v>49129439724.404678</v>
          </cell>
          <cell r="AP90">
            <v>550322420.86098123</v>
          </cell>
          <cell r="AX90">
            <v>75036504253.165588</v>
          </cell>
        </row>
        <row r="91">
          <cell r="V91">
            <v>233711859.14144242</v>
          </cell>
          <cell r="AC91">
            <v>52942171188.090225</v>
          </cell>
          <cell r="AP91">
            <v>614703478.97349274</v>
          </cell>
          <cell r="AX91">
            <v>83326120441.480408</v>
          </cell>
        </row>
        <row r="92">
          <cell r="V92">
            <v>250723165.68102995</v>
          </cell>
          <cell r="AC92">
            <v>57040565112.666962</v>
          </cell>
          <cell r="AP92">
            <v>677465959.62933576</v>
          </cell>
          <cell r="AX92">
            <v>91551127498.80484</v>
          </cell>
        </row>
        <row r="93">
          <cell r="V93">
            <v>268093854.71373004</v>
          </cell>
          <cell r="AC93">
            <v>61258310571.234619</v>
          </cell>
          <cell r="AP93">
            <v>744298899.49718583</v>
          </cell>
          <cell r="AX93">
            <v>100113825196.76978</v>
          </cell>
        </row>
        <row r="94">
          <cell r="V94">
            <v>286508508.34383196</v>
          </cell>
          <cell r="AC94">
            <v>65455264083.838127</v>
          </cell>
          <cell r="AP94">
            <v>818465585.48026443</v>
          </cell>
          <cell r="AX94">
            <v>108795122216.92693</v>
          </cell>
        </row>
        <row r="95">
          <cell r="V95">
            <v>305624770.74173969</v>
          </cell>
          <cell r="AC95">
            <v>69812793105.720917</v>
          </cell>
          <cell r="AP95">
            <v>898346581.54047489</v>
          </cell>
          <cell r="AX95">
            <v>118048874552.60435</v>
          </cell>
        </row>
        <row r="96">
          <cell r="V96">
            <v>324612357.78959411</v>
          </cell>
          <cell r="AC96">
            <v>74139152666.450378</v>
          </cell>
          <cell r="AP96">
            <v>979300502.58438587</v>
          </cell>
          <cell r="AX96">
            <v>127608303176.14442</v>
          </cell>
        </row>
        <row r="97">
          <cell r="V97">
            <v>340729221.59706169</v>
          </cell>
          <cell r="AC97">
            <v>77984324128.581085</v>
          </cell>
          <cell r="AP97">
            <v>1073601686.2316438</v>
          </cell>
          <cell r="AX97">
            <v>137270181702.22479</v>
          </cell>
        </row>
        <row r="98">
          <cell r="V98">
            <v>357903969.86890173</v>
          </cell>
          <cell r="AC98">
            <v>82085647798.138016</v>
          </cell>
          <cell r="AP98">
            <v>1178892877.9377317</v>
          </cell>
          <cell r="AX98">
            <v>147983280116.64612</v>
          </cell>
        </row>
        <row r="99">
          <cell r="V99">
            <v>375941382.95206994</v>
          </cell>
          <cell r="AC99">
            <v>86398771078.173447</v>
          </cell>
          <cell r="AP99">
            <v>1293833241.8647435</v>
          </cell>
          <cell r="AX99">
            <v>159123137702.04303</v>
          </cell>
        </row>
        <row r="100">
          <cell r="V100">
            <v>394540939.60731423</v>
          </cell>
          <cell r="AC100">
            <v>90726022899.809296</v>
          </cell>
          <cell r="AP100">
            <v>1415436256.4657824</v>
          </cell>
          <cell r="AX100">
            <v>170172202435.66638</v>
          </cell>
        </row>
        <row r="101">
          <cell r="V101">
            <v>411983714.20321977</v>
          </cell>
          <cell r="AC101">
            <v>94751620042.988373</v>
          </cell>
          <cell r="AP101">
            <v>1526769860.071152</v>
          </cell>
          <cell r="AX101">
            <v>180167621785.21066</v>
          </cell>
        </row>
        <row r="102">
          <cell r="V102">
            <v>430525970.21711314</v>
          </cell>
          <cell r="AC102">
            <v>99088189805.065643</v>
          </cell>
          <cell r="AP102">
            <v>1651265842.4167092</v>
          </cell>
          <cell r="AX102">
            <v>190995324640.83643</v>
          </cell>
        </row>
        <row r="103">
          <cell r="V103">
            <v>450143908.57689393</v>
          </cell>
          <cell r="AC103">
            <v>103684482159.12543</v>
          </cell>
          <cell r="AP103">
            <v>1788153584.7909513</v>
          </cell>
          <cell r="AX103">
            <v>202685196223.27173</v>
          </cell>
        </row>
        <row r="104">
          <cell r="V104">
            <v>468366224.54874766</v>
          </cell>
          <cell r="AC104">
            <v>108328701922.74347</v>
          </cell>
          <cell r="AP104">
            <v>1932846724.9521835</v>
          </cell>
          <cell r="AX104">
            <v>214845207901.99728</v>
          </cell>
        </row>
        <row r="105">
          <cell r="V105">
            <v>487117272.68964016</v>
          </cell>
          <cell r="AC105">
            <v>113127670639.95004</v>
          </cell>
          <cell r="AP105">
            <v>2086387400.4838367</v>
          </cell>
          <cell r="AX105">
            <v>227508052623.61984</v>
          </cell>
        </row>
        <row r="106">
          <cell r="V106">
            <v>506229590.47255427</v>
          </cell>
          <cell r="AC106">
            <v>118040274496.75919</v>
          </cell>
          <cell r="AP106">
            <v>2247009304.2540383</v>
          </cell>
          <cell r="AX106">
            <v>240493297867.89017</v>
          </cell>
        </row>
        <row r="107">
          <cell r="V107">
            <v>520770498.96904296</v>
          </cell>
          <cell r="AC107">
            <v>121926837064.02872</v>
          </cell>
          <cell r="AP107">
            <v>2357245856.3059545</v>
          </cell>
          <cell r="AX107">
            <v>251142719940.71756</v>
          </cell>
        </row>
        <row r="108">
          <cell r="V108">
            <v>535746667.0136112</v>
          </cell>
          <cell r="AC108">
            <v>125952950545.44168</v>
          </cell>
          <cell r="AP108">
            <v>2473951528.0888147</v>
          </cell>
          <cell r="AX108">
            <v>262330174080.6673</v>
          </cell>
        </row>
        <row r="109">
          <cell r="V109">
            <v>551311667.20654452</v>
          </cell>
          <cell r="AC109">
            <v>130141976382.23643</v>
          </cell>
          <cell r="AP109">
            <v>2598271985.784265</v>
          </cell>
          <cell r="AX109">
            <v>274112602903.88007</v>
          </cell>
        </row>
        <row r="110">
          <cell r="V110">
            <v>567716908.95937204</v>
          </cell>
          <cell r="AC110">
            <v>134555343105.10463</v>
          </cell>
          <cell r="AP110">
            <v>2733576159.4202609</v>
          </cell>
          <cell r="AX110">
            <v>286819340536.0932</v>
          </cell>
        </row>
        <row r="111">
          <cell r="V111">
            <v>584246277.82872796</v>
          </cell>
          <cell r="AC111">
            <v>139056981084.2269</v>
          </cell>
          <cell r="AP111">
            <v>2873355154.3478799</v>
          </cell>
          <cell r="AX111">
            <v>299829986180.40247</v>
          </cell>
        </row>
        <row r="112">
          <cell r="V112">
            <v>601650601.26369882</v>
          </cell>
          <cell r="AC112">
            <v>143832289890.73654</v>
          </cell>
          <cell r="AP112">
            <v>3023745951.9996042</v>
          </cell>
          <cell r="AX112">
            <v>313768476370.00757</v>
          </cell>
        </row>
        <row r="113">
          <cell r="V113">
            <v>618521133.7705189</v>
          </cell>
          <cell r="AC113">
            <v>148542021213.97195</v>
          </cell>
          <cell r="AP113">
            <v>3169639006.2703805</v>
          </cell>
          <cell r="AX113">
            <v>327501180939.07703</v>
          </cell>
        </row>
        <row r="114">
          <cell r="V114">
            <v>634635805.99796891</v>
          </cell>
          <cell r="AC114">
            <v>153110605364.10977</v>
          </cell>
          <cell r="AP114">
            <v>3306906170.8454318</v>
          </cell>
          <cell r="AX114">
            <v>341200237106.84875</v>
          </cell>
        </row>
        <row r="115">
          <cell r="V115">
            <v>650954418.74798632</v>
          </cell>
          <cell r="AC115">
            <v>157768353671.582</v>
          </cell>
          <cell r="AP115">
            <v>3447934947.1773748</v>
          </cell>
          <cell r="AX115">
            <v>355270972556.36926</v>
          </cell>
        </row>
        <row r="116">
          <cell r="V116">
            <v>667921256.83092856</v>
          </cell>
          <cell r="AC116">
            <v>162616705460.89865</v>
          </cell>
          <cell r="AP116">
            <v>3598269035.2949362</v>
          </cell>
          <cell r="AX116">
            <v>370262088727.34753</v>
          </cell>
        </row>
        <row r="117">
          <cell r="V117">
            <v>685632217.11109328</v>
          </cell>
          <cell r="AC117">
            <v>167675490944.60968</v>
          </cell>
          <cell r="AP117">
            <v>3743686412.1822772</v>
          </cell>
          <cell r="AX117">
            <v>385828405125.79761</v>
          </cell>
        </row>
        <row r="118">
          <cell r="V118">
            <v>704529998.76238191</v>
          </cell>
          <cell r="AC118">
            <v>173059451040.0069</v>
          </cell>
          <cell r="AP118">
            <v>3898296741.1593289</v>
          </cell>
          <cell r="AX118">
            <v>402381283332.77533</v>
          </cell>
        </row>
        <row r="119">
          <cell r="V119">
            <v>723677341.54759824</v>
          </cell>
          <cell r="AC119">
            <v>178540987809.44928</v>
          </cell>
          <cell r="AP119">
            <v>4055698133.3809547</v>
          </cell>
          <cell r="AX119">
            <v>419267120801.49054</v>
          </cell>
        </row>
        <row r="120">
          <cell r="V120">
            <v>743231926.71146262</v>
          </cell>
          <cell r="AC120">
            <v>184160159591.22272</v>
          </cell>
          <cell r="AP120">
            <v>4218112553.7293258</v>
          </cell>
          <cell r="AX120">
            <v>436716945158.88037</v>
          </cell>
        </row>
        <row r="121">
          <cell r="V121">
            <v>763588224.58021152</v>
          </cell>
          <cell r="AC121">
            <v>190055285512.56653</v>
          </cell>
          <cell r="AP121">
            <v>4386153574.9722395</v>
          </cell>
          <cell r="AX121">
            <v>455079510868.3479</v>
          </cell>
        </row>
        <row r="122">
          <cell r="V122">
            <v>784723128.29071927</v>
          </cell>
          <cell r="AC122">
            <v>196291933245.04868</v>
          </cell>
          <cell r="AP122">
            <v>4561301372.7229137</v>
          </cell>
          <cell r="AX122">
            <v>474711554295.79315</v>
          </cell>
        </row>
        <row r="123">
          <cell r="V123">
            <v>805595255.00448227</v>
          </cell>
          <cell r="AC123">
            <v>202430419441.13361</v>
          </cell>
          <cell r="AP123">
            <v>4737620953.9400902</v>
          </cell>
          <cell r="AX123">
            <v>494542366236.25696</v>
          </cell>
        </row>
        <row r="124">
          <cell r="V124">
            <v>826870696.4614166</v>
          </cell>
          <cell r="AC124">
            <v>208717547358.86264</v>
          </cell>
          <cell r="AP124">
            <v>4919132781.2876129</v>
          </cell>
          <cell r="AX124">
            <v>515022894212.9339</v>
          </cell>
        </row>
        <row r="125">
          <cell r="V125">
            <v>848699335.49848032</v>
          </cell>
          <cell r="AC125">
            <v>215192642184.83771</v>
          </cell>
          <cell r="AP125">
            <v>5108092989.4837503</v>
          </cell>
          <cell r="AX125">
            <v>536394469693.59729</v>
          </cell>
        </row>
        <row r="126">
          <cell r="V126">
            <v>870616267.63077927</v>
          </cell>
          <cell r="AC126">
            <v>221739126738.98227</v>
          </cell>
          <cell r="AP126">
            <v>5297629871.1039581</v>
          </cell>
          <cell r="AX126">
            <v>557939865320.42969</v>
          </cell>
        </row>
        <row r="127">
          <cell r="V127">
            <v>893179085.13318896</v>
          </cell>
          <cell r="AC127">
            <v>228503690455.52777</v>
          </cell>
          <cell r="AP127">
            <v>5496335906.1836796</v>
          </cell>
          <cell r="AX127">
            <v>580588807210.11633</v>
          </cell>
        </row>
        <row r="128">
          <cell r="V128">
            <v>916093115.56440306</v>
          </cell>
          <cell r="AC128">
            <v>235433430240.57486</v>
          </cell>
          <cell r="AP128">
            <v>5700688932.3065147</v>
          </cell>
          <cell r="AX128">
            <v>603951886358.32739</v>
          </cell>
        </row>
        <row r="129">
          <cell r="V129">
            <v>940134690.39717162</v>
          </cell>
          <cell r="AC129">
            <v>242604055946.46655</v>
          </cell>
          <cell r="AP129">
            <v>5918459426.7223997</v>
          </cell>
          <cell r="AX129">
            <v>628743735615.51868</v>
          </cell>
        </row>
        <row r="130">
          <cell r="V130">
            <v>964069625.82919288</v>
          </cell>
          <cell r="AC130">
            <v>249664133177.01166</v>
          </cell>
          <cell r="AP130">
            <v>6137195738.4907799</v>
          </cell>
          <cell r="AX130">
            <v>653461526958.91187</v>
          </cell>
        </row>
        <row r="131">
          <cell r="V131">
            <v>988470458.82418942</v>
          </cell>
          <cell r="AC131">
            <v>256875296675.05765</v>
          </cell>
          <cell r="AP131">
            <v>6363442984.2741947</v>
          </cell>
          <cell r="AX131">
            <v>679041312326.63794</v>
          </cell>
        </row>
        <row r="132">
          <cell r="V132">
            <v>1007948996.0186472</v>
          </cell>
          <cell r="AC132">
            <v>264468806372.48383</v>
          </cell>
          <cell r="AP132">
            <v>6581715932.1499929</v>
          </cell>
          <cell r="AX132">
            <v>705828564327.64478</v>
          </cell>
        </row>
        <row r="133">
          <cell r="V133">
            <v>1027773335.5931187</v>
          </cell>
          <cell r="AC133">
            <v>272419609594.14484</v>
          </cell>
          <cell r="AP133">
            <v>6806814248.1307135</v>
          </cell>
          <cell r="AX133">
            <v>734009695825.52112</v>
          </cell>
        </row>
        <row r="134">
          <cell r="V134">
            <v>1048006534.4595236</v>
          </cell>
          <cell r="AC134">
            <v>280592953031.04572</v>
          </cell>
          <cell r="AP134">
            <v>7039778028.9419365</v>
          </cell>
          <cell r="AX134">
            <v>763303222329.71582</v>
          </cell>
        </row>
        <row r="135">
          <cell r="V135">
            <v>1069065711.6718408</v>
          </cell>
          <cell r="AC135">
            <v>289105271835.35217</v>
          </cell>
          <cell r="AP135">
            <v>7287617015.2380733</v>
          </cell>
          <cell r="AX135">
            <v>794486586399.92444</v>
          </cell>
        </row>
        <row r="136">
          <cell r="V136">
            <v>1090572947.5697868</v>
          </cell>
          <cell r="AC136">
            <v>297860366554.99512</v>
          </cell>
          <cell r="AP136">
            <v>7544416277.087059</v>
          </cell>
          <cell r="AX136">
            <v>826937076165.07117</v>
          </cell>
        </row>
        <row r="137">
          <cell r="V137">
            <v>1112410598.7233546</v>
          </cell>
          <cell r="AC137">
            <v>306829773075.32477</v>
          </cell>
          <cell r="AP137">
            <v>7808350621.5170088</v>
          </cell>
          <cell r="AX137">
            <v>860468625523.27417</v>
          </cell>
        </row>
        <row r="138">
          <cell r="V138">
            <v>1132703827.6106141</v>
          </cell>
          <cell r="AC138">
            <v>315494331543.90393</v>
          </cell>
          <cell r="AP138">
            <v>8065402395.4304953</v>
          </cell>
          <cell r="AX138">
            <v>893540055842.24927</v>
          </cell>
        </row>
        <row r="139">
          <cell r="V139">
            <v>1150321102.3880434</v>
          </cell>
          <cell r="AC139">
            <v>323523587534.09656</v>
          </cell>
          <cell r="AP139">
            <v>8305155746.1058798</v>
          </cell>
          <cell r="AX139">
            <v>924978368606.52747</v>
          </cell>
        </row>
        <row r="140">
          <cell r="V140">
            <v>1168371831.1713235</v>
          </cell>
          <cell r="AC140">
            <v>331778996519.01196</v>
          </cell>
          <cell r="AP140">
            <v>8554591018.0364962</v>
          </cell>
          <cell r="AX140">
            <v>957773076463.20972</v>
          </cell>
        </row>
        <row r="141">
          <cell r="V141">
            <v>1186709156.0325637</v>
          </cell>
          <cell r="AC141">
            <v>340222274074.03821</v>
          </cell>
          <cell r="AP141">
            <v>8811323830.3526783</v>
          </cell>
          <cell r="AX141">
            <v>991672089126.07727</v>
          </cell>
        </row>
        <row r="142">
          <cell r="V142">
            <v>1210709608.3429704</v>
          </cell>
          <cell r="AC142">
            <v>349257737175.97833</v>
          </cell>
          <cell r="AP142">
            <v>9091153419.6136475</v>
          </cell>
          <cell r="AX142">
            <v>1028059678960.589</v>
          </cell>
        </row>
        <row r="143">
          <cell r="V143">
            <v>1234723861.8212776</v>
          </cell>
          <cell r="AC143">
            <v>358111207720.27087</v>
          </cell>
          <cell r="AP143">
            <v>9372144692.9476891</v>
          </cell>
          <cell r="AX143">
            <v>1064060475548.7897</v>
          </cell>
        </row>
        <row r="144">
          <cell r="V144">
            <v>1259218213.9158564</v>
          </cell>
          <cell r="AC144">
            <v>367181342916.94275</v>
          </cell>
          <cell r="AP144">
            <v>9662717927.5290947</v>
          </cell>
          <cell r="AX144">
            <v>1101400502847.0627</v>
          </cell>
        </row>
        <row r="145">
          <cell r="V145">
            <v>1283481454.9555979</v>
          </cell>
          <cell r="AC145">
            <v>376261989867.01038</v>
          </cell>
          <cell r="AP145">
            <v>9949935547.4894829</v>
          </cell>
          <cell r="AX145">
            <v>1138611640997.4165</v>
          </cell>
        </row>
        <row r="146">
          <cell r="V146">
            <v>1308388739.7835345</v>
          </cell>
          <cell r="AC146">
            <v>385610085228.69147</v>
          </cell>
          <cell r="AP146">
            <v>10249842630.89477</v>
          </cell>
          <cell r="AX146">
            <v>1177525353888.7617</v>
          </cell>
        </row>
        <row r="147">
          <cell r="V147">
            <v>1336421853.5935829</v>
          </cell>
          <cell r="AC147">
            <v>395586083463.94482</v>
          </cell>
          <cell r="AP147">
            <v>10581580504.142187</v>
          </cell>
          <cell r="AX147">
            <v>1220082374328.9961</v>
          </cell>
        </row>
        <row r="148">
          <cell r="V148">
            <v>1365436577.8038373</v>
          </cell>
          <cell r="AC148">
            <v>405925180116.19611</v>
          </cell>
          <cell r="AP148">
            <v>10932224348.11285</v>
          </cell>
          <cell r="AX148">
            <v>1265097640794.6125</v>
          </cell>
        </row>
        <row r="149">
          <cell r="V149">
            <v>1394801481.8238297</v>
          </cell>
          <cell r="AC149">
            <v>416442587803.14917</v>
          </cell>
          <cell r="AP149">
            <v>11290094837.999784</v>
          </cell>
          <cell r="AX149">
            <v>1311237715169.0012</v>
          </cell>
        </row>
        <row r="150">
          <cell r="V150">
            <v>1424789043.577894</v>
          </cell>
          <cell r="AC150">
            <v>427221316585.11157</v>
          </cell>
          <cell r="AP150">
            <v>11660484229.650887</v>
          </cell>
          <cell r="AX150">
            <v>1359127733576.5403</v>
          </cell>
        </row>
        <row r="151">
          <cell r="V151">
            <v>1454902658.6624796</v>
          </cell>
          <cell r="AC151">
            <v>438114178177.21423</v>
          </cell>
          <cell r="AP151">
            <v>12033914360.047831</v>
          </cell>
          <cell r="AX151">
            <v>1407673854161.8625</v>
          </cell>
        </row>
        <row r="152">
          <cell r="V152">
            <v>1485352457.8480299</v>
          </cell>
          <cell r="AC152">
            <v>449185163249.64862</v>
          </cell>
          <cell r="AP152">
            <v>12414428456.788759</v>
          </cell>
          <cell r="AX152">
            <v>1457353697354.3291</v>
          </cell>
        </row>
        <row r="153">
          <cell r="V153">
            <v>1516086661.3588717</v>
          </cell>
          <cell r="AC153">
            <v>461337721867.77002</v>
          </cell>
          <cell r="AP153">
            <v>12802961531.986708</v>
          </cell>
          <cell r="AX153">
            <v>1511292440820.8079</v>
          </cell>
        </row>
        <row r="154">
          <cell r="V154">
            <v>1547370883.1741607</v>
          </cell>
          <cell r="AC154">
            <v>474921268519.20984</v>
          </cell>
          <cell r="AP154">
            <v>13209092587.060202</v>
          </cell>
          <cell r="AX154">
            <v>1571608137075.3953</v>
          </cell>
        </row>
        <row r="155">
          <cell r="V155">
            <v>1579170887.7063475</v>
          </cell>
          <cell r="AC155">
            <v>488827168589.8844</v>
          </cell>
          <cell r="AP155">
            <v>13626437013.142363</v>
          </cell>
          <cell r="AX155">
            <v>1634006355218.8213</v>
          </cell>
        </row>
        <row r="156">
          <cell r="V156">
            <v>1612381145.2660868</v>
          </cell>
          <cell r="AC156">
            <v>503338618374.52533</v>
          </cell>
          <cell r="AP156">
            <v>14073358526.994329</v>
          </cell>
          <cell r="AX156">
            <v>1700735710514.6406</v>
          </cell>
        </row>
        <row r="157">
          <cell r="V157">
            <v>1642567419.7132735</v>
          </cell>
          <cell r="AC157">
            <v>517070750943.93066</v>
          </cell>
          <cell r="AP157">
            <v>14563025630.734388</v>
          </cell>
          <cell r="AX157">
            <v>1773480484089.593</v>
          </cell>
        </row>
        <row r="158">
          <cell r="V158">
            <v>1671874308.946377</v>
          </cell>
          <cell r="AC158">
            <v>530707498325.04718</v>
          </cell>
          <cell r="AP158">
            <v>15068121151.500061</v>
          </cell>
          <cell r="AX158">
            <v>1849100047723.8701</v>
          </cell>
        </row>
        <row r="159">
          <cell r="V159">
            <v>1690495459.7079775</v>
          </cell>
          <cell r="AC159">
            <v>538109360719.91333</v>
          </cell>
          <cell r="AP159">
            <v>15352567806.399427</v>
          </cell>
          <cell r="AX159">
            <v>1887944063736.3599</v>
          </cell>
        </row>
        <row r="160">
          <cell r="V160">
            <v>1704695840.3394113</v>
          </cell>
          <cell r="AC160">
            <v>543699091170.16968</v>
          </cell>
          <cell r="AP160">
            <v>15544252417.914349</v>
          </cell>
          <cell r="AX160">
            <v>1913970054682.7837</v>
          </cell>
        </row>
        <row r="161">
          <cell r="V161">
            <v>1711148737.29194</v>
          </cell>
          <cell r="AC161">
            <v>546830501748.57385</v>
          </cell>
          <cell r="AP161">
            <v>15571741097.514999</v>
          </cell>
          <cell r="AX161">
            <v>1921343979856.3538</v>
          </cell>
        </row>
        <row r="162">
          <cell r="V162">
            <v>1716484108.8476465</v>
          </cell>
          <cell r="AC162">
            <v>549611899642.84314</v>
          </cell>
          <cell r="AP162">
            <v>15575427806.67437</v>
          </cell>
          <cell r="AX162">
            <v>1926010346928.0186</v>
          </cell>
        </row>
        <row r="163">
          <cell r="V163">
            <v>1721825212.8416255</v>
          </cell>
          <cell r="AC163">
            <v>552401547944.60535</v>
          </cell>
          <cell r="AP163">
            <v>15579116197.978893</v>
          </cell>
          <cell r="AX163">
            <v>1930678999663.1106</v>
          </cell>
        </row>
        <row r="164">
          <cell r="V164">
            <v>1727172049.6271646</v>
          </cell>
          <cell r="AC164">
            <v>555199455766.29504</v>
          </cell>
          <cell r="AP164">
            <v>15582806267.499973</v>
          </cell>
          <cell r="AX164">
            <v>1935349938809.5935</v>
          </cell>
        </row>
        <row r="165">
          <cell r="V165">
            <v>1732524619.5575504</v>
          </cell>
          <cell r="AC165">
            <v>558005632222.62476</v>
          </cell>
          <cell r="AP165">
            <v>15586498011.321241</v>
          </cell>
          <cell r="AX165">
            <v>1940023165113.1458</v>
          </cell>
        </row>
        <row r="166">
          <cell r="V166">
            <v>1737878686.0973988</v>
          </cell>
          <cell r="AC166">
            <v>560819904501.58398</v>
          </cell>
          <cell r="AP166">
            <v>15590190456.897459</v>
          </cell>
          <cell r="AX166">
            <v>1944698402085.0815</v>
          </cell>
        </row>
      </sheetData>
      <sheetData sheetId="18">
        <row r="7">
          <cell r="V7">
            <v>25733.356195046705</v>
          </cell>
          <cell r="AC7">
            <v>3021226.3528824658</v>
          </cell>
          <cell r="AP7">
            <v>18904.325877052539</v>
          </cell>
          <cell r="AX7">
            <v>2009985.6574360463</v>
          </cell>
        </row>
        <row r="8">
          <cell r="V8">
            <v>34857.62477241653</v>
          </cell>
          <cell r="AC8">
            <v>4233941.5176145341</v>
          </cell>
          <cell r="AP8">
            <v>27591.897083183361</v>
          </cell>
          <cell r="AX8">
            <v>3052793.3315946963</v>
          </cell>
        </row>
        <row r="9">
          <cell r="V9">
            <v>45530.474206132669</v>
          </cell>
          <cell r="AC9">
            <v>5707444.6399529502</v>
          </cell>
          <cell r="AP9">
            <v>38506.106231078229</v>
          </cell>
          <cell r="AX9">
            <v>4421513.7773305587</v>
          </cell>
        </row>
        <row r="10">
          <cell r="V10">
            <v>58317.873428759092</v>
          </cell>
          <cell r="AC10">
            <v>7528073.8150154017</v>
          </cell>
          <cell r="AP10">
            <v>52357.731188713922</v>
          </cell>
          <cell r="AX10">
            <v>6224607.6638116892</v>
          </cell>
        </row>
        <row r="11">
          <cell r="V11">
            <v>73478.177782854036</v>
          </cell>
          <cell r="AC11">
            <v>9748412.2285879999</v>
          </cell>
          <cell r="AP11">
            <v>69677.26271193313</v>
          </cell>
          <cell r="AX11">
            <v>8558177.017551994</v>
          </cell>
        </row>
        <row r="12">
          <cell r="V12">
            <v>91289.580761198275</v>
          </cell>
          <cell r="AC12">
            <v>12425873.50031987</v>
          </cell>
          <cell r="AP12">
            <v>91059.732686742733</v>
          </cell>
          <cell r="AX12">
            <v>11532812.466029087</v>
          </cell>
        </row>
        <row r="13">
          <cell r="V13">
            <v>111388.55825454136</v>
          </cell>
          <cell r="AC13">
            <v>15530587.534938857</v>
          </cell>
          <cell r="AP13">
            <v>116477.16091621251</v>
          </cell>
          <cell r="AX13">
            <v>15184705.238803115</v>
          </cell>
        </row>
        <row r="14">
          <cell r="V14">
            <v>133939.32592380617</v>
          </cell>
          <cell r="AC14">
            <v>19101748.689860448</v>
          </cell>
          <cell r="AP14">
            <v>146404.31930146823</v>
          </cell>
          <cell r="AX14">
            <v>19614744.749582782</v>
          </cell>
        </row>
        <row r="15">
          <cell r="V15">
            <v>159562.44652165106</v>
          </cell>
          <cell r="AC15">
            <v>23245887.840999018</v>
          </cell>
          <cell r="AP15">
            <v>181864.61994427806</v>
          </cell>
          <cell r="AX15">
            <v>25003834.915114805</v>
          </cell>
        </row>
        <row r="16">
          <cell r="V16">
            <v>188518.5046695077</v>
          </cell>
          <cell r="AC16">
            <v>28022204.943055756</v>
          </cell>
          <cell r="AP16">
            <v>223567.02666183846</v>
          </cell>
          <cell r="AX16">
            <v>31500332.755821418</v>
          </cell>
        </row>
        <row r="17">
          <cell r="V17">
            <v>224102.10836173547</v>
          </cell>
          <cell r="AC17">
            <v>33570701.296235815</v>
          </cell>
          <cell r="AP17">
            <v>269375.11597467802</v>
          </cell>
          <cell r="AX17">
            <v>39219054.857677385</v>
          </cell>
        </row>
        <row r="18">
          <cell r="V18">
            <v>265611.05137385556</v>
          </cell>
          <cell r="AC18">
            <v>39169102.514568977</v>
          </cell>
          <cell r="AP18">
            <v>309785.63727628882</v>
          </cell>
          <cell r="AX18">
            <v>45349756.05545333</v>
          </cell>
        </row>
        <row r="19">
          <cell r="V19">
            <v>311958.72921656677</v>
          </cell>
          <cell r="AC19">
            <v>45351361.58086554</v>
          </cell>
          <cell r="AP19">
            <v>354418.89242131432</v>
          </cell>
          <cell r="AX19">
            <v>52114388.829943798</v>
          </cell>
        </row>
        <row r="20">
          <cell r="V20">
            <v>362878.61778691452</v>
          </cell>
          <cell r="AC20">
            <v>52058668.537308052</v>
          </cell>
          <cell r="AP20">
            <v>400732.0289895538</v>
          </cell>
          <cell r="AX20">
            <v>59146964.107211575</v>
          </cell>
        </row>
        <row r="21">
          <cell r="V21">
            <v>419873.38764508109</v>
          </cell>
          <cell r="AC21">
            <v>60908024.524083257</v>
          </cell>
          <cell r="AP21">
            <v>453793.79163709801</v>
          </cell>
          <cell r="AX21">
            <v>68804426.615492746</v>
          </cell>
        </row>
        <row r="22">
          <cell r="V22">
            <v>483179.85099574033</v>
          </cell>
          <cell r="AC22">
            <v>69558959.419361532</v>
          </cell>
          <cell r="AP22">
            <v>513171.89111489145</v>
          </cell>
          <cell r="AX22">
            <v>78367606.449113265</v>
          </cell>
        </row>
        <row r="23">
          <cell r="V23">
            <v>551914.68823907012</v>
          </cell>
          <cell r="AC23">
            <v>78885542.25965564</v>
          </cell>
          <cell r="AP23">
            <v>573875.31378734799</v>
          </cell>
          <cell r="AX23">
            <v>88294296.514077321</v>
          </cell>
        </row>
        <row r="24">
          <cell r="V24">
            <v>627772.24266923475</v>
          </cell>
          <cell r="AC24">
            <v>89119617.847544089</v>
          </cell>
          <cell r="AP24">
            <v>641557.79927704972</v>
          </cell>
          <cell r="AX24">
            <v>99547466.66239652</v>
          </cell>
        </row>
        <row r="25">
          <cell r="V25">
            <v>710524.41205026268</v>
          </cell>
          <cell r="AC25">
            <v>100216543.09226677</v>
          </cell>
          <cell r="AP25">
            <v>713906.9037336394</v>
          </cell>
          <cell r="AX25">
            <v>111683950.38065273</v>
          </cell>
        </row>
        <row r="26">
          <cell r="V26">
            <v>790088.02576527512</v>
          </cell>
          <cell r="AC26">
            <v>111872578.17061305</v>
          </cell>
          <cell r="AP26">
            <v>783941.97088968975</v>
          </cell>
          <cell r="AX26">
            <v>124118352.5291677</v>
          </cell>
        </row>
        <row r="27">
          <cell r="V27">
            <v>889637.60467379424</v>
          </cell>
          <cell r="AC27">
            <v>127470514.84535024</v>
          </cell>
          <cell r="AP27">
            <v>864109.49102016538</v>
          </cell>
          <cell r="AX27">
            <v>138767244.93415117</v>
          </cell>
        </row>
        <row r="28">
          <cell r="V28">
            <v>1003191.6001804662</v>
          </cell>
          <cell r="AC28">
            <v>145393606.6245254</v>
          </cell>
          <cell r="AP28">
            <v>956940.77847071295</v>
          </cell>
          <cell r="AX28">
            <v>155802581.76155379</v>
          </cell>
        </row>
        <row r="29">
          <cell r="V29">
            <v>1123371.2011628184</v>
          </cell>
          <cell r="AC29">
            <v>164635474.76974034</v>
          </cell>
          <cell r="AP29">
            <v>1051485.0444354422</v>
          </cell>
          <cell r="AX29">
            <v>173511013.86563981</v>
          </cell>
        </row>
        <row r="30">
          <cell r="V30">
            <v>1253723.3536861422</v>
          </cell>
          <cell r="AC30">
            <v>185746008.08375627</v>
          </cell>
          <cell r="AP30">
            <v>1156567.6813925344</v>
          </cell>
          <cell r="AX30">
            <v>193373740.12556192</v>
          </cell>
        </row>
        <row r="31">
          <cell r="V31">
            <v>1392845.7755447244</v>
          </cell>
          <cell r="AC31">
            <v>208555728.9390046</v>
          </cell>
          <cell r="AP31">
            <v>1265776.8361663888</v>
          </cell>
          <cell r="AX31">
            <v>214367588.72052246</v>
          </cell>
        </row>
        <row r="32">
          <cell r="V32">
            <v>1542536.4639566583</v>
          </cell>
          <cell r="AC32">
            <v>233369463.86560723</v>
          </cell>
          <cell r="AP32">
            <v>1384672.5200426257</v>
          </cell>
          <cell r="AX32">
            <v>237466452.76505619</v>
          </cell>
        </row>
        <row r="33">
          <cell r="V33">
            <v>1702341.0598804748</v>
          </cell>
          <cell r="AC33">
            <v>260157945.05324471</v>
          </cell>
          <cell r="AP33">
            <v>1510290.7298363145</v>
          </cell>
          <cell r="AX33">
            <v>262211080.04731128</v>
          </cell>
        </row>
        <row r="34">
          <cell r="V34">
            <v>1983574.0310098743</v>
          </cell>
          <cell r="AC34">
            <v>297279652.51193011</v>
          </cell>
          <cell r="AP34">
            <v>1695084.7289112348</v>
          </cell>
          <cell r="AX34">
            <v>295773622.24897981</v>
          </cell>
        </row>
        <row r="35">
          <cell r="V35">
            <v>2321962.2803898552</v>
          </cell>
          <cell r="AC35">
            <v>339733057.56231523</v>
          </cell>
          <cell r="AP35">
            <v>1904119.5989862941</v>
          </cell>
          <cell r="AX35">
            <v>333617053.34752822</v>
          </cell>
        </row>
        <row r="36">
          <cell r="V36">
            <v>2703783.088860298</v>
          </cell>
          <cell r="AC36">
            <v>386849026.23540807</v>
          </cell>
          <cell r="AP36">
            <v>2133343.8461220297</v>
          </cell>
          <cell r="AX36">
            <v>375482281.89371014</v>
          </cell>
        </row>
        <row r="37">
          <cell r="V37">
            <v>3184424.5977963577</v>
          </cell>
          <cell r="AC37">
            <v>447370490.36613858</v>
          </cell>
          <cell r="AP37">
            <v>2393364.3037695247</v>
          </cell>
          <cell r="AX37">
            <v>424384980.47577816</v>
          </cell>
        </row>
        <row r="38">
          <cell r="V38">
            <v>3729668.1143635157</v>
          </cell>
          <cell r="AC38">
            <v>514987646.25712371</v>
          </cell>
          <cell r="AP38">
            <v>2681288.8466311544</v>
          </cell>
          <cell r="AX38">
            <v>478901178.13116431</v>
          </cell>
        </row>
        <row r="39">
          <cell r="V39">
            <v>4342237.9887060467</v>
          </cell>
          <cell r="AC39">
            <v>589822208.65564585</v>
          </cell>
          <cell r="AP39">
            <v>2991768.6997582163</v>
          </cell>
          <cell r="AX39">
            <v>538158680.05309093</v>
          </cell>
        </row>
        <row r="40">
          <cell r="V40">
            <v>4924999.7777459137</v>
          </cell>
          <cell r="AC40">
            <v>667603855.14177275</v>
          </cell>
          <cell r="AP40">
            <v>3295414.4169307631</v>
          </cell>
          <cell r="AX40">
            <v>599288912.44593573</v>
          </cell>
        </row>
        <row r="41">
          <cell r="V41">
            <v>5488613.4235315071</v>
          </cell>
          <cell r="AC41">
            <v>748696917.66212702</v>
          </cell>
          <cell r="AP41">
            <v>3584595.0311067761</v>
          </cell>
          <cell r="AX41">
            <v>661224608.49285185</v>
          </cell>
        </row>
        <row r="42">
          <cell r="V42">
            <v>6101409.191862138</v>
          </cell>
          <cell r="AC42">
            <v>836497133.74758399</v>
          </cell>
          <cell r="AP42">
            <v>3885471.4636724647</v>
          </cell>
          <cell r="AX42">
            <v>727372127.31369591</v>
          </cell>
        </row>
        <row r="43">
          <cell r="V43">
            <v>6761708.5397510678</v>
          </cell>
          <cell r="AC43">
            <v>931675403.70449853</v>
          </cell>
          <cell r="AP43">
            <v>4210541.9655116405</v>
          </cell>
          <cell r="AX43">
            <v>799442246.91601133</v>
          </cell>
        </row>
        <row r="44">
          <cell r="V44">
            <v>7470259.8789457288</v>
          </cell>
          <cell r="AC44">
            <v>1034639239.3970313</v>
          </cell>
          <cell r="AP44">
            <v>4555239.7567334799</v>
          </cell>
          <cell r="AX44">
            <v>876910290.24730778</v>
          </cell>
        </row>
        <row r="45">
          <cell r="V45">
            <v>8235981.1929403022</v>
          </cell>
          <cell r="AC45">
            <v>1147082250.0863256</v>
          </cell>
          <cell r="AP45">
            <v>4927981.2795721432</v>
          </cell>
          <cell r="AX45">
            <v>961747298.35568166</v>
          </cell>
        </row>
        <row r="46">
          <cell r="V46">
            <v>9080093.2130833808</v>
          </cell>
          <cell r="AC46">
            <v>1272638439.1445785</v>
          </cell>
          <cell r="AP46">
            <v>5329142.177374403</v>
          </cell>
          <cell r="AX46">
            <v>1054134988.1075845</v>
          </cell>
        </row>
        <row r="47">
          <cell r="V47">
            <v>9835841.8330842853</v>
          </cell>
          <cell r="AC47">
            <v>1384934605.7701378</v>
          </cell>
          <cell r="AP47">
            <v>5763659.8805565322</v>
          </cell>
          <cell r="AX47">
            <v>1147889238.2886999</v>
          </cell>
        </row>
        <row r="48">
          <cell r="V48">
            <v>10631213.191278143</v>
          </cell>
          <cell r="AC48">
            <v>1503717417.508672</v>
          </cell>
          <cell r="AP48">
            <v>6220573.5289304825</v>
          </cell>
          <cell r="AX48">
            <v>1247134717.8155069</v>
          </cell>
        </row>
        <row r="49">
          <cell r="V49">
            <v>11494356.811859407</v>
          </cell>
          <cell r="AC49">
            <v>1632953297.2473941</v>
          </cell>
          <cell r="AP49">
            <v>6717283.0332796909</v>
          </cell>
          <cell r="AX49">
            <v>1355557148.3652024</v>
          </cell>
        </row>
        <row r="50">
          <cell r="V50">
            <v>12395206.597324921</v>
          </cell>
          <cell r="AC50">
            <v>1768405053.4859228</v>
          </cell>
          <cell r="AP50">
            <v>7219782.701664621</v>
          </cell>
          <cell r="AX50">
            <v>1466719139.4900343</v>
          </cell>
        </row>
        <row r="51">
          <cell r="V51">
            <v>13336767.878519814</v>
          </cell>
          <cell r="AC51">
            <v>1911238982.6192713</v>
          </cell>
          <cell r="AP51">
            <v>7756407.6266470551</v>
          </cell>
          <cell r="AX51">
            <v>1585327823.0533147</v>
          </cell>
        </row>
        <row r="52">
          <cell r="V52">
            <v>14324508.246075556</v>
          </cell>
          <cell r="AC52">
            <v>2061814174.7325602</v>
          </cell>
          <cell r="AP52">
            <v>8316254.5133672757</v>
          </cell>
          <cell r="AX52">
            <v>1709866834.2242734</v>
          </cell>
        </row>
        <row r="53">
          <cell r="V53">
            <v>15363327.667564426</v>
          </cell>
          <cell r="AC53">
            <v>2220781132.6775665</v>
          </cell>
          <cell r="AP53">
            <v>8909730.4718912225</v>
          </cell>
          <cell r="AX53">
            <v>1842438602.2182088</v>
          </cell>
        </row>
        <row r="54">
          <cell r="V54">
            <v>16455698.963415205</v>
          </cell>
          <cell r="AC54">
            <v>2388465047.1970716</v>
          </cell>
          <cell r="AP54">
            <v>9540777.9895204902</v>
          </cell>
          <cell r="AX54">
            <v>1983861372.7693181</v>
          </cell>
        </row>
        <row r="55">
          <cell r="V55">
            <v>17627632.018639676</v>
          </cell>
          <cell r="AC55">
            <v>2566763178.5334826</v>
          </cell>
          <cell r="AP55">
            <v>10211258.191263845</v>
          </cell>
          <cell r="AX55">
            <v>2132190908.7009299</v>
          </cell>
        </row>
        <row r="56">
          <cell r="V56">
            <v>18884419.397266664</v>
          </cell>
          <cell r="AC56">
            <v>2757052037.7380886</v>
          </cell>
          <cell r="AP56">
            <v>10944337.205053719</v>
          </cell>
          <cell r="AX56">
            <v>2291126359.2548084</v>
          </cell>
        </row>
        <row r="57">
          <cell r="V57">
            <v>20312740.80467131</v>
          </cell>
          <cell r="AC57">
            <v>3031167622.1583385</v>
          </cell>
          <cell r="AP57">
            <v>11736572.852700206</v>
          </cell>
          <cell r="AX57">
            <v>2510952775.5346169</v>
          </cell>
        </row>
        <row r="58">
          <cell r="V58">
            <v>21820748.720899787</v>
          </cell>
          <cell r="AC58">
            <v>3325678530.4093351</v>
          </cell>
          <cell r="AP58">
            <v>12589080.095143011</v>
          </cell>
          <cell r="AX58">
            <v>2750376314.3640232</v>
          </cell>
        </row>
        <row r="59">
          <cell r="V59">
            <v>23333377.466618251</v>
          </cell>
          <cell r="AC59">
            <v>3632462960.095829</v>
          </cell>
          <cell r="AP59">
            <v>13500924.298112739</v>
          </cell>
          <cell r="AX59">
            <v>3007891806.3886762</v>
          </cell>
        </row>
        <row r="60">
          <cell r="V60">
            <v>24836207.330644313</v>
          </cell>
          <cell r="AC60">
            <v>3948446366.9651971</v>
          </cell>
          <cell r="AP60">
            <v>14470233.438123727</v>
          </cell>
          <cell r="AX60">
            <v>3284392304.2161684</v>
          </cell>
        </row>
        <row r="61">
          <cell r="V61">
            <v>26439241.53339497</v>
          </cell>
          <cell r="AC61">
            <v>4286217628.0918679</v>
          </cell>
          <cell r="AP61">
            <v>15496305.697959369</v>
          </cell>
          <cell r="AX61">
            <v>3583480333.763607</v>
          </cell>
        </row>
        <row r="62">
          <cell r="V62">
            <v>28101106.848792501</v>
          </cell>
          <cell r="AC62">
            <v>4644210928.6020136</v>
          </cell>
          <cell r="AP62">
            <v>16578520.385518881</v>
          </cell>
          <cell r="AX62">
            <v>3903928295.0965204</v>
          </cell>
        </row>
        <row r="63">
          <cell r="V63">
            <v>29843898.702816784</v>
          </cell>
          <cell r="AC63">
            <v>5027180915.8531609</v>
          </cell>
          <cell r="AP63">
            <v>17740437.552553568</v>
          </cell>
          <cell r="AX63">
            <v>4253162783.6118155</v>
          </cell>
        </row>
        <row r="64">
          <cell r="V64">
            <v>32428819.854574271</v>
          </cell>
          <cell r="AC64">
            <v>5642301640.6112194</v>
          </cell>
          <cell r="AP64">
            <v>19741064.019981526</v>
          </cell>
          <cell r="AX64">
            <v>4813122840.4128418</v>
          </cell>
        </row>
        <row r="65">
          <cell r="V65">
            <v>34366001.399570659</v>
          </cell>
          <cell r="AC65">
            <v>6101432621.7893467</v>
          </cell>
          <cell r="AP65">
            <v>21175024.320323527</v>
          </cell>
          <cell r="AX65">
            <v>5252757450.4026947</v>
          </cell>
        </row>
        <row r="66">
          <cell r="V66">
            <v>36840070.217903689</v>
          </cell>
          <cell r="AC66">
            <v>6671142189.6856079</v>
          </cell>
          <cell r="AP66">
            <v>24219260.337959141</v>
          </cell>
          <cell r="AX66">
            <v>5846053786.962141</v>
          </cell>
        </row>
        <row r="67">
          <cell r="V67">
            <v>39865238.113302633</v>
          </cell>
          <cell r="AC67">
            <v>7291882676.7372742</v>
          </cell>
          <cell r="AP67">
            <v>28262153.365973674</v>
          </cell>
          <cell r="AX67">
            <v>6502975773.5311174</v>
          </cell>
        </row>
        <row r="68">
          <cell r="V68">
            <v>43074324.624376439</v>
          </cell>
          <cell r="AC68">
            <v>7956188588.0906544</v>
          </cell>
          <cell r="AP68">
            <v>32799943.631599672</v>
          </cell>
          <cell r="AX68">
            <v>7219517344.1413937</v>
          </cell>
        </row>
        <row r="69">
          <cell r="V69">
            <v>46470670.462230131</v>
          </cell>
          <cell r="AC69">
            <v>8665294092.036808</v>
          </cell>
          <cell r="AP69">
            <v>37848502.403607331</v>
          </cell>
          <cell r="AX69">
            <v>7995876694.2339897</v>
          </cell>
        </row>
        <row r="70">
          <cell r="V70">
            <v>50066231.251711063</v>
          </cell>
          <cell r="AC70">
            <v>9422136139.0474072</v>
          </cell>
          <cell r="AP70">
            <v>43428733.36811617</v>
          </cell>
          <cell r="AX70">
            <v>8831763884.1414738</v>
          </cell>
        </row>
        <row r="71">
          <cell r="V71">
            <v>53565683.09383674</v>
          </cell>
          <cell r="AC71">
            <v>10210643791.983807</v>
          </cell>
          <cell r="AP71">
            <v>49586303.545726381</v>
          </cell>
          <cell r="AX71">
            <v>9724494096.97892</v>
          </cell>
        </row>
        <row r="72">
          <cell r="V72">
            <v>57154001.529253721</v>
          </cell>
          <cell r="AC72">
            <v>11065349917.098322</v>
          </cell>
          <cell r="AP72">
            <v>56547413.776871622</v>
          </cell>
          <cell r="AX72">
            <v>10716657445.866322</v>
          </cell>
        </row>
        <row r="73">
          <cell r="V73">
            <v>61066377.114799291</v>
          </cell>
          <cell r="AC73">
            <v>12005614355.214809</v>
          </cell>
          <cell r="AP73">
            <v>64397233.386262812</v>
          </cell>
          <cell r="AX73">
            <v>11819185569.341444</v>
          </cell>
        </row>
        <row r="74">
          <cell r="V74">
            <v>65302097.663085118</v>
          </cell>
          <cell r="AC74">
            <v>13034492541.848248</v>
          </cell>
          <cell r="AP74">
            <v>73355421.112302765</v>
          </cell>
          <cell r="AX74">
            <v>13043671170.330351</v>
          </cell>
        </row>
        <row r="75">
          <cell r="V75">
            <v>69918338.781589121</v>
          </cell>
          <cell r="AC75">
            <v>14140456279.443535</v>
          </cell>
          <cell r="AP75">
            <v>83202648.634067267</v>
          </cell>
          <cell r="AX75">
            <v>14370548310.957905</v>
          </cell>
        </row>
        <row r="76">
          <cell r="V76">
            <v>75774918.60586831</v>
          </cell>
          <cell r="AC76">
            <v>15497031100.884335</v>
          </cell>
          <cell r="AP76">
            <v>97836039.425986156</v>
          </cell>
          <cell r="AX76">
            <v>16449942575.216297</v>
          </cell>
        </row>
        <row r="77">
          <cell r="V77">
            <v>81513866.564280421</v>
          </cell>
          <cell r="AC77">
            <v>16827899686.08551</v>
          </cell>
          <cell r="AP77">
            <v>110936659.37915543</v>
          </cell>
          <cell r="AX77">
            <v>18237606406.563236</v>
          </cell>
        </row>
        <row r="78">
          <cell r="V78">
            <v>88009638.921348512</v>
          </cell>
          <cell r="AC78">
            <v>18298097889.768532</v>
          </cell>
          <cell r="AP78">
            <v>125971766.4109505</v>
          </cell>
          <cell r="AX78">
            <v>20258227475.79007</v>
          </cell>
        </row>
        <row r="79">
          <cell r="V79">
            <v>96161950.836465716</v>
          </cell>
          <cell r="AC79">
            <v>19994500806.072479</v>
          </cell>
          <cell r="AP79">
            <v>143660993.74918798</v>
          </cell>
          <cell r="AX79">
            <v>22589374870.196354</v>
          </cell>
        </row>
        <row r="80">
          <cell r="V80">
            <v>105280856.29325089</v>
          </cell>
          <cell r="AC80">
            <v>21958710399.921028</v>
          </cell>
          <cell r="AP80">
            <v>164456386.97942376</v>
          </cell>
          <cell r="AX80">
            <v>25361167747.84494</v>
          </cell>
        </row>
        <row r="81">
          <cell r="V81">
            <v>115075796.65397623</v>
          </cell>
          <cell r="AC81">
            <v>24094443694.913528</v>
          </cell>
          <cell r="AP81">
            <v>187631744.78817028</v>
          </cell>
          <cell r="AX81">
            <v>28450685605.334297</v>
          </cell>
        </row>
        <row r="82">
          <cell r="V82">
            <v>125250101.79510316</v>
          </cell>
          <cell r="AC82">
            <v>26579482411.574711</v>
          </cell>
          <cell r="AP82">
            <v>213643543.90435207</v>
          </cell>
          <cell r="AX82">
            <v>32133934815.24707</v>
          </cell>
        </row>
        <row r="83">
          <cell r="V83">
            <v>136036943.00002232</v>
          </cell>
          <cell r="AC83">
            <v>29247279916.879829</v>
          </cell>
          <cell r="AP83">
            <v>242092061.89757997</v>
          </cell>
          <cell r="AX83">
            <v>36138569432.597176</v>
          </cell>
        </row>
        <row r="84">
          <cell r="V84">
            <v>147034393.51435983</v>
          </cell>
          <cell r="AC84">
            <v>31955672990.579769</v>
          </cell>
          <cell r="AP84">
            <v>271206924.75247419</v>
          </cell>
          <cell r="AX84">
            <v>40127723731.129959</v>
          </cell>
        </row>
        <row r="85">
          <cell r="V85">
            <v>158774059.59171227</v>
          </cell>
          <cell r="AC85">
            <v>34872236497.939957</v>
          </cell>
          <cell r="AP85">
            <v>303563108.98228377</v>
          </cell>
          <cell r="AX85">
            <v>44489138317.372643</v>
          </cell>
        </row>
        <row r="86">
          <cell r="V86">
            <v>171414421.27201897</v>
          </cell>
          <cell r="AC86">
            <v>38036497448.71463</v>
          </cell>
          <cell r="AP86">
            <v>340625450.7329579</v>
          </cell>
          <cell r="AX86">
            <v>49297730471.352005</v>
          </cell>
        </row>
        <row r="87">
          <cell r="V87">
            <v>188138278.95439291</v>
          </cell>
          <cell r="AC87">
            <v>41719984273.823372</v>
          </cell>
          <cell r="AP87">
            <v>393790949.60471445</v>
          </cell>
          <cell r="AX87">
            <v>55348204804.154892</v>
          </cell>
        </row>
        <row r="88">
          <cell r="V88">
            <v>205905176.36636069</v>
          </cell>
          <cell r="AC88">
            <v>45598984746.428955</v>
          </cell>
          <cell r="AP88">
            <v>451788237.8984099</v>
          </cell>
          <cell r="AX88">
            <v>61879924948.679184</v>
          </cell>
        </row>
        <row r="89">
          <cell r="V89">
            <v>222650777.59150857</v>
          </cell>
          <cell r="AC89">
            <v>49213050242.417519</v>
          </cell>
          <cell r="AP89">
            <v>506032733.77354342</v>
          </cell>
          <cell r="AX89">
            <v>68269268317.290451</v>
          </cell>
        </row>
        <row r="90">
          <cell r="V90">
            <v>241086953.33882225</v>
          </cell>
          <cell r="AC90">
            <v>53279274951.442673</v>
          </cell>
          <cell r="AP90">
            <v>570949801.09103215</v>
          </cell>
          <cell r="AX90">
            <v>76055918101.1604</v>
          </cell>
        </row>
        <row r="91">
          <cell r="V91">
            <v>260259847.68768299</v>
          </cell>
          <cell r="AC91">
            <v>57573376296.417084</v>
          </cell>
          <cell r="AP91">
            <v>642586513.49959385</v>
          </cell>
          <cell r="AX91">
            <v>84710013161.33754</v>
          </cell>
        </row>
        <row r="92">
          <cell r="V92">
            <v>275565397.87274623</v>
          </cell>
          <cell r="AC92">
            <v>61307851967.13102</v>
          </cell>
          <cell r="AP92">
            <v>715085943.0372436</v>
          </cell>
          <cell r="AX92">
            <v>92841685938.404114</v>
          </cell>
        </row>
        <row r="93">
          <cell r="V93">
            <v>291638354.43363929</v>
          </cell>
          <cell r="AC93">
            <v>65359602755.958115</v>
          </cell>
          <cell r="AP93">
            <v>796291526.94923496</v>
          </cell>
          <cell r="AX93">
            <v>101947766578.43526</v>
          </cell>
        </row>
        <row r="94">
          <cell r="V94">
            <v>307300355.46670192</v>
          </cell>
          <cell r="AC94">
            <v>69271413433.864609</v>
          </cell>
          <cell r="AP94">
            <v>881980501.31075871</v>
          </cell>
          <cell r="AX94">
            <v>111234752346.94572</v>
          </cell>
        </row>
        <row r="95">
          <cell r="V95">
            <v>322903023.51940191</v>
          </cell>
          <cell r="AC95">
            <v>73023245638.162857</v>
          </cell>
          <cell r="AP95">
            <v>971111745.99411619</v>
          </cell>
          <cell r="AX95">
            <v>120476682741.98477</v>
          </cell>
        </row>
        <row r="96">
          <cell r="V96">
            <v>339458079.77389705</v>
          </cell>
          <cell r="AC96">
            <v>77009274220.08139</v>
          </cell>
          <cell r="AP96">
            <v>1070028532.4580053</v>
          </cell>
          <cell r="AX96">
            <v>130639568622.62193</v>
          </cell>
        </row>
        <row r="97">
          <cell r="V97">
            <v>357243924.34053046</v>
          </cell>
          <cell r="AC97">
            <v>81184938804.103729</v>
          </cell>
          <cell r="AP97">
            <v>1180676145.2833486</v>
          </cell>
          <cell r="AX97">
            <v>142107876657.6412</v>
          </cell>
        </row>
        <row r="98">
          <cell r="V98">
            <v>374756947.13781923</v>
          </cell>
          <cell r="AC98">
            <v>85285579396.540771</v>
          </cell>
          <cell r="AP98">
            <v>1289376516.6589468</v>
          </cell>
          <cell r="AX98">
            <v>152781682155.90121</v>
          </cell>
        </row>
        <row r="99">
          <cell r="V99">
            <v>392720471.83559465</v>
          </cell>
          <cell r="AC99">
            <v>89373010157.467834</v>
          </cell>
          <cell r="AP99">
            <v>1403706264.6023746</v>
          </cell>
          <cell r="AX99">
            <v>163473313712.8085</v>
          </cell>
        </row>
        <row r="100">
          <cell r="V100">
            <v>410744287.3144511</v>
          </cell>
          <cell r="AC100">
            <v>93575294819.206787</v>
          </cell>
          <cell r="AP100">
            <v>1525728850.3592319</v>
          </cell>
          <cell r="AX100">
            <v>174701345709.8139</v>
          </cell>
        </row>
        <row r="101">
          <cell r="V101">
            <v>428730428.06936145</v>
          </cell>
          <cell r="AC101">
            <v>97992650268.587662</v>
          </cell>
          <cell r="AP101">
            <v>1659846745.4066195</v>
          </cell>
          <cell r="AX101">
            <v>186961073105.13455</v>
          </cell>
        </row>
        <row r="102">
          <cell r="V102">
            <v>447200553.33492643</v>
          </cell>
          <cell r="AC102">
            <v>102611505264.0686</v>
          </cell>
          <cell r="AP102">
            <v>1805641985.0326524</v>
          </cell>
          <cell r="AX102">
            <v>200130759870.76416</v>
          </cell>
        </row>
        <row r="103">
          <cell r="V103">
            <v>466687354.50825077</v>
          </cell>
          <cell r="AC103">
            <v>107497565553.42496</v>
          </cell>
          <cell r="AP103">
            <v>1965208085.7061315</v>
          </cell>
          <cell r="AX103">
            <v>214314845664.29886</v>
          </cell>
        </row>
        <row r="104">
          <cell r="V104">
            <v>486728017.7073555</v>
          </cell>
          <cell r="AC104">
            <v>112569216076.00783</v>
          </cell>
          <cell r="AP104">
            <v>2136009229.3645372</v>
          </cell>
          <cell r="AX104">
            <v>229249290879.82773</v>
          </cell>
        </row>
        <row r="105">
          <cell r="V105">
            <v>504762804.6713897</v>
          </cell>
          <cell r="AC105">
            <v>117205445066.91931</v>
          </cell>
          <cell r="AP105">
            <v>2287013254.2644954</v>
          </cell>
          <cell r="AX105">
            <v>241667966671.15887</v>
          </cell>
        </row>
        <row r="106">
          <cell r="V106">
            <v>523335463.56907314</v>
          </cell>
          <cell r="AC106">
            <v>121996648332.23474</v>
          </cell>
          <cell r="AP106">
            <v>2446680721.820395</v>
          </cell>
          <cell r="AX106">
            <v>254620457195.10736</v>
          </cell>
        </row>
        <row r="107">
          <cell r="V107">
            <v>537618728.77663612</v>
          </cell>
          <cell r="AC107">
            <v>125827090360.32317</v>
          </cell>
          <cell r="AP107">
            <v>2556747925.9253559</v>
          </cell>
          <cell r="AX107">
            <v>265424521588.66858</v>
          </cell>
        </row>
        <row r="108">
          <cell r="V108">
            <v>552279452.66098762</v>
          </cell>
          <cell r="AC108">
            <v>129782645007.76813</v>
          </cell>
          <cell r="AP108">
            <v>2672596838.0867243</v>
          </cell>
          <cell r="AX108">
            <v>276701056993.69104</v>
          </cell>
        </row>
        <row r="109">
          <cell r="V109">
            <v>567584661.88647449</v>
          </cell>
          <cell r="AC109">
            <v>134026653480.08231</v>
          </cell>
          <cell r="AP109">
            <v>2796769409.7480717</v>
          </cell>
          <cell r="AX109">
            <v>288928483374.60577</v>
          </cell>
        </row>
        <row r="110">
          <cell r="V110">
            <v>583410929.14228559</v>
          </cell>
          <cell r="AC110">
            <v>138724603258.98059</v>
          </cell>
          <cell r="AP110">
            <v>2927974607.3258328</v>
          </cell>
          <cell r="AX110">
            <v>302371259512.47296</v>
          </cell>
        </row>
        <row r="111">
          <cell r="V111">
            <v>599851354.98615372</v>
          </cell>
          <cell r="AC111">
            <v>143652557888.68277</v>
          </cell>
          <cell r="AP111">
            <v>3067234405.9795232</v>
          </cell>
          <cell r="AX111">
            <v>316615715685.95435</v>
          </cell>
        </row>
        <row r="112">
          <cell r="V112">
            <v>615124272.35603452</v>
          </cell>
          <cell r="AC112">
            <v>148397329490.82684</v>
          </cell>
          <cell r="AP112">
            <v>3194759684.6024899</v>
          </cell>
          <cell r="AX112">
            <v>330408462618.68726</v>
          </cell>
        </row>
        <row r="113">
          <cell r="V113">
            <v>630302113.21602082</v>
          </cell>
          <cell r="AC113">
            <v>153197637009.43835</v>
          </cell>
          <cell r="AP113">
            <v>3321435254.8411179</v>
          </cell>
          <cell r="AX113">
            <v>344624953673.84869</v>
          </cell>
        </row>
        <row r="114">
          <cell r="V114">
            <v>645572121.05949497</v>
          </cell>
          <cell r="AC114">
            <v>158078904741.0029</v>
          </cell>
          <cell r="AP114">
            <v>3449313520.9703317</v>
          </cell>
          <cell r="AX114">
            <v>359203123963.96881</v>
          </cell>
        </row>
        <row r="115">
          <cell r="V115">
            <v>661243038.07795966</v>
          </cell>
          <cell r="AC115">
            <v>163116517050.23328</v>
          </cell>
          <cell r="AP115">
            <v>3583435508.657505</v>
          </cell>
          <cell r="AX115">
            <v>374535647113.802</v>
          </cell>
        </row>
        <row r="116">
          <cell r="V116">
            <v>679412763.02133691</v>
          </cell>
          <cell r="AC116">
            <v>168828314037.93451</v>
          </cell>
          <cell r="AP116">
            <v>3734101519.2122574</v>
          </cell>
          <cell r="AX116">
            <v>391692261540.55988</v>
          </cell>
        </row>
        <row r="117">
          <cell r="V117">
            <v>698263494.63204849</v>
          </cell>
          <cell r="AC117">
            <v>174770272278.45383</v>
          </cell>
          <cell r="AP117">
            <v>3889497042.3948064</v>
          </cell>
          <cell r="AX117">
            <v>409776780601.46021</v>
          </cell>
        </row>
        <row r="118">
          <cell r="V118">
            <v>717178802.2595787</v>
          </cell>
          <cell r="AC118">
            <v>180794254621.8356</v>
          </cell>
          <cell r="AP118">
            <v>4045248429.3707585</v>
          </cell>
          <cell r="AX118">
            <v>428032482155.44653</v>
          </cell>
        </row>
        <row r="119">
          <cell r="V119">
            <v>736608483.46663117</v>
          </cell>
          <cell r="AC119">
            <v>187012554459.66418</v>
          </cell>
          <cell r="AP119">
            <v>4207495680.9219604</v>
          </cell>
          <cell r="AX119">
            <v>447110818373.95642</v>
          </cell>
        </row>
        <row r="120">
          <cell r="V120">
            <v>756469613.37667441</v>
          </cell>
          <cell r="AC120">
            <v>193453870463.97217</v>
          </cell>
          <cell r="AP120">
            <v>4375158001.3131075</v>
          </cell>
          <cell r="AX120">
            <v>467017671054.78284</v>
          </cell>
        </row>
        <row r="121">
          <cell r="V121">
            <v>777278159.93495882</v>
          </cell>
          <cell r="AC121">
            <v>200152619300.26657</v>
          </cell>
          <cell r="AP121">
            <v>4549281327.0171738</v>
          </cell>
          <cell r="AX121">
            <v>487839828350.83899</v>
          </cell>
        </row>
        <row r="122">
          <cell r="V122">
            <v>798699826.32171202</v>
          </cell>
          <cell r="AC122">
            <v>206985825508.03</v>
          </cell>
          <cell r="AP122">
            <v>4730543062.1940651</v>
          </cell>
          <cell r="AX122">
            <v>509568179386.31946</v>
          </cell>
        </row>
        <row r="123">
          <cell r="V123">
            <v>820222686.12418282</v>
          </cell>
          <cell r="AC123">
            <v>213820095778.569</v>
          </cell>
          <cell r="AP123">
            <v>4913515224.0613604</v>
          </cell>
          <cell r="AX123">
            <v>531626844651.97894</v>
          </cell>
        </row>
        <row r="124">
          <cell r="V124">
            <v>841868480.39177382</v>
          </cell>
          <cell r="AC124">
            <v>220762094290.92847</v>
          </cell>
          <cell r="AP124">
            <v>5101315623.4728422</v>
          </cell>
          <cell r="AX124">
            <v>554383045361.66223</v>
          </cell>
        </row>
        <row r="125">
          <cell r="V125">
            <v>863698689.96747375</v>
          </cell>
          <cell r="AC125">
            <v>227819083703.01517</v>
          </cell>
          <cell r="AP125">
            <v>5291111066.3143835</v>
          </cell>
          <cell r="AX125">
            <v>577530346911.36182</v>
          </cell>
        </row>
        <row r="126">
          <cell r="V126">
            <v>886152017.3856349</v>
          </cell>
          <cell r="AC126">
            <v>235108268130.80508</v>
          </cell>
          <cell r="AP126">
            <v>5489489244.1380501</v>
          </cell>
          <cell r="AX126">
            <v>601793151859.42419</v>
          </cell>
        </row>
        <row r="127">
          <cell r="V127">
            <v>908997220.1590625</v>
          </cell>
          <cell r="AC127">
            <v>242573187272.10101</v>
          </cell>
          <cell r="AP127">
            <v>5693025815.7969494</v>
          </cell>
          <cell r="AX127">
            <v>626802293581.05518</v>
          </cell>
        </row>
        <row r="128">
          <cell r="V128">
            <v>932198002.79924917</v>
          </cell>
          <cell r="AC128">
            <v>250193542264.42456</v>
          </cell>
          <cell r="AP128">
            <v>5905367137.6558504</v>
          </cell>
          <cell r="AX128">
            <v>652858976831.29956</v>
          </cell>
        </row>
        <row r="129">
          <cell r="V129">
            <v>955912312.31413901</v>
          </cell>
          <cell r="AC129">
            <v>257883945059.36157</v>
          </cell>
          <cell r="AP129">
            <v>6124091222.9896574</v>
          </cell>
          <cell r="AX129">
            <v>679581860725.2124</v>
          </cell>
        </row>
        <row r="130">
          <cell r="V130">
            <v>980176898.40400589</v>
          </cell>
          <cell r="AC130">
            <v>265707501861.71991</v>
          </cell>
          <cell r="AP130">
            <v>6350813821.6190796</v>
          </cell>
          <cell r="AX130">
            <v>707235732171.08203</v>
          </cell>
        </row>
        <row r="131">
          <cell r="V131">
            <v>1004282993.5477871</v>
          </cell>
          <cell r="AC131">
            <v>274297548602.31317</v>
          </cell>
          <cell r="AP131">
            <v>6574369710.1788807</v>
          </cell>
          <cell r="AX131">
            <v>736712974798.27954</v>
          </cell>
        </row>
        <row r="132">
          <cell r="V132">
            <v>1024066269.5860156</v>
          </cell>
          <cell r="AC132">
            <v>282947526300.50513</v>
          </cell>
          <cell r="AP132">
            <v>6799706613.9143276</v>
          </cell>
          <cell r="AX132">
            <v>767232538899.69006</v>
          </cell>
        </row>
        <row r="133">
          <cell r="V133">
            <v>1044193292.9472113</v>
          </cell>
          <cell r="AC133">
            <v>291831071533.05267</v>
          </cell>
          <cell r="AP133">
            <v>7031967016.796279</v>
          </cell>
          <cell r="AX133">
            <v>798878905985.34961</v>
          </cell>
        </row>
        <row r="134">
          <cell r="V134">
            <v>1064841773.7859452</v>
          </cell>
          <cell r="AC134">
            <v>301000940190.38672</v>
          </cell>
          <cell r="AP134">
            <v>7274095405.8752375</v>
          </cell>
          <cell r="AX134">
            <v>832004293863.89014</v>
          </cell>
        </row>
        <row r="135">
          <cell r="V135">
            <v>1086204002.9202549</v>
          </cell>
          <cell r="AC135">
            <v>310517633090.88818</v>
          </cell>
          <cell r="AP135">
            <v>7529510897.1974277</v>
          </cell>
          <cell r="AX135">
            <v>867024392320.93457</v>
          </cell>
        </row>
        <row r="136">
          <cell r="V136">
            <v>1107984316.3441057</v>
          </cell>
          <cell r="AC136">
            <v>320303086079.58179</v>
          </cell>
          <cell r="AP136">
            <v>7793535710.8390999</v>
          </cell>
          <cell r="AX136">
            <v>903426756534.72827</v>
          </cell>
        </row>
        <row r="137">
          <cell r="V137">
            <v>1128094322.9541688</v>
          </cell>
          <cell r="AC137">
            <v>329751431710.94897</v>
          </cell>
          <cell r="AP137">
            <v>8049158633.3365736</v>
          </cell>
          <cell r="AX137">
            <v>939245292261.7749</v>
          </cell>
        </row>
        <row r="138">
          <cell r="V138">
            <v>1145725698.2702527</v>
          </cell>
          <cell r="AC138">
            <v>338608134231.19397</v>
          </cell>
          <cell r="AP138">
            <v>8289690263.8651962</v>
          </cell>
          <cell r="AX138">
            <v>973673986209.7428</v>
          </cell>
        </row>
        <row r="139">
          <cell r="V139">
            <v>1163652658.8851047</v>
          </cell>
          <cell r="AC139">
            <v>347678471328.87134</v>
          </cell>
          <cell r="AP139">
            <v>8537519808.1149359</v>
          </cell>
          <cell r="AX139">
            <v>1009324124913.5499</v>
          </cell>
        </row>
        <row r="140">
          <cell r="V140">
            <v>1181721053.8265138</v>
          </cell>
          <cell r="AC140">
            <v>356919186441.55798</v>
          </cell>
          <cell r="AP140">
            <v>8790042722.2040539</v>
          </cell>
          <cell r="AX140">
            <v>1045901679111.646</v>
          </cell>
        </row>
        <row r="141">
          <cell r="V141">
            <v>1200504191.5171368</v>
          </cell>
          <cell r="AC141">
            <v>366356250900.9834</v>
          </cell>
          <cell r="AP141">
            <v>9057597869.7337379</v>
          </cell>
          <cell r="AX141">
            <v>1084208125772.1497</v>
          </cell>
        </row>
        <row r="142">
          <cell r="V142">
            <v>1224429464.3820214</v>
          </cell>
          <cell r="AC142">
            <v>374689731588.28162</v>
          </cell>
          <cell r="AP142">
            <v>9338412202.3349895</v>
          </cell>
          <cell r="AX142">
            <v>1119328365454.2507</v>
          </cell>
        </row>
        <row r="143">
          <cell r="V143">
            <v>1248794719.8274219</v>
          </cell>
          <cell r="AC143">
            <v>383198900910.71484</v>
          </cell>
          <cell r="AP143">
            <v>9628098112.6021767</v>
          </cell>
          <cell r="AX143">
            <v>1155601391142.4927</v>
          </cell>
        </row>
        <row r="144">
          <cell r="V144">
            <v>1272908150.9795671</v>
          </cell>
          <cell r="AC144">
            <v>391672022335.06262</v>
          </cell>
          <cell r="AP144">
            <v>9914003781.110733</v>
          </cell>
          <cell r="AX144">
            <v>1191510705756.6174</v>
          </cell>
        </row>
        <row r="145">
          <cell r="V145">
            <v>1297733207.0962658</v>
          </cell>
          <cell r="AC145">
            <v>400405741555.40784</v>
          </cell>
          <cell r="AP145">
            <v>10213874775.814983</v>
          </cell>
          <cell r="AX145">
            <v>1229180285204.219</v>
          </cell>
        </row>
        <row r="146">
          <cell r="V146">
            <v>1323918103.2200561</v>
          </cell>
          <cell r="AC146">
            <v>409602427574.6687</v>
          </cell>
          <cell r="AP146">
            <v>10540177516.919586</v>
          </cell>
          <cell r="AX146">
            <v>1269938925932.0959</v>
          </cell>
        </row>
        <row r="147">
          <cell r="V147">
            <v>1352554949.7301717</v>
          </cell>
          <cell r="AC147">
            <v>419203800228.50806</v>
          </cell>
          <cell r="AP147">
            <v>10886019509.639523</v>
          </cell>
          <cell r="AX147">
            <v>1313022061492.1768</v>
          </cell>
        </row>
        <row r="148">
          <cell r="V148">
            <v>1381784756.7812624</v>
          </cell>
          <cell r="AC148">
            <v>429020490289.41113</v>
          </cell>
          <cell r="AP148">
            <v>11243677218.395655</v>
          </cell>
          <cell r="AX148">
            <v>1357619051346.4602</v>
          </cell>
        </row>
        <row r="149">
          <cell r="V149">
            <v>1411698315.0742407</v>
          </cell>
          <cell r="AC149">
            <v>439081700219.56219</v>
          </cell>
          <cell r="AP149">
            <v>11615080260.473242</v>
          </cell>
          <cell r="AX149">
            <v>1403967483981.6316</v>
          </cell>
        </row>
        <row r="150">
          <cell r="V150">
            <v>1441648150.4232299</v>
          </cell>
          <cell r="AC150">
            <v>449186803413.97437</v>
          </cell>
          <cell r="AP150">
            <v>11987790723.519226</v>
          </cell>
          <cell r="AX150">
            <v>1450567404330.8843</v>
          </cell>
        </row>
        <row r="151">
          <cell r="V151">
            <v>1472004830.1274056</v>
          </cell>
          <cell r="AC151">
            <v>459451511866.35376</v>
          </cell>
          <cell r="AP151">
            <v>12368986812.166842</v>
          </cell>
          <cell r="AX151">
            <v>1498288575895.6257</v>
          </cell>
        </row>
        <row r="152">
          <cell r="V152">
            <v>1502706878.5015674</v>
          </cell>
          <cell r="AC152">
            <v>470183476603.30981</v>
          </cell>
          <cell r="AP152">
            <v>12757511670.76519</v>
          </cell>
          <cell r="AX152">
            <v>1548067794161.1328</v>
          </cell>
        </row>
        <row r="153">
          <cell r="V153">
            <v>1533895468.0182941</v>
          </cell>
          <cell r="AC153">
            <v>481497197569.0473</v>
          </cell>
          <cell r="AP153">
            <v>13156233108.617153</v>
          </cell>
          <cell r="AX153">
            <v>1600518411969.8538</v>
          </cell>
        </row>
        <row r="154">
          <cell r="V154">
            <v>1564916139.1987104</v>
          </cell>
          <cell r="AC154">
            <v>492820754139.07306</v>
          </cell>
          <cell r="AP154">
            <v>13568478357.836664</v>
          </cell>
          <cell r="AX154">
            <v>1654857353439.5249</v>
          </cell>
        </row>
        <row r="155">
          <cell r="V155">
            <v>1596917902.5135615</v>
          </cell>
          <cell r="AC155">
            <v>504547714319.12878</v>
          </cell>
          <cell r="AP155">
            <v>14005427175.693378</v>
          </cell>
          <cell r="AX155">
            <v>1712568988819.7463</v>
          </cell>
        </row>
        <row r="156">
          <cell r="V156">
            <v>1633309677.431504</v>
          </cell>
          <cell r="AC156">
            <v>517739721812.60931</v>
          </cell>
          <cell r="AP156">
            <v>14534608583.763514</v>
          </cell>
          <cell r="AX156">
            <v>1781882647994.0662</v>
          </cell>
        </row>
        <row r="157">
          <cell r="V157">
            <v>1667061412.4654963</v>
          </cell>
          <cell r="AC157">
            <v>530167048066.14941</v>
          </cell>
          <cell r="AP157">
            <v>15073700936.887619</v>
          </cell>
          <cell r="AX157">
            <v>1852741200374.6333</v>
          </cell>
        </row>
        <row r="158">
          <cell r="V158">
            <v>1685579358.3055108</v>
          </cell>
          <cell r="AC158">
            <v>537180073575.64874</v>
          </cell>
          <cell r="AP158">
            <v>15356860144.769194</v>
          </cell>
          <cell r="AX158">
            <v>1890200864381.2197</v>
          </cell>
        </row>
        <row r="159">
          <cell r="V159">
            <v>1699773155.9894273</v>
          </cell>
          <cell r="AC159">
            <v>542781116997.23621</v>
          </cell>
          <cell r="AP159">
            <v>15549030822.069904</v>
          </cell>
          <cell r="AX159">
            <v>1916342858584.946</v>
          </cell>
        </row>
        <row r="160">
          <cell r="V160">
            <v>1705819097.8212163</v>
          </cell>
          <cell r="AC160">
            <v>545792888512.17969</v>
          </cell>
          <cell r="AP160">
            <v>15568056074.441614</v>
          </cell>
          <cell r="AX160">
            <v>1922794108084.6084</v>
          </cell>
        </row>
        <row r="161">
          <cell r="V161">
            <v>1711148737.29194</v>
          </cell>
          <cell r="AC161">
            <v>548582398035.48608</v>
          </cell>
          <cell r="AP161">
            <v>15571741097.514994</v>
          </cell>
          <cell r="AX161">
            <v>1927499443703.7949</v>
          </cell>
        </row>
        <row r="162">
          <cell r="V162">
            <v>1716484108.8476465</v>
          </cell>
          <cell r="AC162">
            <v>551380218743.33093</v>
          </cell>
          <cell r="AP162">
            <v>15575427806.674374</v>
          </cell>
          <cell r="AX162">
            <v>1932207084819.6528</v>
          </cell>
        </row>
        <row r="163">
          <cell r="V163">
            <v>1721825212.8416252</v>
          </cell>
          <cell r="AC163">
            <v>554186359829.83679</v>
          </cell>
          <cell r="AP163">
            <v>15579116197.978895</v>
          </cell>
          <cell r="AX163">
            <v>1936917032192.1416</v>
          </cell>
        </row>
        <row r="164">
          <cell r="V164">
            <v>1727172049.6271653</v>
          </cell>
          <cell r="AC164">
            <v>557000830491.44128</v>
          </cell>
          <cell r="AP164">
            <v>15582806267.499969</v>
          </cell>
          <cell r="AX164">
            <v>1941629286578.8962</v>
          </cell>
        </row>
        <row r="165">
          <cell r="V165">
            <v>1732524619.5575504</v>
          </cell>
          <cell r="AC165">
            <v>559823639926.88647</v>
          </cell>
          <cell r="AP165">
            <v>15586498011.321241</v>
          </cell>
          <cell r="AX165">
            <v>1946343848735.2329</v>
          </cell>
        </row>
        <row r="166">
          <cell r="V166">
            <v>1737878686.097399</v>
          </cell>
          <cell r="AC166">
            <v>562654614813.04675</v>
          </cell>
          <cell r="AP166">
            <v>15590190456.897457</v>
          </cell>
          <cell r="AX166">
            <v>1951060441275.1157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S363"/>
  <sheetViews>
    <sheetView topLeftCell="A62" workbookViewId="0">
      <selection activeCell="H78" sqref="C78:H78"/>
    </sheetView>
  </sheetViews>
  <sheetFormatPr defaultColWidth="6.625" defaultRowHeight="11.25" x14ac:dyDescent="0.15"/>
  <cols>
    <col min="1" max="1" width="6.625" style="8"/>
    <col min="2" max="2" width="10.375" style="8" bestFit="1" customWidth="1"/>
    <col min="3" max="23" width="6.625" style="8"/>
    <col min="24" max="24" width="6.625" style="2"/>
    <col min="25" max="31" width="6.625" style="8"/>
    <col min="32" max="32" width="6.625" style="1"/>
    <col min="33" max="38" width="6.625" style="8"/>
    <col min="39" max="39" width="6.625" style="1"/>
    <col min="40" max="16384" width="6.625" style="8"/>
  </cols>
  <sheetData>
    <row r="1" spans="2:45" x14ac:dyDescent="0.15">
      <c r="AA1" s="8">
        <v>1</v>
      </c>
      <c r="AB1" s="8">
        <v>0.8</v>
      </c>
      <c r="AC1" s="8">
        <v>0.6</v>
      </c>
      <c r="AD1" s="8">
        <v>0.4</v>
      </c>
      <c r="AE1" s="8">
        <v>0.2</v>
      </c>
    </row>
    <row r="2" spans="2:45" x14ac:dyDescent="0.15">
      <c r="D2" s="82" t="s">
        <v>22</v>
      </c>
      <c r="E2" s="82"/>
      <c r="F2" s="82"/>
      <c r="G2" s="82"/>
      <c r="H2" s="82"/>
      <c r="K2" s="82" t="s">
        <v>23</v>
      </c>
      <c r="L2" s="82"/>
      <c r="M2" s="82"/>
      <c r="N2" s="82"/>
      <c r="O2" s="82"/>
      <c r="R2" s="82" t="s">
        <v>24</v>
      </c>
      <c r="S2" s="82"/>
      <c r="T2" s="82"/>
      <c r="U2" s="82"/>
      <c r="V2" s="82"/>
      <c r="AA2" s="82" t="s">
        <v>7</v>
      </c>
      <c r="AB2" s="82"/>
      <c r="AC2" s="82"/>
      <c r="AD2" s="82"/>
      <c r="AE2" s="82"/>
      <c r="AH2" s="82" t="s">
        <v>8</v>
      </c>
      <c r="AI2" s="82"/>
      <c r="AJ2" s="82"/>
      <c r="AK2" s="82"/>
      <c r="AL2" s="82"/>
      <c r="AO2" s="82" t="s">
        <v>9</v>
      </c>
      <c r="AP2" s="82"/>
      <c r="AQ2" s="82"/>
      <c r="AR2" s="82"/>
      <c r="AS2" s="82"/>
    </row>
    <row r="3" spans="2:45" x14ac:dyDescent="0.15">
      <c r="B3" s="8" t="str">
        <f>[1]节奏总纲!N3</f>
        <v>对应玩家等级</v>
      </c>
      <c r="C3" s="8" t="s">
        <v>25</v>
      </c>
      <c r="D3" s="8" t="s">
        <v>0</v>
      </c>
      <c r="E3" s="8" t="s">
        <v>1</v>
      </c>
      <c r="F3" s="8" t="s">
        <v>2</v>
      </c>
      <c r="G3" s="8" t="s">
        <v>3</v>
      </c>
      <c r="H3" s="8" t="s">
        <v>4</v>
      </c>
      <c r="J3" s="8" t="s">
        <v>25</v>
      </c>
      <c r="K3" s="8" t="s">
        <v>0</v>
      </c>
      <c r="L3" s="8" t="s">
        <v>1</v>
      </c>
      <c r="M3" s="8" t="s">
        <v>5</v>
      </c>
      <c r="N3" s="8" t="s">
        <v>3</v>
      </c>
      <c r="O3" s="8" t="s">
        <v>4</v>
      </c>
      <c r="Q3" s="8" t="s">
        <v>6</v>
      </c>
      <c r="R3" s="8" t="s">
        <v>0</v>
      </c>
      <c r="S3" s="8" t="s">
        <v>1</v>
      </c>
      <c r="T3" s="8" t="s">
        <v>2</v>
      </c>
      <c r="U3" s="8" t="s">
        <v>3</v>
      </c>
      <c r="V3" s="8" t="s">
        <v>4</v>
      </c>
      <c r="Z3" s="8" t="s">
        <v>10</v>
      </c>
      <c r="AA3" s="8" t="s">
        <v>0</v>
      </c>
      <c r="AB3" s="8" t="s">
        <v>11</v>
      </c>
      <c r="AC3" s="8" t="s">
        <v>2</v>
      </c>
      <c r="AD3" s="8" t="s">
        <v>12</v>
      </c>
      <c r="AE3" s="8" t="s">
        <v>4</v>
      </c>
      <c r="AG3" s="8" t="s">
        <v>10</v>
      </c>
      <c r="AH3" s="8" t="s">
        <v>0</v>
      </c>
      <c r="AI3" s="8" t="s">
        <v>1</v>
      </c>
      <c r="AJ3" s="8" t="s">
        <v>13</v>
      </c>
      <c r="AK3" s="8" t="s">
        <v>14</v>
      </c>
      <c r="AL3" s="8" t="s">
        <v>4</v>
      </c>
      <c r="AN3" s="8" t="s">
        <v>15</v>
      </c>
      <c r="AO3" s="8" t="s">
        <v>0</v>
      </c>
      <c r="AP3" s="8" t="s">
        <v>1</v>
      </c>
      <c r="AQ3" s="8" t="s">
        <v>2</v>
      </c>
      <c r="AR3" s="8" t="s">
        <v>12</v>
      </c>
      <c r="AS3" s="8" t="s">
        <v>16</v>
      </c>
    </row>
    <row r="4" spans="2:45" x14ac:dyDescent="0.15">
      <c r="B4" s="8">
        <f>[1]节奏总纲!N4</f>
        <v>2</v>
      </c>
      <c r="C4" s="8">
        <v>1</v>
      </c>
      <c r="D4" s="8">
        <f>[1]节奏总纲!P4</f>
        <v>7.1773462536293131E-2</v>
      </c>
      <c r="E4" s="8">
        <f>[1]节奏总纲!Q4</f>
        <v>5.9787294292732177E-2</v>
      </c>
      <c r="F4" s="8">
        <f>[1]节奏总纲!R4</f>
        <v>4.677476553490223E-2</v>
      </c>
      <c r="G4" s="8">
        <f>[1]节奏总纲!S4</f>
        <v>3.2585151991477081E-2</v>
      </c>
      <c r="H4" s="8">
        <f>[1]节奏总纲!T4</f>
        <v>1.7039020006115988E-2</v>
      </c>
      <c r="J4" s="8">
        <v>1</v>
      </c>
      <c r="K4" s="8">
        <f>[1]节奏总纲!W4</f>
        <v>7.1773462536293131E-2</v>
      </c>
      <c r="L4" s="8">
        <f>[1]节奏总纲!X4</f>
        <v>5.9787294292732177E-2</v>
      </c>
      <c r="M4" s="8">
        <f>[1]节奏总纲!Y4</f>
        <v>4.677476553490223E-2</v>
      </c>
      <c r="N4" s="8">
        <f>[1]节奏总纲!Z4</f>
        <v>3.2585151991477081E-2</v>
      </c>
      <c r="O4" s="8">
        <f>[1]节奏总纲!AA4</f>
        <v>1.7039020006115988E-2</v>
      </c>
      <c r="Q4" s="8">
        <v>1</v>
      </c>
      <c r="R4" s="8">
        <f>[1]节奏总纲!AD4</f>
        <v>10</v>
      </c>
      <c r="S4" s="8">
        <f>[1]节奏总纲!AE4</f>
        <v>11.148446722089302</v>
      </c>
      <c r="T4" s="8">
        <f>[1]节奏总纲!AF4</f>
        <v>12.761737853656415</v>
      </c>
      <c r="U4" s="8">
        <f>[1]节奏总纲!AG4</f>
        <v>15.452231935206081</v>
      </c>
      <c r="V4" s="8">
        <f>[1]节奏总纲!AH4</f>
        <v>21.291911942729964</v>
      </c>
      <c r="Z4" s="8">
        <v>1</v>
      </c>
      <c r="AA4" s="8">
        <f>[1]节奏总纲!AM4</f>
        <v>7.4349177498517554E-3</v>
      </c>
      <c r="AB4" s="8">
        <f>[1]节奏总纲!AN4</f>
        <v>5.947934199881405E-3</v>
      </c>
      <c r="AC4" s="8">
        <f>[1]节奏总纲!AO4</f>
        <v>4.4609506499110529E-3</v>
      </c>
      <c r="AD4" s="8">
        <f>[1]节奏总纲!AP4</f>
        <v>2.9739670999407025E-3</v>
      </c>
      <c r="AE4" s="8">
        <f>[1]节奏总纲!AQ4</f>
        <v>1.4869835499703513E-3</v>
      </c>
      <c r="AG4" s="8">
        <v>1</v>
      </c>
      <c r="AH4" s="8">
        <f>[1]节奏总纲!AT4</f>
        <v>7.4349177498517554E-3</v>
      </c>
      <c r="AI4" s="8">
        <f>[1]节奏总纲!AU4</f>
        <v>5.947934199881405E-3</v>
      </c>
      <c r="AJ4" s="8">
        <f>[1]节奏总纲!AV4</f>
        <v>4.4609506499110529E-3</v>
      </c>
      <c r="AK4" s="8">
        <f>[1]节奏总纲!AW4</f>
        <v>2.9739670999407025E-3</v>
      </c>
      <c r="AL4" s="8">
        <f>[1]节奏总纲!AX4</f>
        <v>1.4869835499703513E-3</v>
      </c>
      <c r="AM4" s="8"/>
      <c r="AN4" s="8">
        <v>1</v>
      </c>
      <c r="AO4" s="8">
        <f>[1]节奏总纲!BA4</f>
        <v>11.296493250964016</v>
      </c>
      <c r="AP4" s="8">
        <f>[1]节奏总纲!BB4</f>
        <v>12.361596792946616</v>
      </c>
      <c r="AQ4" s="8">
        <f>[1]节奏总纲!BC4</f>
        <v>13.798091195443488</v>
      </c>
      <c r="AR4" s="8">
        <f>[1]节奏总纲!BD4</f>
        <v>15.911635365458322</v>
      </c>
      <c r="AS4" s="8">
        <f>[1]节奏总纲!BE4</f>
        <v>19.707330185578734</v>
      </c>
    </row>
    <row r="5" spans="2:45" x14ac:dyDescent="0.15">
      <c r="B5" s="8">
        <f>[1]节奏总纲!N5</f>
        <v>4</v>
      </c>
      <c r="C5" s="8">
        <v>2</v>
      </c>
      <c r="D5" s="8">
        <f>[1]节奏总纲!P5</f>
        <v>0.1486983549970351</v>
      </c>
      <c r="E5" s="8">
        <f>[1]节奏总纲!Q5</f>
        <v>0.12505531655250651</v>
      </c>
      <c r="F5" s="8">
        <f>[1]节奏总纲!R5</f>
        <v>9.883979656652922E-2</v>
      </c>
      <c r="G5" s="8">
        <f>[1]节奏总纲!S5</f>
        <v>6.9828747506607683E-2</v>
      </c>
      <c r="H5" s="8">
        <f>[1]节奏总纲!T5</f>
        <v>3.7085369736260552E-2</v>
      </c>
      <c r="J5" s="8">
        <v>2</v>
      </c>
      <c r="K5" s="8">
        <f>[1]节奏总纲!W5</f>
        <v>7.6924892460741967E-2</v>
      </c>
      <c r="L5" s="8">
        <f>[1]节奏总纲!X5</f>
        <v>6.5268022259774336E-2</v>
      </c>
      <c r="M5" s="8">
        <f>[1]节奏总纲!Y5</f>
        <v>5.206503103162699E-2</v>
      </c>
      <c r="N5" s="8">
        <f>[1]节奏总纲!Z5</f>
        <v>3.7243595515130602E-2</v>
      </c>
      <c r="O5" s="8">
        <f>[1]节奏总纲!AA5</f>
        <v>2.0046349730144564E-2</v>
      </c>
      <c r="Q5" s="8">
        <v>2</v>
      </c>
      <c r="R5" s="8">
        <f>[1]节奏总纲!AD5</f>
        <v>15.845161563010114</v>
      </c>
      <c r="S5" s="8">
        <f>[1]节奏总纲!AE5</f>
        <v>17.271997130667014</v>
      </c>
      <c r="T5" s="8">
        <f>[1]节奏总纲!AF5</f>
        <v>19.263096801323076</v>
      </c>
      <c r="U5" s="8">
        <f>[1]节奏总纲!AG5</f>
        <v>22.536681597650272</v>
      </c>
      <c r="V5" s="8">
        <f>[1]节奏总纲!AH5</f>
        <v>29.386000042029625</v>
      </c>
      <c r="Z5" s="8">
        <v>2</v>
      </c>
      <c r="AA5" s="8">
        <f>[1]节奏总纲!AM5</f>
        <v>2.3963093307967063E-2</v>
      </c>
      <c r="AB5" s="8">
        <f>[1]节奏总纲!AN5</f>
        <v>1.9170474646373652E-2</v>
      </c>
      <c r="AC5" s="8">
        <f>[1]节奏总纲!AO5</f>
        <v>1.4377855984780237E-2</v>
      </c>
      <c r="AD5" s="8">
        <f>[1]节奏总纲!AP5</f>
        <v>9.5852373231868262E-3</v>
      </c>
      <c r="AE5" s="8">
        <f>[1]节奏总纲!AQ5</f>
        <v>4.7926186615934131E-3</v>
      </c>
      <c r="AG5" s="8">
        <v>2</v>
      </c>
      <c r="AH5" s="8">
        <f>[1]节奏总纲!AT5</f>
        <v>1.6528175558115307E-2</v>
      </c>
      <c r="AI5" s="8">
        <f>[1]节奏总纲!AU5</f>
        <v>1.3222540446492247E-2</v>
      </c>
      <c r="AJ5" s="8">
        <f>[1]节奏总纲!AV5</f>
        <v>9.9169053348691846E-3</v>
      </c>
      <c r="AK5" s="8">
        <f>[1]节奏总纲!AW5</f>
        <v>6.6112702232461237E-3</v>
      </c>
      <c r="AL5" s="8">
        <f>[1]节奏总纲!AX5</f>
        <v>3.3056351116230618E-3</v>
      </c>
      <c r="AM5" s="8"/>
      <c r="AN5" s="8">
        <v>2</v>
      </c>
      <c r="AO5" s="8">
        <f>[1]节奏总纲!BA5</f>
        <v>14.729965238833779</v>
      </c>
      <c r="AP5" s="8">
        <f>[1]节奏总纲!BB5</f>
        <v>15.911635365458322</v>
      </c>
      <c r="AQ5" s="8">
        <f>[1]节奏总纲!BC5</f>
        <v>17.448850811924295</v>
      </c>
      <c r="AR5" s="8">
        <f>[1]节奏总纲!BD5</f>
        <v>19.707330185578734</v>
      </c>
      <c r="AS5" s="8">
        <f>[1]节奏总纲!BE5</f>
        <v>23.710496742673982</v>
      </c>
    </row>
    <row r="6" spans="2:45" x14ac:dyDescent="0.15">
      <c r="B6" s="8">
        <f>[1]节奏总纲!N6</f>
        <v>6</v>
      </c>
      <c r="C6" s="8">
        <v>3</v>
      </c>
      <c r="D6" s="8">
        <f>[1]节奏总纲!P6</f>
        <v>0.23114441334491631</v>
      </c>
      <c r="E6" s="8">
        <f>[1]节奏总纲!Q6</f>
        <v>0.19582554698581309</v>
      </c>
      <c r="F6" s="8">
        <f>[1]节奏总纲!R6</f>
        <v>0.15616116565582547</v>
      </c>
      <c r="G6" s="8">
        <f>[1]节奏总纲!S6</f>
        <v>0.11120357726023924</v>
      </c>
      <c r="H6" s="8">
        <f>[1]节奏总纲!T6</f>
        <v>5.9380999788309005E-2</v>
      </c>
      <c r="J6" s="8">
        <v>3</v>
      </c>
      <c r="K6" s="8">
        <f>[1]节奏总纲!W6</f>
        <v>8.2446058347881213E-2</v>
      </c>
      <c r="L6" s="8">
        <f>[1]节奏总纲!X6</f>
        <v>7.0770230433306575E-2</v>
      </c>
      <c r="M6" s="8">
        <f>[1]节奏总纲!Y6</f>
        <v>5.7321369089296248E-2</v>
      </c>
      <c r="N6" s="8">
        <f>[1]节奏总纲!Z6</f>
        <v>4.1374829753631562E-2</v>
      </c>
      <c r="O6" s="8">
        <f>[1]节奏总纲!AA6</f>
        <v>2.2295630052048453E-2</v>
      </c>
      <c r="Q6" s="8">
        <v>3</v>
      </c>
      <c r="R6" s="8">
        <f>[1]节奏总纲!AD6</f>
        <v>20</v>
      </c>
      <c r="S6" s="8">
        <f>[1]节奏总纲!AE6</f>
        <v>21.543844702365945</v>
      </c>
      <c r="T6" s="8">
        <f>[1]节奏总纲!AF6</f>
        <v>23.734615677065324</v>
      </c>
      <c r="U6" s="8">
        <f>[1]节奏总纲!AG6</f>
        <v>27.324610510337703</v>
      </c>
      <c r="V6" s="8">
        <f>[1]节奏总纲!AH6</f>
        <v>34.517938607173015</v>
      </c>
      <c r="Z6" s="8">
        <v>3</v>
      </c>
      <c r="AA6" s="8">
        <f>[1]节奏总纲!AM6</f>
        <v>5.1571656651039799E-2</v>
      </c>
      <c r="AB6" s="8">
        <f>[1]节奏总纲!AN6</f>
        <v>4.1257325320831845E-2</v>
      </c>
      <c r="AC6" s="8">
        <f>[1]节奏总纲!AO6</f>
        <v>3.0942993990623877E-2</v>
      </c>
      <c r="AD6" s="8">
        <f>[1]节奏总纲!AP6</f>
        <v>2.0628662660415922E-2</v>
      </c>
      <c r="AE6" s="8">
        <f>[1]节奏总纲!AQ6</f>
        <v>1.0314331330207961E-2</v>
      </c>
      <c r="AG6" s="8">
        <v>3</v>
      </c>
      <c r="AH6" s="8">
        <f>[1]节奏总纲!AT6</f>
        <v>2.7608563343072736E-2</v>
      </c>
      <c r="AI6" s="8">
        <f>[1]节奏总纲!AU6</f>
        <v>2.2086850674458192E-2</v>
      </c>
      <c r="AJ6" s="8">
        <f>[1]节奏总纲!AV6</f>
        <v>1.6565138005843638E-2</v>
      </c>
      <c r="AK6" s="8">
        <f>[1]节奏总纲!AW6</f>
        <v>1.1043425337229096E-2</v>
      </c>
      <c r="AL6" s="8">
        <f>[1]节奏总纲!AX6</f>
        <v>5.5217126686145481E-3</v>
      </c>
      <c r="AM6" s="8"/>
      <c r="AN6" s="8">
        <v>3</v>
      </c>
      <c r="AO6" s="8">
        <f>[1]节奏总纲!BA6</f>
        <v>16.888397947066121</v>
      </c>
      <c r="AP6" s="8">
        <f>[1]节奏总纲!BB6</f>
        <v>18.108391417375849</v>
      </c>
      <c r="AQ6" s="8">
        <f>[1]节奏总纲!BC6</f>
        <v>19.707330185578734</v>
      </c>
      <c r="AR6" s="8">
        <f>[1]节奏总纲!BD6</f>
        <v>22.041972908628715</v>
      </c>
      <c r="AS6" s="8">
        <f>[1]节奏总纲!BE6</f>
        <v>26.127796402772656</v>
      </c>
    </row>
    <row r="7" spans="2:45" x14ac:dyDescent="0.15">
      <c r="B7" s="8">
        <f>[1]节奏总纲!N7</f>
        <v>8</v>
      </c>
      <c r="C7" s="8">
        <v>4</v>
      </c>
      <c r="D7" s="8">
        <f>[1]节奏总纲!P7</f>
        <v>0.3195079107728942</v>
      </c>
      <c r="E7" s="8">
        <f>[1]节奏总纲!Q7</f>
        <v>0.2719651336498875</v>
      </c>
      <c r="F7" s="8">
        <f>[1]节奏总纲!R7</f>
        <v>0.21816000147573214</v>
      </c>
      <c r="G7" s="8">
        <f>[1]节奏总纲!S7</f>
        <v>0.15607961441255883</v>
      </c>
      <c r="H7" s="8">
        <f>[1]节奏总纲!T7</f>
        <v>8.4062531324348461E-2</v>
      </c>
      <c r="J7" s="8">
        <v>4</v>
      </c>
      <c r="K7" s="8">
        <f>[1]节奏总纲!W7</f>
        <v>8.8363497427977888E-2</v>
      </c>
      <c r="L7" s="8">
        <f>[1]节奏总纲!X7</f>
        <v>7.6139586664074416E-2</v>
      </c>
      <c r="M7" s="8">
        <f>[1]节奏总纲!Y7</f>
        <v>6.1998835819906672E-2</v>
      </c>
      <c r="N7" s="8">
        <f>[1]节奏总纲!Z7</f>
        <v>4.4876037152319581E-2</v>
      </c>
      <c r="O7" s="8">
        <f>[1]节奏总纲!AA7</f>
        <v>2.4681531536039455E-2</v>
      </c>
      <c r="Q7" s="8">
        <v>4</v>
      </c>
      <c r="R7" s="8">
        <f>[1]节奏总纲!AD7</f>
        <v>23.213386604241784</v>
      </c>
      <c r="S7" s="8">
        <f>[1]节奏总纲!AE7</f>
        <v>24.836966034810484</v>
      </c>
      <c r="T7" s="8">
        <f>[1]节奏总纲!AF7</f>
        <v>27.155717181399513</v>
      </c>
      <c r="U7" s="8">
        <f>[1]节奏总纲!AG7</f>
        <v>30.831257561377125</v>
      </c>
      <c r="V7" s="8">
        <f>[1]节奏总纲!AH7</f>
        <v>38.431365705145346</v>
      </c>
      <c r="Z7" s="8">
        <v>4</v>
      </c>
      <c r="AA7" s="8">
        <f>[1]节奏总纲!AM7</f>
        <v>9.2637640824031031E-2</v>
      </c>
      <c r="AB7" s="8">
        <f>[1]节奏总纲!AN7</f>
        <v>7.4110112659224833E-2</v>
      </c>
      <c r="AC7" s="8">
        <f>[1]节奏总纲!AO7</f>
        <v>5.5582584494418615E-2</v>
      </c>
      <c r="AD7" s="8">
        <f>[1]节奏总纲!AP7</f>
        <v>3.7055056329612417E-2</v>
      </c>
      <c r="AE7" s="8">
        <f>[1]节奏总纲!AQ7</f>
        <v>1.8527528164806208E-2</v>
      </c>
      <c r="AG7" s="8">
        <v>4</v>
      </c>
      <c r="AH7" s="8">
        <f>[1]节奏总纲!AT7</f>
        <v>4.1065984172991232E-2</v>
      </c>
      <c r="AI7" s="8">
        <f>[1]节奏总纲!AU7</f>
        <v>3.2852787338392989E-2</v>
      </c>
      <c r="AJ7" s="8">
        <f>[1]节奏总纲!AV7</f>
        <v>2.4639590503794738E-2</v>
      </c>
      <c r="AK7" s="8">
        <f>[1]节奏总纲!AW7</f>
        <v>1.6426393669196494E-2</v>
      </c>
      <c r="AL7" s="8">
        <f>[1]节奏总纲!AX7</f>
        <v>8.2131968345982471E-3</v>
      </c>
      <c r="AM7" s="8"/>
      <c r="AN7" s="8">
        <v>4</v>
      </c>
      <c r="AO7" s="8">
        <f>[1]节奏总纲!BA7</f>
        <v>18.453550676044042</v>
      </c>
      <c r="AP7" s="8">
        <f>[1]节奏总纲!BB7</f>
        <v>19.707330185578734</v>
      </c>
      <c r="AQ7" s="8">
        <f>[1]节奏总纲!BC7</f>
        <v>21.34613466141565</v>
      </c>
      <c r="AR7" s="8">
        <f>[1]节奏总纲!BD7</f>
        <v>23.710496742673982</v>
      </c>
      <c r="AS7" s="8">
        <f>[1]节奏总纲!BE7</f>
        <v>27.863030247590562</v>
      </c>
    </row>
    <row r="8" spans="2:45" x14ac:dyDescent="0.15">
      <c r="B8" s="8">
        <f>[1]节奏总纲!N8</f>
        <v>10</v>
      </c>
      <c r="C8" s="8">
        <v>5</v>
      </c>
      <c r="D8" s="8">
        <f>[1]节奏总纲!P8</f>
        <v>0.41421356237309515</v>
      </c>
      <c r="E8" s="8">
        <f>[1]节奏总纲!Q8</f>
        <v>0.35241289886702937</v>
      </c>
      <c r="F8" s="8">
        <f>[1]节奏总纲!R8</f>
        <v>0.28315639123824782</v>
      </c>
      <c r="G8" s="8">
        <f>[1]节奏总纲!S8</f>
        <v>0.20296464556281663</v>
      </c>
      <c r="H8" s="8">
        <f>[1]节奏总纲!T8</f>
        <v>0.10951806589144637</v>
      </c>
      <c r="J8" s="8">
        <v>5</v>
      </c>
      <c r="K8" s="8">
        <f>[1]节奏总纲!W8</f>
        <v>9.4705651600200946E-2</v>
      </c>
      <c r="L8" s="8">
        <f>[1]节奏总纲!X8</f>
        <v>8.0447765217141864E-2</v>
      </c>
      <c r="M8" s="8">
        <f>[1]节奏总纲!Y8</f>
        <v>6.4996389762515677E-2</v>
      </c>
      <c r="N8" s="8">
        <f>[1]节奏总纲!Z8</f>
        <v>4.68850311502578E-2</v>
      </c>
      <c r="O8" s="8">
        <f>[1]节奏总纲!AA8</f>
        <v>2.5455534567097912E-2</v>
      </c>
      <c r="Q8" s="8">
        <v>5</v>
      </c>
      <c r="R8" s="8">
        <f>[1]节奏总纲!AD8</f>
        <v>25.845161563010112</v>
      </c>
      <c r="S8" s="8">
        <f>[1]节奏总纲!AE8</f>
        <v>27.525245270311611</v>
      </c>
      <c r="T8" s="8">
        <f>[1]节奏总纲!AF8</f>
        <v>29.892344464157688</v>
      </c>
      <c r="U8" s="8">
        <f>[1]节奏总纲!AG8</f>
        <v>33.672145166817529</v>
      </c>
      <c r="V8" s="8">
        <f>[1]节奏总纲!AH8</f>
        <v>41.359260538726978</v>
      </c>
      <c r="Z8" s="8">
        <v>5</v>
      </c>
      <c r="AA8" s="8">
        <f>[1]节奏总纲!AM8</f>
        <v>0.15</v>
      </c>
      <c r="AB8" s="8">
        <f>[1]节奏总纲!AN8</f>
        <v>0.12</v>
      </c>
      <c r="AC8" s="8">
        <f>[1]节奏总纲!AO8</f>
        <v>0.09</v>
      </c>
      <c r="AD8" s="8">
        <f>[1]节奏总纲!AP8</f>
        <v>0.06</v>
      </c>
      <c r="AE8" s="8">
        <f>[1]节奏总纲!AQ8</f>
        <v>0.03</v>
      </c>
      <c r="AG8" s="8">
        <v>5</v>
      </c>
      <c r="AH8" s="8">
        <f>[1]节奏总纲!AT8</f>
        <v>5.7362359175968963E-2</v>
      </c>
      <c r="AI8" s="8">
        <f>[1]节奏总纲!AU8</f>
        <v>4.5889887340775162E-2</v>
      </c>
      <c r="AJ8" s="8">
        <f>[1]节奏总纲!AV8</f>
        <v>3.4417415505581382E-2</v>
      </c>
      <c r="AK8" s="8">
        <f>[1]节奏总纲!AW8</f>
        <v>2.2944943670387581E-2</v>
      </c>
      <c r="AL8" s="8">
        <f>[1]节奏总纲!AX8</f>
        <v>1.1472471835193791E-2</v>
      </c>
      <c r="AM8" s="8"/>
      <c r="AN8" s="8">
        <v>5</v>
      </c>
      <c r="AO8" s="8">
        <f>[1]节奏总纲!BA8</f>
        <v>19.707330185578734</v>
      </c>
      <c r="AP8" s="8">
        <f>[1]节奏总纲!BB8</f>
        <v>20.993539484876777</v>
      </c>
      <c r="AQ8" s="8">
        <f>[1]节奏总纲!BC8</f>
        <v>22.639743033177162</v>
      </c>
      <c r="AR8" s="8">
        <f>[1]节奏总纲!BD8</f>
        <v>25.044229735272328</v>
      </c>
      <c r="AS8" s="8">
        <f>[1]节奏总纲!BE8</f>
        <v>29.216428548527322</v>
      </c>
    </row>
    <row r="9" spans="2:45" x14ac:dyDescent="0.15">
      <c r="B9" s="8">
        <f>[1]节奏总纲!N9</f>
        <v>12</v>
      </c>
      <c r="C9" s="8">
        <v>6</v>
      </c>
      <c r="D9" s="8">
        <f>[1]节奏总纲!P9</f>
        <v>0.51571656651039799</v>
      </c>
      <c r="E9" s="8">
        <f>[1]节奏总纲!Q9</f>
        <v>0.43939051466685908</v>
      </c>
      <c r="F9" s="8">
        <f>[1]节奏总纲!R9</f>
        <v>0.35336899137292471</v>
      </c>
      <c r="G9" s="8">
        <f>[1]节奏总纲!S9</f>
        <v>0.25440298225957936</v>
      </c>
      <c r="H9" s="8">
        <f>[1]节奏总纲!T9</f>
        <v>0.13836675479473978</v>
      </c>
      <c r="J9" s="8">
        <v>6</v>
      </c>
      <c r="K9" s="8">
        <f>[1]节奏总纲!W9</f>
        <v>0.10150300413730284</v>
      </c>
      <c r="L9" s="8">
        <f>[1]节奏总纲!X9</f>
        <v>8.6977615799829711E-2</v>
      </c>
      <c r="M9" s="8">
        <f>[1]节奏总纲!Y9</f>
        <v>7.0212600134676895E-2</v>
      </c>
      <c r="N9" s="8">
        <f>[1]节奏总纲!Z9</f>
        <v>5.1438336696762732E-2</v>
      </c>
      <c r="O9" s="8">
        <f>[1]节奏总纲!AA9</f>
        <v>2.884868890329341E-2</v>
      </c>
      <c r="Q9" s="8">
        <v>6</v>
      </c>
      <c r="R9" s="8">
        <f>[1]节奏总纲!AD9</f>
        <v>28.071211008105138</v>
      </c>
      <c r="S9" s="8">
        <f>[1]节奏总纲!AE9</f>
        <v>29.78183527117605</v>
      </c>
      <c r="T9" s="8">
        <f>[1]节奏总纲!AF9</f>
        <v>32.202183458664891</v>
      </c>
      <c r="U9" s="8">
        <f>[1]节奏总纲!AG9</f>
        <v>36.067019846099676</v>
      </c>
      <c r="V9" s="8">
        <f>[1]节奏总纲!AH9</f>
        <v>43.870275262019007</v>
      </c>
      <c r="Z9" s="8">
        <v>6</v>
      </c>
      <c r="AA9" s="8">
        <f>[1]节奏总纲!AM9</f>
        <v>0.22055744069899194</v>
      </c>
      <c r="AB9" s="8">
        <f>[1]节奏总纲!AN9</f>
        <v>0.17644595255919357</v>
      </c>
      <c r="AC9" s="8">
        <f>[1]节奏总纲!AO9</f>
        <v>0.13233446441939517</v>
      </c>
      <c r="AD9" s="8">
        <f>[1]节奏总纲!AP9</f>
        <v>8.8222976279596785E-2</v>
      </c>
      <c r="AE9" s="8">
        <f>[1]节奏总纲!AQ9</f>
        <v>4.4111488139798392E-2</v>
      </c>
      <c r="AG9" s="8">
        <v>6</v>
      </c>
      <c r="AH9" s="8">
        <f>[1]节奏总纲!AT9</f>
        <v>7.0557440698991947E-2</v>
      </c>
      <c r="AI9" s="8">
        <f>[1]节奏总纲!AU9</f>
        <v>5.6445952559193574E-2</v>
      </c>
      <c r="AJ9" s="8">
        <f>[1]节奏总纲!AV9</f>
        <v>4.2334464419395174E-2</v>
      </c>
      <c r="AK9" s="8">
        <f>[1]节奏总纲!AW9</f>
        <v>2.8222976279596787E-2</v>
      </c>
      <c r="AL9" s="8">
        <f>[1]节奏总纲!AX9</f>
        <v>1.4111488139798394E-2</v>
      </c>
      <c r="AM9" s="8"/>
      <c r="AN9" s="8">
        <v>6</v>
      </c>
      <c r="AO9" s="8">
        <f>[1]节奏总纲!BA9</f>
        <v>20.745154613657583</v>
      </c>
      <c r="AP9" s="8">
        <f>[1]节奏总纲!BB9</f>
        <v>22.041972908628715</v>
      </c>
      <c r="AQ9" s="8">
        <f>[1]节奏总纲!BC9</f>
        <v>23.710496742673982</v>
      </c>
      <c r="AR9" s="8">
        <f>[1]节奏总纲!BD9</f>
        <v>26.127796402772656</v>
      </c>
      <c r="AS9" s="8">
        <f>[1]节奏总纲!BE9</f>
        <v>30.329493925593439</v>
      </c>
    </row>
    <row r="10" spans="2:45" x14ac:dyDescent="0.15">
      <c r="B10" s="8">
        <f>[1]节奏总纲!N10</f>
        <v>14</v>
      </c>
      <c r="C10" s="8">
        <v>7</v>
      </c>
      <c r="D10" s="8">
        <f>[1]节奏总纲!P10</f>
        <v>0.62450479271247095</v>
      </c>
      <c r="E10" s="8">
        <f>[1]节奏总纲!Q10</f>
        <v>0.53413894920697635</v>
      </c>
      <c r="F10" s="8">
        <f>[1]节奏总纲!R10</f>
        <v>0.43072095553379119</v>
      </c>
      <c r="G10" s="8">
        <f>[1]节奏总纲!S10</f>
        <v>0.30950457526830061</v>
      </c>
      <c r="H10" s="8">
        <f>[1]节奏总纲!T10</f>
        <v>0.16699258157131475</v>
      </c>
      <c r="J10" s="8">
        <v>7</v>
      </c>
      <c r="K10" s="8">
        <f>[1]节奏总纲!W10</f>
        <v>0.10878822620207296</v>
      </c>
      <c r="L10" s="8">
        <f>[1]节奏总纲!X10</f>
        <v>9.4748434540117277E-2</v>
      </c>
      <c r="M10" s="8">
        <f>[1]节奏总纲!Y10</f>
        <v>7.7351964160866482E-2</v>
      </c>
      <c r="N10" s="8">
        <f>[1]节奏总纲!Z10</f>
        <v>5.510159300872125E-2</v>
      </c>
      <c r="O10" s="8">
        <f>[1]节奏总纲!AA10</f>
        <v>2.8625826776574964E-2</v>
      </c>
      <c r="Q10" s="8">
        <v>7</v>
      </c>
      <c r="R10" s="8">
        <f>[1]节奏总纲!AD10</f>
        <v>30</v>
      </c>
      <c r="S10" s="8">
        <f>[1]节奏总纲!AE10</f>
        <v>31.718819483847451</v>
      </c>
      <c r="T10" s="8">
        <f>[1]节奏总纲!AF10</f>
        <v>34.192155176139416</v>
      </c>
      <c r="U10" s="8">
        <f>[1]节奏总纲!AG10</f>
        <v>38.19822972207853</v>
      </c>
      <c r="V10" s="8">
        <f>[1]节奏总纲!AH10</f>
        <v>46.093186357957826</v>
      </c>
      <c r="Z10" s="8">
        <v>7</v>
      </c>
      <c r="AA10" s="8">
        <f>[1]节奏总纲!AM10</f>
        <v>0.31141300609369982</v>
      </c>
      <c r="AB10" s="8">
        <f>[1]节奏总纲!AN10</f>
        <v>0.24913040487495985</v>
      </c>
      <c r="AC10" s="8">
        <f>[1]节奏总纲!AO10</f>
        <v>0.18684780365621989</v>
      </c>
      <c r="AD10" s="8">
        <f>[1]节奏总纲!AP10</f>
        <v>0.12456520243747993</v>
      </c>
      <c r="AE10" s="8">
        <f>[1]节奏总纲!AQ10</f>
        <v>6.2282601218739964E-2</v>
      </c>
      <c r="AG10" s="8">
        <v>7</v>
      </c>
      <c r="AH10" s="8">
        <f>[1]节奏总纲!AT10</f>
        <v>9.0855565394707877E-2</v>
      </c>
      <c r="AI10" s="8">
        <f>[1]节奏总纲!AU10</f>
        <v>7.2684452315766285E-2</v>
      </c>
      <c r="AJ10" s="8">
        <f>[1]节奏总纲!AV10</f>
        <v>5.451333923682472E-2</v>
      </c>
      <c r="AK10" s="8">
        <f>[1]节奏总纲!AW10</f>
        <v>3.6342226157883142E-2</v>
      </c>
      <c r="AL10" s="8">
        <f>[1]节奏总纲!AX10</f>
        <v>1.8171113078941571E-2</v>
      </c>
      <c r="AM10" s="8"/>
      <c r="AN10" s="8">
        <v>7</v>
      </c>
      <c r="AO10" s="8">
        <f>[1]节奏总纲!BA10</f>
        <v>21.627432338833255</v>
      </c>
      <c r="AP10" s="8">
        <f>[1]节奏总纲!BB10</f>
        <v>22.938628095451385</v>
      </c>
      <c r="AQ10" s="8">
        <f>[1]节奏总纲!BC10</f>
        <v>24.619152272059132</v>
      </c>
      <c r="AR10" s="8">
        <f>[1]节奏总纲!BD10</f>
        <v>27.059707353051884</v>
      </c>
      <c r="AS10" s="8">
        <f>[1]节奏总纲!BE10</f>
        <v>31.280110398778046</v>
      </c>
    </row>
    <row r="11" spans="2:45" x14ac:dyDescent="0.15">
      <c r="B11" s="8">
        <f>[1]节奏总纲!N11</f>
        <v>16</v>
      </c>
      <c r="C11" s="8">
        <v>8</v>
      </c>
      <c r="D11" s="8">
        <f>[1]节奏总纲!P11</f>
        <v>0.74110112659224825</v>
      </c>
      <c r="E11" s="8">
        <f>[1]节奏总纲!Q11</f>
        <v>0.63089938906798093</v>
      </c>
      <c r="F11" s="8">
        <f>[1]节奏总纲!R11</f>
        <v>0.50550507844857251</v>
      </c>
      <c r="G11" s="8">
        <f>[1]节奏总纲!S11</f>
        <v>0.36195379022765406</v>
      </c>
      <c r="H11" s="8">
        <f>[1]节奏总纲!T11</f>
        <v>0.19579891764567198</v>
      </c>
      <c r="J11" s="8">
        <v>8</v>
      </c>
      <c r="K11" s="8">
        <f>[1]节奏总纲!W11</f>
        <v>0.1165963338797773</v>
      </c>
      <c r="L11" s="8">
        <f>[1]节奏总纲!X11</f>
        <v>9.6760439861004577E-2</v>
      </c>
      <c r="M11" s="8">
        <f>[1]节奏总纲!Y11</f>
        <v>7.4784122914781315E-2</v>
      </c>
      <c r="N11" s="8">
        <f>[1]节奏总纲!Z11</f>
        <v>5.2449214959353452E-2</v>
      </c>
      <c r="O11" s="8">
        <f>[1]节奏总纲!AA11</f>
        <v>2.8806336074357231E-2</v>
      </c>
      <c r="Q11" s="8">
        <v>8</v>
      </c>
      <c r="R11" s="8">
        <f>[1]节奏总纲!AD11</f>
        <v>31.691928656135214</v>
      </c>
      <c r="S11" s="8">
        <f>[1]节奏总纲!AE11</f>
        <v>33.465251056098396</v>
      </c>
      <c r="T11" s="8">
        <f>[1]节奏总纲!AF11</f>
        <v>35.930751746472978</v>
      </c>
      <c r="U11" s="8">
        <f>[1]节奏总纲!AG11</f>
        <v>39.998279638578282</v>
      </c>
      <c r="V11" s="8">
        <f>[1]节奏总纲!AH11</f>
        <v>48.067140183443534</v>
      </c>
      <c r="Z11" s="8">
        <v>8</v>
      </c>
      <c r="AA11" s="8">
        <f>[1]节奏总纲!AM11</f>
        <v>0.42660095793436714</v>
      </c>
      <c r="AB11" s="8">
        <f>[1]节奏总纲!AN11</f>
        <v>0.34128076634749371</v>
      </c>
      <c r="AC11" s="8">
        <f>[1]节奏总纲!AO11</f>
        <v>0.25596057476062029</v>
      </c>
      <c r="AD11" s="8">
        <f>[1]节奏总纲!AP11</f>
        <v>0.17064038317374686</v>
      </c>
      <c r="AE11" s="8">
        <f>[1]节奏总纲!AQ11</f>
        <v>8.5320191586873428E-2</v>
      </c>
      <c r="AG11" s="8">
        <v>8</v>
      </c>
      <c r="AH11" s="8">
        <f>[1]节奏总纲!AT11</f>
        <v>0.11518795184066732</v>
      </c>
      <c r="AI11" s="8">
        <f>[1]节奏总纲!AU11</f>
        <v>9.2150361472533859E-2</v>
      </c>
      <c r="AJ11" s="8">
        <f>[1]节奏总纲!AV11</f>
        <v>6.9112771104400395E-2</v>
      </c>
      <c r="AK11" s="8">
        <f>[1]节奏总纲!AW11</f>
        <v>4.607518073626693E-2</v>
      </c>
      <c r="AL11" s="8">
        <f>[1]节奏总纲!AX11</f>
        <v>2.3037590368133465E-2</v>
      </c>
      <c r="AM11" s="8"/>
      <c r="AN11" s="8">
        <v>8</v>
      </c>
      <c r="AO11" s="8">
        <f>[1]节奏总纲!BA11</f>
        <v>22.400634983357783</v>
      </c>
      <c r="AP11" s="8">
        <f>[1]节奏总纲!BB11</f>
        <v>23.710496742673982</v>
      </c>
      <c r="AQ11" s="8">
        <f>[1]节奏总纲!BC11</f>
        <v>25.412810862541733</v>
      </c>
      <c r="AR11" s="8">
        <f>[1]节奏总纲!BD11</f>
        <v>27.863030247590562</v>
      </c>
      <c r="AS11" s="8">
        <f>[1]节奏总纲!BE11</f>
        <v>32.113552950216736</v>
      </c>
    </row>
    <row r="12" spans="2:45" x14ac:dyDescent="0.15">
      <c r="B12" s="8">
        <f>[1]节奏总纲!N12</f>
        <v>18</v>
      </c>
      <c r="C12" s="8">
        <v>9</v>
      </c>
      <c r="D12" s="8">
        <f>[1]节奏总纲!P12</f>
        <v>0.86606598307361482</v>
      </c>
      <c r="E12" s="8">
        <f>[1]节奏总纲!Q12</f>
        <v>0.73702215159564621</v>
      </c>
      <c r="F12" s="8">
        <f>[1]节奏总纲!R12</f>
        <v>0.59282216541388932</v>
      </c>
      <c r="G12" s="8">
        <f>[1]节奏总纲!S12</f>
        <v>0.42766338244175101</v>
      </c>
      <c r="H12" s="8">
        <f>[1]节奏总纲!T12</f>
        <v>0.23193247026711403</v>
      </c>
      <c r="J12" s="8">
        <v>9</v>
      </c>
      <c r="K12" s="8">
        <f>[1]节奏总纲!W12</f>
        <v>0.12496485648136657</v>
      </c>
      <c r="L12" s="8">
        <f>[1]节奏总纲!X12</f>
        <v>0.10612276252766528</v>
      </c>
      <c r="M12" s="8">
        <f>[1]节奏总纲!Y12</f>
        <v>8.7317086965316815E-2</v>
      </c>
      <c r="N12" s="8">
        <f>[1]节奏总纲!Z12</f>
        <v>6.5709592214096946E-2</v>
      </c>
      <c r="O12" s="8">
        <f>[1]节奏总纲!AA12</f>
        <v>3.613355262144205E-2</v>
      </c>
      <c r="Q12" s="8">
        <v>9</v>
      </c>
      <c r="R12" s="8">
        <f>[1]节奏总纲!AD12</f>
        <v>33.213386604241784</v>
      </c>
      <c r="S12" s="8">
        <f>[1]节奏总纲!AE12</f>
        <v>34.992730785174565</v>
      </c>
      <c r="T12" s="8">
        <f>[1]节奏总纲!AF12</f>
        <v>37.510565846691456</v>
      </c>
      <c r="U12" s="8">
        <f>[1]节奏总纲!AG12</f>
        <v>41.534743419557365</v>
      </c>
      <c r="V12" s="8">
        <f>[1]节奏总纲!AH12</f>
        <v>49.706056771838036</v>
      </c>
      <c r="Z12" s="8">
        <v>9</v>
      </c>
      <c r="AA12" s="8">
        <f>[1]节奏总纲!AM12</f>
        <v>0.57090651823243421</v>
      </c>
      <c r="AB12" s="8">
        <f>[1]节奏总纲!AN12</f>
        <v>0.45672521458594739</v>
      </c>
      <c r="AC12" s="8">
        <f>[1]节奏总纲!AO12</f>
        <v>0.34254391093946052</v>
      </c>
      <c r="AD12" s="8">
        <f>[1]节奏总纲!AP12</f>
        <v>0.2283626072929737</v>
      </c>
      <c r="AE12" s="8">
        <f>[1]节奏总纲!AQ12</f>
        <v>0.11418130364648685</v>
      </c>
      <c r="AG12" s="8">
        <v>9</v>
      </c>
      <c r="AH12" s="8">
        <f>[1]节奏总纲!AT12</f>
        <v>0.14430556029806707</v>
      </c>
      <c r="AI12" s="8">
        <f>[1]节奏总纲!AU12</f>
        <v>0.11544444823845368</v>
      </c>
      <c r="AJ12" s="8">
        <f>[1]节奏总纲!AV12</f>
        <v>8.6583336178840231E-2</v>
      </c>
      <c r="AK12" s="8">
        <f>[1]节奏总纲!AW12</f>
        <v>5.7722224119226839E-2</v>
      </c>
      <c r="AL12" s="8">
        <f>[1]节奏总纲!AX12</f>
        <v>2.886111205961342E-2</v>
      </c>
      <c r="AM12" s="8"/>
      <c r="AN12" s="8">
        <v>9</v>
      </c>
      <c r="AO12" s="8">
        <f>[1]节奏总纲!BA12</f>
        <v>23.100336713798686</v>
      </c>
      <c r="AP12" s="8">
        <f>[1]节奏总纲!BB12</f>
        <v>24.402761517547276</v>
      </c>
      <c r="AQ12" s="8">
        <f>[1]节奏总纲!BC12</f>
        <v>26.127796402772656</v>
      </c>
      <c r="AR12" s="8">
        <f>[1]节奏总纲!BD12</f>
        <v>28.568390277483555</v>
      </c>
      <c r="AS12" s="8">
        <f>[1]节奏总纲!BE12</f>
        <v>32.842201900114915</v>
      </c>
    </row>
    <row r="13" spans="2:45" x14ac:dyDescent="0.15">
      <c r="B13" s="8">
        <f>[1]节奏总纲!N13</f>
        <v>20</v>
      </c>
      <c r="C13" s="8">
        <v>10</v>
      </c>
      <c r="D13" s="8">
        <f>[1]节奏总纲!P13</f>
        <v>1</v>
      </c>
      <c r="E13" s="8">
        <f>[1]节奏总纲!Q13</f>
        <v>0.8548</v>
      </c>
      <c r="F13" s="8">
        <f>[1]节奏总纲!R13</f>
        <v>0.6895</v>
      </c>
      <c r="G13" s="8">
        <f>[1]节奏总纲!S13</f>
        <v>0.49980000000000002</v>
      </c>
      <c r="H13" s="8">
        <f>[1]节奏总纲!T13</f>
        <v>0.2732</v>
      </c>
      <c r="J13" s="8">
        <v>10</v>
      </c>
      <c r="K13" s="8">
        <f>[1]节奏总纲!W13</f>
        <v>0.13393401692638518</v>
      </c>
      <c r="L13" s="8">
        <f>[1]节奏总纲!X13</f>
        <v>0.11777784840435379</v>
      </c>
      <c r="M13" s="8">
        <f>[1]节奏总纲!Y13</f>
        <v>9.6677834586110678E-2</v>
      </c>
      <c r="N13" s="8">
        <f>[1]节奏总纲!Z13</f>
        <v>7.2136617558249017E-2</v>
      </c>
      <c r="O13" s="8">
        <f>[1]节奏总纲!AA13</f>
        <v>4.1267529732885971E-2</v>
      </c>
      <c r="Q13" s="8">
        <v>10</v>
      </c>
      <c r="R13" s="8">
        <f>[1]节奏总纲!AD13</f>
        <v>34.585942742481357</v>
      </c>
      <c r="S13" s="8">
        <f>[1]节奏总纲!AE13</f>
        <v>36.36169634498642</v>
      </c>
      <c r="T13" s="8">
        <f>[1]节奏总纲!AF13</f>
        <v>38.977035507933373</v>
      </c>
      <c r="U13" s="8">
        <f>[1]节奏总纲!AG13</f>
        <v>42.970748198558951</v>
      </c>
      <c r="V13" s="8">
        <f>[1]节奏总纲!AH13</f>
        <v>51.212821897464167</v>
      </c>
      <c r="Z13" s="8">
        <v>10</v>
      </c>
      <c r="AA13" s="8">
        <f>[1]节奏总纲!AM13</f>
        <v>0.75</v>
      </c>
      <c r="AB13" s="8">
        <f>[1]节奏总纲!AN13</f>
        <v>0.60000000000000009</v>
      </c>
      <c r="AC13" s="8">
        <f>[1]节奏总纲!AO13</f>
        <v>0.44999999999999996</v>
      </c>
      <c r="AD13" s="8">
        <f>[1]节奏总纲!AP13</f>
        <v>0.30000000000000004</v>
      </c>
      <c r="AE13" s="8">
        <f>[1]节奏总纲!AQ13</f>
        <v>0.15000000000000002</v>
      </c>
      <c r="AG13" s="8">
        <v>10</v>
      </c>
      <c r="AH13" s="8">
        <f>[1]节奏总纲!AT13</f>
        <v>0.17909348176756579</v>
      </c>
      <c r="AI13" s="8">
        <f>[1]节奏总纲!AU13</f>
        <v>0.1432747854140527</v>
      </c>
      <c r="AJ13" s="8">
        <f>[1]节奏总纲!AV13</f>
        <v>0.10745608906053944</v>
      </c>
      <c r="AK13" s="8">
        <f>[1]节奏总纲!AW13</f>
        <v>7.1637392707026348E-2</v>
      </c>
      <c r="AL13" s="8">
        <f>[1]节奏总纲!AX13</f>
        <v>3.5818696353513174E-2</v>
      </c>
      <c r="AM13" s="8"/>
      <c r="AN13" s="8">
        <v>10</v>
      </c>
      <c r="AO13" s="8">
        <f>[1]节奏总纲!BA13</f>
        <v>23.710496742673982</v>
      </c>
      <c r="AP13" s="8">
        <f>[1]节奏总纲!BB13</f>
        <v>25.044229735272328</v>
      </c>
      <c r="AQ13" s="8">
        <f>[1]节奏总纲!BC13</f>
        <v>26.755953543357073</v>
      </c>
      <c r="AR13" s="8">
        <f>[1]节奏总纲!BD13</f>
        <v>29.216428548527322</v>
      </c>
      <c r="AS13" s="8">
        <f>[1]节奏总纲!BE13</f>
        <v>33.487933395889513</v>
      </c>
    </row>
    <row r="14" spans="2:45" x14ac:dyDescent="0.15">
      <c r="B14" s="8">
        <f>[1]节奏总纲!N14</f>
        <v>21</v>
      </c>
      <c r="C14" s="8">
        <v>11</v>
      </c>
      <c r="D14" s="8">
        <f>[1]节奏总纲!P14</f>
        <v>1.1435469250725863</v>
      </c>
      <c r="E14" s="8">
        <f>[1]节奏总纲!Q14</f>
        <v>0.98036277886472811</v>
      </c>
      <c r="F14" s="8">
        <f>[1]节奏总纲!R14</f>
        <v>0.79453640354043287</v>
      </c>
      <c r="G14" s="8">
        <f>[1]节奏总纲!S14</f>
        <v>0.57577587677404707</v>
      </c>
      <c r="H14" s="8">
        <f>[1]节奏总纲!T14</f>
        <v>0.31767733578516444</v>
      </c>
      <c r="J14" s="8">
        <v>11</v>
      </c>
      <c r="K14" s="8">
        <f>[1]节奏总纲!W14</f>
        <v>0.14354692507258626</v>
      </c>
      <c r="L14" s="8">
        <f>[1]节奏总纲!X14</f>
        <v>0.12556277886472811</v>
      </c>
      <c r="M14" s="8">
        <f>[1]节奏总纲!Y14</f>
        <v>0.10503640354043287</v>
      </c>
      <c r="N14" s="8">
        <f>[1]节奏总纲!Z14</f>
        <v>7.5975876774047046E-2</v>
      </c>
      <c r="O14" s="8">
        <f>[1]节奏总纲!AA14</f>
        <v>4.447733578516444E-2</v>
      </c>
      <c r="Q14" s="8">
        <v>11</v>
      </c>
      <c r="R14" s="8">
        <f>[1]节奏总纲!AD14</f>
        <v>35.845161563010116</v>
      </c>
      <c r="S14" s="8">
        <f>[1]节奏总纲!AE14</f>
        <v>37.6388925299823</v>
      </c>
      <c r="T14" s="8">
        <f>[1]节奏总纲!AF14</f>
        <v>40.259528204263837</v>
      </c>
      <c r="U14" s="8">
        <f>[1]节奏总纲!AG14</f>
        <v>44.288230531994081</v>
      </c>
      <c r="V14" s="8">
        <f>[1]节奏总纲!AH14</f>
        <v>52.559419343629337</v>
      </c>
      <c r="Z14" s="8">
        <v>11</v>
      </c>
      <c r="AA14" s="8">
        <f>[1]节奏总纲!AM14</f>
        <v>0.93464628919691628</v>
      </c>
      <c r="AB14" s="8">
        <f>[1]节奏总纲!AN14</f>
        <v>0.74771703135753309</v>
      </c>
      <c r="AC14" s="8">
        <f>[1]节奏总纲!AO14</f>
        <v>0.56078777351814979</v>
      </c>
      <c r="AD14" s="8">
        <f>[1]节奏总纲!AP14</f>
        <v>0.37385851567876655</v>
      </c>
      <c r="AE14" s="8">
        <f>[1]节奏总纲!AQ14</f>
        <v>0.18692925783938327</v>
      </c>
      <c r="AG14" s="8">
        <v>11</v>
      </c>
      <c r="AH14" s="8">
        <f>[1]节奏总纲!AT14</f>
        <v>0.18464628919691628</v>
      </c>
      <c r="AI14" s="8">
        <f>[1]节奏总纲!AU14</f>
        <v>0.147717031357533</v>
      </c>
      <c r="AJ14" s="8">
        <f>[1]节奏总纲!AV14</f>
        <v>0.11078777351814983</v>
      </c>
      <c r="AK14" s="8">
        <f>[1]节奏总纲!AW14</f>
        <v>7.3858515678766501E-2</v>
      </c>
      <c r="AL14" s="8">
        <f>[1]节奏总纲!AX14</f>
        <v>3.692925783938325E-2</v>
      </c>
      <c r="AM14" s="8"/>
      <c r="AN14" s="8">
        <v>11</v>
      </c>
      <c r="AO14" s="8">
        <f>[1]节奏总纲!BA14</f>
        <v>24.272927064840161</v>
      </c>
      <c r="AP14" s="8">
        <f>[1]节奏总纲!BB14</f>
        <v>25.597101426176433</v>
      </c>
      <c r="AQ14" s="8">
        <f>[1]节奏总纲!BC14</f>
        <v>27.327481651231444</v>
      </c>
      <c r="AR14" s="8">
        <f>[1]节奏总纲!BD14</f>
        <v>29.80118336305917</v>
      </c>
      <c r="AS14" s="8">
        <f>[1]节奏总纲!BE14</f>
        <v>34.09469189131628</v>
      </c>
    </row>
    <row r="15" spans="2:45" x14ac:dyDescent="0.15">
      <c r="B15" s="8">
        <f>[1]节奏总纲!N15</f>
        <v>22</v>
      </c>
      <c r="C15" s="8">
        <v>12</v>
      </c>
      <c r="D15" s="8">
        <f>[1]节奏总纲!P15</f>
        <v>1.2973967099940702</v>
      </c>
      <c r="E15" s="8">
        <f>[1]节奏总纲!Q15</f>
        <v>1.1126474184909145</v>
      </c>
      <c r="F15" s="8">
        <f>[1]节奏总纲!R15</f>
        <v>0.9058423829178599</v>
      </c>
      <c r="G15" s="8">
        <f>[1]节奏总纲!S15</f>
        <v>0.66219128078097333</v>
      </c>
      <c r="H15" s="8">
        <f>[1]节奏总纲!T15</f>
        <v>0.36560639287632896</v>
      </c>
      <c r="J15" s="8">
        <v>12</v>
      </c>
      <c r="K15" s="8">
        <f>[1]节奏总纲!W15</f>
        <v>0.15384978492148393</v>
      </c>
      <c r="L15" s="8">
        <f>[1]节奏总纲!X15</f>
        <v>0.13228463962618642</v>
      </c>
      <c r="M15" s="8">
        <f>[1]节奏总纲!Y15</f>
        <v>0.11130597937742703</v>
      </c>
      <c r="N15" s="8">
        <f>[1]节奏总纲!Z15</f>
        <v>8.6415404006926266E-2</v>
      </c>
      <c r="O15" s="8">
        <f>[1]节奏总纲!AA15</f>
        <v>4.7929057091164518E-2</v>
      </c>
      <c r="Q15" s="8">
        <v>12</v>
      </c>
      <c r="R15" s="8">
        <f>[1]节奏总纲!AD15</f>
        <v>37.004247194324648</v>
      </c>
      <c r="S15" s="8">
        <f>[1]节奏总纲!AE15</f>
        <v>38.827998824669805</v>
      </c>
      <c r="T15" s="8">
        <f>[1]节奏总纲!AF15</f>
        <v>41.408320762540754</v>
      </c>
      <c r="U15" s="8">
        <f>[1]节奏总纲!AG15</f>
        <v>45.500930067545958</v>
      </c>
      <c r="V15" s="8">
        <f>[1]节奏总纲!AH15</f>
        <v>53.855547243088772</v>
      </c>
      <c r="Z15" s="8">
        <v>12</v>
      </c>
      <c r="AA15" s="8">
        <f>[1]节奏总纲!AM15</f>
        <v>1.1550685436347259</v>
      </c>
      <c r="AB15" s="8">
        <f>[1]节奏总纲!AN15</f>
        <v>0.92405483490778073</v>
      </c>
      <c r="AC15" s="8">
        <f>[1]节奏总纲!AO15</f>
        <v>0.69304112618083547</v>
      </c>
      <c r="AD15" s="8">
        <f>[1]节奏总纲!AP15</f>
        <v>0.46202741745389037</v>
      </c>
      <c r="AE15" s="8">
        <f>[1]节奏总纲!AQ15</f>
        <v>0.23101370872694518</v>
      </c>
      <c r="AG15" s="8">
        <v>12</v>
      </c>
      <c r="AH15" s="8">
        <f>[1]节奏总纲!AT15</f>
        <v>0.22042225443780961</v>
      </c>
      <c r="AI15" s="8">
        <f>[1]节奏总纲!AU15</f>
        <v>0.17633780355024764</v>
      </c>
      <c r="AJ15" s="8">
        <f>[1]节奏总纲!AV15</f>
        <v>0.13225335266268567</v>
      </c>
      <c r="AK15" s="8">
        <f>[1]节奏总纲!AW15</f>
        <v>8.816890177512382E-2</v>
      </c>
      <c r="AL15" s="8">
        <f>[1]节奏总纲!AX15</f>
        <v>4.408445088756191E-2</v>
      </c>
      <c r="AM15" s="8"/>
      <c r="AN15" s="8">
        <v>12</v>
      </c>
      <c r="AO15" s="8">
        <f>[1]节奏总纲!BA15</f>
        <v>24.792264875668618</v>
      </c>
      <c r="AP15" s="8">
        <f>[1]节奏总纲!BB15</f>
        <v>26.127796402772656</v>
      </c>
      <c r="AQ15" s="8">
        <f>[1]节奏总纲!BC15</f>
        <v>27.863030247590562</v>
      </c>
      <c r="AR15" s="8">
        <f>[1]节奏总纲!BD15</f>
        <v>30.329493925593439</v>
      </c>
      <c r="AS15" s="8">
        <f>[1]节奏总纲!BE15</f>
        <v>34.627226072894942</v>
      </c>
    </row>
    <row r="16" spans="2:45" x14ac:dyDescent="0.15">
      <c r="B16" s="8">
        <f>[1]节奏总纲!N16</f>
        <v>23</v>
      </c>
      <c r="C16" s="8">
        <v>13</v>
      </c>
      <c r="D16" s="8">
        <f>[1]节奏总纲!P16</f>
        <v>1.4622888266898326</v>
      </c>
      <c r="E16" s="8">
        <f>[1]节奏总纲!Q16</f>
        <v>1.2628326307293396</v>
      </c>
      <c r="F16" s="8">
        <f>[1]节奏总纲!R16</f>
        <v>1.0294513339896421</v>
      </c>
      <c r="G16" s="8">
        <f>[1]节奏总纲!S16</f>
        <v>0.75556463675063656</v>
      </c>
      <c r="H16" s="8">
        <f>[1]节奏总纲!T16</f>
        <v>0.41865329108129906</v>
      </c>
      <c r="J16" s="8">
        <v>13</v>
      </c>
      <c r="K16" s="8">
        <f>[1]节奏总纲!W16</f>
        <v>0.16489211669576243</v>
      </c>
      <c r="L16" s="8">
        <f>[1]节奏总纲!X16</f>
        <v>0.15018521223842507</v>
      </c>
      <c r="M16" s="8">
        <f>[1]节奏总纲!Y16</f>
        <v>0.12360895107178216</v>
      </c>
      <c r="N16" s="8">
        <f>[1]节奏总纲!Z16</f>
        <v>9.337335596966323E-2</v>
      </c>
      <c r="O16" s="8">
        <f>[1]节奏总纲!AA16</f>
        <v>5.3046898204970105E-2</v>
      </c>
      <c r="Q16" s="8">
        <v>13</v>
      </c>
      <c r="R16" s="8">
        <f>[1]节奏总纲!AD16</f>
        <v>38.071211008105138</v>
      </c>
      <c r="S16" s="8">
        <f>[1]节奏总纲!AE16</f>
        <v>39.935302111946527</v>
      </c>
      <c r="T16" s="8">
        <f>[1]节奏总纲!AF16</f>
        <v>42.470214785133983</v>
      </c>
      <c r="U16" s="8">
        <f>[1]节奏总纲!AG16</f>
        <v>46.631096344914496</v>
      </c>
      <c r="V16" s="8">
        <f>[1]节奏总纲!AH16</f>
        <v>55.062101953238496</v>
      </c>
      <c r="Z16" s="8">
        <v>13</v>
      </c>
      <c r="AA16" s="8">
        <f>[1]节奏总纲!AM16</f>
        <v>1.417602554491646</v>
      </c>
      <c r="AB16" s="8">
        <f>[1]节奏总纲!AN16</f>
        <v>1.1340820435933168</v>
      </c>
      <c r="AC16" s="8">
        <f>[1]节奏总纲!AO16</f>
        <v>0.85056153269498758</v>
      </c>
      <c r="AD16" s="8">
        <f>[1]节奏总纲!AP16</f>
        <v>0.56704102179665838</v>
      </c>
      <c r="AE16" s="8">
        <f>[1]节奏总纲!AQ16</f>
        <v>0.28352051089832919</v>
      </c>
      <c r="AG16" s="8">
        <v>13</v>
      </c>
      <c r="AH16" s="8">
        <f>[1]节奏总纲!AT16</f>
        <v>0.26253401085692007</v>
      </c>
      <c r="AI16" s="8">
        <f>[1]节奏总纲!AU16</f>
        <v>0.21002720868553604</v>
      </c>
      <c r="AJ16" s="8">
        <f>[1]节奏总纲!AV16</f>
        <v>0.15752040651415211</v>
      </c>
      <c r="AK16" s="8">
        <f>[1]节奏总纲!AW16</f>
        <v>0.10501360434276802</v>
      </c>
      <c r="AL16" s="8">
        <f>[1]节奏总纲!AX16</f>
        <v>5.2506802171384009E-2</v>
      </c>
      <c r="AM16" s="8"/>
      <c r="AN16" s="8">
        <v>13</v>
      </c>
      <c r="AO16" s="8">
        <f>[1]节奏总纲!BA16</f>
        <v>25.265378411633971</v>
      </c>
      <c r="AP16" s="8">
        <f>[1]节奏总纲!BB16</f>
        <v>26.598914258210968</v>
      </c>
      <c r="AQ16" s="8">
        <f>[1]节奏总纲!BC16</f>
        <v>28.339982398803929</v>
      </c>
      <c r="AR16" s="8">
        <f>[1]节奏总纲!BD16</f>
        <v>30.828727146189561</v>
      </c>
      <c r="AS16" s="8">
        <f>[1]节奏总纲!BE16</f>
        <v>35.146386283795508</v>
      </c>
    </row>
    <row r="17" spans="2:45" x14ac:dyDescent="0.15">
      <c r="B17" s="8">
        <f>[1]节奏总纲!N17</f>
        <v>24</v>
      </c>
      <c r="C17" s="8">
        <v>14</v>
      </c>
      <c r="D17" s="8">
        <f>[1]节奏总纲!P17</f>
        <v>1.6390158215457884</v>
      </c>
      <c r="E17" s="8">
        <f>[1]节奏总纲!Q17</f>
        <v>1.4136511460832426</v>
      </c>
      <c r="F17" s="8">
        <f>[1]节奏总纲!R17</f>
        <v>1.1545227446968533</v>
      </c>
      <c r="G17" s="8">
        <f>[1]节奏总纲!S17</f>
        <v>0.84605996708193598</v>
      </c>
      <c r="H17" s="8">
        <f>[1]节奏总纲!T17</f>
        <v>0.46810291863347719</v>
      </c>
      <c r="J17" s="8">
        <v>14</v>
      </c>
      <c r="K17" s="8">
        <f>[1]节奏总纲!W17</f>
        <v>0.17672699485595578</v>
      </c>
      <c r="L17" s="8">
        <f>[1]节奏总纲!X17</f>
        <v>0.150818515353903</v>
      </c>
      <c r="M17" s="8">
        <f>[1]节奏总纲!Y17</f>
        <v>0.12507141070721128</v>
      </c>
      <c r="N17" s="8">
        <f>[1]节奏总纲!Z17</f>
        <v>9.0495330331299417E-2</v>
      </c>
      <c r="O17" s="8">
        <f>[1]节奏总纲!AA17</f>
        <v>4.9449627552178133E-2</v>
      </c>
      <c r="Q17" s="8">
        <v>14</v>
      </c>
      <c r="R17" s="8">
        <f>[1]节奏总纲!AD17</f>
        <v>39.066704614192943</v>
      </c>
      <c r="S17" s="8">
        <f>[1]节奏总纲!AE17</f>
        <v>40.935169244165145</v>
      </c>
      <c r="T17" s="8">
        <f>[1]节奏总纲!AF17</f>
        <v>43.484929789964411</v>
      </c>
      <c r="U17" s="8">
        <f>[1]节奏总纲!AG17</f>
        <v>47.711408234944486</v>
      </c>
      <c r="V17" s="8">
        <f>[1]节奏总纲!AH17</f>
        <v>56.165983112651688</v>
      </c>
      <c r="Z17" s="8">
        <v>14</v>
      </c>
      <c r="AA17" s="8">
        <f>[1]节奏总纲!AM17</f>
        <v>1.7296773068470075</v>
      </c>
      <c r="AB17" s="8">
        <f>[1]节奏总纲!AN17</f>
        <v>1.383741845477606</v>
      </c>
      <c r="AC17" s="8">
        <f>[1]节奏总纲!AO17</f>
        <v>1.0378063841082044</v>
      </c>
      <c r="AD17" s="8">
        <f>[1]节奏总纲!AP17</f>
        <v>0.69187092273880302</v>
      </c>
      <c r="AE17" s="8">
        <f>[1]节奏总纲!AQ17</f>
        <v>0.34593546136940151</v>
      </c>
      <c r="AG17" s="8">
        <v>14</v>
      </c>
      <c r="AH17" s="8">
        <f>[1]节奏总纲!AT17</f>
        <v>0.31207475235536153</v>
      </c>
      <c r="AI17" s="8">
        <f>[1]节奏总纲!AU17</f>
        <v>0.24965980188428927</v>
      </c>
      <c r="AJ17" s="8">
        <f>[1]节奏总纲!AV17</f>
        <v>0.18724485141321678</v>
      </c>
      <c r="AK17" s="8">
        <f>[1]节奏总纲!AW17</f>
        <v>0.12482990094214463</v>
      </c>
      <c r="AL17" s="8">
        <f>[1]节奏总纲!AX17</f>
        <v>6.2414950471072317E-2</v>
      </c>
      <c r="AM17" s="8"/>
      <c r="AN17" s="8">
        <v>14</v>
      </c>
      <c r="AO17" s="8">
        <f>[1]节奏总纲!BA17</f>
        <v>25.707675764357255</v>
      </c>
      <c r="AP17" s="8">
        <f>[1]节奏总纲!BB17</f>
        <v>27.059707353051884</v>
      </c>
      <c r="AQ17" s="8">
        <f>[1]节奏总纲!BC17</f>
        <v>28.796798156163181</v>
      </c>
      <c r="AR17" s="8">
        <f>[1]节奏总纲!BD17</f>
        <v>31.280110398778046</v>
      </c>
      <c r="AS17" s="8">
        <f>[1]节奏总纲!BE17</f>
        <v>35.634340563113874</v>
      </c>
    </row>
    <row r="18" spans="2:45" x14ac:dyDescent="0.15">
      <c r="B18" s="8">
        <f>[1]节奏总纲!N18</f>
        <v>25</v>
      </c>
      <c r="C18" s="8">
        <v>15</v>
      </c>
      <c r="D18" s="8">
        <f>[1]节奏总纲!P18</f>
        <v>1.8284271247461898</v>
      </c>
      <c r="E18" s="8">
        <f>[1]节奏总纲!Q18</f>
        <v>1.5793953503557587</v>
      </c>
      <c r="F18" s="8">
        <f>[1]节奏总纲!R18</f>
        <v>1.2928808199080308</v>
      </c>
      <c r="G18" s="8">
        <f>[1]节奏总纲!S18</f>
        <v>0.94895367774327255</v>
      </c>
      <c r="H18" s="8">
        <f>[1]节奏总纲!T18</f>
        <v>0.5271355400643265</v>
      </c>
      <c r="J18" s="8">
        <v>15</v>
      </c>
      <c r="K18" s="8">
        <f>[1]节奏总纲!W18</f>
        <v>0.18941130320040145</v>
      </c>
      <c r="L18" s="8">
        <f>[1]节奏总纲!X18</f>
        <v>0.16574420427251613</v>
      </c>
      <c r="M18" s="8">
        <f>[1]节奏总纲!Y18</f>
        <v>0.13835807521117749</v>
      </c>
      <c r="N18" s="8">
        <f>[1]节奏总纲!Z18</f>
        <v>0.10289371066133657</v>
      </c>
      <c r="O18" s="8">
        <f>[1]节奏总纲!AA18</f>
        <v>5.9032621430849308E-2</v>
      </c>
      <c r="Q18" s="8">
        <v>15</v>
      </c>
      <c r="R18" s="8">
        <f>[1]节奏总纲!AD18</f>
        <v>40</v>
      </c>
      <c r="S18" s="8">
        <f>[1]节奏总纲!AE18</f>
        <v>41.83669503626701</v>
      </c>
      <c r="T18" s="8">
        <f>[1]节奏总纲!AF18</f>
        <v>44.442238853326032</v>
      </c>
      <c r="U18" s="8">
        <f>[1]节奏总纲!AG18</f>
        <v>48.731413734867289</v>
      </c>
      <c r="V18" s="8">
        <f>[1]节奏总纲!AH18</f>
        <v>57.176846218996921</v>
      </c>
      <c r="Z18" s="8">
        <v>15</v>
      </c>
      <c r="AA18" s="8">
        <f>[1]节奏总纲!AM18</f>
        <v>2.1</v>
      </c>
      <c r="AB18" s="8">
        <f>[1]节奏总纲!AN18</f>
        <v>1.6800000000000002</v>
      </c>
      <c r="AC18" s="8">
        <f>[1]节奏总纲!AO18</f>
        <v>1.26</v>
      </c>
      <c r="AD18" s="8">
        <f>[1]节奏总纲!AP18</f>
        <v>0.84000000000000008</v>
      </c>
      <c r="AE18" s="8">
        <f>[1]节奏总纲!AQ18</f>
        <v>0.42000000000000004</v>
      </c>
      <c r="AG18" s="8">
        <v>15</v>
      </c>
      <c r="AH18" s="8">
        <f>[1]节奏总纲!AT18</f>
        <v>0.3703226931529926</v>
      </c>
      <c r="AI18" s="8">
        <f>[1]节奏总纲!AU18</f>
        <v>0.29625815452239412</v>
      </c>
      <c r="AJ18" s="8">
        <f>[1]节奏总纲!AV18</f>
        <v>0.22219361589179565</v>
      </c>
      <c r="AK18" s="8">
        <f>[1]节奏总纲!AW18</f>
        <v>0.14812907726119706</v>
      </c>
      <c r="AL18" s="8">
        <f>[1]节奏总纲!AX18</f>
        <v>7.4064538630598531E-2</v>
      </c>
      <c r="AM18" s="8"/>
      <c r="AN18" s="8">
        <v>15</v>
      </c>
      <c r="AO18" s="8">
        <f>[1]节奏总纲!BA18</f>
        <v>26.127796402772656</v>
      </c>
      <c r="AP18" s="8">
        <f>[1]节奏总纲!BB18</f>
        <v>27.461368800321225</v>
      </c>
      <c r="AQ18" s="8">
        <f>[1]节奏总纲!BC18</f>
        <v>29.216428548527322</v>
      </c>
      <c r="AR18" s="8">
        <f>[1]节奏总纲!BD18</f>
        <v>31.706504654507764</v>
      </c>
      <c r="AS18" s="8">
        <f>[1]节奏总纲!BE18</f>
        <v>36.105477566569242</v>
      </c>
    </row>
    <row r="19" spans="2:45" x14ac:dyDescent="0.15">
      <c r="B19" s="8">
        <f>[1]节奏总纲!N19</f>
        <v>26</v>
      </c>
      <c r="C19" s="8">
        <v>16</v>
      </c>
      <c r="D19" s="8">
        <f>[1]节奏总纲!P19</f>
        <v>2.031433133020796</v>
      </c>
      <c r="E19" s="8">
        <f>[1]节奏总纲!Q19</f>
        <v>1.7586116632561031</v>
      </c>
      <c r="F19" s="8">
        <f>[1]节奏总纲!R19</f>
        <v>1.4398798046851402</v>
      </c>
      <c r="G19" s="8">
        <f>[1]节奏总纲!S19</f>
        <v>1.0618300986299702</v>
      </c>
      <c r="H19" s="8">
        <f>[1]节奏总纲!T19</f>
        <v>0.59460047803518701</v>
      </c>
      <c r="J19" s="8">
        <v>16</v>
      </c>
      <c r="K19" s="8">
        <f>[1]节奏总纲!W19</f>
        <v>0.20300600827460613</v>
      </c>
      <c r="L19" s="8">
        <f>[1]节奏总纲!X19</f>
        <v>0.17921631290034434</v>
      </c>
      <c r="M19" s="8">
        <f>[1]节奏总纲!Y19</f>
        <v>0.14699898477710938</v>
      </c>
      <c r="N19" s="8">
        <f>[1]节奏总纲!Z19</f>
        <v>0.11287642088669769</v>
      </c>
      <c r="O19" s="8">
        <f>[1]节奏总纲!AA19</f>
        <v>6.7464937970860506E-2</v>
      </c>
      <c r="Q19" s="8">
        <v>16</v>
      </c>
      <c r="R19" s="8">
        <f>[1]节奏总纲!AD19</f>
        <v>40.870795385807064</v>
      </c>
      <c r="S19" s="8">
        <f>[1]节奏总纲!AE19</f>
        <v>42.707142308553742</v>
      </c>
      <c r="T19" s="8">
        <f>[1]节奏总纲!AF19</f>
        <v>45.343250058486468</v>
      </c>
      <c r="U19" s="8">
        <f>[1]节奏总纲!AG19</f>
        <v>49.654306534727205</v>
      </c>
      <c r="V19" s="8">
        <f>[1]节奏总纲!AH19</f>
        <v>58.12511610143563</v>
      </c>
      <c r="Z19" s="8">
        <v>16</v>
      </c>
      <c r="AA19" s="8">
        <f>[1]节奏总纲!AM19</f>
        <v>2.5387719203926467</v>
      </c>
      <c r="AB19" s="8">
        <f>[1]节奏总纲!AN19</f>
        <v>2.0310175363141174</v>
      </c>
      <c r="AC19" s="8">
        <f>[1]节奏总纲!AO19</f>
        <v>1.5232631522355879</v>
      </c>
      <c r="AD19" s="8">
        <f>[1]节奏总纲!AP19</f>
        <v>1.0155087681570587</v>
      </c>
      <c r="AE19" s="8">
        <f>[1]节奏总纲!AQ19</f>
        <v>0.50775438407852935</v>
      </c>
      <c r="AG19" s="8">
        <v>16</v>
      </c>
      <c r="AH19" s="8">
        <f>[1]节奏总纲!AT19</f>
        <v>0.43877192039264656</v>
      </c>
      <c r="AI19" s="8">
        <f>[1]节奏总纲!AU19</f>
        <v>0.35101753631411725</v>
      </c>
      <c r="AJ19" s="8">
        <f>[1]节奏总纲!AV19</f>
        <v>0.26326315223558794</v>
      </c>
      <c r="AK19" s="8">
        <f>[1]节奏总纲!AW19</f>
        <v>0.17550876815705863</v>
      </c>
      <c r="AL19" s="8">
        <f>[1]节奏总纲!AX19</f>
        <v>8.7754384078529313E-2</v>
      </c>
      <c r="AM19" s="8"/>
      <c r="AN19" s="8">
        <v>16</v>
      </c>
      <c r="AO19" s="8">
        <f>[1]节奏总纲!BA19</f>
        <v>26.504690687123308</v>
      </c>
      <c r="AP19" s="8">
        <f>[1]节奏总纲!BB19</f>
        <v>27.863030247590562</v>
      </c>
      <c r="AQ19" s="8">
        <f>[1]节奏总纲!BC19</f>
        <v>29.606265091548554</v>
      </c>
      <c r="AR19" s="8">
        <f>[1]节奏总纲!BD19</f>
        <v>32.113552950216736</v>
      </c>
      <c r="AS19" s="8">
        <f>[1]节奏总纲!BE19</f>
        <v>36.526331209747774</v>
      </c>
    </row>
    <row r="20" spans="2:45" x14ac:dyDescent="0.15">
      <c r="B20" s="8">
        <f>[1]节奏总纲!N20</f>
        <v>27</v>
      </c>
      <c r="C20" s="8">
        <v>17</v>
      </c>
      <c r="D20" s="8">
        <f>[1]节奏总纲!P20</f>
        <v>2.2490095854249419</v>
      </c>
      <c r="E20" s="8">
        <f>[1]节奏总纲!Q20</f>
        <v>1.9433691827656923</v>
      </c>
      <c r="F20" s="8">
        <f>[1]节奏总纲!R20</f>
        <v>1.5904995788125189</v>
      </c>
      <c r="G20" s="8">
        <f>[1]节奏总纲!S20</f>
        <v>1.1742079045503622</v>
      </c>
      <c r="H20" s="8">
        <f>[1]节奏总纲!T20</f>
        <v>0.65311238360740309</v>
      </c>
      <c r="J20" s="8">
        <v>17</v>
      </c>
      <c r="K20" s="8">
        <f>[1]节奏总纲!W20</f>
        <v>0.21757645240414591</v>
      </c>
      <c r="L20" s="8">
        <f>[1]节奏总纲!X20</f>
        <v>0.18475751950958919</v>
      </c>
      <c r="M20" s="8">
        <f>[1]节奏总纲!Y20</f>
        <v>0.1506197741273787</v>
      </c>
      <c r="N20" s="8">
        <f>[1]节奏总纲!Z20</f>
        <v>0.11237780592039193</v>
      </c>
      <c r="O20" s="8">
        <f>[1]节奏总纲!AA20</f>
        <v>5.8511905572216083E-2</v>
      </c>
      <c r="Q20" s="8">
        <v>17</v>
      </c>
      <c r="R20" s="8">
        <f>[1]节奏总纲!AD20</f>
        <v>41.691928656135218</v>
      </c>
      <c r="S20" s="8">
        <f>[1]节奏总纲!AE20</f>
        <v>43.535389560453282</v>
      </c>
      <c r="T20" s="8">
        <f>[1]节奏总纲!AF20</f>
        <v>46.195785611164197</v>
      </c>
      <c r="U20" s="8">
        <f>[1]节奏总纲!AG20</f>
        <v>50.510850036206186</v>
      </c>
      <c r="V20" s="8">
        <f>[1]节奏总纲!AH20</f>
        <v>58.996855914896834</v>
      </c>
      <c r="Z20" s="8">
        <v>17</v>
      </c>
      <c r="AA20" s="8">
        <f>[1]节奏总纲!AM20</f>
        <v>3.0579402515786085</v>
      </c>
      <c r="AB20" s="8">
        <f>[1]节奏总纲!AN20</f>
        <v>2.4463522012628869</v>
      </c>
      <c r="AC20" s="8">
        <f>[1]节奏总纲!AO20</f>
        <v>1.8347641509471651</v>
      </c>
      <c r="AD20" s="8">
        <f>[1]节奏总纲!AP20</f>
        <v>1.2231761006314434</v>
      </c>
      <c r="AE20" s="8">
        <f>[1]节奏总纲!AQ20</f>
        <v>0.61158805031572172</v>
      </c>
      <c r="AG20" s="8">
        <v>17</v>
      </c>
      <c r="AH20" s="8">
        <f>[1]节奏总纲!AT20</f>
        <v>0.51916833118596184</v>
      </c>
      <c r="AI20" s="8">
        <f>[1]节奏总纲!AU20</f>
        <v>0.41533466494876947</v>
      </c>
      <c r="AJ20" s="8">
        <f>[1]节奏总纲!AV20</f>
        <v>0.3115009987115771</v>
      </c>
      <c r="AK20" s="8">
        <f>[1]节奏总纲!AW20</f>
        <v>0.20766733247438474</v>
      </c>
      <c r="AL20" s="8">
        <f>[1]节奏总纲!AX20</f>
        <v>0.10383366623719237</v>
      </c>
      <c r="AM20" s="8"/>
      <c r="AN20" s="8">
        <v>17</v>
      </c>
      <c r="AO20" s="8">
        <f>[1]节奏总纲!BA20</f>
        <v>26.881584971473956</v>
      </c>
      <c r="AP20" s="8">
        <f>[1]节奏总纲!BB20</f>
        <v>28.225778459464117</v>
      </c>
      <c r="AQ20" s="8">
        <f>[1]节奏总纲!BC20</f>
        <v>29.996101634569786</v>
      </c>
      <c r="AR20" s="8">
        <f>[1]节奏总纲!BD20</f>
        <v>32.477877425165822</v>
      </c>
      <c r="AS20" s="8">
        <f>[1]节奏总纲!BE20</f>
        <v>36.947184852926306</v>
      </c>
    </row>
    <row r="21" spans="2:45" x14ac:dyDescent="0.15">
      <c r="B21" s="8">
        <f>[1]节奏总纲!N21</f>
        <v>28</v>
      </c>
      <c r="C21" s="8">
        <v>18</v>
      </c>
      <c r="D21" s="8">
        <f>[1]节奏总纲!P21</f>
        <v>2.4822022531844965</v>
      </c>
      <c r="E21" s="8">
        <f>[1]节奏总纲!Q21</f>
        <v>2.1515729130603214</v>
      </c>
      <c r="F21" s="8">
        <f>[1]节奏总纲!R21</f>
        <v>1.7690655458445907</v>
      </c>
      <c r="G21" s="8">
        <f>[1]节奏总纲!S21</f>
        <v>1.3066312660763189</v>
      </c>
      <c r="H21" s="8">
        <f>[1]节奏总纲!T21</f>
        <v>0.72554771860582834</v>
      </c>
      <c r="J21" s="8">
        <v>18</v>
      </c>
      <c r="K21" s="8">
        <f>[1]节奏总纲!W21</f>
        <v>0.23319266775955461</v>
      </c>
      <c r="L21" s="8">
        <f>[1]节奏总纲!X21</f>
        <v>0.20820373029462913</v>
      </c>
      <c r="M21" s="8">
        <f>[1]节奏总纲!Y21</f>
        <v>0.17856596703207184</v>
      </c>
      <c r="N21" s="8">
        <f>[1]节奏总纲!Z21</f>
        <v>0.13242336152595668</v>
      </c>
      <c r="O21" s="8">
        <f>[1]节奏总纲!AA21</f>
        <v>7.2435334998425249E-2</v>
      </c>
      <c r="Q21" s="8">
        <v>18</v>
      </c>
      <c r="R21" s="8">
        <f>[1]节奏总纲!AD21</f>
        <v>42.470630686057078</v>
      </c>
      <c r="S21" s="8">
        <f>[1]节奏总纲!AE21</f>
        <v>44.32123076997032</v>
      </c>
      <c r="T21" s="8">
        <f>[1]节奏总纲!AF21</f>
        <v>47.002405448181747</v>
      </c>
      <c r="U21" s="8">
        <f>[1]节奏总纲!AG21</f>
        <v>51.307235833425089</v>
      </c>
      <c r="V21" s="8">
        <f>[1]节奏总纲!AH21</f>
        <v>59.782901351568675</v>
      </c>
      <c r="Z21" s="8">
        <v>18</v>
      </c>
      <c r="AA21" s="8">
        <f>[1]节奏总纲!AM21</f>
        <v>3.671491735587451</v>
      </c>
      <c r="AB21" s="8">
        <f>[1]节奏总纲!AN21</f>
        <v>2.9371933884699608</v>
      </c>
      <c r="AC21" s="8">
        <f>[1]节奏总纲!AO21</f>
        <v>2.2028950413524706</v>
      </c>
      <c r="AD21" s="8">
        <f>[1]节奏总纲!AP21</f>
        <v>1.4685966942349804</v>
      </c>
      <c r="AE21" s="8">
        <f>[1]节奏总纲!AQ21</f>
        <v>0.7342983471174902</v>
      </c>
      <c r="AG21" s="8">
        <v>18</v>
      </c>
      <c r="AH21" s="8">
        <f>[1]节奏总纲!AT21</f>
        <v>0.61355148400884252</v>
      </c>
      <c r="AI21" s="8">
        <f>[1]节奏总纲!AU21</f>
        <v>0.49084118720707393</v>
      </c>
      <c r="AJ21" s="8">
        <f>[1]节奏总纲!AV21</f>
        <v>0.36813089040530556</v>
      </c>
      <c r="AK21" s="8">
        <f>[1]节奏总纲!AW21</f>
        <v>0.24542059360353696</v>
      </c>
      <c r="AL21" s="8">
        <f>[1]节奏总纲!AX21</f>
        <v>0.12271029680176848</v>
      </c>
      <c r="AM21" s="8"/>
      <c r="AN21" s="8">
        <v>18</v>
      </c>
      <c r="AO21" s="8">
        <f>[1]节奏总纲!BA21</f>
        <v>27.220371931959619</v>
      </c>
      <c r="AP21" s="8">
        <f>[1]节奏总纲!BB21</f>
        <v>28.568390277483555</v>
      </c>
      <c r="AQ21" s="8">
        <f>[1]节奏总纲!BC21</f>
        <v>30.329493925593439</v>
      </c>
      <c r="AR21" s="8">
        <f>[1]节奏总纲!BD21</f>
        <v>32.842201900114915</v>
      </c>
      <c r="AS21" s="8">
        <f>[1]节奏总纲!BE21</f>
        <v>37.317457773889828</v>
      </c>
    </row>
    <row r="22" spans="2:45" x14ac:dyDescent="0.15">
      <c r="B22" s="8">
        <f>[1]节奏总纲!N22</f>
        <v>29</v>
      </c>
      <c r="C22" s="8">
        <v>19</v>
      </c>
      <c r="D22" s="8">
        <f>[1]节奏总纲!P22</f>
        <v>2.7321319661472296</v>
      </c>
      <c r="E22" s="8">
        <f>[1]节奏总纲!Q22</f>
        <v>2.3734030389920986</v>
      </c>
      <c r="F22" s="8">
        <f>[1]节奏总纲!R22</f>
        <v>1.9510154370257367</v>
      </c>
      <c r="G22" s="8">
        <f>[1]节奏总纲!S22</f>
        <v>1.4395603329629754</v>
      </c>
      <c r="H22" s="8">
        <f>[1]节奏总纲!T22</f>
        <v>0.80270037165405606</v>
      </c>
      <c r="J22" s="8">
        <v>19</v>
      </c>
      <c r="K22" s="8">
        <f>[1]节奏总纲!W22</f>
        <v>0.24992971296273314</v>
      </c>
      <c r="L22" s="8">
        <f>[1]节奏总纲!X22</f>
        <v>0.2218301259317772</v>
      </c>
      <c r="M22" s="8">
        <f>[1]节奏总纲!Y22</f>
        <v>0.18194989118114591</v>
      </c>
      <c r="N22" s="8">
        <f>[1]节奏总纲!Z22</f>
        <v>0.13292906688665651</v>
      </c>
      <c r="O22" s="8">
        <f>[1]节奏总纲!AA22</f>
        <v>7.7152653048227715E-2</v>
      </c>
      <c r="Q22" s="8">
        <v>19</v>
      </c>
      <c r="R22" s="8">
        <f>[1]节奏总纲!AD22</f>
        <v>43.213386604241784</v>
      </c>
      <c r="S22" s="8">
        <f>[1]节奏总纲!AE22</f>
        <v>45.070782602372333</v>
      </c>
      <c r="T22" s="8">
        <f>[1]节奏总纲!AF22</f>
        <v>47.752799438858894</v>
      </c>
      <c r="U22" s="8">
        <f>[1]节奏总纲!AG22</f>
        <v>52.050057424983954</v>
      </c>
      <c r="V22" s="8">
        <f>[1]节奏总纲!AH22</f>
        <v>60.54585273688761</v>
      </c>
      <c r="Z22" s="8">
        <v>19</v>
      </c>
      <c r="AA22" s="8">
        <f>[1]节奏总纲!AM22</f>
        <v>4.3957950643309154</v>
      </c>
      <c r="AB22" s="8">
        <f>[1]节奏总纲!AN22</f>
        <v>3.5166360514647326</v>
      </c>
      <c r="AC22" s="8">
        <f>[1]节奏总纲!AO22</f>
        <v>2.6374770385985493</v>
      </c>
      <c r="AD22" s="8">
        <f>[1]节奏总纲!AP22</f>
        <v>1.7583180257323663</v>
      </c>
      <c r="AE22" s="8">
        <f>[1]节奏总纲!AQ22</f>
        <v>0.87915901286618314</v>
      </c>
      <c r="AG22" s="8">
        <v>19</v>
      </c>
      <c r="AH22" s="8">
        <f>[1]节奏总纲!AT22</f>
        <v>0.72430332874346437</v>
      </c>
      <c r="AI22" s="8">
        <f>[1]节奏总纲!AU22</f>
        <v>0.57944266299477176</v>
      </c>
      <c r="AJ22" s="8">
        <f>[1]节奏总纲!AV22</f>
        <v>0.43458199724607871</v>
      </c>
      <c r="AK22" s="8">
        <f>[1]节奏总纲!AW22</f>
        <v>0.28972133149738588</v>
      </c>
      <c r="AL22" s="8">
        <f>[1]节奏总纲!AX22</f>
        <v>0.14486066574869294</v>
      </c>
      <c r="AM22" s="8"/>
      <c r="AN22" s="8">
        <v>19</v>
      </c>
      <c r="AO22" s="8">
        <f>[1]节奏总纲!BA22</f>
        <v>27.541701089775092</v>
      </c>
      <c r="AP22" s="8">
        <f>[1]节奏总纲!BB22</f>
        <v>28.911002095502997</v>
      </c>
      <c r="AQ22" s="8">
        <f>[1]节奏总纲!BC22</f>
        <v>30.662316072657521</v>
      </c>
      <c r="AR22" s="8">
        <f>[1]节奏总纲!BD22</f>
        <v>33.176527924103851</v>
      </c>
      <c r="AS22" s="8">
        <f>[1]节奏总纲!BE22</f>
        <v>37.680472138177471</v>
      </c>
    </row>
    <row r="23" spans="2:45" x14ac:dyDescent="0.15">
      <c r="B23" s="8">
        <f>[1]节奏总纲!N23</f>
        <v>30</v>
      </c>
      <c r="C23" s="8">
        <v>20</v>
      </c>
      <c r="D23" s="8">
        <f>[1]节奏总纲!P23</f>
        <v>3</v>
      </c>
      <c r="E23" s="8">
        <f>[1]节奏总纲!Q23</f>
        <v>2.6036999999999999</v>
      </c>
      <c r="F23" s="8">
        <f>[1]节奏总纲!R23</f>
        <v>2.1372</v>
      </c>
      <c r="G23" s="8">
        <f>[1]节奏总纲!S23</f>
        <v>1.5800999999999998</v>
      </c>
      <c r="H23" s="8">
        <f>[1]节奏总纲!T23</f>
        <v>0.87990000000000002</v>
      </c>
      <c r="J23" s="8">
        <v>20</v>
      </c>
      <c r="K23" s="8">
        <f>[1]节奏总纲!W23</f>
        <v>0.26786803385277036</v>
      </c>
      <c r="L23" s="8">
        <f>[1]节奏总纲!X23</f>
        <v>0.23029696100790131</v>
      </c>
      <c r="M23" s="8">
        <f>[1]节奏总纲!Y23</f>
        <v>0.18618456297426333</v>
      </c>
      <c r="N23" s="8">
        <f>[1]节奏总纲!Z23</f>
        <v>0.14053966703702447</v>
      </c>
      <c r="O23" s="8">
        <f>[1]节奏总纲!AA23</f>
        <v>7.719962834594396E-2</v>
      </c>
      <c r="Q23" s="8">
        <v>20</v>
      </c>
      <c r="R23" s="8">
        <f>[1]节奏总纲!AD23</f>
        <v>43.920692243099523</v>
      </c>
      <c r="S23" s="8">
        <f>[1]节奏总纲!AE23</f>
        <v>45.780025086357675</v>
      </c>
      <c r="T23" s="8">
        <f>[1]节奏总纲!AF23</f>
        <v>48.482447528152484</v>
      </c>
      <c r="U23" s="8">
        <f>[1]节奏总纲!AG23</f>
        <v>52.769987980532711</v>
      </c>
      <c r="V23" s="8">
        <f>[1]节奏总纲!AH23</f>
        <v>61.261422558944936</v>
      </c>
      <c r="Z23" s="8">
        <v>20</v>
      </c>
      <c r="AA23" s="8">
        <f>[1]节奏总纲!AM23</f>
        <v>5.25</v>
      </c>
      <c r="AB23" s="8">
        <f>[1]节奏总纲!AN23</f>
        <v>4.2</v>
      </c>
      <c r="AC23" s="8">
        <f>[1]节奏总纲!AO23</f>
        <v>3.15</v>
      </c>
      <c r="AD23" s="8">
        <f>[1]节奏总纲!AP23</f>
        <v>2.1</v>
      </c>
      <c r="AE23" s="8">
        <f>[1]节奏总纲!AQ23</f>
        <v>1.05</v>
      </c>
      <c r="AG23" s="8">
        <v>20</v>
      </c>
      <c r="AH23" s="8">
        <f>[1]节奏总纲!AT23</f>
        <v>0.85420493566908462</v>
      </c>
      <c r="AI23" s="8">
        <f>[1]节奏总纲!AU23</f>
        <v>0.68336394853526761</v>
      </c>
      <c r="AJ23" s="8">
        <f>[1]节奏总纲!AV23</f>
        <v>0.51252296140145059</v>
      </c>
      <c r="AK23" s="8">
        <f>[1]节奏总纲!AW23</f>
        <v>0.3416819742676338</v>
      </c>
      <c r="AL23" s="8">
        <f>[1]节奏总纲!AX23</f>
        <v>0.1708409871338169</v>
      </c>
      <c r="AM23" s="8"/>
      <c r="AN23" s="8">
        <v>20</v>
      </c>
      <c r="AO23" s="8">
        <f>[1]节奏总纲!BA23</f>
        <v>27.863030247590562</v>
      </c>
      <c r="AP23" s="8">
        <f>[1]节奏总纲!BB23</f>
        <v>29.216428548527322</v>
      </c>
      <c r="AQ23" s="8">
        <f>[1]节奏总纲!BC23</f>
        <v>30.995138219721603</v>
      </c>
      <c r="AR23" s="8">
        <f>[1]节奏总纲!BD23</f>
        <v>33.487933395889513</v>
      </c>
      <c r="AS23" s="8">
        <f>[1]节奏总纲!BE23</f>
        <v>38.037513426486328</v>
      </c>
    </row>
    <row r="24" spans="2:45" x14ac:dyDescent="0.15">
      <c r="B24" s="8">
        <f>[1]节奏总纲!N24</f>
        <v>31</v>
      </c>
      <c r="C24" s="8">
        <v>21</v>
      </c>
      <c r="D24" s="8">
        <f>[1]节奏总纲!P24</f>
        <v>3.2870938501451725</v>
      </c>
      <c r="E24" s="8">
        <f>[1]节奏总纲!Q24</f>
        <v>2.8518826243859516</v>
      </c>
      <c r="F24" s="8">
        <f>[1]节奏总纲!R24</f>
        <v>2.3466562996186386</v>
      </c>
      <c r="G24" s="8">
        <f>[1]节奏总纲!S24</f>
        <v>1.7365716810316947</v>
      </c>
      <c r="H24" s="8">
        <f>[1]节奏总纲!T24</f>
        <v>0.97166494210291288</v>
      </c>
      <c r="J24" s="8">
        <v>21</v>
      </c>
      <c r="K24" s="8">
        <f>[1]节奏总纲!W24</f>
        <v>0.28709385014517252</v>
      </c>
      <c r="L24" s="8">
        <f>[1]节奏总纲!X24</f>
        <v>0.24818262438595173</v>
      </c>
      <c r="M24" s="8">
        <f>[1]节奏总纲!Y24</f>
        <v>0.20945629961863865</v>
      </c>
      <c r="N24" s="8">
        <f>[1]节奏总纲!Z24</f>
        <v>0.15647168103169484</v>
      </c>
      <c r="O24" s="8">
        <f>[1]节奏总纲!AA24</f>
        <v>9.1764942102912861E-2</v>
      </c>
      <c r="Q24" s="8">
        <v>21</v>
      </c>
      <c r="R24" s="8">
        <f>[1]节奏总纲!AD24</f>
        <v>44.585942742481357</v>
      </c>
      <c r="S24" s="8">
        <f>[1]节奏总纲!AE24</f>
        <v>46.455967430551723</v>
      </c>
      <c r="T24" s="8">
        <f>[1]节奏总纲!AF24</f>
        <v>49.18886033229559</v>
      </c>
      <c r="U24" s="8">
        <f>[1]节奏总纲!AG24</f>
        <v>53.471660769826336</v>
      </c>
      <c r="V24" s="8">
        <f>[1]节奏总纲!AH24</f>
        <v>61.918453772109508</v>
      </c>
      <c r="Z24" s="8">
        <v>21</v>
      </c>
      <c r="AA24" s="8">
        <f>[1]节奏总纲!AM24</f>
        <v>6.2565025247829205</v>
      </c>
      <c r="AB24" s="8">
        <f>[1]节奏总纲!AN24</f>
        <v>5.0052020198263367</v>
      </c>
      <c r="AC24" s="8">
        <f>[1]节奏总纲!AO24</f>
        <v>3.7539015148697521</v>
      </c>
      <c r="AD24" s="8">
        <f>[1]节奏总纲!AP24</f>
        <v>2.5026010099131684</v>
      </c>
      <c r="AE24" s="8">
        <f>[1]节奏总纲!AQ24</f>
        <v>1.2513005049565842</v>
      </c>
      <c r="AG24" s="8">
        <v>21</v>
      </c>
      <c r="AH24" s="8">
        <f>[1]节奏总纲!AT24</f>
        <v>1.0065025247829205</v>
      </c>
      <c r="AI24" s="8">
        <f>[1]节奏总纲!AU24</f>
        <v>0.80520201982633655</v>
      </c>
      <c r="AJ24" s="8">
        <f>[1]节奏总纲!AV24</f>
        <v>0.60390151486975219</v>
      </c>
      <c r="AK24" s="8">
        <f>[1]节奏总纲!AW24</f>
        <v>0.40260100991316827</v>
      </c>
      <c r="AL24" s="8">
        <f>[1]节奏总纲!AX24</f>
        <v>0.20130050495658414</v>
      </c>
      <c r="AM24" s="8"/>
      <c r="AN24" s="8">
        <v>21</v>
      </c>
      <c r="AO24" s="8">
        <f>[1]节奏总纲!BA24</f>
        <v>28.157256095860227</v>
      </c>
      <c r="AP24" s="8">
        <f>[1]节奏总纲!BB24</f>
        <v>29.508805955793246</v>
      </c>
      <c r="AQ24" s="8">
        <f>[1]节奏总纲!BC24</f>
        <v>31.280110398778046</v>
      </c>
      <c r="AR24" s="8">
        <f>[1]节奏总纲!BD24</f>
        <v>33.799338867675175</v>
      </c>
      <c r="AS24" s="8">
        <f>[1]节奏总纲!BE24</f>
        <v>38.35066605767593</v>
      </c>
    </row>
    <row r="25" spans="2:45" x14ac:dyDescent="0.15">
      <c r="B25" s="8">
        <f>[1]节奏总纲!N25</f>
        <v>32</v>
      </c>
      <c r="C25" s="8">
        <v>22</v>
      </c>
      <c r="D25" s="8">
        <f>[1]节奏总纲!P25</f>
        <v>3.5947934199881395</v>
      </c>
      <c r="E25" s="8">
        <f>[1]节奏总纲!Q25</f>
        <v>3.124234961311692</v>
      </c>
      <c r="F25" s="8">
        <f>[1]节奏总纲!R25</f>
        <v>2.5749505267375046</v>
      </c>
      <c r="G25" s="8">
        <f>[1]节奏总纲!S25</f>
        <v>1.9077568679877055</v>
      </c>
      <c r="H25" s="8">
        <f>[1]节奏总纲!T25</f>
        <v>1.0687320837624739</v>
      </c>
      <c r="J25" s="8">
        <v>22</v>
      </c>
      <c r="K25" s="8">
        <f>[1]节奏总纲!W25</f>
        <v>0.30769956984296698</v>
      </c>
      <c r="L25" s="8">
        <f>[1]节奏总纲!X25</f>
        <v>0.27235233692574035</v>
      </c>
      <c r="M25" s="8">
        <f>[1]节奏总纲!Y25</f>
        <v>0.22829422711886593</v>
      </c>
      <c r="N25" s="8">
        <f>[1]节奏总纲!Z25</f>
        <v>0.17118518695601082</v>
      </c>
      <c r="O25" s="8">
        <f>[1]节奏总纲!AA25</f>
        <v>9.7067141659560985E-2</v>
      </c>
      <c r="Q25" s="8">
        <v>22</v>
      </c>
      <c r="R25" s="8">
        <f>[1]节奏总纲!AD25</f>
        <v>45.229416240679988</v>
      </c>
      <c r="S25" s="8">
        <f>[1]节奏总纲!AE25</f>
        <v>47.110426931480873</v>
      </c>
      <c r="T25" s="8">
        <f>[1]节奏总纲!AF25</f>
        <v>49.861837738505173</v>
      </c>
      <c r="U25" s="8">
        <f>[1]节奏总纲!AG25</f>
        <v>54.15637358335789</v>
      </c>
      <c r="V25" s="8">
        <f>[1]节奏总纲!AH25</f>
        <v>62.555781631668886</v>
      </c>
      <c r="Z25" s="8">
        <v>22</v>
      </c>
      <c r="AA25" s="8">
        <f>[1]节奏总纲!AM25</f>
        <v>7.4414868317755332</v>
      </c>
      <c r="AB25" s="8">
        <f>[1]节奏总纲!AN25</f>
        <v>5.9531894654204267</v>
      </c>
      <c r="AC25" s="8">
        <f>[1]节奏总纲!AO25</f>
        <v>4.4648920990653194</v>
      </c>
      <c r="AD25" s="8">
        <f>[1]节奏总纲!AP25</f>
        <v>2.9765947327102134</v>
      </c>
      <c r="AE25" s="8">
        <f>[1]节奏总纲!AQ25</f>
        <v>1.4882973663551067</v>
      </c>
      <c r="AG25" s="8">
        <v>22</v>
      </c>
      <c r="AH25" s="8">
        <f>[1]节奏总纲!AT25</f>
        <v>1.1849843069926127</v>
      </c>
      <c r="AI25" s="8">
        <f>[1]节奏总纲!AU25</f>
        <v>0.94798744559408998</v>
      </c>
      <c r="AJ25" s="8">
        <f>[1]节奏总纲!AV25</f>
        <v>0.71099058419556727</v>
      </c>
      <c r="AK25" s="8">
        <f>[1]节奏总纲!AW25</f>
        <v>0.47399372279704499</v>
      </c>
      <c r="AL25" s="8">
        <f>[1]节奏总纲!AX25</f>
        <v>0.2369968613985225</v>
      </c>
      <c r="AM25" s="8"/>
      <c r="AN25" s="8">
        <v>22</v>
      </c>
      <c r="AO25" s="8">
        <f>[1]节奏总纲!BA25</f>
        <v>28.431345550275779</v>
      </c>
      <c r="AP25" s="8">
        <f>[1]节奏总纲!BB25</f>
        <v>29.80118336305917</v>
      </c>
      <c r="AQ25" s="8">
        <f>[1]节奏总纲!BC25</f>
        <v>31.564373235931193</v>
      </c>
      <c r="AR25" s="8">
        <f>[1]节奏总纲!BD25</f>
        <v>34.09469189131628</v>
      </c>
      <c r="AS25" s="8">
        <f>[1]节奏总纲!BE25</f>
        <v>38.663818688865533</v>
      </c>
    </row>
    <row r="26" spans="2:45" x14ac:dyDescent="0.15">
      <c r="B26" s="8">
        <f>[1]节奏总纲!N26</f>
        <v>33</v>
      </c>
      <c r="C26" s="8">
        <v>23</v>
      </c>
      <c r="D26" s="8">
        <f>[1]节奏总纲!P26</f>
        <v>3.9245776533796644</v>
      </c>
      <c r="E26" s="8">
        <f>[1]节奏总纲!Q26</f>
        <v>3.4081032341949005</v>
      </c>
      <c r="F26" s="8">
        <f>[1]节奏总纲!R26</f>
        <v>2.8064654799317976</v>
      </c>
      <c r="G26" s="8">
        <f>[1]节奏总纲!S26</f>
        <v>2.0796336985258841</v>
      </c>
      <c r="H26" s="8">
        <f>[1]节奏总纲!T26</f>
        <v>1.1608900698697047</v>
      </c>
      <c r="J26" s="8">
        <v>23</v>
      </c>
      <c r="K26" s="8">
        <f>[1]节奏总纲!W26</f>
        <v>0.32978423339152485</v>
      </c>
      <c r="L26" s="8">
        <f>[1]节奏总纲!X26</f>
        <v>0.28386827288320848</v>
      </c>
      <c r="M26" s="8">
        <f>[1]节奏总纲!Y26</f>
        <v>0.23151495319429305</v>
      </c>
      <c r="N26" s="8">
        <f>[1]节奏总纲!Z26</f>
        <v>0.17187683053817859</v>
      </c>
      <c r="O26" s="8">
        <f>[1]节奏总纲!AA26</f>
        <v>9.2157986107230805E-2</v>
      </c>
      <c r="Q26" s="8">
        <v>23</v>
      </c>
      <c r="R26" s="8">
        <f>[1]节奏总纲!AD26</f>
        <v>45.845161563010116</v>
      </c>
      <c r="S26" s="8">
        <f>[1]节奏总纲!AE26</f>
        <v>47.734594805743399</v>
      </c>
      <c r="T26" s="8">
        <f>[1]节奏总纲!AF26</f>
        <v>50.503430607741265</v>
      </c>
      <c r="U26" s="8">
        <f>[1]节奏总纲!AG26</f>
        <v>54.814188287451351</v>
      </c>
      <c r="V26" s="8">
        <f>[1]节奏总纲!AH26</f>
        <v>63.182677965405439</v>
      </c>
      <c r="Z26" s="8">
        <v>23</v>
      </c>
      <c r="AA26" s="8">
        <f>[1]节奏总纲!AM26</f>
        <v>8.8355567243832152</v>
      </c>
      <c r="AB26" s="8">
        <f>[1]节奏总纲!AN26</f>
        <v>7.0684453795065725</v>
      </c>
      <c r="AC26" s="8">
        <f>[1]节奏总纲!AO26</f>
        <v>5.3013340346299289</v>
      </c>
      <c r="AD26" s="8">
        <f>[1]节奏总纲!AP26</f>
        <v>3.5342226897532862</v>
      </c>
      <c r="AE26" s="8">
        <f>[1]节奏总纲!AQ26</f>
        <v>1.7671113448766431</v>
      </c>
      <c r="AG26" s="8">
        <v>23</v>
      </c>
      <c r="AH26" s="8">
        <f>[1]节奏总纲!AT26</f>
        <v>1.394069892607682</v>
      </c>
      <c r="AI26" s="8">
        <f>[1]节奏总纲!AU26</f>
        <v>1.1152559140861458</v>
      </c>
      <c r="AJ26" s="8">
        <f>[1]节奏总纲!AV26</f>
        <v>0.83644193556460955</v>
      </c>
      <c r="AK26" s="8">
        <f>[1]节奏总纲!AW26</f>
        <v>0.55762795704307289</v>
      </c>
      <c r="AL26" s="8">
        <f>[1]节奏总纲!AX26</f>
        <v>0.27881397852153644</v>
      </c>
      <c r="AM26" s="8"/>
      <c r="AN26" s="8">
        <v>23</v>
      </c>
      <c r="AO26" s="8">
        <f>[1]节奏总纲!BA26</f>
        <v>28.705435004691331</v>
      </c>
      <c r="AP26" s="8">
        <f>[1]节奏总纲!BB26</f>
        <v>30.079877315295377</v>
      </c>
      <c r="AQ26" s="8">
        <f>[1]节奏总纲!BC26</f>
        <v>31.848636073084339</v>
      </c>
      <c r="AR26" s="8">
        <f>[1]节奏总纲!BD26</f>
        <v>34.360958982105608</v>
      </c>
      <c r="AS26" s="8">
        <f>[1]节奏总纲!BE26</f>
        <v>38.976971320055128</v>
      </c>
    </row>
    <row r="27" spans="2:45" x14ac:dyDescent="0.15">
      <c r="B27" s="8">
        <f>[1]节奏总纲!N27</f>
        <v>34</v>
      </c>
      <c r="C27" s="8">
        <v>24</v>
      </c>
      <c r="D27" s="8">
        <f>[1]节奏总纲!P27</f>
        <v>4.2780316430915768</v>
      </c>
      <c r="E27" s="8">
        <f>[1]节奏总纲!Q27</f>
        <v>3.7214597263253628</v>
      </c>
      <c r="F27" s="8">
        <f>[1]节奏总纲!R27</f>
        <v>3.0699155070825155</v>
      </c>
      <c r="G27" s="8">
        <f>[1]节奏总纲!S27</f>
        <v>2.2742016214674821</v>
      </c>
      <c r="H27" s="8">
        <f>[1]节奏总纲!T27</f>
        <v>1.2692919885052709</v>
      </c>
      <c r="J27" s="8">
        <v>24</v>
      </c>
      <c r="K27" s="8">
        <f>[1]节奏总纲!W27</f>
        <v>0.35345398971191244</v>
      </c>
      <c r="L27" s="8">
        <f>[1]节奏总纲!X27</f>
        <v>0.31335649213046235</v>
      </c>
      <c r="M27" s="8">
        <f>[1]节奏总纲!Y27</f>
        <v>0.26345002715071786</v>
      </c>
      <c r="N27" s="8">
        <f>[1]节奏总纲!Z27</f>
        <v>0.19456792294159797</v>
      </c>
      <c r="O27" s="8">
        <f>[1]节奏总纲!AA27</f>
        <v>0.10840191863556625</v>
      </c>
      <c r="Q27" s="8">
        <v>24</v>
      </c>
      <c r="R27" s="8">
        <f>[1]节奏总纲!AD27</f>
        <v>46.430041330048923</v>
      </c>
      <c r="S27" s="8">
        <f>[1]节奏总纲!AE27</f>
        <v>48.330142263709867</v>
      </c>
      <c r="T27" s="8">
        <f>[1]节奏总纲!AF27</f>
        <v>51.118578408701396</v>
      </c>
      <c r="U27" s="8">
        <f>[1]节奏总纲!AG27</f>
        <v>55.44072585486321</v>
      </c>
      <c r="V27" s="8">
        <f>[1]节奏总纲!AH27</f>
        <v>63.791742872142052</v>
      </c>
      <c r="Z27" s="8">
        <v>24</v>
      </c>
      <c r="AA27" s="8">
        <f>[1]节奏总纲!AM27</f>
        <v>10.47447102993563</v>
      </c>
      <c r="AB27" s="8">
        <f>[1]节奏总纲!AN27</f>
        <v>8.3795768239485042</v>
      </c>
      <c r="AC27" s="8">
        <f>[1]节奏总纲!AO27</f>
        <v>6.2846826179613782</v>
      </c>
      <c r="AD27" s="8">
        <f>[1]节奏总纲!AP27</f>
        <v>4.1897884119742521</v>
      </c>
      <c r="AE27" s="8">
        <f>[1]节奏总纲!AQ27</f>
        <v>2.0948942059871261</v>
      </c>
      <c r="AG27" s="8">
        <v>24</v>
      </c>
      <c r="AH27" s="8">
        <f>[1]节奏总纲!AT27</f>
        <v>1.6389143055524151</v>
      </c>
      <c r="AI27" s="8">
        <f>[1]节奏总纲!AU27</f>
        <v>1.3111314444419317</v>
      </c>
      <c r="AJ27" s="8">
        <f>[1]节奏总纲!AV27</f>
        <v>0.98334858333144926</v>
      </c>
      <c r="AK27" s="8">
        <f>[1]节奏总纲!AW27</f>
        <v>0.65556572222096587</v>
      </c>
      <c r="AL27" s="8">
        <f>[1]节奏总纲!AX27</f>
        <v>0.32778286111048294</v>
      </c>
      <c r="AM27" s="8"/>
      <c r="AN27" s="8">
        <v>24</v>
      </c>
      <c r="AO27" s="8">
        <f>[1]节奏总纲!BA27</f>
        <v>28.979524459106884</v>
      </c>
      <c r="AP27" s="8">
        <f>[1]节奏总纲!BB27</f>
        <v>30.329493925593439</v>
      </c>
      <c r="AQ27" s="8">
        <f>[1]节奏总纲!BC27</f>
        <v>32.113552950216736</v>
      </c>
      <c r="AR27" s="8">
        <f>[1]节奏总纲!BD27</f>
        <v>34.627226072894942</v>
      </c>
      <c r="AS27" s="8">
        <f>[1]节奏总纲!BE27</f>
        <v>39.250296194358178</v>
      </c>
    </row>
    <row r="28" spans="2:45" x14ac:dyDescent="0.15">
      <c r="B28" s="8">
        <f>[1]节奏总纲!N28</f>
        <v>35</v>
      </c>
      <c r="C28" s="8">
        <v>25</v>
      </c>
      <c r="D28" s="8">
        <f>[1]节奏总纲!P28</f>
        <v>4.6568542494923806</v>
      </c>
      <c r="E28" s="8">
        <f>[1]节奏总纲!Q28</f>
        <v>4.054257309608067</v>
      </c>
      <c r="F28" s="8">
        <f>[1]节奏总纲!R28</f>
        <v>3.3445527219854276</v>
      </c>
      <c r="G28" s="8">
        <f>[1]节奏总纲!S28</f>
        <v>2.478377831579845</v>
      </c>
      <c r="H28" s="8">
        <f>[1]节奏总纲!T28</f>
        <v>1.3802915995495415</v>
      </c>
      <c r="J28" s="8">
        <v>25</v>
      </c>
      <c r="K28" s="8">
        <f>[1]节奏总纲!W28</f>
        <v>0.37882260640080379</v>
      </c>
      <c r="L28" s="8">
        <f>[1]节奏总纲!X28</f>
        <v>0.33279758328270415</v>
      </c>
      <c r="M28" s="8">
        <f>[1]节奏总纲!Y28</f>
        <v>0.27463721490291215</v>
      </c>
      <c r="N28" s="8">
        <f>[1]节奏总纲!Z28</f>
        <v>0.20417621011236298</v>
      </c>
      <c r="O28" s="8">
        <f>[1]节奏总纲!AA28</f>
        <v>0.11099961104427059</v>
      </c>
      <c r="Q28" s="8">
        <v>25</v>
      </c>
      <c r="R28" s="8">
        <f>[1]节奏总纲!AD28</f>
        <v>47.004247194324648</v>
      </c>
      <c r="S28" s="8">
        <f>[1]节奏总纲!AE28</f>
        <v>48.904516930942819</v>
      </c>
      <c r="T28" s="8">
        <f>[1]节奏总纲!AF28</f>
        <v>51.667220029142385</v>
      </c>
      <c r="U28" s="8">
        <f>[1]节奏总纲!AG28</f>
        <v>56.05100027504308</v>
      </c>
      <c r="V28" s="8">
        <f>[1]节奏总纲!AH28</f>
        <v>64.398425477456215</v>
      </c>
      <c r="Z28" s="8">
        <v>25</v>
      </c>
      <c r="AA28" s="8">
        <f>[1]节奏总纲!AM28</f>
        <v>12.4</v>
      </c>
      <c r="AB28" s="8">
        <f>[1]节奏总纲!AN28</f>
        <v>9.9200000000000017</v>
      </c>
      <c r="AC28" s="8">
        <f>[1]节奏总纲!AO28</f>
        <v>7.4399999999999995</v>
      </c>
      <c r="AD28" s="8">
        <f>[1]节奏总纲!AP28</f>
        <v>4.9600000000000009</v>
      </c>
      <c r="AE28" s="8">
        <f>[1]节奏总纲!AQ28</f>
        <v>2.4800000000000004</v>
      </c>
      <c r="AG28" s="8">
        <v>25</v>
      </c>
      <c r="AH28" s="8">
        <f>[1]节奏总纲!AT28</f>
        <v>1.9255289700643701</v>
      </c>
      <c r="AI28" s="8">
        <f>[1]节奏总纲!AU28</f>
        <v>1.5404231760514975</v>
      </c>
      <c r="AJ28" s="8">
        <f>[1]节奏总纲!AV28</f>
        <v>1.1553173820386213</v>
      </c>
      <c r="AK28" s="8">
        <f>[1]节奏总纲!AW28</f>
        <v>0.77021158802574874</v>
      </c>
      <c r="AL28" s="8">
        <f>[1]节奏总纲!AX28</f>
        <v>0.38510579401287437</v>
      </c>
      <c r="AM28" s="8"/>
      <c r="AN28" s="8">
        <v>25</v>
      </c>
      <c r="AO28" s="8">
        <f>[1]节奏总纲!BA28</f>
        <v>29.216428548527322</v>
      </c>
      <c r="AP28" s="8">
        <f>[1]节奏总纲!BB28</f>
        <v>30.579110535891502</v>
      </c>
      <c r="AQ28" s="8">
        <f>[1]节奏总纲!BC28</f>
        <v>32.356435933516131</v>
      </c>
      <c r="AR28" s="8">
        <f>[1]节奏总纲!BD28</f>
        <v>34.893493163684269</v>
      </c>
      <c r="AS28" s="8">
        <f>[1]节奏总纲!BE28</f>
        <v>39.520459727922798</v>
      </c>
    </row>
    <row r="29" spans="2:45" x14ac:dyDescent="0.15">
      <c r="B29" s="8">
        <f>[1]节奏总纲!N29</f>
        <v>36</v>
      </c>
      <c r="C29" s="8">
        <v>26</v>
      </c>
      <c r="D29" s="8">
        <f>[1]节奏总纲!P29</f>
        <v>5.062866266041592</v>
      </c>
      <c r="E29" s="8">
        <f>[1]节奏总纲!Q29</f>
        <v>4.408743944469018</v>
      </c>
      <c r="F29" s="8">
        <f>[1]节奏总纲!R29</f>
        <v>3.63716312552428</v>
      </c>
      <c r="G29" s="8">
        <f>[1]节奏总纲!S29</f>
        <v>2.6914197070277099</v>
      </c>
      <c r="H29" s="8">
        <f>[1]节奏总纲!T29</f>
        <v>1.4996209880015197</v>
      </c>
      <c r="J29" s="8">
        <v>26</v>
      </c>
      <c r="K29" s="8">
        <f>[1]节奏总纲!W29</f>
        <v>0.40601201654921137</v>
      </c>
      <c r="L29" s="8">
        <f>[1]节奏总纲!X29</f>
        <v>0.354486634860951</v>
      </c>
      <c r="M29" s="8">
        <f>[1]节奏总纲!Y29</f>
        <v>0.29261040353885237</v>
      </c>
      <c r="N29" s="8">
        <f>[1]节奏总纲!Z29</f>
        <v>0.2130418754478649</v>
      </c>
      <c r="O29" s="8">
        <f>[1]节奏总纲!AA29</f>
        <v>0.11932938845197816</v>
      </c>
      <c r="Q29" s="8">
        <v>26</v>
      </c>
      <c r="R29" s="8">
        <f>[1]节奏总纲!AD29</f>
        <v>47.540284631526092</v>
      </c>
      <c r="S29" s="8">
        <f>[1]节奏总纲!AE29</f>
        <v>49.446133440059114</v>
      </c>
      <c r="T29" s="8">
        <f>[1]节奏总纲!AF29</f>
        <v>52.199341027338768</v>
      </c>
      <c r="U29" s="8">
        <f>[1]节奏总纲!AG29</f>
        <v>56.621068614050692</v>
      </c>
      <c r="V29" s="8">
        <f>[1]节奏总纲!AH29</f>
        <v>65.00344105132713</v>
      </c>
      <c r="Z29" s="8">
        <v>26</v>
      </c>
      <c r="AA29" s="8">
        <f>[1]节奏总纲!AM29</f>
        <v>14.6609224175611</v>
      </c>
      <c r="AB29" s="8">
        <f>[1]节奏总纲!AN29</f>
        <v>11.72873793404888</v>
      </c>
      <c r="AC29" s="8">
        <f>[1]节奏总纲!AO29</f>
        <v>8.7965534505366598</v>
      </c>
      <c r="AD29" s="8">
        <f>[1]节奏总纲!AP29</f>
        <v>5.8643689670244399</v>
      </c>
      <c r="AE29" s="8">
        <f>[1]节奏总纲!AQ29</f>
        <v>2.9321844835122199</v>
      </c>
      <c r="AG29" s="8">
        <v>26</v>
      </c>
      <c r="AH29" s="8">
        <f>[1]节奏总纲!AT29</f>
        <v>2.2609224175610994</v>
      </c>
      <c r="AI29" s="8">
        <f>[1]节奏总纲!AU29</f>
        <v>1.8087379340488781</v>
      </c>
      <c r="AJ29" s="8">
        <f>[1]节奏总纲!AV29</f>
        <v>1.3565534505366603</v>
      </c>
      <c r="AK29" s="8">
        <f>[1]节奏总纲!AW29</f>
        <v>0.90436896702443903</v>
      </c>
      <c r="AL29" s="8">
        <f>[1]节奏总纲!AX29</f>
        <v>0.45218448351221951</v>
      </c>
      <c r="AM29" s="8"/>
      <c r="AN29" s="8">
        <v>26</v>
      </c>
      <c r="AO29" s="8">
        <f>[1]节奏总纲!BA29</f>
        <v>29.45033047434006</v>
      </c>
      <c r="AP29" s="8">
        <f>[1]节奏总纲!BB29</f>
        <v>30.828727146189561</v>
      </c>
      <c r="AQ29" s="8">
        <f>[1]节奏总纲!BC29</f>
        <v>32.59931891681552</v>
      </c>
      <c r="AR29" s="8">
        <f>[1]节奏总纲!BD29</f>
        <v>35.146386283795508</v>
      </c>
      <c r="AS29" s="8">
        <f>[1]节奏总纲!BE29</f>
        <v>39.790623261487418</v>
      </c>
    </row>
    <row r="30" spans="2:45" x14ac:dyDescent="0.15">
      <c r="B30" s="8">
        <f>[1]节奏总纲!N30</f>
        <v>37</v>
      </c>
      <c r="C30" s="8">
        <v>27</v>
      </c>
      <c r="D30" s="8">
        <f>[1]节奏总纲!P30</f>
        <v>5.4980191708498847</v>
      </c>
      <c r="E30" s="8">
        <f>[1]节奏总纲!Q30</f>
        <v>4.7882248958931646</v>
      </c>
      <c r="F30" s="8">
        <f>[1]节奏总纲!R30</f>
        <v>3.9492271704214725</v>
      </c>
      <c r="G30" s="8">
        <f>[1]节奏总纲!S30</f>
        <v>2.9205477835554587</v>
      </c>
      <c r="H30" s="8">
        <f>[1]节奏总纲!T30</f>
        <v>1.6290630803228208</v>
      </c>
      <c r="J30" s="8">
        <v>27</v>
      </c>
      <c r="K30" s="8">
        <f>[1]节奏总纲!W30</f>
        <v>0.43515290480829272</v>
      </c>
      <c r="L30" s="8">
        <f>[1]节奏总纲!X30</f>
        <v>0.37948095142414662</v>
      </c>
      <c r="M30" s="8">
        <f>[1]节奏总纲!Y30</f>
        <v>0.31206404489719253</v>
      </c>
      <c r="N30" s="8">
        <f>[1]节奏总纲!Z30</f>
        <v>0.2291280765277488</v>
      </c>
      <c r="O30" s="8">
        <f>[1]节奏总纲!AA30</f>
        <v>0.12944209232130111</v>
      </c>
      <c r="Q30" s="8">
        <v>27</v>
      </c>
      <c r="R30" s="8">
        <f>[1]节奏总纲!AD30</f>
        <v>48.071211008105138</v>
      </c>
      <c r="S30" s="8">
        <f>[1]节奏总纲!AE30</f>
        <v>49.981218513907905</v>
      </c>
      <c r="T30" s="8">
        <f>[1]节奏总纲!AF30</f>
        <v>52.705993248660157</v>
      </c>
      <c r="U30" s="8">
        <f>[1]节奏总纲!AG30</f>
        <v>57.175765669822162</v>
      </c>
      <c r="V30" s="8">
        <f>[1]节奏总纲!AH30</f>
        <v>65.541743280100334</v>
      </c>
      <c r="Z30" s="8">
        <v>27</v>
      </c>
      <c r="AA30" s="8">
        <f>[1]节奏总纲!AM30</f>
        <v>17.314186320787698</v>
      </c>
      <c r="AB30" s="8">
        <f>[1]节奏总纲!AN30</f>
        <v>13.851349056630159</v>
      </c>
      <c r="AC30" s="8">
        <f>[1]节奏总纲!AO30</f>
        <v>10.388511792472618</v>
      </c>
      <c r="AD30" s="8">
        <f>[1]节奏总纲!AP30</f>
        <v>6.9256745283150796</v>
      </c>
      <c r="AE30" s="8">
        <f>[1]节奏总纲!AQ30</f>
        <v>3.4628372641575398</v>
      </c>
      <c r="AG30" s="8">
        <v>27</v>
      </c>
      <c r="AH30" s="8">
        <f>[1]节奏总纲!AT30</f>
        <v>2.6532639032265983</v>
      </c>
      <c r="AI30" s="8">
        <f>[1]节奏总纲!AU30</f>
        <v>2.1226111225812794</v>
      </c>
      <c r="AJ30" s="8">
        <f>[1]节奏总纲!AV30</f>
        <v>1.5919583419359586</v>
      </c>
      <c r="AK30" s="8">
        <f>[1]节奏总纲!AW30</f>
        <v>1.0613055612906397</v>
      </c>
      <c r="AL30" s="8">
        <f>[1]节奏总纲!AX30</f>
        <v>0.53065278064531984</v>
      </c>
      <c r="AM30" s="8"/>
      <c r="AN30" s="8">
        <v>27</v>
      </c>
      <c r="AO30" s="8">
        <f>[1]节奏总纲!BA30</f>
        <v>29.684232400152801</v>
      </c>
      <c r="AP30" s="8">
        <f>[1]节奏总纲!BB30</f>
        <v>31.066913270913183</v>
      </c>
      <c r="AQ30" s="8">
        <f>[1]节奏总纲!BC30</f>
        <v>32.842201900114915</v>
      </c>
      <c r="AR30" s="8">
        <f>[1]节奏总纲!BD30</f>
        <v>35.390363423454687</v>
      </c>
      <c r="AS30" s="8">
        <f>[1]节奏总纲!BE30</f>
        <v>40.052446592012309</v>
      </c>
    </row>
    <row r="31" spans="2:45" x14ac:dyDescent="0.15">
      <c r="B31" s="8">
        <f>[1]节奏总纲!N31</f>
        <v>38</v>
      </c>
      <c r="C31" s="8">
        <v>28</v>
      </c>
      <c r="D31" s="8">
        <f>[1]节奏总纲!P31</f>
        <v>5.9644045063689921</v>
      </c>
      <c r="E31" s="8">
        <f>[1]节奏总纲!Q31</f>
        <v>5.1914176823435705</v>
      </c>
      <c r="F31" s="8">
        <f>[1]节奏总纲!R31</f>
        <v>4.2752851501652938</v>
      </c>
      <c r="G31" s="8">
        <f>[1]节奏总纲!S31</f>
        <v>3.1653094715300236</v>
      </c>
      <c r="H31" s="8">
        <f>[1]节奏总纲!T31</f>
        <v>1.7738139001941382</v>
      </c>
      <c r="J31" s="8">
        <v>28</v>
      </c>
      <c r="K31" s="8">
        <f>[1]节奏总纲!W31</f>
        <v>0.46638533551910744</v>
      </c>
      <c r="L31" s="8">
        <f>[1]节奏总纲!X31</f>
        <v>0.4031927864504059</v>
      </c>
      <c r="M31" s="8">
        <f>[1]节奏总纲!Y31</f>
        <v>0.32605797974382122</v>
      </c>
      <c r="N31" s="8">
        <f>[1]节奏总纲!Z31</f>
        <v>0.24476168797456488</v>
      </c>
      <c r="O31" s="8">
        <f>[1]节奏总纲!AA31</f>
        <v>0.14475081987131744</v>
      </c>
      <c r="Q31" s="8">
        <v>28</v>
      </c>
      <c r="R31" s="8">
        <f>[1]节奏总纲!AD31</f>
        <v>48.571351621712928</v>
      </c>
      <c r="S31" s="8">
        <f>[1]节奏总纲!AE31</f>
        <v>50.509688493127967</v>
      </c>
      <c r="T31" s="8">
        <f>[1]节奏总纲!AF31</f>
        <v>53.212684955585161</v>
      </c>
      <c r="U31" s="8">
        <f>[1]节奏总纲!AG31</f>
        <v>57.699988965458331</v>
      </c>
      <c r="V31" s="8">
        <f>[1]节奏总纲!AH31</f>
        <v>66.076345334947405</v>
      </c>
      <c r="Z31" s="8">
        <v>28</v>
      </c>
      <c r="AA31" s="8">
        <f>[1]节奏总纲!AM31</f>
        <v>20.42625995518307</v>
      </c>
      <c r="AB31" s="8">
        <f>[1]节奏总纲!AN31</f>
        <v>16.341007964146456</v>
      </c>
      <c r="AC31" s="8">
        <f>[1]节奏总纲!AO31</f>
        <v>12.255755973109842</v>
      </c>
      <c r="AD31" s="8">
        <f>[1]节奏总纲!AP31</f>
        <v>8.1705039820732281</v>
      </c>
      <c r="AE31" s="8">
        <f>[1]节奏总纲!AQ31</f>
        <v>4.0852519910366141</v>
      </c>
      <c r="AG31" s="8">
        <v>28</v>
      </c>
      <c r="AH31" s="8">
        <f>[1]节奏总纲!AT31</f>
        <v>3.1120736343953723</v>
      </c>
      <c r="AI31" s="8">
        <f>[1]节奏总纲!AU31</f>
        <v>2.4896589075162971</v>
      </c>
      <c r="AJ31" s="8">
        <f>[1]节奏总纲!AV31</f>
        <v>1.8672441806372237</v>
      </c>
      <c r="AK31" s="8">
        <f>[1]节奏总纲!AW31</f>
        <v>1.2448294537581486</v>
      </c>
      <c r="AL31" s="8">
        <f>[1]节奏总纲!AX31</f>
        <v>0.62241472687907429</v>
      </c>
      <c r="AM31" s="8"/>
      <c r="AN31" s="8">
        <v>28</v>
      </c>
      <c r="AO31" s="8">
        <f>[1]节奏总纲!BA31</f>
        <v>29.918134325965539</v>
      </c>
      <c r="AP31" s="8">
        <f>[1]节奏总纲!BB31</f>
        <v>31.280110398778046</v>
      </c>
      <c r="AQ31" s="8">
        <f>[1]节奏总纲!BC31</f>
        <v>33.072726100175295</v>
      </c>
      <c r="AR31" s="8">
        <f>[1]节奏总纲!BD31</f>
        <v>35.634340563113874</v>
      </c>
      <c r="AS31" s="8">
        <f>[1]节奏总纲!BE31</f>
        <v>40.28554255651148</v>
      </c>
    </row>
    <row r="32" spans="2:45" x14ac:dyDescent="0.15">
      <c r="B32" s="8">
        <f>[1]节奏总纲!N32</f>
        <v>39</v>
      </c>
      <c r="C32" s="8">
        <v>29</v>
      </c>
      <c r="D32" s="8">
        <f>[1]节奏总纲!P32</f>
        <v>6.4642639322944575</v>
      </c>
      <c r="E32" s="8">
        <f>[1]节奏总纲!Q32</f>
        <v>5.6323131642081607</v>
      </c>
      <c r="F32" s="8">
        <f>[1]节奏总纲!R32</f>
        <v>4.6510378992858623</v>
      </c>
      <c r="G32" s="8">
        <f>[1]节奏总纲!S32</f>
        <v>3.4532097926316991</v>
      </c>
      <c r="H32" s="8">
        <f>[1]节奏总纲!T32</f>
        <v>1.9366934741154194</v>
      </c>
      <c r="J32" s="8">
        <v>29</v>
      </c>
      <c r="K32" s="8">
        <f>[1]节奏总纲!W32</f>
        <v>0.49985942592546539</v>
      </c>
      <c r="L32" s="8">
        <f>[1]节奏总纲!X32</f>
        <v>0.44089548186459027</v>
      </c>
      <c r="M32" s="8">
        <f>[1]节奏总纲!Y32</f>
        <v>0.37575274912056855</v>
      </c>
      <c r="N32" s="8">
        <f>[1]节奏总纲!Z32</f>
        <v>0.28790032110167552</v>
      </c>
      <c r="O32" s="8">
        <f>[1]节奏总纲!AA32</f>
        <v>0.16287957392128116</v>
      </c>
      <c r="Q32" s="8">
        <v>29</v>
      </c>
      <c r="R32" s="8">
        <f>[1]节奏总纲!AD32</f>
        <v>49.066704614192936</v>
      </c>
      <c r="S32" s="8">
        <f>[1]节奏总纲!AE32</f>
        <v>51.033341828534468</v>
      </c>
      <c r="T32" s="8">
        <f>[1]节奏总纲!AF32</f>
        <v>53.719431255885922</v>
      </c>
      <c r="U32" s="8">
        <f>[1]节奏总纲!AG32</f>
        <v>58.210135614815364</v>
      </c>
      <c r="V32" s="8">
        <f>[1]节奏总纲!AH32</f>
        <v>66.589764070576265</v>
      </c>
      <c r="Z32" s="8">
        <v>29</v>
      </c>
      <c r="AA32" s="8">
        <f>[1]节奏总纲!AM32</f>
        <v>24.074703862418847</v>
      </c>
      <c r="AB32" s="8">
        <f>[1]节奏总纲!AN32</f>
        <v>19.259763089935078</v>
      </c>
      <c r="AC32" s="8">
        <f>[1]节奏总纲!AO32</f>
        <v>14.444822317451308</v>
      </c>
      <c r="AD32" s="8">
        <f>[1]节奏总纲!AP32</f>
        <v>9.6298815449675388</v>
      </c>
      <c r="AE32" s="8">
        <f>[1]节奏总纲!AQ32</f>
        <v>4.8149407724837694</v>
      </c>
      <c r="AG32" s="8">
        <v>29</v>
      </c>
      <c r="AH32" s="8">
        <f>[1]节奏总纲!AT32</f>
        <v>3.6484439072357766</v>
      </c>
      <c r="AI32" s="8">
        <f>[1]节奏总纲!AU32</f>
        <v>2.9187551257886213</v>
      </c>
      <c r="AJ32" s="8">
        <f>[1]节奏总纲!AV32</f>
        <v>2.189066344341466</v>
      </c>
      <c r="AK32" s="8">
        <f>[1]节奏总纲!AW32</f>
        <v>1.4593775628943106</v>
      </c>
      <c r="AL32" s="8">
        <f>[1]节奏总纲!AX32</f>
        <v>0.72968878144715532</v>
      </c>
      <c r="AM32" s="8"/>
      <c r="AN32" s="8">
        <v>29</v>
      </c>
      <c r="AO32" s="8">
        <f>[1]节奏总纲!BA32</f>
        <v>30.12980063735499</v>
      </c>
      <c r="AP32" s="8">
        <f>[1]节奏总纲!BB32</f>
        <v>31.493307526642905</v>
      </c>
      <c r="AQ32" s="8">
        <f>[1]节奏总纲!BC32</f>
        <v>33.280329748032408</v>
      </c>
      <c r="AR32" s="8">
        <f>[1]节奏总纲!BD32</f>
        <v>35.878317702773053</v>
      </c>
      <c r="AS32" s="8">
        <f>[1]节奏总纲!BE32</f>
        <v>40.518638521010644</v>
      </c>
    </row>
    <row r="33" spans="2:45" x14ac:dyDescent="0.15">
      <c r="B33" s="8">
        <f>[1]节奏总纲!N33</f>
        <v>40</v>
      </c>
      <c r="C33" s="8">
        <v>30</v>
      </c>
      <c r="D33" s="8">
        <f>[1]节奏总纲!P33</f>
        <v>7</v>
      </c>
      <c r="E33" s="8">
        <f>[1]节奏总纲!Q33</f>
        <v>6.1025999999999998</v>
      </c>
      <c r="F33" s="8">
        <f>[1]节奏总纲!R33</f>
        <v>5.0421000000000005</v>
      </c>
      <c r="G33" s="8">
        <f>[1]节奏总纲!S33</f>
        <v>3.7428999999999997</v>
      </c>
      <c r="H33" s="8">
        <f>[1]节奏总纲!T33</f>
        <v>2.1006999999999998</v>
      </c>
      <c r="J33" s="8">
        <v>30</v>
      </c>
      <c r="K33" s="8">
        <f>[1]节奏总纲!W33</f>
        <v>0.5357360677055425</v>
      </c>
      <c r="L33" s="8">
        <f>[1]节奏总纲!X33</f>
        <v>0.47028683579183905</v>
      </c>
      <c r="M33" s="8">
        <f>[1]节奏总纲!Y33</f>
        <v>0.39106210071413816</v>
      </c>
      <c r="N33" s="8">
        <f>[1]节奏总纲!Z33</f>
        <v>0.28969020736830053</v>
      </c>
      <c r="O33" s="8">
        <f>[1]节奏总纲!AA33</f>
        <v>0.16400652588458042</v>
      </c>
      <c r="Q33" s="8">
        <v>30</v>
      </c>
      <c r="R33" s="8">
        <f>[1]节奏总纲!AD33</f>
        <v>49.533352307096472</v>
      </c>
      <c r="S33" s="8">
        <f>[1]节奏总纲!AE33</f>
        <v>51.497823295559343</v>
      </c>
      <c r="T33" s="8">
        <f>[1]节奏总纲!AF33</f>
        <v>54.213705787583436</v>
      </c>
      <c r="U33" s="8">
        <f>[1]节奏总纲!AG33</f>
        <v>58.701446767877648</v>
      </c>
      <c r="V33" s="8">
        <f>[1]节奏总纲!AH33</f>
        <v>67.097551508592701</v>
      </c>
      <c r="Z33" s="8">
        <v>30</v>
      </c>
      <c r="AA33" s="8">
        <f>[1]节奏总纲!AM33</f>
        <v>28.35</v>
      </c>
      <c r="AB33" s="8">
        <f>[1]节奏总纲!AN33</f>
        <v>22.680000000000003</v>
      </c>
      <c r="AC33" s="8">
        <f>[1]节奏总纲!AO33</f>
        <v>17.010000000000002</v>
      </c>
      <c r="AD33" s="8">
        <f>[1]节奏总纲!AP33</f>
        <v>11.340000000000002</v>
      </c>
      <c r="AE33" s="8">
        <f>[1]节奏总纲!AQ33</f>
        <v>5.6700000000000008</v>
      </c>
      <c r="AG33" s="8">
        <v>30</v>
      </c>
      <c r="AH33" s="8">
        <f>[1]节奏总纲!AT33</f>
        <v>4.2752961375811545</v>
      </c>
      <c r="AI33" s="8">
        <f>[1]节奏总纲!AU33</f>
        <v>3.4202369100649257</v>
      </c>
      <c r="AJ33" s="8">
        <f>[1]节奏总纲!AV33</f>
        <v>2.5651776825486934</v>
      </c>
      <c r="AK33" s="8">
        <f>[1]节奏总纲!AW33</f>
        <v>1.7101184550324628</v>
      </c>
      <c r="AL33" s="8">
        <f>[1]节奏总纲!AX33</f>
        <v>0.85505922751623142</v>
      </c>
      <c r="AM33" s="8"/>
      <c r="AN33" s="8">
        <v>30</v>
      </c>
      <c r="AO33" s="8">
        <f>[1]节奏总纲!BA33</f>
        <v>30.329493925593439</v>
      </c>
      <c r="AP33" s="8">
        <f>[1]节奏总纲!BB33</f>
        <v>31.706504654507764</v>
      </c>
      <c r="AQ33" s="8">
        <f>[1]节奏总纲!BC33</f>
        <v>33.487933395889513</v>
      </c>
      <c r="AR33" s="8">
        <f>[1]节奏总纲!BD33</f>
        <v>36.105477566569242</v>
      </c>
      <c r="AS33" s="8">
        <f>[1]节奏总纲!BE33</f>
        <v>40.751734485509814</v>
      </c>
    </row>
    <row r="34" spans="2:45" x14ac:dyDescent="0.15">
      <c r="B34" s="8">
        <f>[1]节奏总纲!N34</f>
        <v>41</v>
      </c>
      <c r="C34" s="8">
        <v>31</v>
      </c>
      <c r="D34" s="8">
        <f>[1]节奏总纲!P34</f>
        <v>7.5741877002903433</v>
      </c>
      <c r="E34" s="8">
        <f>[1]节奏总纲!Q34</f>
        <v>6.6115084435834408</v>
      </c>
      <c r="F34" s="8">
        <f>[1]节奏总纲!R34</f>
        <v>5.4632615882194253</v>
      </c>
      <c r="G34" s="8">
        <f>[1]节奏总纲!S34</f>
        <v>4.052190419655334</v>
      </c>
      <c r="H34" s="8">
        <f>[1]节奏总纲!T34</f>
        <v>2.2783156602473356</v>
      </c>
      <c r="J34" s="8">
        <v>31</v>
      </c>
      <c r="K34" s="8">
        <f>[1]节奏总纲!W34</f>
        <v>0.57418770029034327</v>
      </c>
      <c r="L34" s="8">
        <f>[1]节奏总纲!X34</f>
        <v>0.50890844358344101</v>
      </c>
      <c r="M34" s="8">
        <f>[1]节奏总纲!Y34</f>
        <v>0.42116158821942484</v>
      </c>
      <c r="N34" s="8">
        <f>[1]节奏总纲!Z34</f>
        <v>0.30929041965533433</v>
      </c>
      <c r="O34" s="8">
        <f>[1]节奏总纲!AA34</f>
        <v>0.17761566024733577</v>
      </c>
      <c r="Q34" s="8">
        <v>31</v>
      </c>
      <c r="R34" s="8">
        <f>[1]节奏总纲!AD34</f>
        <v>50</v>
      </c>
      <c r="S34" s="8">
        <f>[1]节奏总纲!AE34</f>
        <v>51.96230476258421</v>
      </c>
      <c r="T34" s="8">
        <f>[1]节奏总纲!AF34</f>
        <v>54.692509339255828</v>
      </c>
      <c r="U34" s="8">
        <f>[1]节奏总纲!AG34</f>
        <v>59.178112178215827</v>
      </c>
      <c r="V34" s="8">
        <f>[1]节奏总纲!AH34</f>
        <v>67.582949939226467</v>
      </c>
      <c r="Z34" s="8">
        <v>31</v>
      </c>
      <c r="AA34" s="8">
        <f>[1]节奏总纲!AM34</f>
        <v>33.357679571112705</v>
      </c>
      <c r="AB34" s="8">
        <f>[1]节奏总纲!AN34</f>
        <v>26.686143656890167</v>
      </c>
      <c r="AC34" s="8">
        <f>[1]节奏总纲!AO34</f>
        <v>20.014607742667621</v>
      </c>
      <c r="AD34" s="8">
        <f>[1]节奏总纲!AP34</f>
        <v>13.343071828445083</v>
      </c>
      <c r="AE34" s="8">
        <f>[1]节奏总纲!AQ34</f>
        <v>6.6715359142225417</v>
      </c>
      <c r="AG34" s="8">
        <v>31</v>
      </c>
      <c r="AH34" s="8">
        <f>[1]节奏总纲!AT34</f>
        <v>5.0076795711127033</v>
      </c>
      <c r="AI34" s="8">
        <f>[1]节奏总纲!AU34</f>
        <v>4.0061436568901634</v>
      </c>
      <c r="AJ34" s="8">
        <f>[1]节奏总纲!AV34</f>
        <v>3.0046077426676199</v>
      </c>
      <c r="AK34" s="8">
        <f>[1]节奏总纲!AW34</f>
        <v>2.0030718284450817</v>
      </c>
      <c r="AL34" s="8">
        <f>[1]节奏总纲!AX34</f>
        <v>1.0015359142225408</v>
      </c>
      <c r="AM34" s="8"/>
      <c r="AN34" s="8">
        <v>31</v>
      </c>
      <c r="AO34" s="8">
        <f>[1]节奏总纲!BA34</f>
        <v>30.529187213831889</v>
      </c>
      <c r="AP34" s="8">
        <f>[1]节奏总纲!BB34</f>
        <v>31.919701782372627</v>
      </c>
      <c r="AQ34" s="8">
        <f>[1]节奏总纲!BC34</f>
        <v>33.695537043746626</v>
      </c>
      <c r="AR34" s="8">
        <f>[1]节奏总纲!BD34</f>
        <v>36.315904388158508</v>
      </c>
      <c r="AS34" s="8">
        <f>[1]节奏总纲!BE34</f>
        <v>40.984830450008978</v>
      </c>
    </row>
    <row r="35" spans="2:45" x14ac:dyDescent="0.15">
      <c r="B35" s="8">
        <f>[1]节奏总纲!N35</f>
        <v>42</v>
      </c>
      <c r="C35" s="8">
        <v>32</v>
      </c>
      <c r="D35" s="8">
        <f>[1]节奏总纲!P35</f>
        <v>8.189586839976279</v>
      </c>
      <c r="E35" s="8">
        <f>[1]节奏总纲!Q35</f>
        <v>7.1519661873512845</v>
      </c>
      <c r="F35" s="8">
        <f>[1]节奏总纲!R35</f>
        <v>5.906330028990892</v>
      </c>
      <c r="G35" s="8">
        <f>[1]节奏总纲!S35</f>
        <v>4.3855237528072974</v>
      </c>
      <c r="H35" s="8">
        <f>[1]节奏总纲!T35</f>
        <v>2.46506563883286</v>
      </c>
      <c r="J35" s="8">
        <v>32</v>
      </c>
      <c r="K35" s="8">
        <f>[1]节奏总纲!W35</f>
        <v>0.61539913968593574</v>
      </c>
      <c r="L35" s="8">
        <f>[1]节奏总纲!X35</f>
        <v>0.54045774376784372</v>
      </c>
      <c r="M35" s="8">
        <f>[1]节奏总纲!Y35</f>
        <v>0.44306844077146668</v>
      </c>
      <c r="N35" s="8">
        <f>[1]节奏总纲!Z35</f>
        <v>0.33333333315196345</v>
      </c>
      <c r="O35" s="8">
        <f>[1]节奏总纲!AA35</f>
        <v>0.18674997858552445</v>
      </c>
      <c r="Q35" s="8">
        <v>32</v>
      </c>
      <c r="R35" s="8">
        <f>[1]节奏总纲!AD35</f>
        <v>50.435397692903535</v>
      </c>
      <c r="S35" s="8">
        <f>[1]节奏总纲!AE35</f>
        <v>52.391506955233744</v>
      </c>
      <c r="T35" s="8">
        <f>[1]节奏总纲!AF35</f>
        <v>55.159275389027101</v>
      </c>
      <c r="U35" s="8">
        <f>[1]节奏总纲!AG35</f>
        <v>59.632093520341421</v>
      </c>
      <c r="V35" s="8">
        <f>[1]节奏总纲!AH35</f>
        <v>68.063981730538742</v>
      </c>
      <c r="Z35" s="8">
        <v>32</v>
      </c>
      <c r="AA35" s="8">
        <f>[1]节奏总纲!AM35</f>
        <v>39.220797956048642</v>
      </c>
      <c r="AB35" s="8">
        <f>[1]节奏总纲!AN35</f>
        <v>31.376638364838914</v>
      </c>
      <c r="AC35" s="8">
        <f>[1]节奏总纲!AO35</f>
        <v>23.532478773629183</v>
      </c>
      <c r="AD35" s="8">
        <f>[1]节奏总纲!AP35</f>
        <v>15.688319182419457</v>
      </c>
      <c r="AE35" s="8">
        <f>[1]节奏总纲!AQ35</f>
        <v>7.8441595912097286</v>
      </c>
      <c r="AG35" s="8">
        <v>32</v>
      </c>
      <c r="AH35" s="8">
        <f>[1]节奏总纲!AT35</f>
        <v>5.8631183849359374</v>
      </c>
      <c r="AI35" s="8">
        <f>[1]节奏总纲!AU35</f>
        <v>4.6904947079487478</v>
      </c>
      <c r="AJ35" s="8">
        <f>[1]节奏总纲!AV35</f>
        <v>3.5178710309615617</v>
      </c>
      <c r="AK35" s="8">
        <f>[1]节奏总纲!AW35</f>
        <v>2.3452473539743739</v>
      </c>
      <c r="AL35" s="8">
        <f>[1]节奏总纲!AX35</f>
        <v>1.1726236769871869</v>
      </c>
      <c r="AM35" s="8"/>
      <c r="AN35" s="8">
        <v>32</v>
      </c>
      <c r="AO35" s="8">
        <f>[1]节奏总纲!BA35</f>
        <v>30.728880502070336</v>
      </c>
      <c r="AP35" s="8">
        <f>[1]节奏总纲!BB35</f>
        <v>32.113552950216736</v>
      </c>
      <c r="AQ35" s="8">
        <f>[1]节奏总纲!BC35</f>
        <v>33.903140691603731</v>
      </c>
      <c r="AR35" s="8">
        <f>[1]节奏总纲!BD35</f>
        <v>36.526331209747774</v>
      </c>
      <c r="AS35" s="8">
        <f>[1]节奏总纲!BE35</f>
        <v>41.188041754455355</v>
      </c>
    </row>
    <row r="36" spans="2:45" x14ac:dyDescent="0.15">
      <c r="B36" s="8">
        <f>[1]节奏总纲!N36</f>
        <v>43</v>
      </c>
      <c r="C36" s="8">
        <v>33</v>
      </c>
      <c r="D36" s="8">
        <f>[1]节奏总纲!P36</f>
        <v>8.8491553067593287</v>
      </c>
      <c r="E36" s="8">
        <f>[1]节奏总纲!Q36</f>
        <v>7.7120388498407557</v>
      </c>
      <c r="F36" s="8">
        <f>[1]节奏总纲!R36</f>
        <v>6.3696219898053652</v>
      </c>
      <c r="G36" s="8">
        <f>[1]节奏总纲!S36</f>
        <v>4.736067920177593</v>
      </c>
      <c r="H36" s="8">
        <f>[1]节奏总纲!T36</f>
        <v>2.6627108318038819</v>
      </c>
      <c r="J36" s="8">
        <v>33</v>
      </c>
      <c r="K36" s="8">
        <f>[1]节奏总纲!W36</f>
        <v>0.6595684667830497</v>
      </c>
      <c r="L36" s="8">
        <f>[1]节奏总纲!X36</f>
        <v>0.56007266248947118</v>
      </c>
      <c r="M36" s="8">
        <f>[1]节奏总纲!Y36</f>
        <v>0.46329196081447321</v>
      </c>
      <c r="N36" s="8">
        <f>[1]节奏总纲!Z36</f>
        <v>0.35054416737029559</v>
      </c>
      <c r="O36" s="8">
        <f>[1]节奏总纲!AA36</f>
        <v>0.1976451929710219</v>
      </c>
      <c r="Q36" s="8">
        <v>33</v>
      </c>
      <c r="R36" s="8">
        <f>[1]节奏总纲!AD36</f>
        <v>50.870795385807064</v>
      </c>
      <c r="S36" s="8">
        <f>[1]节奏总纲!AE36</f>
        <v>52.81759316022675</v>
      </c>
      <c r="T36" s="8">
        <f>[1]节奏总纲!AF36</f>
        <v>55.604435245632025</v>
      </c>
      <c r="U36" s="8">
        <f>[1]节奏总纲!AG36</f>
        <v>60.078368706270226</v>
      </c>
      <c r="V36" s="8">
        <f>[1]节奏总纲!AH36</f>
        <v>68.518369035696878</v>
      </c>
      <c r="Z36" s="8">
        <v>33</v>
      </c>
      <c r="AA36" s="8">
        <f>[1]节奏总纲!AM36</f>
        <v>46.082812923199413</v>
      </c>
      <c r="AB36" s="8">
        <f>[1]节奏总纲!AN36</f>
        <v>36.866250338559531</v>
      </c>
      <c r="AC36" s="8">
        <f>[1]节奏总纲!AO36</f>
        <v>27.649687753919647</v>
      </c>
      <c r="AD36" s="8">
        <f>[1]节奏总纲!AP36</f>
        <v>18.433125169279766</v>
      </c>
      <c r="AE36" s="8">
        <f>[1]节奏总纲!AQ36</f>
        <v>9.2165625846398829</v>
      </c>
      <c r="AG36" s="8">
        <v>33</v>
      </c>
      <c r="AH36" s="8">
        <f>[1]节奏总纲!AT36</f>
        <v>6.8620149671507704</v>
      </c>
      <c r="AI36" s="8">
        <f>[1]节奏总纲!AU36</f>
        <v>5.489611973720617</v>
      </c>
      <c r="AJ36" s="8">
        <f>[1]节奏总纲!AV36</f>
        <v>4.1172089802904637</v>
      </c>
      <c r="AK36" s="8">
        <f>[1]节奏总纲!AW36</f>
        <v>2.7448059868603085</v>
      </c>
      <c r="AL36" s="8">
        <f>[1]节奏总纲!AX36</f>
        <v>1.3724029934301543</v>
      </c>
      <c r="AM36" s="8"/>
      <c r="AN36" s="8">
        <v>33</v>
      </c>
      <c r="AO36" s="8">
        <f>[1]节奏总纲!BA36</f>
        <v>30.928573790308786</v>
      </c>
      <c r="AP36" s="8">
        <f>[1]节奏总纲!BB36</f>
        <v>32.295715187691279</v>
      </c>
      <c r="AQ36" s="8">
        <f>[1]节奏总纲!BC36</f>
        <v>34.09469189131628</v>
      </c>
      <c r="AR36" s="8">
        <f>[1]节奏总纲!BD36</f>
        <v>36.73675803133704</v>
      </c>
      <c r="AS36" s="8">
        <f>[1]节奏总纲!BE36</f>
        <v>41.389172829914081</v>
      </c>
    </row>
    <row r="37" spans="2:45" x14ac:dyDescent="0.15">
      <c r="B37" s="8">
        <f>[1]节奏总纲!N37</f>
        <v>44</v>
      </c>
      <c r="C37" s="8">
        <v>34</v>
      </c>
      <c r="D37" s="8">
        <f>[1]节奏总纲!P37</f>
        <v>9.5560632861831518</v>
      </c>
      <c r="E37" s="8">
        <f>[1]节奏总纲!Q37</f>
        <v>8.3309759728944712</v>
      </c>
      <c r="F37" s="8">
        <f>[1]节奏总纲!R37</f>
        <v>6.8918328419952886</v>
      </c>
      <c r="G37" s="8">
        <f>[1]节奏总纲!S37</f>
        <v>5.1287391656944967</v>
      </c>
      <c r="H37" s="8">
        <f>[1]节奏总纲!T37</f>
        <v>2.8811530807842201</v>
      </c>
      <c r="J37" s="8">
        <v>34</v>
      </c>
      <c r="K37" s="8">
        <f>[1]节奏总纲!W37</f>
        <v>0.70690797942382311</v>
      </c>
      <c r="L37" s="8">
        <f>[1]节奏总纲!X37</f>
        <v>0.61893712305371551</v>
      </c>
      <c r="M37" s="8">
        <f>[1]节奏总纲!Y37</f>
        <v>0.52221085218992336</v>
      </c>
      <c r="N37" s="8">
        <f>[1]节奏总纲!Z37</f>
        <v>0.39267124551690369</v>
      </c>
      <c r="O37" s="8">
        <f>[1]节奏总纲!AA37</f>
        <v>0.21844224898033815</v>
      </c>
      <c r="Q37" s="8">
        <v>34</v>
      </c>
      <c r="R37" s="8">
        <f>[1]节奏总纲!AD37</f>
        <v>51.285688244217212</v>
      </c>
      <c r="S37" s="8">
        <f>[1]节奏总纲!AE37</f>
        <v>53.226994578658328</v>
      </c>
      <c r="T37" s="8">
        <f>[1]节奏总纲!AF37</f>
        <v>56.045896281048073</v>
      </c>
      <c r="U37" s="8">
        <f>[1]节奏总纲!AG37</f>
        <v>60.491705764657482</v>
      </c>
      <c r="V37" s="8">
        <f>[1]节奏总纲!AH37</f>
        <v>68.972756340855</v>
      </c>
      <c r="Z37" s="8">
        <v>34</v>
      </c>
      <c r="AA37" s="8">
        <f>[1]节奏总纲!AM37</f>
        <v>54.110931329932889</v>
      </c>
      <c r="AB37" s="8">
        <f>[1]节奏总纲!AN37</f>
        <v>43.288745063946315</v>
      </c>
      <c r="AC37" s="8">
        <f>[1]节奏总纲!AO37</f>
        <v>32.466558797959735</v>
      </c>
      <c r="AD37" s="8">
        <f>[1]节奏总纲!AP37</f>
        <v>21.644372531973158</v>
      </c>
      <c r="AE37" s="8">
        <f>[1]节奏总纲!AQ37</f>
        <v>10.822186265986579</v>
      </c>
      <c r="AG37" s="8">
        <v>34</v>
      </c>
      <c r="AH37" s="8">
        <f>[1]节奏总纲!AT37</f>
        <v>8.0281184067334763</v>
      </c>
      <c r="AI37" s="8">
        <f>[1]节奏总纲!AU37</f>
        <v>6.4224947253867839</v>
      </c>
      <c r="AJ37" s="8">
        <f>[1]节奏总纲!AV37</f>
        <v>4.8168710440400879</v>
      </c>
      <c r="AK37" s="8">
        <f>[1]节奏总纲!AW37</f>
        <v>3.2112473626933919</v>
      </c>
      <c r="AL37" s="8">
        <f>[1]节奏总纲!AX37</f>
        <v>1.605623681346696</v>
      </c>
      <c r="AM37" s="8"/>
      <c r="AN37" s="8">
        <v>34</v>
      </c>
      <c r="AO37" s="8">
        <f>[1]节奏总纲!BA37</f>
        <v>31.109552696486158</v>
      </c>
      <c r="AP37" s="8">
        <f>[1]节奏总纲!BB37</f>
        <v>32.477877425165822</v>
      </c>
      <c r="AQ37" s="8">
        <f>[1]节奏总纲!BC37</f>
        <v>34.272203285175834</v>
      </c>
      <c r="AR37" s="8">
        <f>[1]节奏总纲!BD37</f>
        <v>36.947184852926306</v>
      </c>
      <c r="AS37" s="8">
        <f>[1]节奏总纲!BE37</f>
        <v>41.590303905372799</v>
      </c>
    </row>
    <row r="38" spans="2:45" x14ac:dyDescent="0.15">
      <c r="B38" s="8">
        <f>[1]节奏总纲!N38</f>
        <v>45</v>
      </c>
      <c r="C38" s="8">
        <v>35</v>
      </c>
      <c r="D38" s="8">
        <f>[1]节奏总纲!P38</f>
        <v>10.313708498984759</v>
      </c>
      <c r="E38" s="8">
        <f>[1]节奏总纲!Q38</f>
        <v>9.0048988904635934</v>
      </c>
      <c r="F38" s="8">
        <f>[1]节奏总纲!R38</f>
        <v>7.4547485030661838</v>
      </c>
      <c r="G38" s="8">
        <f>[1]节奏总纲!S38</f>
        <v>5.5405242056546129</v>
      </c>
      <c r="H38" s="8">
        <f>[1]节奏总纲!T38</f>
        <v>3.1106144832938032</v>
      </c>
      <c r="J38" s="8">
        <v>35</v>
      </c>
      <c r="K38" s="8">
        <f>[1]节奏总纲!W38</f>
        <v>0.75764521280160757</v>
      </c>
      <c r="L38" s="8">
        <f>[1]节奏总纲!X38</f>
        <v>0.67392291756912215</v>
      </c>
      <c r="M38" s="8">
        <f>[1]节奏总纲!Y38</f>
        <v>0.56291566107089519</v>
      </c>
      <c r="N38" s="8">
        <f>[1]节奏总纲!Z38</f>
        <v>0.41178503996011617</v>
      </c>
      <c r="O38" s="8">
        <f>[1]节奏总纲!AA38</f>
        <v>0.22946140250958313</v>
      </c>
      <c r="Q38" s="8">
        <v>35</v>
      </c>
      <c r="R38" s="8">
        <f>[1]节奏总纲!AD38</f>
        <v>51.691928656135211</v>
      </c>
      <c r="S38" s="8">
        <f>[1]节奏总纲!AE38</f>
        <v>53.623906555539456</v>
      </c>
      <c r="T38" s="8">
        <f>[1]节奏总纲!AF38</f>
        <v>56.457855949816349</v>
      </c>
      <c r="U38" s="8">
        <f>[1]节奏总纲!AG38</f>
        <v>60.905042823044738</v>
      </c>
      <c r="V38" s="8">
        <f>[1]节奏总纲!AH38</f>
        <v>69.385288338144662</v>
      </c>
      <c r="Z38" s="8">
        <v>35</v>
      </c>
      <c r="AA38" s="8">
        <f>[1]节奏总纲!AM38</f>
        <v>63.5</v>
      </c>
      <c r="AB38" s="8">
        <f>[1]节奏总纲!AN38</f>
        <v>50.800000000000004</v>
      </c>
      <c r="AC38" s="8">
        <f>[1]节奏总纲!AO38</f>
        <v>38.1</v>
      </c>
      <c r="AD38" s="8">
        <f>[1]节奏总纲!AP38</f>
        <v>25.400000000000002</v>
      </c>
      <c r="AE38" s="8">
        <f>[1]节奏总纲!AQ38</f>
        <v>12.700000000000001</v>
      </c>
      <c r="AG38" s="8">
        <v>35</v>
      </c>
      <c r="AH38" s="8">
        <f>[1]节奏总纲!AT38</f>
        <v>9.3890686700671111</v>
      </c>
      <c r="AI38" s="8">
        <f>[1]节奏总纲!AU38</f>
        <v>7.5112549360536889</v>
      </c>
      <c r="AJ38" s="8">
        <f>[1]节奏总纲!AV38</f>
        <v>5.6334412020402667</v>
      </c>
      <c r="AK38" s="8">
        <f>[1]节奏总纲!AW38</f>
        <v>3.7556274680268444</v>
      </c>
      <c r="AL38" s="8">
        <f>[1]节奏总纲!AX38</f>
        <v>1.8778137340134222</v>
      </c>
      <c r="AM38" s="8"/>
      <c r="AN38" s="8">
        <v>35</v>
      </c>
      <c r="AO38" s="8">
        <f>[1]节奏总纲!BA38</f>
        <v>31.280110398778046</v>
      </c>
      <c r="AP38" s="8">
        <f>[1]节奏总纲!BB38</f>
        <v>32.660039662640372</v>
      </c>
      <c r="AQ38" s="8">
        <f>[1]节奏总纲!BC38</f>
        <v>34.449714679035388</v>
      </c>
      <c r="AR38" s="8">
        <f>[1]节奏总纲!BD38</f>
        <v>37.135950591746003</v>
      </c>
      <c r="AS38" s="8">
        <f>[1]节奏总纲!BE38</f>
        <v>41.791434980831518</v>
      </c>
    </row>
    <row r="39" spans="2:45" x14ac:dyDescent="0.15">
      <c r="B39" s="8">
        <f>[1]节奏总纲!N39</f>
        <v>46</v>
      </c>
      <c r="C39" s="8">
        <v>36</v>
      </c>
      <c r="D39" s="8">
        <f>[1]节奏总纲!P39</f>
        <v>11.125732532083184</v>
      </c>
      <c r="E39" s="8">
        <f>[1]节奏总纲!Q39</f>
        <v>9.7261153795471191</v>
      </c>
      <c r="F39" s="8">
        <f>[1]节奏总纲!R39</f>
        <v>8.0405669009365166</v>
      </c>
      <c r="G39" s="8">
        <f>[1]节奏总纲!S39</f>
        <v>5.9700680767158358</v>
      </c>
      <c r="H39" s="8">
        <f>[1]节奏总纲!T39</f>
        <v>3.3388323328781633</v>
      </c>
      <c r="J39" s="8">
        <v>36</v>
      </c>
      <c r="K39" s="8">
        <f>[1]节奏总纲!W39</f>
        <v>0.81202403309842452</v>
      </c>
      <c r="L39" s="8">
        <f>[1]节奏总纲!X39</f>
        <v>0.72121648908352576</v>
      </c>
      <c r="M39" s="8">
        <f>[1]节奏总纲!Y39</f>
        <v>0.58581839787033285</v>
      </c>
      <c r="N39" s="8">
        <f>[1]节奏总纲!Z39</f>
        <v>0.42954387106122294</v>
      </c>
      <c r="O39" s="8">
        <f>[1]节奏总纲!AA39</f>
        <v>0.22821784958436009</v>
      </c>
      <c r="Q39" s="8">
        <v>36</v>
      </c>
      <c r="R39" s="8">
        <f>[1]节奏总纲!AD39</f>
        <v>52.091594979242075</v>
      </c>
      <c r="S39" s="8">
        <f>[1]节奏总纲!AE39</f>
        <v>54.020289560649204</v>
      </c>
      <c r="T39" s="8">
        <f>[1]节奏总纲!AF39</f>
        <v>56.869815618584624</v>
      </c>
      <c r="U39" s="8">
        <f>[1]节奏总纲!AG39</f>
        <v>61.294362422865476</v>
      </c>
      <c r="V39" s="8">
        <f>[1]节奏总纲!AH39</f>
        <v>69.795150761037945</v>
      </c>
      <c r="Z39" s="8">
        <v>36</v>
      </c>
      <c r="AA39" s="8">
        <f>[1]节奏总纲!AM39</f>
        <v>73.746861667008318</v>
      </c>
      <c r="AB39" s="8">
        <f>[1]节奏总纲!AN39</f>
        <v>58.997489333606659</v>
      </c>
      <c r="AC39" s="8">
        <f>[1]节奏总纲!AO39</f>
        <v>44.248117000204992</v>
      </c>
      <c r="AD39" s="8">
        <f>[1]节奏总纲!AP39</f>
        <v>29.498744666803329</v>
      </c>
      <c r="AE39" s="8">
        <f>[1]节奏总纲!AQ39</f>
        <v>14.749372333401665</v>
      </c>
      <c r="AG39" s="8">
        <v>36</v>
      </c>
      <c r="AH39" s="8">
        <f>[1]节奏总纲!AT39</f>
        <v>10.246861667008318</v>
      </c>
      <c r="AI39" s="8">
        <f>[1]节奏总纲!AU39</f>
        <v>8.1974893336066543</v>
      </c>
      <c r="AJ39" s="8">
        <f>[1]节奏总纲!AV39</f>
        <v>6.1481170002049907</v>
      </c>
      <c r="AK39" s="8">
        <f>[1]节奏总纲!AW39</f>
        <v>4.0987446668033272</v>
      </c>
      <c r="AL39" s="8">
        <f>[1]节奏总纲!AX39</f>
        <v>2.0493723334016636</v>
      </c>
      <c r="AM39" s="8"/>
      <c r="AN39" s="8">
        <v>36</v>
      </c>
      <c r="AO39" s="8">
        <f>[1]节奏总纲!BA39</f>
        <v>31.450668101069933</v>
      </c>
      <c r="AP39" s="8">
        <f>[1]节奏总纲!BB39</f>
        <v>32.842201900114915</v>
      </c>
      <c r="AQ39" s="8">
        <f>[1]节奏总纲!BC39</f>
        <v>34.627226072894942</v>
      </c>
      <c r="AR39" s="8">
        <f>[1]节奏总纲!BD39</f>
        <v>37.317457773889828</v>
      </c>
      <c r="AS39" s="8">
        <f>[1]节奏总纲!BE39</f>
        <v>41.992566056290244</v>
      </c>
    </row>
    <row r="40" spans="2:45" x14ac:dyDescent="0.15">
      <c r="B40" s="8">
        <f>[1]节奏总纲!N40</f>
        <v>47</v>
      </c>
      <c r="C40" s="8">
        <v>37</v>
      </c>
      <c r="D40" s="8">
        <f>[1]节奏总纲!P40</f>
        <v>11.996038341699768</v>
      </c>
      <c r="E40" s="8">
        <f>[1]节奏总纲!Q40</f>
        <v>10.483337906811427</v>
      </c>
      <c r="F40" s="8">
        <f>[1]节奏总纲!R40</f>
        <v>8.6671377018780831</v>
      </c>
      <c r="G40" s="8">
        <f>[1]节奏总纲!S40</f>
        <v>6.4166809089752066</v>
      </c>
      <c r="H40" s="8">
        <f>[1]节奏总纲!T40</f>
        <v>3.6000111063441</v>
      </c>
      <c r="J40" s="8">
        <v>37</v>
      </c>
      <c r="K40" s="8">
        <f>[1]节奏总纲!W40</f>
        <v>0.87030580961658366</v>
      </c>
      <c r="L40" s="8">
        <f>[1]节奏总纲!X40</f>
        <v>0.75722252726430739</v>
      </c>
      <c r="M40" s="8">
        <f>[1]节奏总纲!Y40</f>
        <v>0.62657080094156647</v>
      </c>
      <c r="N40" s="8">
        <f>[1]节奏总纲!Z40</f>
        <v>0.44661283225937076</v>
      </c>
      <c r="O40" s="8">
        <f>[1]节奏总纲!AA40</f>
        <v>0.26117877346593676</v>
      </c>
      <c r="Q40" s="8">
        <v>37</v>
      </c>
      <c r="R40" s="8">
        <f>[1]节奏总纲!AD40</f>
        <v>52.470630686057078</v>
      </c>
      <c r="S40" s="8">
        <f>[1]节奏总纲!AE40</f>
        <v>54.407116521581436</v>
      </c>
      <c r="T40" s="8">
        <f>[1]节奏总纲!AF40</f>
        <v>57.263329041432932</v>
      </c>
      <c r="U40" s="8">
        <f>[1]节奏总纲!AG40</f>
        <v>61.676518787205197</v>
      </c>
      <c r="V40" s="8">
        <f>[1]节奏总纲!AH40</f>
        <v>70.190427169053478</v>
      </c>
      <c r="Z40" s="8">
        <v>37</v>
      </c>
      <c r="AA40" s="8">
        <f>[1]节奏总纲!AM40</f>
        <v>85.62747641525452</v>
      </c>
      <c r="AB40" s="8">
        <f>[1]节奏总纲!AN40</f>
        <v>68.501981132203625</v>
      </c>
      <c r="AC40" s="8">
        <f>[1]节奏总纲!AO40</f>
        <v>51.376485849152708</v>
      </c>
      <c r="AD40" s="8">
        <f>[1]节奏总纲!AP40</f>
        <v>34.250990566101812</v>
      </c>
      <c r="AE40" s="8">
        <f>[1]节奏总纲!AQ40</f>
        <v>17.125495283050906</v>
      </c>
      <c r="AG40" s="8">
        <v>37</v>
      </c>
      <c r="AH40" s="8">
        <f>[1]节奏总纲!AT40</f>
        <v>11.880614748246202</v>
      </c>
      <c r="AI40" s="8">
        <f>[1]节奏总纲!AU40</f>
        <v>9.5044917985969661</v>
      </c>
      <c r="AJ40" s="8">
        <f>[1]节奏总纲!AV40</f>
        <v>7.1283688489477157</v>
      </c>
      <c r="AK40" s="8">
        <f>[1]节奏总纲!AW40</f>
        <v>4.7522458992984831</v>
      </c>
      <c r="AL40" s="8">
        <f>[1]节奏总纲!AX40</f>
        <v>2.3761229496492415</v>
      </c>
      <c r="AM40" s="8"/>
      <c r="AN40" s="8">
        <v>37</v>
      </c>
      <c r="AO40" s="8">
        <f>[1]节奏总纲!BA40</f>
        <v>31.621225803361821</v>
      </c>
      <c r="AP40" s="8">
        <f>[1]节奏总纲!BB40</f>
        <v>33.02082518821102</v>
      </c>
      <c r="AQ40" s="8">
        <f>[1]节奏总纲!BC40</f>
        <v>34.804737466754489</v>
      </c>
      <c r="AR40" s="8">
        <f>[1]节奏总纲!BD40</f>
        <v>37.498964956033646</v>
      </c>
      <c r="AS40" s="8">
        <f>[1]节奏总纲!BE40</f>
        <v>42.167148737437564</v>
      </c>
    </row>
    <row r="41" spans="2:45" x14ac:dyDescent="0.15">
      <c r="B41" s="8">
        <f>[1]节奏总纲!N41</f>
        <v>48</v>
      </c>
      <c r="C41" s="8">
        <v>38</v>
      </c>
      <c r="D41" s="8">
        <f>[1]节奏总纲!P41</f>
        <v>12.928809012737984</v>
      </c>
      <c r="E41" s="8">
        <f>[1]节奏总纲!Q41</f>
        <v>11.292021791725356</v>
      </c>
      <c r="F41" s="8">
        <f>[1]节奏总纲!R41</f>
        <v>9.3190855363815395</v>
      </c>
      <c r="G41" s="8">
        <f>[1]节奏总纲!S41</f>
        <v>6.8962267273944402</v>
      </c>
      <c r="H41" s="8">
        <f>[1]节奏总纲!T41</f>
        <v>3.8708854184137524</v>
      </c>
      <c r="J41" s="8">
        <v>38</v>
      </c>
      <c r="K41" s="8">
        <f>[1]节奏总纲!W41</f>
        <v>0.93277067103821665</v>
      </c>
      <c r="L41" s="8">
        <f>[1]节奏总纲!X41</f>
        <v>0.80868388491392906</v>
      </c>
      <c r="M41" s="8">
        <f>[1]节奏总纲!Y41</f>
        <v>0.65194783450345639</v>
      </c>
      <c r="N41" s="8">
        <f>[1]节奏总纲!Z41</f>
        <v>0.4795458184192336</v>
      </c>
      <c r="O41" s="8">
        <f>[1]节奏总纲!AA41</f>
        <v>0.2708743120696524</v>
      </c>
      <c r="Q41" s="8">
        <v>38</v>
      </c>
      <c r="R41" s="8">
        <f>[1]节奏总纲!AD41</f>
        <v>52.849666392872081</v>
      </c>
      <c r="S41" s="8">
        <f>[1]节奏总纲!AE41</f>
        <v>54.793943482513676</v>
      </c>
      <c r="T41" s="8">
        <f>[1]节奏总纲!AF41</f>
        <v>57.64832002380362</v>
      </c>
      <c r="U41" s="8">
        <f>[1]节奏总纲!AG41</f>
        <v>62.054222259937362</v>
      </c>
      <c r="V41" s="8">
        <f>[1]节奏总纲!AH41</f>
        <v>70.571129226337533</v>
      </c>
      <c r="Z41" s="8">
        <v>38</v>
      </c>
      <c r="AA41" s="8">
        <f>[1]节奏总纲!AM41</f>
        <v>99.401036064365428</v>
      </c>
      <c r="AB41" s="8">
        <f>[1]节奏总纲!AN41</f>
        <v>79.520828851492354</v>
      </c>
      <c r="AC41" s="8">
        <f>[1]节奏总纲!AO41</f>
        <v>59.640621638619251</v>
      </c>
      <c r="AD41" s="8">
        <f>[1]节奏总纲!AP41</f>
        <v>39.760414425746177</v>
      </c>
      <c r="AE41" s="8">
        <f>[1]节奏总纲!AQ41</f>
        <v>19.880207212873088</v>
      </c>
      <c r="AG41" s="8">
        <v>38</v>
      </c>
      <c r="AH41" s="8">
        <f>[1]节奏总纲!AT41</f>
        <v>13.773559649110908</v>
      </c>
      <c r="AI41" s="8">
        <f>[1]节奏总纲!AU41</f>
        <v>11.018847719288729</v>
      </c>
      <c r="AJ41" s="8">
        <f>[1]节奏总纲!AV41</f>
        <v>8.2641357894665433</v>
      </c>
      <c r="AK41" s="8">
        <f>[1]节奏总纲!AW41</f>
        <v>5.5094238596443645</v>
      </c>
      <c r="AL41" s="8">
        <f>[1]节奏总纲!AX41</f>
        <v>2.7547119298221823</v>
      </c>
      <c r="AM41" s="8"/>
      <c r="AN41" s="8">
        <v>38</v>
      </c>
      <c r="AO41" s="8">
        <f>[1]节奏总纲!BA41</f>
        <v>31.791783505653711</v>
      </c>
      <c r="AP41" s="8">
        <f>[1]节奏总纲!BB41</f>
        <v>33.176527924103851</v>
      </c>
      <c r="AQ41" s="8">
        <f>[1]节奏总纲!BC41</f>
        <v>34.982248860614042</v>
      </c>
      <c r="AR41" s="8">
        <f>[1]节奏总纲!BD41</f>
        <v>37.680472138177471</v>
      </c>
      <c r="AS41" s="8">
        <f>[1]节奏总纲!BE41</f>
        <v>42.340712512072891</v>
      </c>
    </row>
    <row r="42" spans="2:45" x14ac:dyDescent="0.15">
      <c r="B42" s="8">
        <f>[1]节奏总纲!N42</f>
        <v>49</v>
      </c>
      <c r="C42" s="8">
        <v>39</v>
      </c>
      <c r="D42" s="8">
        <f>[1]节奏总纲!P42</f>
        <v>13.928527864588917</v>
      </c>
      <c r="E42" s="8">
        <f>[1]节奏总纲!Q42</f>
        <v>12.147069150707994</v>
      </c>
      <c r="F42" s="8">
        <f>[1]节奏总纲!R42</f>
        <v>10.016004387425889</v>
      </c>
      <c r="G42" s="8">
        <f>[1]节奏总纲!S42</f>
        <v>7.4197267934665154</v>
      </c>
      <c r="H42" s="8">
        <f>[1]节奏总纲!T42</f>
        <v>4.1702012426579218</v>
      </c>
      <c r="J42" s="8">
        <v>39</v>
      </c>
      <c r="K42" s="8">
        <f>[1]节奏总纲!W42</f>
        <v>0.99971885185093257</v>
      </c>
      <c r="L42" s="8">
        <f>[1]节奏总纲!X42</f>
        <v>0.85504735898263817</v>
      </c>
      <c r="M42" s="8">
        <f>[1]节奏总纲!Y42</f>
        <v>0.69691885104434981</v>
      </c>
      <c r="N42" s="8">
        <f>[1]节奏总纲!Z42</f>
        <v>0.52350006607207522</v>
      </c>
      <c r="O42" s="8">
        <f>[1]节奏总纲!AA42</f>
        <v>0.29931582424416936</v>
      </c>
      <c r="Q42" s="8">
        <v>39</v>
      </c>
      <c r="R42" s="8">
        <f>[1]节奏总纲!AD42</f>
        <v>53.213386604241784</v>
      </c>
      <c r="S42" s="8">
        <f>[1]节奏总纲!AE42</f>
        <v>55.170390866416149</v>
      </c>
      <c r="T42" s="8">
        <f>[1]节奏总纲!AF42</f>
        <v>58.030740707238266</v>
      </c>
      <c r="U42" s="8">
        <f>[1]节奏总纲!AG42</f>
        <v>62.407376554018477</v>
      </c>
      <c r="V42" s="8">
        <f>[1]节奏总纲!AH42</f>
        <v>70.951831283621587</v>
      </c>
      <c r="Z42" s="8">
        <v>39</v>
      </c>
      <c r="AA42" s="8">
        <f>[1]节奏总纲!AM42</f>
        <v>115.36769098598003</v>
      </c>
      <c r="AB42" s="8">
        <f>[1]节奏总纲!AN42</f>
        <v>92.294152788784032</v>
      </c>
      <c r="AC42" s="8">
        <f>[1]节奏总纲!AO42</f>
        <v>69.220614591588017</v>
      </c>
      <c r="AD42" s="8">
        <f>[1]节奏总纲!AP42</f>
        <v>46.147076394392016</v>
      </c>
      <c r="AE42" s="8">
        <f>[1]节奏总纲!AQ42</f>
        <v>23.073538197196008</v>
      </c>
      <c r="AG42" s="8">
        <v>39</v>
      </c>
      <c r="AH42" s="8">
        <f>[1]节奏总纲!AT42</f>
        <v>15.966654921614605</v>
      </c>
      <c r="AI42" s="8">
        <f>[1]节奏总纲!AU42</f>
        <v>12.773323937291678</v>
      </c>
      <c r="AJ42" s="8">
        <f>[1]节奏总纲!AV42</f>
        <v>9.579992952968766</v>
      </c>
      <c r="AK42" s="8">
        <f>[1]节奏总纲!AW42</f>
        <v>6.3866619686458392</v>
      </c>
      <c r="AL42" s="8">
        <f>[1]节奏总纲!AX42</f>
        <v>3.1933309843229196</v>
      </c>
      <c r="AM42" s="8"/>
      <c r="AN42" s="8">
        <v>39</v>
      </c>
      <c r="AO42" s="8">
        <f>[1]节奏总纲!BA42</f>
        <v>31.962341207945599</v>
      </c>
      <c r="AP42" s="8">
        <f>[1]节奏总纲!BB42</f>
        <v>33.332230659996682</v>
      </c>
      <c r="AQ42" s="8">
        <f>[1]节奏总纲!BC42</f>
        <v>35.146386283795508</v>
      </c>
      <c r="AR42" s="8">
        <f>[1]节奏总纲!BD42</f>
        <v>37.861979320321296</v>
      </c>
      <c r="AS42" s="8">
        <f>[1]节奏总纲!BE42</f>
        <v>42.51427628670821</v>
      </c>
    </row>
    <row r="43" spans="2:45" x14ac:dyDescent="0.15">
      <c r="B43" s="8">
        <f>[1]节奏总纲!N43</f>
        <v>50</v>
      </c>
      <c r="C43" s="8">
        <v>40</v>
      </c>
      <c r="D43" s="8">
        <f>[1]节奏总纲!P43</f>
        <v>15</v>
      </c>
      <c r="E43" s="8">
        <f>[1]节奏总纲!Q43</f>
        <v>13.059000000000001</v>
      </c>
      <c r="F43" s="8">
        <f>[1]节奏总纲!R43</f>
        <v>10.782</v>
      </c>
      <c r="G43" s="8">
        <f>[1]节奏总纲!S43</f>
        <v>8.0009999999999994</v>
      </c>
      <c r="H43" s="8">
        <f>[1]节奏总纲!T43</f>
        <v>4.5</v>
      </c>
      <c r="J43" s="8">
        <v>40</v>
      </c>
      <c r="K43" s="8">
        <f>[1]节奏总纲!W43</f>
        <v>1.0714721354110832</v>
      </c>
      <c r="L43" s="8">
        <f>[1]节奏总纲!X43</f>
        <v>0.9119308492920073</v>
      </c>
      <c r="M43" s="8">
        <f>[1]节奏总纲!Y43</f>
        <v>0.76599561257411075</v>
      </c>
      <c r="N43" s="8">
        <f>[1]节奏总纲!Z43</f>
        <v>0.58127320653348402</v>
      </c>
      <c r="O43" s="8">
        <f>[1]节奏总纲!AA43</f>
        <v>0.3297987573420782</v>
      </c>
      <c r="Q43" s="8">
        <v>40</v>
      </c>
      <c r="R43" s="8">
        <f>[1]节奏总纲!AD43</f>
        <v>53.567039423670657</v>
      </c>
      <c r="S43" s="8">
        <f>[1]节奏总纲!AE43</f>
        <v>55.535006783542492</v>
      </c>
      <c r="T43" s="8">
        <f>[1]节奏总纲!AF43</f>
        <v>58.38602553461638</v>
      </c>
      <c r="U43" s="8">
        <f>[1]节奏总纲!AG43</f>
        <v>62.760530848099599</v>
      </c>
      <c r="V43" s="8">
        <f>[1]节奏总纲!AH43</f>
        <v>71.315281959371688</v>
      </c>
      <c r="Z43" s="8">
        <v>40</v>
      </c>
      <c r="AA43" s="8">
        <f>[1]节奏总纲!AM43</f>
        <v>133.875</v>
      </c>
      <c r="AB43" s="8">
        <f>[1]节奏总纲!AN43</f>
        <v>107.10000000000001</v>
      </c>
      <c r="AC43" s="8">
        <f>[1]节奏总纲!AO43</f>
        <v>80.325000000000003</v>
      </c>
      <c r="AD43" s="8">
        <f>[1]节奏总纲!AP43</f>
        <v>53.550000000000004</v>
      </c>
      <c r="AE43" s="8">
        <f>[1]节奏总纲!AQ43</f>
        <v>26.775000000000002</v>
      </c>
      <c r="AG43" s="8">
        <v>40</v>
      </c>
      <c r="AH43" s="8">
        <f>[1]节奏总纲!AT43</f>
        <v>18.507309014019967</v>
      </c>
      <c r="AI43" s="8">
        <f>[1]节奏总纲!AU43</f>
        <v>14.805847211215976</v>
      </c>
      <c r="AJ43" s="8">
        <f>[1]节奏总纲!AV43</f>
        <v>11.104385408411986</v>
      </c>
      <c r="AK43" s="8">
        <f>[1]节奏总纲!AW43</f>
        <v>7.4029236056079881</v>
      </c>
      <c r="AL43" s="8">
        <f>[1]节奏总纲!AX43</f>
        <v>3.7014618028039941</v>
      </c>
      <c r="AM43" s="8"/>
      <c r="AN43" s="8">
        <v>40</v>
      </c>
      <c r="AO43" s="8">
        <f>[1]节奏总纲!BA43</f>
        <v>32.113552950216736</v>
      </c>
      <c r="AP43" s="8">
        <f>[1]节奏总纲!BB43</f>
        <v>33.487933395889513</v>
      </c>
      <c r="AQ43" s="8">
        <f>[1]节奏总纲!BC43</f>
        <v>35.309037710234961</v>
      </c>
      <c r="AR43" s="8">
        <f>[1]节奏总纲!BD43</f>
        <v>38.037513426486328</v>
      </c>
      <c r="AS43" s="8">
        <f>[1]节奏总纲!BE43</f>
        <v>42.687840061343536</v>
      </c>
    </row>
    <row r="44" spans="2:45" x14ac:dyDescent="0.15">
      <c r="B44" s="8">
        <f>[1]节奏总纲!N44</f>
        <v>51</v>
      </c>
      <c r="C44" s="8">
        <v>41</v>
      </c>
      <c r="D44" s="8">
        <f>[1]节奏总纲!P44</f>
        <v>16.148375400580683</v>
      </c>
      <c r="E44" s="8">
        <f>[1]节奏总纲!Q44</f>
        <v>14.065234973905774</v>
      </c>
      <c r="F44" s="8">
        <f>[1]节奏总纲!R44</f>
        <v>11.621985775797917</v>
      </c>
      <c r="G44" s="8">
        <f>[1]节奏总纲!S44</f>
        <v>8.6296918140703163</v>
      </c>
      <c r="H44" s="8">
        <f>[1]节奏总纲!T44</f>
        <v>4.8606609955747855</v>
      </c>
      <c r="J44" s="8">
        <v>41</v>
      </c>
      <c r="K44" s="8">
        <f>[1]节奏总纲!W44</f>
        <v>1.148375400580683</v>
      </c>
      <c r="L44" s="8">
        <f>[1]节奏总纲!X44</f>
        <v>1.006234973905773</v>
      </c>
      <c r="M44" s="8">
        <f>[1]节奏总纲!Y44</f>
        <v>0.839985775797917</v>
      </c>
      <c r="N44" s="8">
        <f>[1]节奏总纲!Z44</f>
        <v>0.62869181407031682</v>
      </c>
      <c r="O44" s="8">
        <f>[1]节奏总纲!AA44</f>
        <v>0.36066099557478548</v>
      </c>
      <c r="Q44" s="8">
        <v>41</v>
      </c>
      <c r="R44" s="8">
        <f>[1]节奏总纲!AD44</f>
        <v>53.920692243099523</v>
      </c>
      <c r="S44" s="8">
        <f>[1]节奏总纲!AE44</f>
        <v>55.899622700668843</v>
      </c>
      <c r="T44" s="8">
        <f>[1]节奏总纲!AF44</f>
        <v>58.741310361994486</v>
      </c>
      <c r="U44" s="8">
        <f>[1]节奏总纲!AG44</f>
        <v>63.10587219844583</v>
      </c>
      <c r="V44" s="8">
        <f>[1]节奏总纲!AH44</f>
        <v>71.676233707038421</v>
      </c>
      <c r="Z44" s="8">
        <v>41</v>
      </c>
      <c r="AA44" s="8">
        <f>[1]节奏总纲!AM44</f>
        <v>155.32539280599755</v>
      </c>
      <c r="AB44" s="8">
        <f>[1]节奏总纲!AN44</f>
        <v>124.26031424479805</v>
      </c>
      <c r="AC44" s="8">
        <f>[1]节奏总纲!AO44</f>
        <v>93.195235683598526</v>
      </c>
      <c r="AD44" s="8">
        <f>[1]节奏总纲!AP44</f>
        <v>62.130157122399027</v>
      </c>
      <c r="AE44" s="8">
        <f>[1]节奏总纲!AQ44</f>
        <v>31.065078561199513</v>
      </c>
      <c r="AG44" s="8">
        <v>41</v>
      </c>
      <c r="AH44" s="8">
        <f>[1]节奏总纲!AT44</f>
        <v>21.450392805997552</v>
      </c>
      <c r="AI44" s="8">
        <f>[1]节奏总纲!AU44</f>
        <v>17.160314244798045</v>
      </c>
      <c r="AJ44" s="8">
        <f>[1]节奏总纲!AV44</f>
        <v>12.870235683598523</v>
      </c>
      <c r="AK44" s="8">
        <f>[1]节奏总纲!AW44</f>
        <v>8.5801571223990223</v>
      </c>
      <c r="AL44" s="8">
        <f>[1]节奏总纲!AX44</f>
        <v>4.2900785611995111</v>
      </c>
      <c r="AM44" s="8"/>
      <c r="AN44" s="8">
        <v>41</v>
      </c>
      <c r="AO44" s="8">
        <f>[1]节奏总纲!BA44</f>
        <v>32.259282740196369</v>
      </c>
      <c r="AP44" s="8">
        <f>[1]节奏总纲!BB44</f>
        <v>33.643636131782344</v>
      </c>
      <c r="AQ44" s="8">
        <f>[1]节奏总纲!BC44</f>
        <v>35.471689136674414</v>
      </c>
      <c r="AR44" s="8">
        <f>[1]节奏总纲!BD44</f>
        <v>38.194089742081125</v>
      </c>
      <c r="AS44" s="8">
        <f>[1]节奏总纲!BE44</f>
        <v>42.861403835978855</v>
      </c>
    </row>
    <row r="45" spans="2:45" x14ac:dyDescent="0.15">
      <c r="B45" s="8">
        <f>[1]节奏总纲!N45</f>
        <v>52</v>
      </c>
      <c r="C45" s="8">
        <v>42</v>
      </c>
      <c r="D45" s="8">
        <f>[1]节奏总纲!P45</f>
        <v>17.379173679952558</v>
      </c>
      <c r="E45" s="8">
        <f>[1]节奏总纲!Q45</f>
        <v>15.182446126806555</v>
      </c>
      <c r="F45" s="8">
        <f>[1]节奏总纲!R45</f>
        <v>12.547763396925747</v>
      </c>
      <c r="G45" s="8">
        <f>[1]节奏总纲!S45</f>
        <v>9.3221887619265527</v>
      </c>
      <c r="H45" s="8">
        <f>[1]节奏总纲!T45</f>
        <v>5.2485104513456724</v>
      </c>
      <c r="J45" s="8">
        <v>42</v>
      </c>
      <c r="K45" s="8">
        <f>[1]节奏总纲!W45</f>
        <v>1.230798279371875</v>
      </c>
      <c r="L45" s="8">
        <f>[1]节奏总纲!X45</f>
        <v>1.1172111529007811</v>
      </c>
      <c r="M45" s="8">
        <f>[1]节奏总纲!Y45</f>
        <v>0.92577762112783013</v>
      </c>
      <c r="N45" s="8">
        <f>[1]节奏总纲!Z45</f>
        <v>0.69249694785623639</v>
      </c>
      <c r="O45" s="8">
        <f>[1]节奏总纲!AA45</f>
        <v>0.38784945577088692</v>
      </c>
      <c r="Q45" s="8">
        <v>42</v>
      </c>
      <c r="R45" s="8">
        <f>[1]节奏总纲!AD45</f>
        <v>54.255972994404218</v>
      </c>
      <c r="S45" s="8">
        <f>[1]节奏总纲!AE45</f>
        <v>56.238779717153008</v>
      </c>
      <c r="T45" s="8">
        <f>[1]节奏总纲!AF45</f>
        <v>59.09095196730258</v>
      </c>
      <c r="U45" s="8">
        <f>[1]节奏总纲!AG45</f>
        <v>63.434756173851497</v>
      </c>
      <c r="V45" s="8">
        <f>[1]节奏总纲!AH45</f>
        <v>72.034562459436771</v>
      </c>
      <c r="Z45" s="8">
        <v>42</v>
      </c>
      <c r="AA45" s="8">
        <f>[1]节奏总纲!AM45</f>
        <v>180.18480345945557</v>
      </c>
      <c r="AB45" s="8">
        <f>[1]节奏总纲!AN45</f>
        <v>144.14784276756447</v>
      </c>
      <c r="AC45" s="8">
        <f>[1]节奏总纲!AO45</f>
        <v>108.11088207567333</v>
      </c>
      <c r="AD45" s="8">
        <f>[1]节奏总纲!AP45</f>
        <v>72.073921383782235</v>
      </c>
      <c r="AE45" s="8">
        <f>[1]节奏总纲!AQ45</f>
        <v>36.036960691891117</v>
      </c>
      <c r="AG45" s="8">
        <v>42</v>
      </c>
      <c r="AH45" s="8">
        <f>[1]节奏总纲!AT45</f>
        <v>24.859410653458013</v>
      </c>
      <c r="AI45" s="8">
        <f>[1]节奏总纲!AU45</f>
        <v>19.887528522766416</v>
      </c>
      <c r="AJ45" s="8">
        <f>[1]节奏总纲!AV45</f>
        <v>14.915646392074805</v>
      </c>
      <c r="AK45" s="8">
        <f>[1]节奏总纲!AW45</f>
        <v>9.9437642613832082</v>
      </c>
      <c r="AL45" s="8">
        <f>[1]节奏总纲!AX45</f>
        <v>4.9718821306916041</v>
      </c>
      <c r="AM45" s="8"/>
      <c r="AN45" s="8">
        <v>42</v>
      </c>
      <c r="AO45" s="8">
        <f>[1]节奏总纲!BA45</f>
        <v>32.405012530176009</v>
      </c>
      <c r="AP45" s="8">
        <f>[1]节奏总纲!BB45</f>
        <v>33.799338867675175</v>
      </c>
      <c r="AQ45" s="8">
        <f>[1]节奏总纲!BC45</f>
        <v>35.634340563113874</v>
      </c>
      <c r="AR45" s="8">
        <f>[1]节奏总纲!BD45</f>
        <v>38.35066605767593</v>
      </c>
      <c r="AS45" s="8">
        <f>[1]节奏总纲!BE45</f>
        <v>43.030177309109042</v>
      </c>
    </row>
    <row r="46" spans="2:45" x14ac:dyDescent="0.15">
      <c r="B46" s="8">
        <f>[1]节奏总纲!N46</f>
        <v>53</v>
      </c>
      <c r="C46" s="8">
        <v>43</v>
      </c>
      <c r="D46" s="8">
        <f>[1]节奏总纲!P46</f>
        <v>18.698310613518661</v>
      </c>
      <c r="E46" s="8">
        <f>[1]节奏总纲!Q46</f>
        <v>16.338583814092605</v>
      </c>
      <c r="F46" s="8">
        <f>[1]节奏总纲!R46</f>
        <v>13.509529418267233</v>
      </c>
      <c r="G46" s="8">
        <f>[1]节奏总纲!S46</f>
        <v>10.020424657784652</v>
      </c>
      <c r="H46" s="8">
        <f>[1]节奏总纲!T46</f>
        <v>5.6394104810372276</v>
      </c>
      <c r="J46" s="8">
        <v>43</v>
      </c>
      <c r="K46" s="8">
        <f>[1]节奏总纲!W46</f>
        <v>1.319136933566103</v>
      </c>
      <c r="L46" s="8">
        <f>[1]节奏总纲!X46</f>
        <v>1.1561376872860496</v>
      </c>
      <c r="M46" s="8">
        <f>[1]节奏总纲!Y46</f>
        <v>0.96176602134148581</v>
      </c>
      <c r="N46" s="8">
        <f>[1]节奏总纲!Z46</f>
        <v>0.6982358958580992</v>
      </c>
      <c r="O46" s="8">
        <f>[1]节奏总纲!AA46</f>
        <v>0.39090002969155524</v>
      </c>
      <c r="Q46" s="8">
        <v>43</v>
      </c>
      <c r="R46" s="8">
        <f>[1]节奏总纲!AD46</f>
        <v>54.585942742481357</v>
      </c>
      <c r="S46" s="8">
        <f>[1]节奏总纲!AE46</f>
        <v>56.568265567054013</v>
      </c>
      <c r="T46" s="8">
        <f>[1]节奏总纲!AF46</f>
        <v>59.425480572843689</v>
      </c>
      <c r="U46" s="8">
        <f>[1]节奏总纲!AG46</f>
        <v>63.763640149257171</v>
      </c>
      <c r="V46" s="8">
        <f>[1]节奏总纲!AH46</f>
        <v>72.370053318329937</v>
      </c>
      <c r="Z46" s="8">
        <v>43</v>
      </c>
      <c r="AA46" s="8">
        <f>[1]节奏总纲!AM46</f>
        <v>208.99265815439742</v>
      </c>
      <c r="AB46" s="8">
        <f>[1]节奏总纲!AN46</f>
        <v>167.19412652351795</v>
      </c>
      <c r="AC46" s="8">
        <f>[1]节奏总纲!AO46</f>
        <v>125.39559489263844</v>
      </c>
      <c r="AD46" s="8">
        <f>[1]节奏总纲!AP46</f>
        <v>83.597063261758976</v>
      </c>
      <c r="AE46" s="8">
        <f>[1]节奏总纲!AQ46</f>
        <v>41.798531630879488</v>
      </c>
      <c r="AG46" s="8">
        <v>43</v>
      </c>
      <c r="AH46" s="8">
        <f>[1]节奏总纲!AT46</f>
        <v>28.807854694941852</v>
      </c>
      <c r="AI46" s="8">
        <f>[1]节奏总纲!AU46</f>
        <v>23.046283755953482</v>
      </c>
      <c r="AJ46" s="8">
        <f>[1]节奏总纲!AV46</f>
        <v>17.284712816965111</v>
      </c>
      <c r="AK46" s="8">
        <f>[1]节奏总纲!AW46</f>
        <v>11.523141877976741</v>
      </c>
      <c r="AL46" s="8">
        <f>[1]节奏总纲!AX46</f>
        <v>5.7615709389883705</v>
      </c>
      <c r="AM46" s="8"/>
      <c r="AN46" s="8">
        <v>43</v>
      </c>
      <c r="AO46" s="8">
        <f>[1]节奏总纲!BA46</f>
        <v>32.550742320155642</v>
      </c>
      <c r="AP46" s="8">
        <f>[1]节奏总纲!BB46</f>
        <v>33.955041603568006</v>
      </c>
      <c r="AQ46" s="8">
        <f>[1]节奏总纲!BC46</f>
        <v>35.796991989553327</v>
      </c>
      <c r="AR46" s="8">
        <f>[1]节奏总纲!BD46</f>
        <v>38.507242373270728</v>
      </c>
      <c r="AS46" s="8">
        <f>[1]节奏总纲!BE46</f>
        <v>43.179964142847631</v>
      </c>
    </row>
    <row r="47" spans="2:45" x14ac:dyDescent="0.15">
      <c r="B47" s="8">
        <f>[1]节奏总纲!N47</f>
        <v>54</v>
      </c>
      <c r="C47" s="8">
        <v>44</v>
      </c>
      <c r="D47" s="8">
        <f>[1]节奏总纲!P47</f>
        <v>20.112126572366307</v>
      </c>
      <c r="E47" s="8">
        <f>[1]节奏总纲!Q47</f>
        <v>17.573976198933678</v>
      </c>
      <c r="F47" s="8">
        <f>[1]节奏总纲!R47</f>
        <v>14.520955385248474</v>
      </c>
      <c r="G47" s="8">
        <f>[1]节奏总纲!S47</f>
        <v>10.768032566844921</v>
      </c>
      <c r="H47" s="8">
        <f>[1]节奏总纲!T47</f>
        <v>6.0537500982822579</v>
      </c>
      <c r="J47" s="8">
        <v>44</v>
      </c>
      <c r="K47" s="8">
        <f>[1]节奏总纲!W47</f>
        <v>1.4138159588476462</v>
      </c>
      <c r="L47" s="8">
        <f>[1]节奏总纲!X47</f>
        <v>1.2353923848410737</v>
      </c>
      <c r="M47" s="8">
        <f>[1]节奏总纲!Y47</f>
        <v>1.0114259669812409</v>
      </c>
      <c r="N47" s="8">
        <f>[1]节奏总纲!Z47</f>
        <v>0.74760790906026919</v>
      </c>
      <c r="O47" s="8">
        <f>[1]节奏总纲!AA47</f>
        <v>0.41433961724503021</v>
      </c>
      <c r="Q47" s="8">
        <v>44</v>
      </c>
      <c r="R47" s="8">
        <f>[1]节奏总纲!AD47</f>
        <v>54.915912490558505</v>
      </c>
      <c r="S47" s="8">
        <f>[1]节奏总纲!AE47</f>
        <v>56.897751416955018</v>
      </c>
      <c r="T47" s="8">
        <f>[1]节奏总纲!AF47</f>
        <v>59.760009178384806</v>
      </c>
      <c r="U47" s="8">
        <f>[1]节奏总纲!AG47</f>
        <v>64.08760696397195</v>
      </c>
      <c r="V47" s="8">
        <f>[1]节奏总纲!AH47</f>
        <v>72.705544177223089</v>
      </c>
      <c r="Z47" s="8">
        <v>44</v>
      </c>
      <c r="AA47" s="8">
        <f>[1]节奏总纲!AM47</f>
        <v>242.37342918215046</v>
      </c>
      <c r="AB47" s="8">
        <f>[1]节奏总纲!AN47</f>
        <v>193.89874334572039</v>
      </c>
      <c r="AC47" s="8">
        <f>[1]节奏总纲!AO47</f>
        <v>145.42405750929026</v>
      </c>
      <c r="AD47" s="8">
        <f>[1]节奏总纲!AP47</f>
        <v>96.949371672860195</v>
      </c>
      <c r="AE47" s="8">
        <f>[1]节奏总纲!AQ47</f>
        <v>48.474685836430098</v>
      </c>
      <c r="AG47" s="8">
        <v>44</v>
      </c>
      <c r="AH47" s="8">
        <f>[1]节奏总纲!AT47</f>
        <v>33.380771027753042</v>
      </c>
      <c r="AI47" s="8">
        <f>[1]节奏总纲!AU47</f>
        <v>26.704616822202439</v>
      </c>
      <c r="AJ47" s="8">
        <f>[1]节奏总纲!AV47</f>
        <v>20.028462616651822</v>
      </c>
      <c r="AK47" s="8">
        <f>[1]节奏总纲!AW47</f>
        <v>13.35230841110122</v>
      </c>
      <c r="AL47" s="8">
        <f>[1]节奏总纲!AX47</f>
        <v>6.6761542055506098</v>
      </c>
      <c r="AM47" s="8"/>
      <c r="AN47" s="8">
        <v>44</v>
      </c>
      <c r="AO47" s="8">
        <f>[1]节奏总纲!BA47</f>
        <v>32.696472110135275</v>
      </c>
      <c r="AP47" s="8">
        <f>[1]节奏总纲!BB47</f>
        <v>34.09469189131628</v>
      </c>
      <c r="AQ47" s="8">
        <f>[1]节奏总纲!BC47</f>
        <v>35.95964341599278</v>
      </c>
      <c r="AR47" s="8">
        <f>[1]节奏总纲!BD47</f>
        <v>38.663818688865533</v>
      </c>
      <c r="AS47" s="8">
        <f>[1]节奏总纲!BE47</f>
        <v>43.329750976586219</v>
      </c>
    </row>
    <row r="48" spans="2:45" x14ac:dyDescent="0.15">
      <c r="B48" s="8">
        <f>[1]节奏总纲!N48</f>
        <v>55</v>
      </c>
      <c r="C48" s="8">
        <v>45</v>
      </c>
      <c r="D48" s="8">
        <f>[1]节奏总纲!P48</f>
        <v>21.627416997969519</v>
      </c>
      <c r="E48" s="8">
        <f>[1]节奏总纲!Q48</f>
        <v>18.900199714525563</v>
      </c>
      <c r="F48" s="8">
        <f>[1]节奏总纲!R48</f>
        <v>15.604181364035009</v>
      </c>
      <c r="G48" s="8">
        <f>[1]节奏总纲!S48</f>
        <v>11.572830835613489</v>
      </c>
      <c r="H48" s="8">
        <f>[1]节奏总纲!T48</f>
        <v>6.49903880788984</v>
      </c>
      <c r="J48" s="8">
        <v>45</v>
      </c>
      <c r="K48" s="8">
        <f>[1]节奏总纲!W48</f>
        <v>1.5152904256032116</v>
      </c>
      <c r="L48" s="8">
        <f>[1]节奏总纲!X48</f>
        <v>1.3262235155918844</v>
      </c>
      <c r="M48" s="8">
        <f>[1]节奏总纲!Y48</f>
        <v>1.083225978786535</v>
      </c>
      <c r="N48" s="8">
        <f>[1]节奏总纲!Z48</f>
        <v>0.80479826876856819</v>
      </c>
      <c r="O48" s="8">
        <f>[1]节奏总纲!AA48</f>
        <v>0.44528870960758216</v>
      </c>
      <c r="Q48" s="8">
        <v>45</v>
      </c>
      <c r="R48" s="8">
        <f>[1]节奏总纲!AD48</f>
        <v>55.229416240679981</v>
      </c>
      <c r="S48" s="8">
        <f>[1]节奏总纲!AE48</f>
        <v>57.218966664386244</v>
      </c>
      <c r="T48" s="8">
        <f>[1]节奏总纲!AF48</f>
        <v>60.086674688654931</v>
      </c>
      <c r="U48" s="8">
        <f>[1]节奏总纲!AG48</f>
        <v>64.399012521055653</v>
      </c>
      <c r="V48" s="8">
        <f>[1]节奏总纲!AH48</f>
        <v>73.037155126421851</v>
      </c>
      <c r="Z48" s="8">
        <v>45</v>
      </c>
      <c r="AA48" s="8">
        <f>[1]节奏总纲!AM48</f>
        <v>281.05</v>
      </c>
      <c r="AB48" s="8">
        <f>[1]节奏总纲!AN48</f>
        <v>224.84000000000003</v>
      </c>
      <c r="AC48" s="8">
        <f>[1]节奏总纲!AO48</f>
        <v>168.63</v>
      </c>
      <c r="AD48" s="8">
        <f>[1]节奏总纲!AP48</f>
        <v>112.42000000000002</v>
      </c>
      <c r="AE48" s="8">
        <f>[1]节奏总纲!AQ48</f>
        <v>56.210000000000008</v>
      </c>
      <c r="AG48" s="8">
        <v>45</v>
      </c>
      <c r="AH48" s="8">
        <f>[1]节奏总纲!AT48</f>
        <v>38.676570817849552</v>
      </c>
      <c r="AI48" s="8">
        <f>[1]节奏总纲!AU48</f>
        <v>30.941256654279641</v>
      </c>
      <c r="AJ48" s="8">
        <f>[1]节奏总纲!AV48</f>
        <v>23.205942490709731</v>
      </c>
      <c r="AK48" s="8">
        <f>[1]节奏总纲!AW48</f>
        <v>15.470628327139821</v>
      </c>
      <c r="AL48" s="8">
        <f>[1]节奏总纲!AX48</f>
        <v>7.7353141635699103</v>
      </c>
      <c r="AM48" s="8"/>
      <c r="AN48" s="8">
        <v>45</v>
      </c>
      <c r="AO48" s="8">
        <f>[1]节奏总纲!BA48</f>
        <v>32.842201900114915</v>
      </c>
      <c r="AP48" s="8">
        <f>[1]节奏总纲!BB48</f>
        <v>34.227825436710944</v>
      </c>
      <c r="AQ48" s="8">
        <f>[1]节奏总纲!BC48</f>
        <v>36.105477566569242</v>
      </c>
      <c r="AR48" s="8">
        <f>[1]节奏总纲!BD48</f>
        <v>38.82039500446033</v>
      </c>
      <c r="AS48" s="8">
        <f>[1]节奏总纲!BE48</f>
        <v>43.479537810324807</v>
      </c>
    </row>
    <row r="49" spans="2:45" x14ac:dyDescent="0.15">
      <c r="B49" s="8">
        <f>[1]节奏总纲!N49</f>
        <v>56</v>
      </c>
      <c r="C49" s="8">
        <v>46</v>
      </c>
      <c r="D49" s="8">
        <f>[1]节奏总纲!P49</f>
        <v>23.251465064166357</v>
      </c>
      <c r="E49" s="8">
        <f>[1]节奏总纲!Q49</f>
        <v>20.310154733549314</v>
      </c>
      <c r="F49" s="8">
        <f>[1]节奏总纲!R49</f>
        <v>16.757330871744692</v>
      </c>
      <c r="G49" s="8">
        <f>[1]节奏总纲!S49</f>
        <v>12.425582930290501</v>
      </c>
      <c r="H49" s="8">
        <f>[1]节奏总纲!T49</f>
        <v>6.9545132006921566</v>
      </c>
      <c r="J49" s="8">
        <v>46</v>
      </c>
      <c r="K49" s="8">
        <f>[1]节奏总纲!W49</f>
        <v>1.6240480661968384</v>
      </c>
      <c r="L49" s="8">
        <f>[1]节奏总纲!X49</f>
        <v>1.4099550190237515</v>
      </c>
      <c r="M49" s="8">
        <f>[1]节奏总纲!Y49</f>
        <v>1.1531495077096832</v>
      </c>
      <c r="N49" s="8">
        <f>[1]节奏总纲!Z49</f>
        <v>0.85275209467701174</v>
      </c>
      <c r="O49" s="8">
        <f>[1]节奏总纲!AA49</f>
        <v>0.45547439280231661</v>
      </c>
      <c r="Q49" s="8">
        <v>46</v>
      </c>
      <c r="R49" s="8">
        <f>[1]节奏总纲!AD49</f>
        <v>55.537288901845052</v>
      </c>
      <c r="S49" s="8">
        <f>[1]节奏总纲!AE49</f>
        <v>57.53646043868428</v>
      </c>
      <c r="T49" s="8">
        <f>[1]节奏总纲!AF49</f>
        <v>60.393379177879737</v>
      </c>
      <c r="U49" s="8">
        <f>[1]节奏总纲!AG49</f>
        <v>64.710418078139355</v>
      </c>
      <c r="V49" s="8">
        <f>[1]节奏总纲!AH49</f>
        <v>73.340924940105893</v>
      </c>
      <c r="Z49" s="8">
        <v>46</v>
      </c>
      <c r="AA49" s="8">
        <f>[1]节奏总纲!AM49</f>
        <v>325.85912455595718</v>
      </c>
      <c r="AB49" s="8">
        <f>[1]节奏总纲!AN49</f>
        <v>260.68729964476574</v>
      </c>
      <c r="AC49" s="8">
        <f>[1]节奏总纲!AO49</f>
        <v>195.51547473357431</v>
      </c>
      <c r="AD49" s="8">
        <f>[1]节奏总纲!AP49</f>
        <v>130.34364982238287</v>
      </c>
      <c r="AE49" s="8">
        <f>[1]节奏总纲!AQ49</f>
        <v>65.171824911191436</v>
      </c>
      <c r="AG49" s="8">
        <v>46</v>
      </c>
      <c r="AH49" s="8">
        <f>[1]节奏总纲!AT49</f>
        <v>44.809124555957169</v>
      </c>
      <c r="AI49" s="8">
        <f>[1]节奏总纲!AU49</f>
        <v>35.847299644765712</v>
      </c>
      <c r="AJ49" s="8">
        <f>[1]节奏总纲!AV49</f>
        <v>26.885474733574313</v>
      </c>
      <c r="AK49" s="8">
        <f>[1]节奏总纲!AW49</f>
        <v>17.923649822382856</v>
      </c>
      <c r="AL49" s="8">
        <f>[1]节奏总纲!AX49</f>
        <v>8.9618249111914281</v>
      </c>
      <c r="AM49" s="8"/>
      <c r="AN49" s="8">
        <v>46</v>
      </c>
      <c r="AO49" s="8">
        <f>[1]节奏总纲!BA49</f>
        <v>32.987931690094548</v>
      </c>
      <c r="AP49" s="8">
        <f>[1]节奏总纲!BB49</f>
        <v>34.360958982105608</v>
      </c>
      <c r="AQ49" s="8">
        <f>[1]节奏总纲!BC49</f>
        <v>36.245762114295424</v>
      </c>
      <c r="AR49" s="8">
        <f>[1]节奏总纲!BD49</f>
        <v>38.976971320055128</v>
      </c>
      <c r="AS49" s="8">
        <f>[1]节奏总纲!BE49</f>
        <v>43.629324644063402</v>
      </c>
    </row>
    <row r="50" spans="2:45" x14ac:dyDescent="0.15">
      <c r="B50" s="8">
        <f>[1]节奏总纲!N50</f>
        <v>57</v>
      </c>
      <c r="C50" s="8">
        <v>47</v>
      </c>
      <c r="D50" s="8">
        <f>[1]节奏总纲!P50</f>
        <v>24.992076683399535</v>
      </c>
      <c r="E50" s="8">
        <f>[1]节奏总纲!Q50</f>
        <v>21.823081359944474</v>
      </c>
      <c r="F50" s="8">
        <f>[1]节奏总纲!R50</f>
        <v>17.996794419716004</v>
      </c>
      <c r="G50" s="8">
        <f>[1]节奏总纲!S50</f>
        <v>13.335772118261991</v>
      </c>
      <c r="H50" s="8">
        <f>[1]节奏总纲!T50</f>
        <v>7.4426404363163821</v>
      </c>
      <c r="J50" s="8">
        <v>47</v>
      </c>
      <c r="K50" s="8">
        <f>[1]节奏总纲!W50</f>
        <v>1.740611619233178</v>
      </c>
      <c r="L50" s="8">
        <f>[1]节奏总纲!X50</f>
        <v>1.51292662639516</v>
      </c>
      <c r="M50" s="8">
        <f>[1]节奏总纲!Y50</f>
        <v>1.2394635479713116</v>
      </c>
      <c r="N50" s="8">
        <f>[1]节奏总纲!Z50</f>
        <v>0.91018918797148984</v>
      </c>
      <c r="O50" s="8">
        <f>[1]节奏总纲!AA50</f>
        <v>0.48812723562422544</v>
      </c>
      <c r="Q50" s="8">
        <v>47</v>
      </c>
      <c r="R50" s="8">
        <f>[1]节奏总纲!AD50</f>
        <v>55.845161563010116</v>
      </c>
      <c r="S50" s="8">
        <f>[1]节奏总纲!AE50</f>
        <v>57.853954212982316</v>
      </c>
      <c r="T50" s="8">
        <f>[1]节奏总纲!AF50</f>
        <v>60.700083667104536</v>
      </c>
      <c r="U50" s="8">
        <f>[1]节奏总纲!AG50</f>
        <v>65.021675833900701</v>
      </c>
      <c r="V50" s="8">
        <f>[1]节奏总纲!AH50</f>
        <v>73.644694753789935</v>
      </c>
      <c r="Z50" s="8">
        <v>47</v>
      </c>
      <c r="AA50" s="8">
        <f>[1]节奏总纲!AM50</f>
        <v>377.76930817680426</v>
      </c>
      <c r="AB50" s="8">
        <f>[1]节奏总纲!AN50</f>
        <v>302.21544654144344</v>
      </c>
      <c r="AC50" s="8">
        <f>[1]节奏总纲!AO50</f>
        <v>226.66158490608254</v>
      </c>
      <c r="AD50" s="8">
        <f>[1]节奏总纲!AP50</f>
        <v>151.10772327072172</v>
      </c>
      <c r="AE50" s="8">
        <f>[1]节奏总纲!AQ50</f>
        <v>75.55386163536086</v>
      </c>
      <c r="AG50" s="8">
        <v>47</v>
      </c>
      <c r="AH50" s="8">
        <f>[1]节奏总纲!AT50</f>
        <v>51.910183620847079</v>
      </c>
      <c r="AI50" s="8">
        <f>[1]节奏总纲!AU50</f>
        <v>41.528146896677697</v>
      </c>
      <c r="AJ50" s="8">
        <f>[1]节奏总纲!AV50</f>
        <v>31.14611017250823</v>
      </c>
      <c r="AK50" s="8">
        <f>[1]节奏总纲!AW50</f>
        <v>20.764073448338848</v>
      </c>
      <c r="AL50" s="8">
        <f>[1]节奏总纲!AX50</f>
        <v>10.382036724169424</v>
      </c>
      <c r="AM50" s="8"/>
      <c r="AN50" s="8">
        <v>47</v>
      </c>
      <c r="AO50" s="8">
        <f>[1]节奏总纲!BA50</f>
        <v>33.114246829746719</v>
      </c>
      <c r="AP50" s="8">
        <f>[1]节奏总纲!BB50</f>
        <v>34.494092527500278</v>
      </c>
      <c r="AQ50" s="8">
        <f>[1]节奏总纲!BC50</f>
        <v>36.386046662021599</v>
      </c>
      <c r="AR50" s="8">
        <f>[1]节奏总纲!BD50</f>
        <v>39.115214427575864</v>
      </c>
      <c r="AS50" s="8">
        <f>[1]节奏总纲!BE50</f>
        <v>43.77911147780199</v>
      </c>
    </row>
    <row r="51" spans="2:45" x14ac:dyDescent="0.15">
      <c r="B51" s="8">
        <f>[1]节奏总纲!N51</f>
        <v>58</v>
      </c>
      <c r="C51" s="8">
        <v>48</v>
      </c>
      <c r="D51" s="8">
        <f>[1]节奏总纲!P51</f>
        <v>26.857618025475972</v>
      </c>
      <c r="E51" s="8">
        <f>[1]节奏总纲!Q51</f>
        <v>23.425214441820142</v>
      </c>
      <c r="F51" s="8">
        <f>[1]节奏总纲!R51</f>
        <v>19.329427692935056</v>
      </c>
      <c r="G51" s="8">
        <f>[1]节奏总纲!S51</f>
        <v>14.269452456935383</v>
      </c>
      <c r="H51" s="8">
        <f>[1]节奏总纲!T51</f>
        <v>7.9605979827510778</v>
      </c>
      <c r="J51" s="8">
        <v>48</v>
      </c>
      <c r="K51" s="8">
        <f>[1]节奏总纲!W51</f>
        <v>1.8655413420764368</v>
      </c>
      <c r="L51" s="8">
        <f>[1]节奏总纲!X51</f>
        <v>1.6021330818756674</v>
      </c>
      <c r="M51" s="8">
        <f>[1]节奏总纲!Y51</f>
        <v>1.3326332732190522</v>
      </c>
      <c r="N51" s="8">
        <f>[1]节奏总纲!Z51</f>
        <v>0.93368033867339228</v>
      </c>
      <c r="O51" s="8">
        <f>[1]节奏总纲!AA51</f>
        <v>0.51795754643469571</v>
      </c>
      <c r="Q51" s="8">
        <v>48</v>
      </c>
      <c r="R51" s="8">
        <f>[1]节奏总纲!AD51</f>
        <v>56.142785979989682</v>
      </c>
      <c r="S51" s="8">
        <f>[1]节奏总纲!AE51</f>
        <v>58.155157256402767</v>
      </c>
      <c r="T51" s="8">
        <f>[1]节奏总纲!AF51</f>
        <v>61.006268532239034</v>
      </c>
      <c r="U51" s="8">
        <f>[1]节奏总纲!AG51</f>
        <v>65.330972386106993</v>
      </c>
      <c r="V51" s="8">
        <f>[1]节奏总纲!AH51</f>
        <v>73.948464567473962</v>
      </c>
      <c r="Z51" s="8">
        <v>48</v>
      </c>
      <c r="AA51" s="8">
        <f>[1]节奏总纲!AM51</f>
        <v>437.90148836012787</v>
      </c>
      <c r="AB51" s="8">
        <f>[1]节奏总纲!AN51</f>
        <v>350.32119068810232</v>
      </c>
      <c r="AC51" s="8">
        <f>[1]节奏总纲!AO51</f>
        <v>262.74089301607671</v>
      </c>
      <c r="AD51" s="8">
        <f>[1]节奏总纲!AP51</f>
        <v>175.16059534405116</v>
      </c>
      <c r="AE51" s="8">
        <f>[1]节奏总纲!AQ51</f>
        <v>87.58029767202558</v>
      </c>
      <c r="AG51" s="8">
        <v>48</v>
      </c>
      <c r="AH51" s="8">
        <f>[1]节奏总纲!AT51</f>
        <v>60.132180183323612</v>
      </c>
      <c r="AI51" s="8">
        <f>[1]节奏总纲!AU51</f>
        <v>48.105744146658878</v>
      </c>
      <c r="AJ51" s="8">
        <f>[1]节奏总纲!AV51</f>
        <v>36.079308109994173</v>
      </c>
      <c r="AK51" s="8">
        <f>[1]节奏总纲!AW51</f>
        <v>24.052872073329439</v>
      </c>
      <c r="AL51" s="8">
        <f>[1]节奏总纲!AX51</f>
        <v>12.02643603666472</v>
      </c>
      <c r="AM51" s="8"/>
      <c r="AN51" s="8">
        <v>48</v>
      </c>
      <c r="AO51" s="8">
        <f>[1]节奏总纲!BA51</f>
        <v>33.238809018460984</v>
      </c>
      <c r="AP51" s="8">
        <f>[1]节奏总纲!BB51</f>
        <v>34.627226072894942</v>
      </c>
      <c r="AQ51" s="8">
        <f>[1]节奏总纲!BC51</f>
        <v>36.526331209747774</v>
      </c>
      <c r="AR51" s="8">
        <f>[1]节奏总纲!BD51</f>
        <v>39.250296194358178</v>
      </c>
      <c r="AS51" s="8">
        <f>[1]节奏总纲!BE51</f>
        <v>43.928898311540578</v>
      </c>
    </row>
    <row r="52" spans="2:45" x14ac:dyDescent="0.15">
      <c r="B52" s="8">
        <f>[1]节奏总纲!N52</f>
        <v>59</v>
      </c>
      <c r="C52" s="8">
        <v>49</v>
      </c>
      <c r="D52" s="8">
        <f>[1]节奏总纲!P52</f>
        <v>28.857055729177837</v>
      </c>
      <c r="E52" s="8">
        <f>[1]节奏总纲!Q52</f>
        <v>25.166238301415991</v>
      </c>
      <c r="F52" s="8">
        <f>[1]节奏总纲!R52</f>
        <v>20.719366013549685</v>
      </c>
      <c r="G52" s="8">
        <f>[1]节奏总纲!S52</f>
        <v>15.268268186307994</v>
      </c>
      <c r="H52" s="8">
        <f>[1]节奏总纲!T52</f>
        <v>8.5474599069824766</v>
      </c>
      <c r="J52" s="8">
        <v>49</v>
      </c>
      <c r="K52" s="8">
        <f>[1]节奏总纲!W52</f>
        <v>1.9994377037018651</v>
      </c>
      <c r="L52" s="8">
        <f>[1]节奏总纲!X52</f>
        <v>1.7410238595958489</v>
      </c>
      <c r="M52" s="8">
        <f>[1]节奏总纲!Y52</f>
        <v>1.389938320614629</v>
      </c>
      <c r="N52" s="8">
        <f>[1]节奏总纲!Z52</f>
        <v>0.99881572937261076</v>
      </c>
      <c r="O52" s="8">
        <f>[1]节奏总纲!AA52</f>
        <v>0.58686192423139882</v>
      </c>
      <c r="Q52" s="8">
        <v>49</v>
      </c>
      <c r="R52" s="8">
        <f>[1]节奏总纲!AD52</f>
        <v>56.430041330048923</v>
      </c>
      <c r="S52" s="8">
        <f>[1]节奏总纲!AE52</f>
        <v>58.442483247955479</v>
      </c>
      <c r="T52" s="8">
        <f>[1]节奏总纲!AF52</f>
        <v>61.289495211956165</v>
      </c>
      <c r="U52" s="8">
        <f>[1]节奏总纲!AG52</f>
        <v>65.640268938313284</v>
      </c>
      <c r="V52" s="8">
        <f>[1]节奏总纲!AH52</f>
        <v>74.231558509323534</v>
      </c>
      <c r="Z52" s="8">
        <v>49</v>
      </c>
      <c r="AA52" s="8">
        <f>[1]节奏总纲!AM52</f>
        <v>507.55295278468168</v>
      </c>
      <c r="AB52" s="8">
        <f>[1]节奏总纲!AN52</f>
        <v>406.04236222774534</v>
      </c>
      <c r="AC52" s="8">
        <f>[1]节奏总纲!AO52</f>
        <v>304.53177167080901</v>
      </c>
      <c r="AD52" s="8">
        <f>[1]节奏总纲!AP52</f>
        <v>203.02118111387267</v>
      </c>
      <c r="AE52" s="8">
        <f>[1]节奏总纲!AQ52</f>
        <v>101.51059055693634</v>
      </c>
      <c r="AG52" s="8">
        <v>49</v>
      </c>
      <c r="AH52" s="8">
        <f>[1]节奏总纲!AT52</f>
        <v>69.651464424553808</v>
      </c>
      <c r="AI52" s="8">
        <f>[1]节奏总纲!AU52</f>
        <v>55.721171539643024</v>
      </c>
      <c r="AJ52" s="8">
        <f>[1]节奏总纲!AV52</f>
        <v>41.790878654732296</v>
      </c>
      <c r="AK52" s="8">
        <f>[1]节奏总纲!AW52</f>
        <v>27.860585769821512</v>
      </c>
      <c r="AL52" s="8">
        <f>[1]节奏总纲!AX52</f>
        <v>13.930292884910756</v>
      </c>
      <c r="AM52" s="8"/>
      <c r="AN52" s="8">
        <v>49</v>
      </c>
      <c r="AO52" s="8">
        <f>[1]节奏总纲!BA52</f>
        <v>33.363371207175248</v>
      </c>
      <c r="AP52" s="8">
        <f>[1]节奏总纲!BB52</f>
        <v>34.760359618289606</v>
      </c>
      <c r="AQ52" s="8">
        <f>[1]节奏总纲!BC52</f>
        <v>36.666615757473956</v>
      </c>
      <c r="AR52" s="8">
        <f>[1]节奏总纲!BD52</f>
        <v>39.385377961140485</v>
      </c>
      <c r="AS52" s="8">
        <f>[1]节奏总纲!BE52</f>
        <v>44.067911160744309</v>
      </c>
    </row>
    <row r="53" spans="2:45" x14ac:dyDescent="0.15">
      <c r="B53" s="8">
        <f>[1]节奏总纲!N53</f>
        <v>60</v>
      </c>
      <c r="C53" s="8">
        <v>50</v>
      </c>
      <c r="D53" s="8">
        <f>[1]节奏总纲!P53</f>
        <v>31</v>
      </c>
      <c r="E53" s="8">
        <f>[1]节奏总纲!Q53</f>
        <v>27.0351</v>
      </c>
      <c r="F53" s="8">
        <f>[1]节奏总纲!R53</f>
        <v>22.205300000000001</v>
      </c>
      <c r="G53" s="8">
        <f>[1]节奏总纲!S53</f>
        <v>16.386599999999998</v>
      </c>
      <c r="H53" s="8">
        <f>[1]节奏总纲!T53</f>
        <v>9.1883999999999997</v>
      </c>
      <c r="J53" s="8">
        <v>50</v>
      </c>
      <c r="K53" s="8">
        <f>[1]节奏总纲!W53</f>
        <v>2.1429442708221629</v>
      </c>
      <c r="L53" s="8">
        <f>[1]节奏总纲!X53</f>
        <v>1.8688616985840092</v>
      </c>
      <c r="M53" s="8">
        <f>[1]节奏总纲!Y53</f>
        <v>1.4859339864503163</v>
      </c>
      <c r="N53" s="8">
        <f>[1]节奏总纲!Z53</f>
        <v>1.118331813692004</v>
      </c>
      <c r="O53" s="8">
        <f>[1]节奏总纲!AA53</f>
        <v>0.64094009301752308</v>
      </c>
      <c r="Q53" s="8">
        <v>50</v>
      </c>
      <c r="R53" s="8">
        <f>[1]节奏总纲!AD53</f>
        <v>56.717296680108156</v>
      </c>
      <c r="S53" s="8">
        <f>[1]节奏总纲!AE53</f>
        <v>58.729809239508185</v>
      </c>
      <c r="T53" s="8">
        <f>[1]节奏总纲!AF53</f>
        <v>61.572721891673297</v>
      </c>
      <c r="U53" s="8">
        <f>[1]节奏总纲!AG53</f>
        <v>65.949565490519575</v>
      </c>
      <c r="V53" s="8">
        <f>[1]节奏总纲!AH53</f>
        <v>74.51042804689898</v>
      </c>
      <c r="Z53" s="8">
        <v>50</v>
      </c>
      <c r="AA53" s="8">
        <f>[1]节奏总纲!AM53</f>
        <v>588.22499999999991</v>
      </c>
      <c r="AB53" s="8">
        <f>[1]节奏总纲!AN53</f>
        <v>470.57999999999993</v>
      </c>
      <c r="AC53" s="8">
        <f>[1]节奏总纲!AO53</f>
        <v>352.93499999999995</v>
      </c>
      <c r="AD53" s="8">
        <f>[1]节奏总纲!AP53</f>
        <v>235.28999999999996</v>
      </c>
      <c r="AE53" s="8">
        <f>[1]节奏总纲!AQ53</f>
        <v>117.64499999999998</v>
      </c>
      <c r="AG53" s="8">
        <v>50</v>
      </c>
      <c r="AH53" s="8">
        <f>[1]节奏总纲!AT53</f>
        <v>80.67204721531823</v>
      </c>
      <c r="AI53" s="8">
        <f>[1]节奏总纲!AU53</f>
        <v>64.537637772254584</v>
      </c>
      <c r="AJ53" s="8">
        <f>[1]节奏总纲!AV53</f>
        <v>48.403228329190938</v>
      </c>
      <c r="AK53" s="8">
        <f>[1]节奏总纲!AW53</f>
        <v>32.268818886127292</v>
      </c>
      <c r="AL53" s="8">
        <f>[1]节奏总纲!AX53</f>
        <v>16.134409443063646</v>
      </c>
      <c r="AM53" s="8"/>
      <c r="AN53" s="8">
        <v>50</v>
      </c>
      <c r="AO53" s="8">
        <f>[1]节奏总纲!BA53</f>
        <v>33.487933395889513</v>
      </c>
      <c r="AP53" s="8">
        <f>[1]节奏总纲!BB53</f>
        <v>34.893493163684269</v>
      </c>
      <c r="AQ53" s="8">
        <f>[1]节奏总纲!BC53</f>
        <v>36.806900305200131</v>
      </c>
      <c r="AR53" s="8">
        <f>[1]节奏总纲!BD53</f>
        <v>39.520459727922798</v>
      </c>
      <c r="AS53" s="8">
        <f>[1]节奏总纲!BE53</f>
        <v>44.197188392263818</v>
      </c>
    </row>
    <row r="54" spans="2:45" x14ac:dyDescent="0.15">
      <c r="B54" s="8">
        <f>[1]节奏总纲!N54</f>
        <v>61</v>
      </c>
      <c r="C54" s="8">
        <v>51</v>
      </c>
      <c r="D54" s="8">
        <f>[1]节奏总纲!P54</f>
        <v>33.296750801161366</v>
      </c>
      <c r="E54" s="8">
        <f>[1]节奏总纲!Q54</f>
        <v>28.928217096048996</v>
      </c>
      <c r="F54" s="8">
        <f>[1]节奏总纲!R54</f>
        <v>23.783869097269566</v>
      </c>
      <c r="G54" s="8">
        <f>[1]节奏总纲!S54</f>
        <v>17.587343773173433</v>
      </c>
      <c r="H54" s="8">
        <f>[1]节奏总纲!T54</f>
        <v>9.8458492119034169</v>
      </c>
      <c r="J54" s="8">
        <v>51</v>
      </c>
      <c r="K54" s="8">
        <f>[1]节奏总纲!W54</f>
        <v>2.296750801161366</v>
      </c>
      <c r="L54" s="8">
        <f>[1]节奏总纲!X54</f>
        <v>1.8931170960489965</v>
      </c>
      <c r="M54" s="8">
        <f>[1]节奏总纲!Y54</f>
        <v>1.5785690972695647</v>
      </c>
      <c r="N54" s="8">
        <f>[1]节奏总纲!Z54</f>
        <v>1.2007437731734356</v>
      </c>
      <c r="O54" s="8">
        <f>[1]节奏总纲!AA54</f>
        <v>0.65744921190341721</v>
      </c>
      <c r="Q54" s="8">
        <v>51</v>
      </c>
      <c r="R54" s="8">
        <f>[1]节奏总纲!AD54</f>
        <v>57.004247194324648</v>
      </c>
      <c r="S54" s="8">
        <f>[1]节奏总纲!AE54</f>
        <v>59.016342740868758</v>
      </c>
      <c r="T54" s="8">
        <f>[1]节奏总纲!AF54</f>
        <v>61.855948571390428</v>
      </c>
      <c r="U54" s="8">
        <f>[1]节奏总纲!AG54</f>
        <v>66.241691764589476</v>
      </c>
      <c r="V54" s="8">
        <f>[1]节奏总纲!AH54</f>
        <v>74.789297584474426</v>
      </c>
      <c r="Z54" s="8">
        <v>51</v>
      </c>
      <c r="AA54" s="8">
        <f>[1]节奏总纲!AM54</f>
        <v>681.65492699983838</v>
      </c>
      <c r="AB54" s="8">
        <f>[1]节奏总纲!AN54</f>
        <v>545.32394159987075</v>
      </c>
      <c r="AC54" s="8">
        <f>[1]节奏总纲!AO54</f>
        <v>408.99295619990301</v>
      </c>
      <c r="AD54" s="8">
        <f>[1]节奏总纲!AP54</f>
        <v>272.66197079993537</v>
      </c>
      <c r="AE54" s="8">
        <f>[1]节奏总纲!AQ54</f>
        <v>136.33098539996769</v>
      </c>
      <c r="AG54" s="8">
        <v>51</v>
      </c>
      <c r="AH54" s="8">
        <f>[1]节奏总纲!AT54</f>
        <v>93.429926999838472</v>
      </c>
      <c r="AI54" s="8">
        <f>[1]节奏总纲!AU54</f>
        <v>74.743941599870823</v>
      </c>
      <c r="AJ54" s="8">
        <f>[1]节奏总纲!AV54</f>
        <v>56.05795619990306</v>
      </c>
      <c r="AK54" s="8">
        <f>[1]节奏总纲!AW54</f>
        <v>37.371970799935411</v>
      </c>
      <c r="AL54" s="8">
        <f>[1]节奏总纲!AX54</f>
        <v>18.685985399967706</v>
      </c>
      <c r="AN54" s="8">
        <v>51</v>
      </c>
      <c r="AO54" s="8">
        <f>[1]节奏总纲!BA54</f>
        <v>33.612495584603778</v>
      </c>
      <c r="AP54" s="8">
        <f>[1]节奏总纲!BB54</f>
        <v>35.024397713965918</v>
      </c>
      <c r="AQ54" s="8">
        <f>[1]节奏总纲!BC54</f>
        <v>36.947184852926306</v>
      </c>
      <c r="AR54" s="8">
        <f>[1]节奏总纲!BD54</f>
        <v>39.655541494705105</v>
      </c>
      <c r="AS54" s="8">
        <f>[1]节奏总纲!BE54</f>
        <v>44.326465623783335</v>
      </c>
    </row>
    <row r="55" spans="2:45" x14ac:dyDescent="0.15">
      <c r="B55" s="8">
        <f>[1]节奏总纲!N55</f>
        <v>62</v>
      </c>
      <c r="C55" s="8">
        <v>52</v>
      </c>
      <c r="D55" s="8">
        <f>[1]节奏总纲!P55</f>
        <v>35.758347359905123</v>
      </c>
      <c r="E55" s="8">
        <f>[1]节奏总纲!Q55</f>
        <v>31.081155525229534</v>
      </c>
      <c r="F55" s="8">
        <f>[1]节奏总纲!R55</f>
        <v>25.606552544428059</v>
      </c>
      <c r="G55" s="8">
        <f>[1]节奏总纲!S55</f>
        <v>18.930469092333773</v>
      </c>
      <c r="H55" s="8">
        <f>[1]节奏总纲!T55</f>
        <v>10.570167479587953</v>
      </c>
      <c r="J55" s="8">
        <v>52</v>
      </c>
      <c r="K55" s="8">
        <f>[1]节奏总纲!W55</f>
        <v>2.4615965587437572</v>
      </c>
      <c r="L55" s="8">
        <f>[1]节奏总纲!X55</f>
        <v>2.1529384291805371</v>
      </c>
      <c r="M55" s="8">
        <f>[1]节奏总纲!Y55</f>
        <v>1.822683447158493</v>
      </c>
      <c r="N55" s="8">
        <f>[1]节奏总纲!Z55</f>
        <v>1.3431253191603396</v>
      </c>
      <c r="O55" s="8">
        <f>[1]节奏总纲!AA55</f>
        <v>0.72431826768453611</v>
      </c>
      <c r="Q55" s="8">
        <v>52</v>
      </c>
      <c r="R55" s="8">
        <f>[1]节奏总纲!AD55</f>
        <v>57.27226591292537</v>
      </c>
      <c r="S55" s="8">
        <f>[1]节奏总纲!AE55</f>
        <v>59.290380144164828</v>
      </c>
      <c r="T55" s="8">
        <f>[1]节奏总纲!AF55</f>
        <v>62.130298748930763</v>
      </c>
      <c r="U55" s="8">
        <f>[1]节奏总纲!AG55</f>
        <v>66.530472725664353</v>
      </c>
      <c r="V55" s="8">
        <f>[1]节奏总纲!AH55</f>
        <v>75.062532510920803</v>
      </c>
      <c r="Z55" s="8">
        <v>52</v>
      </c>
      <c r="AA55" s="8">
        <f>[1]节奏总纲!AM55</f>
        <v>789.85301886939453</v>
      </c>
      <c r="AB55" s="8">
        <f>[1]节奏总纲!AN55</f>
        <v>631.88241509551563</v>
      </c>
      <c r="AC55" s="8">
        <f>[1]节奏总纲!AO55</f>
        <v>473.91181132163672</v>
      </c>
      <c r="AD55" s="8">
        <f>[1]节奏总纲!AP55</f>
        <v>315.94120754775781</v>
      </c>
      <c r="AE55" s="8">
        <f>[1]节奏总纲!AQ55</f>
        <v>157.97060377387891</v>
      </c>
      <c r="AG55" s="8">
        <v>52</v>
      </c>
      <c r="AH55" s="8">
        <f>[1]节奏总纲!AT55</f>
        <v>108.19809186955615</v>
      </c>
      <c r="AI55" s="8">
        <f>[1]节奏总纲!AU55</f>
        <v>86.558473495644876</v>
      </c>
      <c r="AJ55" s="8">
        <f>[1]节奏总纲!AV55</f>
        <v>64.918855121733714</v>
      </c>
      <c r="AK55" s="8">
        <f>[1]节奏总纲!AW55</f>
        <v>43.279236747822438</v>
      </c>
      <c r="AL55" s="8">
        <f>[1]节奏总纲!AX55</f>
        <v>21.639618373911219</v>
      </c>
      <c r="AN55" s="8">
        <v>52</v>
      </c>
      <c r="AO55" s="8">
        <f>[1]节奏总纲!BA55</f>
        <v>33.737057773318043</v>
      </c>
      <c r="AP55" s="8">
        <f>[1]节奏总纲!BB55</f>
        <v>35.146386283795508</v>
      </c>
      <c r="AQ55" s="8">
        <f>[1]节奏总纲!BC55</f>
        <v>37.075448197698059</v>
      </c>
      <c r="AR55" s="8">
        <f>[1]节奏总纲!BD55</f>
        <v>39.790623261487418</v>
      </c>
      <c r="AS55" s="8">
        <f>[1]节奏总纲!BE55</f>
        <v>44.455742855302844</v>
      </c>
    </row>
    <row r="56" spans="2:45" x14ac:dyDescent="0.15">
      <c r="B56" s="8">
        <f>[1]节奏总纲!N56</f>
        <v>63</v>
      </c>
      <c r="C56" s="8">
        <v>53</v>
      </c>
      <c r="D56" s="8">
        <f>[1]节奏总纲!P56</f>
        <v>38.396621227037308</v>
      </c>
      <c r="E56" s="8">
        <f>[1]节奏总纲!Q56</f>
        <v>33.42809844025868</v>
      </c>
      <c r="F56" s="8">
        <f>[1]节奏总纲!R56</f>
        <v>27.5802930273809</v>
      </c>
      <c r="G56" s="8">
        <f>[1]节奏总纲!S56</f>
        <v>20.319491953348145</v>
      </c>
      <c r="H56" s="8">
        <f>[1]节奏总纲!T56</f>
        <v>11.338522248344118</v>
      </c>
      <c r="J56" s="8">
        <v>53</v>
      </c>
      <c r="K56" s="8">
        <f>[1]节奏总纲!W56</f>
        <v>2.6382738671321846</v>
      </c>
      <c r="L56" s="8">
        <f>[1]节奏总纲!X56</f>
        <v>2.3469429150291461</v>
      </c>
      <c r="M56" s="8">
        <f>[1]节奏总纲!Y56</f>
        <v>1.9737404829528415</v>
      </c>
      <c r="N56" s="8">
        <f>[1]节奏总纲!Z56</f>
        <v>1.3890228610143716</v>
      </c>
      <c r="O56" s="8">
        <f>[1]节奏总纲!AA56</f>
        <v>0.76835476875616493</v>
      </c>
      <c r="Q56" s="8">
        <v>53</v>
      </c>
      <c r="R56" s="8">
        <f>[1]节奏总纲!AD56</f>
        <v>57.540284631526099</v>
      </c>
      <c r="S56" s="8">
        <f>[1]节奏总纲!AE56</f>
        <v>59.564417547460899</v>
      </c>
      <c r="T56" s="8">
        <f>[1]节奏总纲!AF56</f>
        <v>62.395461425033538</v>
      </c>
      <c r="U56" s="8">
        <f>[1]节奏总纲!AG56</f>
        <v>66.819253686739231</v>
      </c>
      <c r="V56" s="8">
        <f>[1]节奏总纲!AH56</f>
        <v>75.318351032805268</v>
      </c>
      <c r="Z56" s="8">
        <v>53</v>
      </c>
      <c r="AA56" s="8">
        <f>[1]节奏总纲!AM56</f>
        <v>915.14532082292135</v>
      </c>
      <c r="AB56" s="8">
        <f>[1]节奏总纲!AN56</f>
        <v>732.11625665833708</v>
      </c>
      <c r="AC56" s="8">
        <f>[1]节奏总纲!AO56</f>
        <v>549.08719249375281</v>
      </c>
      <c r="AD56" s="8">
        <f>[1]节奏总纲!AP56</f>
        <v>366.05812832916854</v>
      </c>
      <c r="AE56" s="8">
        <f>[1]节奏总纲!AQ56</f>
        <v>183.02906416458427</v>
      </c>
      <c r="AG56" s="8">
        <v>53</v>
      </c>
      <c r="AH56" s="8">
        <f>[1]节奏总纲!AT56</f>
        <v>125.29230195352682</v>
      </c>
      <c r="AI56" s="8">
        <f>[1]节奏总纲!AU56</f>
        <v>100.23384156282145</v>
      </c>
      <c r="AJ56" s="8">
        <f>[1]节奏总纲!AV56</f>
        <v>75.17538117211609</v>
      </c>
      <c r="AK56" s="8">
        <f>[1]节奏总纲!AW56</f>
        <v>50.116920781410727</v>
      </c>
      <c r="AL56" s="8">
        <f>[1]节奏总纲!AX56</f>
        <v>25.058460390705363</v>
      </c>
      <c r="AN56" s="8">
        <v>53</v>
      </c>
      <c r="AO56" s="8">
        <f>[1]节奏总纲!BA56</f>
        <v>33.861619962032307</v>
      </c>
      <c r="AP56" s="8">
        <f>[1]节奏总纲!BB56</f>
        <v>35.268374853625097</v>
      </c>
      <c r="AQ56" s="8">
        <f>[1]节奏总纲!BC56</f>
        <v>37.196452985793947</v>
      </c>
      <c r="AR56" s="8">
        <f>[1]节奏总纲!BD56</f>
        <v>39.925705028269732</v>
      </c>
      <c r="AS56" s="8">
        <f>[1]节奏总纲!BE56</f>
        <v>44.585020086822361</v>
      </c>
    </row>
    <row r="57" spans="2:45" x14ac:dyDescent="0.15">
      <c r="B57" s="8">
        <f>[1]节奏总纲!N57</f>
        <v>64</v>
      </c>
      <c r="C57" s="8">
        <v>54</v>
      </c>
      <c r="D57" s="8">
        <f>[1]节奏总纲!P57</f>
        <v>41.224253144732614</v>
      </c>
      <c r="E57" s="8">
        <f>[1]节奏总纲!Q57</f>
        <v>35.947548742206841</v>
      </c>
      <c r="F57" s="8">
        <f>[1]节奏总纲!R57</f>
        <v>29.553667079458812</v>
      </c>
      <c r="G57" s="8">
        <f>[1]节奏总纲!S57</f>
        <v>21.762283235104348</v>
      </c>
      <c r="H57" s="8">
        <f>[1]节奏总纲!T57</f>
        <v>12.111685573922442</v>
      </c>
      <c r="J57" s="8">
        <v>54</v>
      </c>
      <c r="K57" s="8">
        <f>[1]节奏总纲!W57</f>
        <v>2.8276319176953066</v>
      </c>
      <c r="L57" s="8">
        <f>[1]节奏总纲!X57</f>
        <v>2.5194503019481616</v>
      </c>
      <c r="M57" s="8">
        <f>[1]节奏总纲!Y57</f>
        <v>1.9733740520779115</v>
      </c>
      <c r="N57" s="8">
        <f>[1]节奏总纲!Z57</f>
        <v>1.4427912817562039</v>
      </c>
      <c r="O57" s="8">
        <f>[1]节奏总纲!AA57</f>
        <v>0.77316332557832368</v>
      </c>
      <c r="Q57" s="8">
        <v>54</v>
      </c>
      <c r="R57" s="8">
        <f>[1]节奏总纲!AD57</f>
        <v>57.80830335012682</v>
      </c>
      <c r="S57" s="8">
        <f>[1]节奏总纲!AE57</f>
        <v>59.838454950756969</v>
      </c>
      <c r="T57" s="8">
        <f>[1]节奏总纲!AF57</f>
        <v>62.660624101136307</v>
      </c>
      <c r="U57" s="8">
        <f>[1]节奏总纲!AG57</f>
        <v>67.098789255934349</v>
      </c>
      <c r="V57" s="8">
        <f>[1]节奏总纲!AH57</f>
        <v>75.574169554689718</v>
      </c>
      <c r="Z57" s="8">
        <v>54</v>
      </c>
      <c r="AA57" s="8">
        <f>[1]节奏总纲!AM57</f>
        <v>1060.2230944101252</v>
      </c>
      <c r="AB57" s="8">
        <f>[1]节奏总纲!AN57</f>
        <v>848.17847552810019</v>
      </c>
      <c r="AC57" s="8">
        <f>[1]节奏总纲!AO57</f>
        <v>636.13385664607506</v>
      </c>
      <c r="AD57" s="8">
        <f>[1]节奏总纲!AP57</f>
        <v>424.0892377640501</v>
      </c>
      <c r="AE57" s="8">
        <f>[1]节奏总纲!AQ57</f>
        <v>212.04461888202505</v>
      </c>
      <c r="AG57" s="8">
        <v>54</v>
      </c>
      <c r="AH57" s="8">
        <f>[1]节奏总纲!AT57</f>
        <v>145.07777358720386</v>
      </c>
      <c r="AI57" s="8">
        <f>[1]节奏总纲!AU57</f>
        <v>116.06221886976311</v>
      </c>
      <c r="AJ57" s="8">
        <f>[1]节奏总纲!AV57</f>
        <v>87.046664152322251</v>
      </c>
      <c r="AK57" s="8">
        <f>[1]节奏总纲!AW57</f>
        <v>58.031109434881557</v>
      </c>
      <c r="AL57" s="8">
        <f>[1]节奏总纲!AX57</f>
        <v>29.015554717440779</v>
      </c>
      <c r="AN57" s="8">
        <v>54</v>
      </c>
      <c r="AO57" s="8">
        <f>[1]节奏总纲!BA57</f>
        <v>33.986182150746572</v>
      </c>
      <c r="AP57" s="8">
        <f>[1]节奏总纲!BB57</f>
        <v>35.390363423454687</v>
      </c>
      <c r="AQ57" s="8">
        <f>[1]节奏总纲!BC57</f>
        <v>37.317457773889828</v>
      </c>
      <c r="AR57" s="8">
        <f>[1]节奏总纲!BD57</f>
        <v>40.052446592012309</v>
      </c>
      <c r="AS57" s="8">
        <f>[1]节奏总纲!BE57</f>
        <v>44.71429731834187</v>
      </c>
    </row>
    <row r="58" spans="2:45" x14ac:dyDescent="0.15">
      <c r="B58" s="8">
        <f>[1]节奏总纲!N58</f>
        <v>65</v>
      </c>
      <c r="C58" s="8">
        <v>55</v>
      </c>
      <c r="D58" s="8">
        <f>[1]节奏总纲!P58</f>
        <v>44.254833995939045</v>
      </c>
      <c r="E58" s="8">
        <f>[1]节奏总纲!Q58</f>
        <v>38.53268396026413</v>
      </c>
      <c r="F58" s="8">
        <f>[1]节奏总纲!R58</f>
        <v>31.642206307096416</v>
      </c>
      <c r="G58" s="8">
        <f>[1]节奏总纲!S58</f>
        <v>23.282468165263531</v>
      </c>
      <c r="H58" s="8">
        <f>[1]节奏总纲!T58</f>
        <v>12.944538943812169</v>
      </c>
      <c r="J58" s="8">
        <v>55</v>
      </c>
      <c r="K58" s="8">
        <f>[1]节奏总纲!W58</f>
        <v>3.0305808512064303</v>
      </c>
      <c r="L58" s="8">
        <f>[1]节奏总纲!X58</f>
        <v>2.5851352180572889</v>
      </c>
      <c r="M58" s="8">
        <f>[1]节奏总纲!Y58</f>
        <v>2.0885392276376038</v>
      </c>
      <c r="N58" s="8">
        <f>[1]节奏总纲!Z58</f>
        <v>1.5201849301591821</v>
      </c>
      <c r="O58" s="8">
        <f>[1]节奏总纲!AA58</f>
        <v>0.8328533698897278</v>
      </c>
      <c r="Q58" s="8">
        <v>55</v>
      </c>
      <c r="R58" s="8">
        <f>[1]节奏总纲!AD58</f>
        <v>58.071211008105138</v>
      </c>
      <c r="S58" s="8">
        <f>[1]节奏总纲!AE58</f>
        <v>60.102437883401088</v>
      </c>
      <c r="T58" s="8">
        <f>[1]节奏总纲!AF58</f>
        <v>62.925786777239075</v>
      </c>
      <c r="U58" s="8">
        <f>[1]节奏总纲!AG58</f>
        <v>67.36285691246691</v>
      </c>
      <c r="V58" s="8">
        <f>[1]节奏总纲!AH58</f>
        <v>75.829988076574182</v>
      </c>
      <c r="Z58" s="8">
        <v>55</v>
      </c>
      <c r="AA58" s="8">
        <f>[1]节奏总纲!AM58</f>
        <v>1228.2</v>
      </c>
      <c r="AB58" s="8">
        <f>[1]节奏总纲!AN58</f>
        <v>982.56000000000006</v>
      </c>
      <c r="AC58" s="8">
        <f>[1]节奏总纲!AO58</f>
        <v>736.92</v>
      </c>
      <c r="AD58" s="8">
        <f>[1]节奏总纲!AP58</f>
        <v>491.28000000000003</v>
      </c>
      <c r="AE58" s="8">
        <f>[1]节奏总纲!AQ58</f>
        <v>245.64000000000001</v>
      </c>
      <c r="AG58" s="8">
        <v>55</v>
      </c>
      <c r="AH58" s="8">
        <f>[1]节奏总纲!AT58</f>
        <v>167.97690558987483</v>
      </c>
      <c r="AI58" s="8">
        <f>[1]节奏总纲!AU58</f>
        <v>134.38152447189987</v>
      </c>
      <c r="AJ58" s="8">
        <f>[1]节奏总纲!AV58</f>
        <v>100.7861433539249</v>
      </c>
      <c r="AK58" s="8">
        <f>[1]节奏总纲!AW58</f>
        <v>67.190762235949933</v>
      </c>
      <c r="AL58" s="8">
        <f>[1]节奏总纲!AX58</f>
        <v>33.595381117974966</v>
      </c>
      <c r="AN58" s="8">
        <v>55</v>
      </c>
      <c r="AO58" s="8">
        <f>[1]节奏总纲!BA58</f>
        <v>34.09469189131628</v>
      </c>
      <c r="AP58" s="8">
        <f>[1]节奏总纲!BB58</f>
        <v>35.512351993284277</v>
      </c>
      <c r="AQ58" s="8">
        <f>[1]节奏总纲!BC58</f>
        <v>37.438462561985709</v>
      </c>
      <c r="AR58" s="8">
        <f>[1]节奏总纲!BD58</f>
        <v>40.168994574261895</v>
      </c>
      <c r="AS58" s="8">
        <f>[1]节奏总纲!BE58</f>
        <v>44.843574549861387</v>
      </c>
    </row>
    <row r="59" spans="2:45" x14ac:dyDescent="0.15">
      <c r="B59" s="8">
        <f>[1]节奏总纲!N59</f>
        <v>66</v>
      </c>
      <c r="C59" s="8">
        <v>56</v>
      </c>
      <c r="D59" s="8">
        <f>[1]节奏总纲!P59</f>
        <v>47.502930128332721</v>
      </c>
      <c r="E59" s="8">
        <f>[1]节奏总纲!Q59</f>
        <v>41.275295988508304</v>
      </c>
      <c r="F59" s="8">
        <f>[1]节奏总纲!R59</f>
        <v>33.888590353552566</v>
      </c>
      <c r="G59" s="8">
        <f>[1]节奏总纲!S59</f>
        <v>24.910536559297679</v>
      </c>
      <c r="H59" s="8">
        <f>[1]节奏总纲!T59</f>
        <v>13.837603546383322</v>
      </c>
      <c r="J59" s="8">
        <v>56</v>
      </c>
      <c r="K59" s="8">
        <f>[1]节奏总纲!W59</f>
        <v>3.2480961323936768</v>
      </c>
      <c r="L59" s="8">
        <f>[1]节奏总纲!X59</f>
        <v>2.7426120282441744</v>
      </c>
      <c r="M59" s="8">
        <f>[1]节奏总纲!Y59</f>
        <v>2.24638404645615</v>
      </c>
      <c r="N59" s="8">
        <f>[1]节奏总纲!Z59</f>
        <v>1.6280683940341483</v>
      </c>
      <c r="O59" s="8">
        <f>[1]节奏总纲!AA59</f>
        <v>0.89306460257115283</v>
      </c>
      <c r="Q59" s="8">
        <v>56</v>
      </c>
      <c r="R59" s="8">
        <f>[1]节奏总纲!AD59</f>
        <v>58.321281314909029</v>
      </c>
      <c r="S59" s="8">
        <f>[1]节奏总纲!AE59</f>
        <v>60.351982057337977</v>
      </c>
      <c r="T59" s="8">
        <f>[1]节奏总纲!AF59</f>
        <v>63.17626763611517</v>
      </c>
      <c r="U59" s="8">
        <f>[1]节奏总纲!AG59</f>
        <v>67.626924568999456</v>
      </c>
      <c r="V59" s="8">
        <f>[1]节奏总纲!AH59</f>
        <v>76.086647524934079</v>
      </c>
      <c r="Z59" s="8">
        <v>56</v>
      </c>
      <c r="AA59" s="8">
        <f>[1]节奏总纲!AM59</f>
        <v>1422.6782097755249</v>
      </c>
      <c r="AB59" s="8">
        <f>[1]节奏总纲!AN59</f>
        <v>1138.14256782042</v>
      </c>
      <c r="AC59" s="8">
        <f>[1]节奏总纲!AO59</f>
        <v>853.60692586531491</v>
      </c>
      <c r="AD59" s="8">
        <f>[1]节奏总纲!AP59</f>
        <v>569.07128391021001</v>
      </c>
      <c r="AE59" s="8">
        <f>[1]节奏总纲!AQ59</f>
        <v>284.53564195510501</v>
      </c>
      <c r="AG59" s="8">
        <v>56</v>
      </c>
      <c r="AH59" s="8">
        <f>[1]节奏总纲!AT59</f>
        <v>194.47820977552487</v>
      </c>
      <c r="AI59" s="8">
        <f>[1]节奏总纲!AU59</f>
        <v>155.58256782041997</v>
      </c>
      <c r="AJ59" s="8">
        <f>[1]节奏总纲!AV59</f>
        <v>116.68692586531495</v>
      </c>
      <c r="AK59" s="8">
        <f>[1]节奏总纲!AW59</f>
        <v>77.791283910209984</v>
      </c>
      <c r="AL59" s="8">
        <f>[1]节奏总纲!AX59</f>
        <v>38.895641955104992</v>
      </c>
      <c r="AN59" s="8">
        <v>56</v>
      </c>
      <c r="AO59" s="8">
        <f>[1]节奏总纲!BA59</f>
        <v>34.201198727632011</v>
      </c>
      <c r="AP59" s="8">
        <f>[1]节奏总纲!BB59</f>
        <v>35.634340563113874</v>
      </c>
      <c r="AQ59" s="8">
        <f>[1]节奏总纲!BC59</f>
        <v>37.55946735008159</v>
      </c>
      <c r="AR59" s="8">
        <f>[1]节奏总纲!BD59</f>
        <v>40.28554255651148</v>
      </c>
      <c r="AS59" s="8">
        <f>[1]节奏总纲!BE59</f>
        <v>44.972851781380903</v>
      </c>
    </row>
    <row r="60" spans="2:45" x14ac:dyDescent="0.15">
      <c r="B60" s="8">
        <f>[1]节奏总纲!N60</f>
        <v>67</v>
      </c>
      <c r="C60" s="8">
        <v>57</v>
      </c>
      <c r="D60" s="8">
        <f>[1]节奏总纲!P60</f>
        <v>50.984153366799077</v>
      </c>
      <c r="E60" s="8">
        <f>[1]节奏总纲!Q60</f>
        <v>44.310327691085078</v>
      </c>
      <c r="F60" s="8">
        <f>[1]节奏总纲!R60</f>
        <v>36.316012443170983</v>
      </c>
      <c r="G60" s="8">
        <f>[1]节奏总纲!S60</f>
        <v>26.664712210835919</v>
      </c>
      <c r="H60" s="8">
        <f>[1]节奏总纲!T60</f>
        <v>14.815994968391813</v>
      </c>
      <c r="J60" s="8">
        <v>57</v>
      </c>
      <c r="K60" s="8">
        <f>[1]节奏总纲!W60</f>
        <v>3.481223238466356</v>
      </c>
      <c r="L60" s="8">
        <f>[1]节奏总纲!X60</f>
        <v>3.0350317025767737</v>
      </c>
      <c r="M60" s="8">
        <f>[1]节奏总纲!Y60</f>
        <v>2.4274220896184175</v>
      </c>
      <c r="N60" s="8">
        <f>[1]节奏总纲!Z60</f>
        <v>1.7541756515382403</v>
      </c>
      <c r="O60" s="8">
        <f>[1]节奏总纲!AA60</f>
        <v>0.97839142200849061</v>
      </c>
      <c r="Q60" s="8">
        <v>57</v>
      </c>
      <c r="R60" s="8">
        <f>[1]节奏总纲!AD60</f>
        <v>58.571351621712921</v>
      </c>
      <c r="S60" s="8">
        <f>[1]节奏总纲!AE60</f>
        <v>60.60152623127486</v>
      </c>
      <c r="T60" s="8">
        <f>[1]节奏总纲!AF60</f>
        <v>63.421042351541736</v>
      </c>
      <c r="U60" s="8">
        <f>[1]节奏总纲!AG60</f>
        <v>67.890992225532017</v>
      </c>
      <c r="V60" s="8">
        <f>[1]节奏总纲!AH60</f>
        <v>76.344973133357612</v>
      </c>
      <c r="Z60" s="8">
        <v>57</v>
      </c>
      <c r="AA60" s="8">
        <f>[1]节奏总纲!AM60</f>
        <v>1647.8248427703616</v>
      </c>
      <c r="AB60" s="8">
        <f>[1]节奏总纲!AN60</f>
        <v>1318.2598742162893</v>
      </c>
      <c r="AC60" s="8">
        <f>[1]节奏总纲!AO60</f>
        <v>988.69490566221691</v>
      </c>
      <c r="AD60" s="8">
        <f>[1]节奏总纲!AP60</f>
        <v>659.12993710814465</v>
      </c>
      <c r="AE60" s="8">
        <f>[1]节奏总纲!AQ60</f>
        <v>329.56496855407232</v>
      </c>
      <c r="AG60" s="8">
        <v>57</v>
      </c>
      <c r="AH60" s="8">
        <f>[1]节奏总纲!AT60</f>
        <v>225.14663299483664</v>
      </c>
      <c r="AI60" s="8">
        <f>[1]节奏总纲!AU60</f>
        <v>180.11730639586926</v>
      </c>
      <c r="AJ60" s="8">
        <f>[1]节奏总纲!AV60</f>
        <v>135.087979796902</v>
      </c>
      <c r="AK60" s="8">
        <f>[1]节奏总纲!AW60</f>
        <v>90.058653197934632</v>
      </c>
      <c r="AL60" s="8">
        <f>[1]节奏总纲!AX60</f>
        <v>45.029326598967316</v>
      </c>
      <c r="AN60" s="8">
        <v>57</v>
      </c>
      <c r="AO60" s="8">
        <f>[1]节奏总纲!BA60</f>
        <v>34.307705563947749</v>
      </c>
      <c r="AP60" s="8">
        <f>[1]节奏总纲!BB60</f>
        <v>35.756329132943463</v>
      </c>
      <c r="AQ60" s="8">
        <f>[1]节奏总纲!BC60</f>
        <v>37.680472138177478</v>
      </c>
      <c r="AR60" s="8">
        <f>[1]节奏总纲!BD60</f>
        <v>40.402090538761065</v>
      </c>
      <c r="AS60" s="8">
        <f>[1]节奏总纲!BE60</f>
        <v>45.088151688727308</v>
      </c>
    </row>
    <row r="61" spans="2:45" x14ac:dyDescent="0.15">
      <c r="B61" s="8">
        <f>[1]节奏总纲!N61</f>
        <v>68</v>
      </c>
      <c r="C61" s="8">
        <v>58</v>
      </c>
      <c r="D61" s="8">
        <f>[1]节奏总纲!P61</f>
        <v>54.715236050951923</v>
      </c>
      <c r="E61" s="8">
        <f>[1]节奏总纲!Q61</f>
        <v>47.459995750595695</v>
      </c>
      <c r="F61" s="8">
        <f>[1]节奏总纲!R61</f>
        <v>38.913475879437009</v>
      </c>
      <c r="G61" s="8">
        <f>[1]节奏总纲!S61</f>
        <v>28.572296265807093</v>
      </c>
      <c r="H61" s="8">
        <f>[1]节奏总纲!T61</f>
        <v>15.856475407565867</v>
      </c>
      <c r="J61" s="8">
        <v>58</v>
      </c>
      <c r="K61" s="8">
        <f>[1]节奏总纲!W61</f>
        <v>3.7310826841528453</v>
      </c>
      <c r="L61" s="8">
        <f>[1]节奏总纲!X61</f>
        <v>3.149668059510617</v>
      </c>
      <c r="M61" s="8">
        <f>[1]节奏总纲!Y61</f>
        <v>2.5974634362660254</v>
      </c>
      <c r="N61" s="8">
        <f>[1]节奏总纲!Z61</f>
        <v>1.9075840549711742</v>
      </c>
      <c r="O61" s="8">
        <f>[1]节奏总纲!AA61</f>
        <v>1.0404804391740541</v>
      </c>
      <c r="Q61" s="8">
        <v>58</v>
      </c>
      <c r="R61" s="8">
        <f>[1]节奏总纲!AD61</f>
        <v>58.821421928516813</v>
      </c>
      <c r="S61" s="8">
        <f>[1]节奏总纲!AE61</f>
        <v>60.851070405211743</v>
      </c>
      <c r="T61" s="8">
        <f>[1]节奏总纲!AF61</f>
        <v>63.665817066968295</v>
      </c>
      <c r="U61" s="8">
        <f>[1]节奏总纲!AG61</f>
        <v>68.142437172458173</v>
      </c>
      <c r="V61" s="8">
        <f>[1]节奏总纲!AH61</f>
        <v>76.60329874178116</v>
      </c>
      <c r="Z61" s="8">
        <v>58</v>
      </c>
      <c r="AA61" s="8">
        <f>[1]节奏总纲!AM61</f>
        <v>1908.4603298511749</v>
      </c>
      <c r="AB61" s="8">
        <f>[1]节奏总纲!AN61</f>
        <v>1526.7682638809401</v>
      </c>
      <c r="AC61" s="8">
        <f>[1]节奏总纲!AO61</f>
        <v>1145.0761979107049</v>
      </c>
      <c r="AD61" s="8">
        <f>[1]节奏总纲!AP61</f>
        <v>763.38413194047007</v>
      </c>
      <c r="AE61" s="8">
        <f>[1]节奏总纲!AQ61</f>
        <v>381.69206597023503</v>
      </c>
      <c r="AG61" s="8">
        <v>58</v>
      </c>
      <c r="AH61" s="8">
        <f>[1]节奏总纲!AT61</f>
        <v>260.63548708081339</v>
      </c>
      <c r="AI61" s="8">
        <f>[1]节奏总纲!AU61</f>
        <v>208.50838966465085</v>
      </c>
      <c r="AJ61" s="8">
        <f>[1]节奏总纲!AV61</f>
        <v>156.38129224848797</v>
      </c>
      <c r="AK61" s="8">
        <f>[1]节奏总纲!AW61</f>
        <v>104.25419483232542</v>
      </c>
      <c r="AL61" s="8">
        <f>[1]节奏总纲!AX61</f>
        <v>52.127097416162712</v>
      </c>
      <c r="AN61" s="8">
        <v>58</v>
      </c>
      <c r="AO61" s="8">
        <f>[1]节奏总纲!BA61</f>
        <v>34.41421240026348</v>
      </c>
      <c r="AP61" s="8">
        <f>[1]节奏总纲!BB61</f>
        <v>35.878317702773053</v>
      </c>
      <c r="AQ61" s="8">
        <f>[1]节奏总纲!BC61</f>
        <v>37.801476926273359</v>
      </c>
      <c r="AR61" s="8">
        <f>[1]节奏总纲!BD61</f>
        <v>40.518638521010644</v>
      </c>
      <c r="AS61" s="8">
        <f>[1]节奏总纲!BE61</f>
        <v>45.199736104837825</v>
      </c>
    </row>
    <row r="62" spans="2:45" x14ac:dyDescent="0.15">
      <c r="B62" s="8">
        <f>[1]节奏总纲!N62</f>
        <v>69</v>
      </c>
      <c r="C62" s="8">
        <v>59</v>
      </c>
      <c r="D62" s="8">
        <f>[1]节奏总纲!P62</f>
        <v>58.714111458355703</v>
      </c>
      <c r="E62" s="8">
        <f>[1]节奏总纲!Q62</f>
        <v>50.940363101269412</v>
      </c>
      <c r="F62" s="8">
        <f>[1]节奏总纲!R62</f>
        <v>41.728119013453394</v>
      </c>
      <c r="G62" s="8">
        <f>[1]节奏总纲!S62</f>
        <v>30.607666303240826</v>
      </c>
      <c r="H62" s="8">
        <f>[1]节奏总纲!T62</f>
        <v>17.003606678339814</v>
      </c>
      <c r="J62" s="8">
        <v>59</v>
      </c>
      <c r="K62" s="8">
        <f>[1]节奏总纲!W62</f>
        <v>3.99887540740378</v>
      </c>
      <c r="L62" s="8">
        <f>[1]节奏总纲!X62</f>
        <v>3.4803673506737169</v>
      </c>
      <c r="M62" s="8">
        <f>[1]节奏总纲!Y62</f>
        <v>2.8146431340163858</v>
      </c>
      <c r="N62" s="8">
        <f>[1]节奏总纲!Z62</f>
        <v>2.0353700374337329</v>
      </c>
      <c r="O62" s="8">
        <f>[1]节奏总纲!AA62</f>
        <v>1.1471312707739472</v>
      </c>
      <c r="Q62" s="8">
        <v>59</v>
      </c>
      <c r="R62" s="8">
        <f>[1]节奏总纲!AD62</f>
        <v>59.066704614192936</v>
      </c>
      <c r="S62" s="8">
        <f>[1]节奏总纲!AE62</f>
        <v>61.094954819415335</v>
      </c>
      <c r="T62" s="8">
        <f>[1]节奏总纲!AF62</f>
        <v>63.91059178239486</v>
      </c>
      <c r="U62" s="8">
        <f>[1]节奏总纲!AG62</f>
        <v>68.385008299388929</v>
      </c>
      <c r="V62" s="8">
        <f>[1]节奏总纲!AH62</f>
        <v>76.861624350204693</v>
      </c>
      <c r="Z62" s="8">
        <v>59</v>
      </c>
      <c r="AA62" s="8">
        <f>[1]节奏总纲!AM62</f>
        <v>2210.1605665017755</v>
      </c>
      <c r="AB62" s="8">
        <f>[1]节奏总纲!AN62</f>
        <v>1768.1284532014206</v>
      </c>
      <c r="AC62" s="8">
        <f>[1]节奏总纲!AO62</f>
        <v>1326.0963399010652</v>
      </c>
      <c r="AD62" s="8">
        <f>[1]节奏总纲!AP62</f>
        <v>884.0642266007103</v>
      </c>
      <c r="AE62" s="8">
        <f>[1]节奏总纲!AQ62</f>
        <v>442.03211330035515</v>
      </c>
      <c r="AG62" s="8">
        <v>59</v>
      </c>
      <c r="AH62" s="8">
        <f>[1]节奏总纲!AT62</f>
        <v>301.70023665060057</v>
      </c>
      <c r="AI62" s="8">
        <f>[1]节奏总纲!AU62</f>
        <v>241.36018932048046</v>
      </c>
      <c r="AJ62" s="8">
        <f>[1]节奏总纲!AV62</f>
        <v>181.02014199036034</v>
      </c>
      <c r="AK62" s="8">
        <f>[1]节奏总纲!AW62</f>
        <v>120.68009466024023</v>
      </c>
      <c r="AL62" s="8">
        <f>[1]节奏总纲!AX62</f>
        <v>60.340047330120115</v>
      </c>
      <c r="AN62" s="8">
        <v>59</v>
      </c>
      <c r="AO62" s="8">
        <f>[1]节奏总纲!BA62</f>
        <v>34.520719236579211</v>
      </c>
      <c r="AP62" s="8">
        <f>[1]节奏总纲!BB62</f>
        <v>36.000264155774609</v>
      </c>
      <c r="AQ62" s="8">
        <f>[1]节奏总纲!BC62</f>
        <v>37.922481714369241</v>
      </c>
      <c r="AR62" s="8">
        <f>[1]节奏总纲!BD62</f>
        <v>40.635186503260229</v>
      </c>
      <c r="AS62" s="8">
        <f>[1]节奏总纲!BE62</f>
        <v>45.31132052094835</v>
      </c>
    </row>
    <row r="63" spans="2:45" x14ac:dyDescent="0.15">
      <c r="B63" s="8">
        <f>[1]节奏总纲!N63</f>
        <v>70</v>
      </c>
      <c r="C63" s="8">
        <v>60</v>
      </c>
      <c r="D63" s="8">
        <f>[1]节奏总纲!P63</f>
        <v>63</v>
      </c>
      <c r="E63" s="8">
        <f>[1]节奏总纲!Q63</f>
        <v>54.589500000000001</v>
      </c>
      <c r="F63" s="8">
        <f>[1]节奏总纲!R63</f>
        <v>44.717399999999998</v>
      </c>
      <c r="G63" s="8">
        <f>[1]节奏总纲!S63</f>
        <v>32.810400000000001</v>
      </c>
      <c r="H63" s="8">
        <f>[1]节奏总纲!T63</f>
        <v>18.276300000000003</v>
      </c>
      <c r="J63" s="8">
        <v>60</v>
      </c>
      <c r="K63" s="8">
        <f>[1]节奏总纲!W63</f>
        <v>4.2858885416442973</v>
      </c>
      <c r="L63" s="8">
        <f>[1]节奏总纲!X63</f>
        <v>3.649136898730589</v>
      </c>
      <c r="M63" s="8">
        <f>[1]节奏总纲!Y63</f>
        <v>2.9892809865466035</v>
      </c>
      <c r="N63" s="8">
        <f>[1]节奏总纲!Z63</f>
        <v>2.2027336967591751</v>
      </c>
      <c r="O63" s="8">
        <f>[1]节奏总纲!AA63</f>
        <v>1.2726933216601886</v>
      </c>
      <c r="Q63" s="8">
        <v>60</v>
      </c>
      <c r="R63" s="8">
        <f>[1]节奏总纲!AD63</f>
        <v>59.300028460644697</v>
      </c>
      <c r="S63" s="8">
        <f>[1]节奏总纲!AE63</f>
        <v>61.330461663183208</v>
      </c>
      <c r="T63" s="8">
        <f>[1]节奏总纲!AF63</f>
        <v>64.14304723627319</v>
      </c>
      <c r="U63" s="8">
        <f>[1]节奏总纲!AG63</f>
        <v>68.627579426319684</v>
      </c>
      <c r="V63" s="8">
        <f>[1]节奏总纲!AH63</f>
        <v>77.112805903056142</v>
      </c>
      <c r="Z63" s="8">
        <v>60</v>
      </c>
      <c r="AA63" s="8">
        <f>[1]节奏总纲!AM63</f>
        <v>2559.375</v>
      </c>
      <c r="AB63" s="8">
        <f>[1]节奏总纲!AN63</f>
        <v>2047.5</v>
      </c>
      <c r="AC63" s="8">
        <f>[1]节奏总纲!AO63</f>
        <v>1535.625</v>
      </c>
      <c r="AD63" s="8">
        <f>[1]节奏总纲!AP63</f>
        <v>1023.75</v>
      </c>
      <c r="AE63" s="8">
        <f>[1]节奏总纲!AQ63</f>
        <v>511.875</v>
      </c>
      <c r="AG63" s="8">
        <v>60</v>
      </c>
      <c r="AH63" s="8">
        <f>[1]节奏总纲!AT63</f>
        <v>349.21443349822448</v>
      </c>
      <c r="AI63" s="8">
        <f>[1]节奏总纲!AU63</f>
        <v>279.3715467985794</v>
      </c>
      <c r="AJ63" s="8">
        <f>[1]节奏总纲!AV63</f>
        <v>209.52866009893478</v>
      </c>
      <c r="AK63" s="8">
        <f>[1]节奏总纲!AW63</f>
        <v>139.6857733992897</v>
      </c>
      <c r="AL63" s="8">
        <f>[1]节奏总纲!AX63</f>
        <v>69.842886699644851</v>
      </c>
      <c r="AN63" s="8">
        <v>60</v>
      </c>
      <c r="AO63" s="8">
        <f>[1]节奏总纲!BA63</f>
        <v>34.627226072894942</v>
      </c>
      <c r="AP63" s="8">
        <f>[1]节奏总纲!BB63</f>
        <v>36.105477566569242</v>
      </c>
      <c r="AQ63" s="8">
        <f>[1]节奏总纲!BC63</f>
        <v>38.037513426486328</v>
      </c>
      <c r="AR63" s="8">
        <f>[1]节奏总纲!BD63</f>
        <v>40.751734485509814</v>
      </c>
      <c r="AS63" s="8">
        <f>[1]节奏总纲!BE63</f>
        <v>45.422904937058867</v>
      </c>
    </row>
    <row r="64" spans="2:45" x14ac:dyDescent="0.15">
      <c r="B64" s="8">
        <f>[1]节奏总纲!N64</f>
        <v>71</v>
      </c>
      <c r="C64" s="8">
        <v>61</v>
      </c>
      <c r="D64" s="8">
        <f>[1]节奏总纲!P64</f>
        <v>67.593501602322732</v>
      </c>
      <c r="E64" s="8">
        <f>[1]节奏总纲!Q64</f>
        <v>58.596806539053574</v>
      </c>
      <c r="F64" s="8">
        <f>[1]节奏总纲!R64</f>
        <v>47.977867437328676</v>
      </c>
      <c r="G64" s="8">
        <f>[1]节奏总纲!S64</f>
        <v>35.229733035130607</v>
      </c>
      <c r="H64" s="8">
        <f>[1]节奏总纲!T64</f>
        <v>19.602115464673592</v>
      </c>
      <c r="J64" s="8">
        <v>61</v>
      </c>
      <c r="K64" s="8">
        <f>[1]节奏总纲!W64</f>
        <v>4.593501602322732</v>
      </c>
      <c r="L64" s="8">
        <f>[1]节奏总纲!X64</f>
        <v>4.0073065390535731</v>
      </c>
      <c r="M64" s="8">
        <f>[1]节奏总纲!Y64</f>
        <v>3.2604674373286784</v>
      </c>
      <c r="N64" s="8">
        <f>[1]节奏总纲!Z64</f>
        <v>2.4193330351306059</v>
      </c>
      <c r="O64" s="8">
        <f>[1]节奏总纲!AA64</f>
        <v>1.3258154646735889</v>
      </c>
      <c r="Q64" s="8">
        <v>61</v>
      </c>
      <c r="R64" s="8">
        <f>[1]节奏总纲!AD64</f>
        <v>59.533352307096465</v>
      </c>
      <c r="S64" s="8">
        <f>[1]节奏总纲!AE64</f>
        <v>61.56596850695108</v>
      </c>
      <c r="T64" s="8">
        <f>[1]节奏总纲!AF64</f>
        <v>64.368413367596901</v>
      </c>
      <c r="U64" s="8">
        <f>[1]节奏总纲!AG64</f>
        <v>68.870150553250454</v>
      </c>
      <c r="V64" s="8">
        <f>[1]节奏总纲!AH64</f>
        <v>77.355745991356301</v>
      </c>
      <c r="Z64" s="8">
        <v>61</v>
      </c>
      <c r="AA64" s="8">
        <f>[1]节奏总纲!AM64</f>
        <v>2963.5631311027469</v>
      </c>
      <c r="AB64" s="8">
        <f>[1]节奏总纲!AN64</f>
        <v>2370.8505048821976</v>
      </c>
      <c r="AC64" s="8">
        <f>[1]节奏总纲!AO64</f>
        <v>1778.1378786616481</v>
      </c>
      <c r="AD64" s="8">
        <f>[1]节奏总纲!AP64</f>
        <v>1185.4252524410988</v>
      </c>
      <c r="AE64" s="8">
        <f>[1]节奏总纲!AQ64</f>
        <v>592.7126262205494</v>
      </c>
      <c r="AG64" s="8">
        <v>61</v>
      </c>
      <c r="AH64" s="8">
        <f>[1]节奏总纲!AT64</f>
        <v>404.18813110274687</v>
      </c>
      <c r="AI64" s="8">
        <f>[1]节奏总纲!AU64</f>
        <v>323.35050488219758</v>
      </c>
      <c r="AJ64" s="8">
        <f>[1]节奏总纲!AV64</f>
        <v>242.51287866164807</v>
      </c>
      <c r="AK64" s="8">
        <f>[1]节奏总纲!AW64</f>
        <v>161.67525244109879</v>
      </c>
      <c r="AL64" s="8">
        <f>[1]节奏总纲!AX64</f>
        <v>80.837626220549396</v>
      </c>
      <c r="AN64" s="8">
        <v>61</v>
      </c>
      <c r="AO64" s="8">
        <f>[1]节奏总纲!BA64</f>
        <v>34.733732909210673</v>
      </c>
      <c r="AP64" s="8">
        <f>[1]节奏总纲!BB64</f>
        <v>36.210690977363875</v>
      </c>
      <c r="AQ64" s="8">
        <f>[1]节奏总纲!BC64</f>
        <v>38.14189763688286</v>
      </c>
      <c r="AR64" s="8">
        <f>[1]节奏总纲!BD64</f>
        <v>40.8682824677594</v>
      </c>
      <c r="AS64" s="8">
        <f>[1]节奏总纲!BE64</f>
        <v>45.534489353169384</v>
      </c>
    </row>
    <row r="65" spans="2:45" x14ac:dyDescent="0.15">
      <c r="B65" s="8">
        <f>[1]节奏总纲!N65</f>
        <v>72</v>
      </c>
      <c r="C65" s="8">
        <v>62</v>
      </c>
      <c r="D65" s="8">
        <f>[1]节奏总纲!P65</f>
        <v>72.516694719810218</v>
      </c>
      <c r="E65" s="8">
        <f>[1]节奏总纲!Q65</f>
        <v>62.842967644187539</v>
      </c>
      <c r="F65" s="8">
        <f>[1]节奏总纲!R65</f>
        <v>51.5086082594812</v>
      </c>
      <c r="G65" s="8">
        <f>[1]节奏总纲!S65</f>
        <v>37.846462974268952</v>
      </c>
      <c r="H65" s="8">
        <f>[1]节奏总纲!T65</f>
        <v>21.124113171880715</v>
      </c>
      <c r="J65" s="8">
        <v>62</v>
      </c>
      <c r="K65" s="8">
        <f>[1]节奏总纲!W65</f>
        <v>4.9231931174874859</v>
      </c>
      <c r="L65" s="8">
        <f>[1]节奏总纲!X65</f>
        <v>4.2461611051339645</v>
      </c>
      <c r="M65" s="8">
        <f>[1]节奏总纲!Y65</f>
        <v>3.5307408221525236</v>
      </c>
      <c r="N65" s="8">
        <f>[1]节奏总纲!Z65</f>
        <v>2.6167299391383452</v>
      </c>
      <c r="O65" s="8">
        <f>[1]节奏总纲!AA65</f>
        <v>1.5219977072071238</v>
      </c>
      <c r="Q65" s="8">
        <v>62</v>
      </c>
      <c r="R65" s="8">
        <f>[1]节奏总纲!AD65</f>
        <v>59.766676153548232</v>
      </c>
      <c r="S65" s="8">
        <f>[1]节奏总纲!AE65</f>
        <v>61.801475350718952</v>
      </c>
      <c r="T65" s="8">
        <f>[1]节奏总纲!AF65</f>
        <v>64.593779498920611</v>
      </c>
      <c r="U65" s="8">
        <f>[1]节奏总纲!AG65</f>
        <v>69.105843627521551</v>
      </c>
      <c r="V65" s="8">
        <f>[1]节奏总纲!AH65</f>
        <v>77.59868607965646</v>
      </c>
      <c r="Z65" s="8">
        <v>62</v>
      </c>
      <c r="AA65" s="8">
        <f>[1]节奏总纲!AM65</f>
        <v>3431.3522956038646</v>
      </c>
      <c r="AB65" s="8">
        <f>[1]节奏总纲!AN65</f>
        <v>2745.081836483092</v>
      </c>
      <c r="AC65" s="8">
        <f>[1]节奏总纲!AO65</f>
        <v>2058.8113773623186</v>
      </c>
      <c r="AD65" s="8">
        <f>[1]节奏总纲!AP65</f>
        <v>1372.540918241546</v>
      </c>
      <c r="AE65" s="8">
        <f>[1]节奏总纲!AQ65</f>
        <v>686.27045912077301</v>
      </c>
      <c r="AG65" s="8">
        <v>62</v>
      </c>
      <c r="AH65" s="8">
        <f>[1]节奏总纲!AT65</f>
        <v>467.78916450111774</v>
      </c>
      <c r="AI65" s="8">
        <f>[1]节奏总纲!AU65</f>
        <v>374.23133160089446</v>
      </c>
      <c r="AJ65" s="8">
        <f>[1]节奏总纲!AV65</f>
        <v>280.67349870067051</v>
      </c>
      <c r="AK65" s="8">
        <f>[1]节奏总纲!AW65</f>
        <v>187.11566580044723</v>
      </c>
      <c r="AL65" s="8">
        <f>[1]节奏总纲!AX65</f>
        <v>93.557832900223616</v>
      </c>
      <c r="AN65" s="8">
        <v>62</v>
      </c>
      <c r="AO65" s="8">
        <f>[1]节奏总纲!BA65</f>
        <v>34.840239745526404</v>
      </c>
      <c r="AP65" s="8">
        <f>[1]节奏总纲!BB65</f>
        <v>36.315904388158508</v>
      </c>
      <c r="AQ65" s="8">
        <f>[1]节奏总纲!BC65</f>
        <v>38.246281847279398</v>
      </c>
      <c r="AR65" s="8">
        <f>[1]节奏总纲!BD65</f>
        <v>40.984830450008978</v>
      </c>
      <c r="AS65" s="8">
        <f>[1]节奏总纲!BE65</f>
        <v>45.646073769279901</v>
      </c>
    </row>
    <row r="66" spans="2:45" x14ac:dyDescent="0.15">
      <c r="B66" s="8">
        <f>[1]节奏总纲!N66</f>
        <v>73</v>
      </c>
      <c r="C66" s="8">
        <v>63</v>
      </c>
      <c r="D66" s="8">
        <f>[1]节奏总纲!P66</f>
        <v>77.793242454074615</v>
      </c>
      <c r="E66" s="8">
        <f>[1]节奏总纲!Q66</f>
        <v>67.470079180418907</v>
      </c>
      <c r="F66" s="8">
        <f>[1]节奏总纲!R66</f>
        <v>55.27987808786542</v>
      </c>
      <c r="G66" s="8">
        <f>[1]节奏总纲!S66</f>
        <v>40.678086479235617</v>
      </c>
      <c r="H66" s="8">
        <f>[1]节奏总纲!T66</f>
        <v>22.700068148098975</v>
      </c>
      <c r="J66" s="8">
        <v>63</v>
      </c>
      <c r="K66" s="8">
        <f>[1]节奏总纲!W66</f>
        <v>5.2765477342643976</v>
      </c>
      <c r="L66" s="8">
        <f>[1]节奏总纲!X66</f>
        <v>4.6271115362313679</v>
      </c>
      <c r="M66" s="8">
        <f>[1]节奏总纲!Y66</f>
        <v>3.7712698283842201</v>
      </c>
      <c r="N66" s="8">
        <f>[1]节奏总纲!Z66</f>
        <v>2.8316235049666645</v>
      </c>
      <c r="O66" s="8">
        <f>[1]节奏总纲!AA66</f>
        <v>1.5759549762182594</v>
      </c>
      <c r="Q66" s="8">
        <v>63</v>
      </c>
      <c r="R66" s="8">
        <f>[1]节奏总纲!AD66</f>
        <v>60</v>
      </c>
      <c r="S66" s="8">
        <f>[1]节奏总纲!AE66</f>
        <v>62.033937447710706</v>
      </c>
      <c r="T66" s="8">
        <f>[1]节奏总纲!AF66</f>
        <v>64.819145630244321</v>
      </c>
      <c r="U66" s="8">
        <f>[1]节奏总纲!AG66</f>
        <v>69.333613546893503</v>
      </c>
      <c r="V66" s="8">
        <f>[1]节奏总纲!AH66</f>
        <v>77.841626167956619</v>
      </c>
      <c r="Z66" s="8">
        <v>63</v>
      </c>
      <c r="AA66" s="8">
        <f>[1]节奏总纲!AM66</f>
        <v>3972.7200361130153</v>
      </c>
      <c r="AB66" s="8">
        <f>[1]节奏总纲!AN66</f>
        <v>3178.1760288904125</v>
      </c>
      <c r="AC66" s="8">
        <f>[1]节奏总纲!AO66</f>
        <v>2383.6320216678091</v>
      </c>
      <c r="AD66" s="8">
        <f>[1]节奏总纲!AP66</f>
        <v>1589.0880144452062</v>
      </c>
      <c r="AE66" s="8">
        <f>[1]节奏总纲!AQ66</f>
        <v>794.54400722260311</v>
      </c>
      <c r="AG66" s="8">
        <v>63</v>
      </c>
      <c r="AH66" s="8">
        <f>[1]节奏总纲!AT66</f>
        <v>541.36774050915074</v>
      </c>
      <c r="AI66" s="8">
        <f>[1]节奏总纲!AU66</f>
        <v>433.09419240732041</v>
      </c>
      <c r="AJ66" s="8">
        <f>[1]节奏总纲!AV66</f>
        <v>324.82064430549053</v>
      </c>
      <c r="AK66" s="8">
        <f>[1]节奏总纲!AW66</f>
        <v>216.5470962036602</v>
      </c>
      <c r="AL66" s="8">
        <f>[1]节奏总纲!AX66</f>
        <v>108.2735481018301</v>
      </c>
      <c r="AN66" s="8">
        <v>63</v>
      </c>
      <c r="AO66" s="8">
        <f>[1]节奏总纲!BA66</f>
        <v>34.946746581842135</v>
      </c>
      <c r="AP66" s="8">
        <f>[1]节奏总纲!BB66</f>
        <v>36.421117798953141</v>
      </c>
      <c r="AQ66" s="8">
        <f>[1]节奏总纲!BC66</f>
        <v>38.35066605767593</v>
      </c>
      <c r="AR66" s="8">
        <f>[1]节奏总纲!BD66</f>
        <v>41.087476216725996</v>
      </c>
      <c r="AS66" s="8">
        <f>[1]节奏总纲!BE66</f>
        <v>45.757658185390426</v>
      </c>
    </row>
    <row r="67" spans="2:45" x14ac:dyDescent="0.15">
      <c r="B67" s="8">
        <f>[1]节奏总纲!N67</f>
        <v>74</v>
      </c>
      <c r="C67" s="8">
        <v>64</v>
      </c>
      <c r="D67" s="8">
        <f>[1]节奏总纲!P67</f>
        <v>83.4485062894652</v>
      </c>
      <c r="E67" s="8">
        <f>[1]节奏总纲!Q67</f>
        <v>72.399924056740005</v>
      </c>
      <c r="F67" s="8">
        <f>[1]节奏总纲!R67</f>
        <v>59.365267374325548</v>
      </c>
      <c r="G67" s="8">
        <f>[1]节奏总纲!S67</f>
        <v>43.718672445050821</v>
      </c>
      <c r="H67" s="8">
        <f>[1]节奏总纲!T67</f>
        <v>24.341929284637001</v>
      </c>
      <c r="J67" s="8">
        <v>64</v>
      </c>
      <c r="K67" s="8">
        <f>[1]节奏总纲!W67</f>
        <v>5.6552638353905849</v>
      </c>
      <c r="L67" s="8">
        <f>[1]节奏总纲!X67</f>
        <v>4.9298448763210985</v>
      </c>
      <c r="M67" s="8">
        <f>[1]节奏总纲!Y67</f>
        <v>4.0853892864601278</v>
      </c>
      <c r="N67" s="8">
        <f>[1]节奏总纲!Z67</f>
        <v>3.0405859658152039</v>
      </c>
      <c r="O67" s="8">
        <f>[1]节奏总纲!AA67</f>
        <v>1.6418611365380258</v>
      </c>
      <c r="Q67" s="8">
        <v>64</v>
      </c>
      <c r="R67" s="8">
        <f>[1]节奏总纲!AD67</f>
        <v>60.217698846451768</v>
      </c>
      <c r="S67" s="8">
        <f>[1]节奏总纲!AE67</f>
        <v>62.250054995811666</v>
      </c>
      <c r="T67" s="8">
        <f>[1]节奏总纲!AF67</f>
        <v>65.042129882798193</v>
      </c>
      <c r="U67" s="8">
        <f>[1]节奏总纲!AG67</f>
        <v>69.56138346626544</v>
      </c>
      <c r="V67" s="8">
        <f>[1]节奏总纲!AH67</f>
        <v>78.077870469399883</v>
      </c>
      <c r="Z67" s="8">
        <v>64</v>
      </c>
      <c r="AA67" s="8">
        <f>[1]节奏总纲!AM67</f>
        <v>4599.2048883665893</v>
      </c>
      <c r="AB67" s="8">
        <f>[1]节奏总纲!AN67</f>
        <v>3679.3639106932715</v>
      </c>
      <c r="AC67" s="8">
        <f>[1]节奏总纲!AO67</f>
        <v>2759.5229330199536</v>
      </c>
      <c r="AD67" s="8">
        <f>[1]节奏总纲!AP67</f>
        <v>1839.6819553466357</v>
      </c>
      <c r="AE67" s="8">
        <f>[1]节奏总纲!AQ67</f>
        <v>919.84097767331787</v>
      </c>
      <c r="AG67" s="8">
        <v>64</v>
      </c>
      <c r="AH67" s="8">
        <f>[1]节奏总纲!AT67</f>
        <v>626.48485225357399</v>
      </c>
      <c r="AI67" s="8">
        <f>[1]节奏总纲!AU67</f>
        <v>501.18788180285901</v>
      </c>
      <c r="AJ67" s="8">
        <f>[1]节奏总纲!AV67</f>
        <v>375.89091135214449</v>
      </c>
      <c r="AK67" s="8">
        <f>[1]节奏总纲!AW67</f>
        <v>250.59394090142951</v>
      </c>
      <c r="AL67" s="8">
        <f>[1]节奏总纲!AX67</f>
        <v>125.29697045071475</v>
      </c>
      <c r="AN67" s="8">
        <v>64</v>
      </c>
      <c r="AO67" s="8">
        <f>[1]节奏总纲!BA67</f>
        <v>35.048795427931836</v>
      </c>
      <c r="AP67" s="8">
        <f>[1]节奏总纲!BB67</f>
        <v>36.526331209747774</v>
      </c>
      <c r="AQ67" s="8">
        <f>[1]节奏总纲!BC67</f>
        <v>38.455050268072462</v>
      </c>
      <c r="AR67" s="8">
        <f>[1]节奏总纲!BD67</f>
        <v>41.188041754455355</v>
      </c>
      <c r="AS67" s="8">
        <f>[1]节奏总纲!BE67</f>
        <v>45.869242601500943</v>
      </c>
    </row>
    <row r="68" spans="2:45" x14ac:dyDescent="0.15">
      <c r="B68" s="8">
        <f>[1]节奏总纲!N68</f>
        <v>75</v>
      </c>
      <c r="C68" s="8">
        <v>65</v>
      </c>
      <c r="D68" s="8">
        <f>[1]节奏总纲!P68</f>
        <v>89.509667991878061</v>
      </c>
      <c r="E68" s="8">
        <f>[1]节奏总纲!Q68</f>
        <v>77.64963698295422</v>
      </c>
      <c r="F68" s="8">
        <f>[1]节奏总纲!R68</f>
        <v>63.802491344610679</v>
      </c>
      <c r="G68" s="8">
        <f>[1]节奏总纲!S68</f>
        <v>46.929918928141667</v>
      </c>
      <c r="H68" s="8">
        <f>[1]节奏总纲!T68</f>
        <v>25.993607584841389</v>
      </c>
      <c r="J68" s="8">
        <v>65</v>
      </c>
      <c r="K68" s="8">
        <f>[1]节奏总纲!W68</f>
        <v>6.0611617024128606</v>
      </c>
      <c r="L68" s="8">
        <f>[1]节奏总纲!X68</f>
        <v>5.2497129262142153</v>
      </c>
      <c r="M68" s="8">
        <f>[1]节奏总纲!Y68</f>
        <v>4.4372239702851317</v>
      </c>
      <c r="N68" s="8">
        <f>[1]节奏总纲!Z68</f>
        <v>3.2112464830908465</v>
      </c>
      <c r="O68" s="8">
        <f>[1]节奏总纲!AA68</f>
        <v>1.651678300204388</v>
      </c>
      <c r="Q68" s="8">
        <v>65</v>
      </c>
      <c r="R68" s="8">
        <f>[1]节奏总纲!AD68</f>
        <v>60.435397692903535</v>
      </c>
      <c r="S68" s="8">
        <f>[1]节奏总纲!AE68</f>
        <v>62.466172543912634</v>
      </c>
      <c r="T68" s="8">
        <f>[1]节奏总纲!AF68</f>
        <v>65.255436396961542</v>
      </c>
      <c r="U68" s="8">
        <f>[1]节奏总纲!AG68</f>
        <v>69.789153385637391</v>
      </c>
      <c r="V68" s="8">
        <f>[1]节奏总纲!AH68</f>
        <v>78.301575047908599</v>
      </c>
      <c r="Z68" s="8">
        <v>65</v>
      </c>
      <c r="AA68" s="8">
        <f>[1]节奏总纲!AM68</f>
        <v>5324.1500000000005</v>
      </c>
      <c r="AB68" s="8">
        <f>[1]节奏总纲!AN68</f>
        <v>4259.3200000000006</v>
      </c>
      <c r="AC68" s="8">
        <f>[1]节奏总纲!AO68</f>
        <v>3194.4900000000002</v>
      </c>
      <c r="AD68" s="8">
        <f>[1]节奏总纲!AP68</f>
        <v>2129.6600000000003</v>
      </c>
      <c r="AE68" s="8">
        <f>[1]节奏总纲!AQ68</f>
        <v>1064.8300000000002</v>
      </c>
      <c r="AG68" s="8">
        <v>65</v>
      </c>
      <c r="AH68" s="8">
        <f>[1]节奏总纲!AT68</f>
        <v>724.94511163341122</v>
      </c>
      <c r="AI68" s="8">
        <f>[1]节奏总纲!AU68</f>
        <v>579.95608930672915</v>
      </c>
      <c r="AJ68" s="8">
        <f>[1]节奏总纲!AV68</f>
        <v>434.96706698004664</v>
      </c>
      <c r="AK68" s="8">
        <f>[1]节奏总纲!AW68</f>
        <v>289.97804465336458</v>
      </c>
      <c r="AL68" s="8">
        <f>[1]节奏总纲!AX68</f>
        <v>144.98902232668229</v>
      </c>
      <c r="AN68" s="8">
        <v>65</v>
      </c>
      <c r="AO68" s="8">
        <f>[1]节奏总纲!BA68</f>
        <v>35.146386283795508</v>
      </c>
      <c r="AP68" s="8">
        <f>[1]节奏总纲!BB68</f>
        <v>36.631544620542407</v>
      </c>
      <c r="AQ68" s="8">
        <f>[1]节奏总纲!BC68</f>
        <v>38.559434478468994</v>
      </c>
      <c r="AR68" s="8">
        <f>[1]节奏总纲!BD68</f>
        <v>41.288607292184714</v>
      </c>
      <c r="AS68" s="8">
        <f>[1]节奏总纲!BE68</f>
        <v>45.98082701761146</v>
      </c>
    </row>
    <row r="69" spans="2:45" x14ac:dyDescent="0.15">
      <c r="B69" s="8">
        <f>[1]节奏总纲!N69</f>
        <v>76</v>
      </c>
      <c r="C69" s="8">
        <v>66</v>
      </c>
      <c r="D69" s="8">
        <f>[1]节奏总纲!P69</f>
        <v>96.005860256665443</v>
      </c>
      <c r="E69" s="8">
        <f>[1]节奏总纲!Q69</f>
        <v>83.352287874836932</v>
      </c>
      <c r="F69" s="8">
        <f>[1]节奏总纲!R69</f>
        <v>68.490580707105124</v>
      </c>
      <c r="G69" s="8">
        <f>[1]节奏总纲!S69</f>
        <v>50.163061984107692</v>
      </c>
      <c r="H69" s="8">
        <f>[1]节奏总纲!T69</f>
        <v>27.851300060458648</v>
      </c>
      <c r="J69" s="8">
        <v>66</v>
      </c>
      <c r="K69" s="8">
        <f>[1]节奏总纲!W69</f>
        <v>6.496192264787382</v>
      </c>
      <c r="L69" s="8">
        <f>[1]节奏总纲!X69</f>
        <v>5.7026508918827119</v>
      </c>
      <c r="M69" s="8">
        <f>[1]节奏总纲!Y69</f>
        <v>4.6880893624944449</v>
      </c>
      <c r="N69" s="8">
        <f>[1]节奏总纲!Z69</f>
        <v>3.2331430559660248</v>
      </c>
      <c r="O69" s="8">
        <f>[1]节奏总纲!AA69</f>
        <v>1.8576924756172595</v>
      </c>
      <c r="Q69" s="8">
        <v>66</v>
      </c>
      <c r="R69" s="8">
        <f>[1]节奏总纲!AD69</f>
        <v>60.653096539355303</v>
      </c>
      <c r="S69" s="8">
        <f>[1]节奏总纲!AE69</f>
        <v>62.682290092013595</v>
      </c>
      <c r="T69" s="8">
        <f>[1]节奏总纲!AF69</f>
        <v>65.468742911124906</v>
      </c>
      <c r="U69" s="8">
        <f>[1]节奏总纲!AG69</f>
        <v>70.015851474333999</v>
      </c>
      <c r="V69" s="8">
        <f>[1]节奏总纲!AH69</f>
        <v>78.525279626417301</v>
      </c>
      <c r="Z69" s="8">
        <v>66</v>
      </c>
      <c r="AA69" s="8">
        <f>[1]节奏总纲!AM69</f>
        <v>6162.9846853088866</v>
      </c>
      <c r="AB69" s="8">
        <f>[1]节奏总纲!AN69</f>
        <v>4930.3877482471098</v>
      </c>
      <c r="AC69" s="8">
        <f>[1]节奏总纲!AO69</f>
        <v>3697.7908111853317</v>
      </c>
      <c r="AD69" s="8">
        <f>[1]节奏总纲!AP69</f>
        <v>2465.1938741235549</v>
      </c>
      <c r="AE69" s="8">
        <f>[1]节奏总纲!AQ69</f>
        <v>1232.5969370617775</v>
      </c>
      <c r="AG69" s="8">
        <v>66</v>
      </c>
      <c r="AH69" s="8">
        <f>[1]节奏总纲!AT69</f>
        <v>838.83468530888604</v>
      </c>
      <c r="AI69" s="8">
        <f>[1]节奏总纲!AU69</f>
        <v>671.06774824710919</v>
      </c>
      <c r="AJ69" s="8">
        <f>[1]节奏总纲!AV69</f>
        <v>503.30081118533144</v>
      </c>
      <c r="AK69" s="8">
        <f>[1]节奏总纲!AW69</f>
        <v>335.5338741235546</v>
      </c>
      <c r="AL69" s="8">
        <f>[1]节奏总纲!AX69</f>
        <v>167.7669370617773</v>
      </c>
      <c r="AN69" s="8">
        <v>66</v>
      </c>
      <c r="AO69" s="8">
        <f>[1]节奏总纲!BA69</f>
        <v>35.243977139659179</v>
      </c>
      <c r="AP69" s="8">
        <f>[1]节奏总纲!BB69</f>
        <v>36.73675803133704</v>
      </c>
      <c r="AQ69" s="8">
        <f>[1]节奏总纲!BC69</f>
        <v>38.663818688865533</v>
      </c>
      <c r="AR69" s="8">
        <f>[1]节奏总纲!BD69</f>
        <v>41.389172829914081</v>
      </c>
      <c r="AS69" s="8">
        <f>[1]节奏总纲!BE69</f>
        <v>46.079770001861057</v>
      </c>
    </row>
    <row r="70" spans="2:45" x14ac:dyDescent="0.15">
      <c r="B70" s="8">
        <f>[1]节奏总纲!N70</f>
        <v>77</v>
      </c>
      <c r="C70" s="8">
        <v>67</v>
      </c>
      <c r="D70" s="8">
        <f>[1]节奏总纲!P70</f>
        <v>102.96830673359811</v>
      </c>
      <c r="E70" s="8">
        <f>[1]节奏总纲!Q70</f>
        <v>89.469161720823394</v>
      </c>
      <c r="F70" s="8">
        <f>[1]节奏总纲!R70</f>
        <v>73.292840732975137</v>
      </c>
      <c r="G70" s="8">
        <f>[1]节奏总纲!S70</f>
        <v>53.625894146857902</v>
      </c>
      <c r="H70" s="8">
        <f>[1]节奏总纲!T70</f>
        <v>29.799027968703292</v>
      </c>
      <c r="J70" s="8">
        <v>67</v>
      </c>
      <c r="K70" s="8">
        <f>[1]节奏总纲!W70</f>
        <v>6.9624464769326693</v>
      </c>
      <c r="L70" s="8">
        <f>[1]节奏总纲!X70</f>
        <v>6.1168738459864613</v>
      </c>
      <c r="M70" s="8">
        <f>[1]节奏总纲!Y70</f>
        <v>4.8022600258700123</v>
      </c>
      <c r="N70" s="8">
        <f>[1]节奏总纲!Z70</f>
        <v>3.4628321627502103</v>
      </c>
      <c r="O70" s="8">
        <f>[1]节奏总纲!AA70</f>
        <v>1.9477279082446444</v>
      </c>
      <c r="Q70" s="8">
        <v>67</v>
      </c>
      <c r="R70" s="8">
        <f>[1]节奏总纲!AD70</f>
        <v>60.870795385807064</v>
      </c>
      <c r="S70" s="8">
        <f>[1]节奏总纲!AE70</f>
        <v>62.898407640114556</v>
      </c>
      <c r="T70" s="8">
        <f>[1]节奏总纲!AF70</f>
        <v>65.682049425288255</v>
      </c>
      <c r="U70" s="8">
        <f>[1]节奏总纲!AG70</f>
        <v>70.229195678021767</v>
      </c>
      <c r="V70" s="8">
        <f>[1]节奏总纲!AH70</f>
        <v>78.748984204926018</v>
      </c>
      <c r="Z70" s="8">
        <v>67</v>
      </c>
      <c r="AA70" s="8">
        <f>[1]节奏总纲!AM70</f>
        <v>7133.5498113340191</v>
      </c>
      <c r="AB70" s="8">
        <f>[1]节奏总纲!AN70</f>
        <v>5706.8398490672153</v>
      </c>
      <c r="AC70" s="8">
        <f>[1]节奏总纲!AO70</f>
        <v>4280.1298868004114</v>
      </c>
      <c r="AD70" s="8">
        <f>[1]节奏总纲!AP70</f>
        <v>2853.4199245336076</v>
      </c>
      <c r="AE70" s="8">
        <f>[1]节奏总纲!AQ70</f>
        <v>1426.7099622668038</v>
      </c>
      <c r="AG70" s="8">
        <v>67</v>
      </c>
      <c r="AH70" s="8">
        <f>[1]节奏总纲!AT70</f>
        <v>970.56512602513249</v>
      </c>
      <c r="AI70" s="8">
        <f>[1]节奏总纲!AU70</f>
        <v>776.45210082010544</v>
      </c>
      <c r="AJ70" s="8">
        <f>[1]节奏总纲!AV70</f>
        <v>582.33907561507976</v>
      </c>
      <c r="AK70" s="8">
        <f>[1]节奏总纲!AW70</f>
        <v>388.22605041005272</v>
      </c>
      <c r="AL70" s="8">
        <f>[1]节奏总纲!AX70</f>
        <v>194.11302520502636</v>
      </c>
      <c r="AN70" s="8">
        <v>67</v>
      </c>
      <c r="AO70" s="8">
        <f>[1]节奏总纲!BA70</f>
        <v>35.341567995522851</v>
      </c>
      <c r="AP70" s="8">
        <f>[1]节奏总纲!BB70</f>
        <v>36.841971442131673</v>
      </c>
      <c r="AQ70" s="8">
        <f>[1]节奏总纲!BC70</f>
        <v>38.768202899262064</v>
      </c>
      <c r="AR70" s="8">
        <f>[1]节奏总纲!BD70</f>
        <v>41.48973836764344</v>
      </c>
      <c r="AS70" s="8">
        <f>[1]节奏总纲!BE70</f>
        <v>46.176090215954694</v>
      </c>
    </row>
    <row r="71" spans="2:45" x14ac:dyDescent="0.15">
      <c r="B71" s="8">
        <f>[1]节奏总纲!N71</f>
        <v>78</v>
      </c>
      <c r="C71" s="8">
        <v>68</v>
      </c>
      <c r="D71" s="8">
        <f>[1]节奏总纲!P71</f>
        <v>110.43047210190386</v>
      </c>
      <c r="E71" s="8">
        <f>[1]节奏总纲!Q71</f>
        <v>95.831563690032169</v>
      </c>
      <c r="F71" s="8">
        <f>[1]节奏总纲!R71</f>
        <v>78.251032531409081</v>
      </c>
      <c r="G71" s="8">
        <f>[1]节奏总纲!S71</f>
        <v>57.412802445779818</v>
      </c>
      <c r="H71" s="8">
        <f>[1]节奏总纲!T71</f>
        <v>31.859191201399263</v>
      </c>
      <c r="J71" s="8">
        <v>68</v>
      </c>
      <c r="K71" s="8">
        <f>[1]节奏总纲!W71</f>
        <v>7.4621653683057474</v>
      </c>
      <c r="L71" s="8">
        <f>[1]节奏总纲!X71</f>
        <v>6.3624019692087757</v>
      </c>
      <c r="M71" s="8">
        <f>[1]节奏总纲!Y71</f>
        <v>4.9581917984339441</v>
      </c>
      <c r="N71" s="8">
        <f>[1]节奏总纲!Z71</f>
        <v>3.7869082989219152</v>
      </c>
      <c r="O71" s="8">
        <f>[1]节奏总纲!AA71</f>
        <v>2.0601632326959702</v>
      </c>
      <c r="Q71" s="8">
        <v>68</v>
      </c>
      <c r="R71" s="8">
        <f>[1]节奏总纲!AD71</f>
        <v>61.082568038258209</v>
      </c>
      <c r="S71" s="8">
        <f>[1]节奏总纲!AE71</f>
        <v>63.107492392331935</v>
      </c>
      <c r="T71" s="8">
        <f>[1]节奏总纲!AF71</f>
        <v>65.895355939451605</v>
      </c>
      <c r="U71" s="8">
        <f>[1]节奏总纲!AG71</f>
        <v>70.442539881709536</v>
      </c>
      <c r="V71" s="8">
        <f>[1]节奏总纲!AH71</f>
        <v>78.972688783434734</v>
      </c>
      <c r="Z71" s="8">
        <v>68</v>
      </c>
      <c r="AA71" s="8">
        <f>[1]节奏总纲!AM71</f>
        <v>8256.4738250473602</v>
      </c>
      <c r="AB71" s="8">
        <f>[1]节奏总纲!AN71</f>
        <v>6605.1790600378881</v>
      </c>
      <c r="AC71" s="8">
        <f>[1]节奏总纲!AO71</f>
        <v>4953.8842950284161</v>
      </c>
      <c r="AD71" s="8">
        <f>[1]节奏总纲!AP71</f>
        <v>3302.5895300189441</v>
      </c>
      <c r="AE71" s="8">
        <f>[1]节奏总纲!AQ71</f>
        <v>1651.294765009472</v>
      </c>
      <c r="AG71" s="8">
        <v>68</v>
      </c>
      <c r="AH71" s="8">
        <f>[1]节奏总纲!AT71</f>
        <v>1122.9240137133411</v>
      </c>
      <c r="AI71" s="8">
        <f>[1]节奏总纲!AU71</f>
        <v>898.33921097067287</v>
      </c>
      <c r="AJ71" s="8">
        <f>[1]节奏总纲!AV71</f>
        <v>673.75440822800465</v>
      </c>
      <c r="AK71" s="8">
        <f>[1]节奏总纲!AW71</f>
        <v>449.16960548533643</v>
      </c>
      <c r="AL71" s="8">
        <f>[1]节奏总纲!AX71</f>
        <v>224.58480274266822</v>
      </c>
      <c r="AN71" s="8">
        <v>68</v>
      </c>
      <c r="AO71" s="8">
        <f>[1]节奏总纲!BA71</f>
        <v>35.439158851386523</v>
      </c>
      <c r="AP71" s="8">
        <f>[1]节奏总纲!BB71</f>
        <v>36.947184852926306</v>
      </c>
      <c r="AQ71" s="8">
        <f>[1]节奏总纲!BC71</f>
        <v>38.872587109658596</v>
      </c>
      <c r="AR71" s="8">
        <f>[1]节奏总纲!BD71</f>
        <v>41.590303905372799</v>
      </c>
      <c r="AS71" s="8">
        <f>[1]节奏总纲!BE71</f>
        <v>46.272410430048332</v>
      </c>
    </row>
    <row r="72" spans="2:45" x14ac:dyDescent="0.15">
      <c r="B72" s="8">
        <f>[1]节奏总纲!N72</f>
        <v>79</v>
      </c>
      <c r="C72" s="8">
        <v>69</v>
      </c>
      <c r="D72" s="8">
        <f>[1]节奏总纲!P72</f>
        <v>118.42822291671132</v>
      </c>
      <c r="E72" s="8">
        <f>[1]节奏总纲!Q72</f>
        <v>102.51146975670532</v>
      </c>
      <c r="F72" s="8">
        <f>[1]节奏总纲!R72</f>
        <v>83.894553114198303</v>
      </c>
      <c r="G72" s="8">
        <f>[1]节奏总纲!S72</f>
        <v>61.535304627523196</v>
      </c>
      <c r="H72" s="8">
        <f>[1]节奏总纲!T72</f>
        <v>34.059956910846175</v>
      </c>
      <c r="J72" s="8">
        <v>69</v>
      </c>
      <c r="K72" s="8">
        <f>[1]节奏总纲!W72</f>
        <v>7.9977508148074605</v>
      </c>
      <c r="L72" s="8">
        <f>[1]节奏总纲!X72</f>
        <v>6.6799060666731549</v>
      </c>
      <c r="M72" s="8">
        <f>[1]节奏总纲!Y72</f>
        <v>5.6435205827892219</v>
      </c>
      <c r="N72" s="8">
        <f>[1]节奏总纲!Z72</f>
        <v>4.1225021817433785</v>
      </c>
      <c r="O72" s="8">
        <f>[1]节奏总纲!AA72</f>
        <v>2.2007657094469124</v>
      </c>
      <c r="Q72" s="8">
        <v>69</v>
      </c>
      <c r="R72" s="8">
        <f>[1]节奏总纲!AD72</f>
        <v>61.285688244217212</v>
      </c>
      <c r="S72" s="8">
        <f>[1]节奏总纲!AE72</f>
        <v>63.310338531528565</v>
      </c>
      <c r="T72" s="8">
        <f>[1]节奏总纲!AF72</f>
        <v>66.106079073217742</v>
      </c>
      <c r="U72" s="8">
        <f>[1]节奏总纲!AG72</f>
        <v>70.655884085397304</v>
      </c>
      <c r="V72" s="8">
        <f>[1]节奏总纲!AH72</f>
        <v>79.188599387584361</v>
      </c>
      <c r="Z72" s="8">
        <v>69</v>
      </c>
      <c r="AA72" s="8">
        <f>[1]节奏总纲!AM72</f>
        <v>9555.6072874592737</v>
      </c>
      <c r="AB72" s="8">
        <f>[1]节奏总纲!AN72</f>
        <v>7644.4858299674197</v>
      </c>
      <c r="AC72" s="8">
        <f>[1]节奏总纲!AO72</f>
        <v>5733.3643724755639</v>
      </c>
      <c r="AD72" s="8">
        <f>[1]节奏总纲!AP72</f>
        <v>3822.2429149837099</v>
      </c>
      <c r="AE72" s="8">
        <f>[1]节奏总纲!AQ72</f>
        <v>1911.1214574918549</v>
      </c>
      <c r="AG72" s="8">
        <v>69</v>
      </c>
      <c r="AH72" s="8">
        <f>[1]节奏总纲!AT72</f>
        <v>1299.1334624119136</v>
      </c>
      <c r="AI72" s="8">
        <f>[1]节奏总纲!AU72</f>
        <v>1039.3067699295316</v>
      </c>
      <c r="AJ72" s="8">
        <f>[1]节奏总纲!AV72</f>
        <v>779.48007744714778</v>
      </c>
      <c r="AK72" s="8">
        <f>[1]节奏总纲!AW72</f>
        <v>519.65338496476579</v>
      </c>
      <c r="AL72" s="8">
        <f>[1]节奏总纲!AX72</f>
        <v>259.8266924823829</v>
      </c>
      <c r="AN72" s="8">
        <v>69</v>
      </c>
      <c r="AO72" s="8">
        <f>[1]节奏总纲!BA72</f>
        <v>35.536749707250202</v>
      </c>
      <c r="AP72" s="8">
        <f>[1]节奏总纲!BB72</f>
        <v>37.045197000674086</v>
      </c>
      <c r="AQ72" s="8">
        <f>[1]节奏总纲!BC72</f>
        <v>38.976971320055128</v>
      </c>
      <c r="AR72" s="8">
        <f>[1]节奏总纲!BD72</f>
        <v>41.690869443102159</v>
      </c>
      <c r="AS72" s="8">
        <f>[1]节奏总纲!BE72</f>
        <v>46.368730644141969</v>
      </c>
    </row>
    <row r="73" spans="2:45" x14ac:dyDescent="0.15">
      <c r="B73" s="8">
        <f>[1]节奏总纲!N73</f>
        <v>80</v>
      </c>
      <c r="C73" s="8">
        <v>70</v>
      </c>
      <c r="D73" s="8">
        <f>[1]节奏总纲!P73</f>
        <v>127</v>
      </c>
      <c r="E73" s="8">
        <f>[1]节奏总纲!Q73</f>
        <v>109.9693</v>
      </c>
      <c r="F73" s="8">
        <f>[1]节奏总纲!R73</f>
        <v>90.106499999999997</v>
      </c>
      <c r="G73" s="8">
        <f>[1]节奏总纲!S73</f>
        <v>65.925700000000006</v>
      </c>
      <c r="H73" s="8">
        <f>[1]节奏总纲!T73</f>
        <v>36.4998</v>
      </c>
      <c r="J73" s="8">
        <v>70</v>
      </c>
      <c r="K73" s="8">
        <f>[1]节奏总纲!W73</f>
        <v>8.5717770832886799</v>
      </c>
      <c r="L73" s="8">
        <f>[1]节奏总纲!X73</f>
        <v>7.4578302432946799</v>
      </c>
      <c r="M73" s="8">
        <f>[1]节奏总纲!Y73</f>
        <v>6.2119468858016944</v>
      </c>
      <c r="N73" s="8">
        <f>[1]节奏总纲!Z73</f>
        <v>4.3903953724768101</v>
      </c>
      <c r="O73" s="8">
        <f>[1]节奏总纲!AA73</f>
        <v>2.4398430891538254</v>
      </c>
      <c r="Q73" s="8">
        <v>70</v>
      </c>
      <c r="R73" s="8">
        <f>[1]节奏总纲!AD73</f>
        <v>61.488808450176215</v>
      </c>
      <c r="S73" s="8">
        <f>[1]节奏总纲!AE73</f>
        <v>63.513184670725188</v>
      </c>
      <c r="T73" s="8">
        <f>[1]节奏总纲!AF73</f>
        <v>66.314314361313961</v>
      </c>
      <c r="U73" s="8">
        <f>[1]节奏总纲!AG73</f>
        <v>70.869228289085072</v>
      </c>
      <c r="V73" s="8">
        <f>[1]节奏总纲!AH73</f>
        <v>79.403426131671111</v>
      </c>
      <c r="Z73" s="8">
        <v>70</v>
      </c>
      <c r="AA73" s="8">
        <f>[1]节奏总纲!AM73</f>
        <v>11058.525000000001</v>
      </c>
      <c r="AB73" s="8">
        <f>[1]节奏总纲!AN73</f>
        <v>8846.8200000000015</v>
      </c>
      <c r="AC73" s="8">
        <f>[1]节奏总纲!AO73</f>
        <v>6635.1150000000007</v>
      </c>
      <c r="AD73" s="8">
        <f>[1]节奏总纲!AP73</f>
        <v>4423.4100000000008</v>
      </c>
      <c r="AE73" s="8">
        <f>[1]节奏总纲!AQ73</f>
        <v>2211.7050000000004</v>
      </c>
      <c r="AG73" s="8">
        <v>70</v>
      </c>
      <c r="AH73" s="8">
        <f>[1]节奏总纲!AT73</f>
        <v>1502.9177125407277</v>
      </c>
      <c r="AI73" s="8">
        <f>[1]节奏总纲!AU73</f>
        <v>1202.3341700325818</v>
      </c>
      <c r="AJ73" s="8">
        <f>[1]节奏总纲!AV73</f>
        <v>901.75062752443682</v>
      </c>
      <c r="AK73" s="8">
        <f>[1]节奏总纲!AW73</f>
        <v>601.16708501629091</v>
      </c>
      <c r="AL73" s="8">
        <f>[1]节奏总纲!AX73</f>
        <v>300.58354250814546</v>
      </c>
      <c r="AN73" s="8">
        <v>70</v>
      </c>
      <c r="AO73" s="8">
        <f>[1]节奏总纲!BA73</f>
        <v>35.634340563113874</v>
      </c>
      <c r="AP73" s="8">
        <f>[1]节奏总纲!BB73</f>
        <v>37.135950591746003</v>
      </c>
      <c r="AQ73" s="8">
        <f>[1]节奏总纲!BC73</f>
        <v>39.070187171981765</v>
      </c>
      <c r="AR73" s="8">
        <f>[1]节奏总纲!BD73</f>
        <v>41.791434980831518</v>
      </c>
      <c r="AS73" s="8">
        <f>[1]节奏总纲!BE73</f>
        <v>46.465050858235607</v>
      </c>
    </row>
    <row r="74" spans="2:45" x14ac:dyDescent="0.15">
      <c r="B74" s="8">
        <f>[1]节奏总纲!N74</f>
        <v>81</v>
      </c>
      <c r="C74" s="8">
        <v>71</v>
      </c>
      <c r="D74" s="8">
        <f>[1]节奏总纲!P74</f>
        <v>136.18700320464549</v>
      </c>
      <c r="E74" s="8">
        <f>[1]节奏总纲!Q74</f>
        <v>118.03327567746625</v>
      </c>
      <c r="F74" s="8">
        <f>[1]节奏总纲!R74</f>
        <v>96.583822672734584</v>
      </c>
      <c r="G74" s="8">
        <f>[1]节奏总纲!S74</f>
        <v>70.612961161608681</v>
      </c>
      <c r="H74" s="8">
        <f>[1]节奏总纲!T74</f>
        <v>39.126526020694648</v>
      </c>
      <c r="J74" s="8">
        <v>71</v>
      </c>
      <c r="K74" s="8">
        <f>[1]节奏总纲!W74</f>
        <v>9.1870032046454924</v>
      </c>
      <c r="L74" s="8">
        <f>[1]节奏总纲!X74</f>
        <v>8.0639756774662459</v>
      </c>
      <c r="M74" s="8">
        <f>[1]节奏总纲!Y74</f>
        <v>6.4773226727345872</v>
      </c>
      <c r="N74" s="8">
        <f>[1]节奏总纲!Z74</f>
        <v>4.6872611616086743</v>
      </c>
      <c r="O74" s="8">
        <f>[1]节奏总纲!AA74</f>
        <v>2.6267260206946474</v>
      </c>
      <c r="Q74" s="8">
        <v>71</v>
      </c>
      <c r="R74" s="8">
        <f>[1]节奏总纲!AD74</f>
        <v>61.691928656135218</v>
      </c>
      <c r="S74" s="8">
        <f>[1]节奏总纲!AE74</f>
        <v>63.716030809921811</v>
      </c>
      <c r="T74" s="8">
        <f>[1]节奏总纲!AF74</f>
        <v>66.52254964941018</v>
      </c>
      <c r="U74" s="8">
        <f>[1]节奏总纲!AG74</f>
        <v>71.07781362467729</v>
      </c>
      <c r="V74" s="8">
        <f>[1]节奏总纲!AH74</f>
        <v>79.618252875757847</v>
      </c>
      <c r="Z74" s="8">
        <v>71</v>
      </c>
      <c r="AA74" s="8">
        <f>[1]节奏总纲!AM74</f>
        <v>12797.106216824561</v>
      </c>
      <c r="AB74" s="8">
        <f>[1]节奏总纲!AN74</f>
        <v>10237.684973459649</v>
      </c>
      <c r="AC74" s="8">
        <f>[1]节奏总纲!AO74</f>
        <v>7678.2637300947363</v>
      </c>
      <c r="AD74" s="8">
        <f>[1]节奏总纲!AP74</f>
        <v>5118.8424867298245</v>
      </c>
      <c r="AE74" s="8">
        <f>[1]节奏总纲!AQ74</f>
        <v>2559.4212433649122</v>
      </c>
      <c r="AG74" s="8">
        <v>71</v>
      </c>
      <c r="AH74" s="8">
        <f>[1]节奏总纲!AT74</f>
        <v>1738.5812168245593</v>
      </c>
      <c r="AI74" s="8">
        <f>[1]节奏总纲!AU74</f>
        <v>1390.8649734596474</v>
      </c>
      <c r="AJ74" s="8">
        <f>[1]节奏总纲!AV74</f>
        <v>1043.1487300947356</v>
      </c>
      <c r="AK74" s="8">
        <f>[1]节奏总纲!AW74</f>
        <v>695.43248672982372</v>
      </c>
      <c r="AL74" s="8">
        <f>[1]节奏总纲!AX74</f>
        <v>347.71624336491186</v>
      </c>
      <c r="AN74" s="8">
        <v>71</v>
      </c>
      <c r="AO74" s="8">
        <f>[1]节奏总纲!BA74</f>
        <v>35.731931418977545</v>
      </c>
      <c r="AP74" s="8">
        <f>[1]节奏总纲!BB74</f>
        <v>37.226704182817912</v>
      </c>
      <c r="AQ74" s="8">
        <f>[1]节奏总纲!BC74</f>
        <v>39.160241683169971</v>
      </c>
      <c r="AR74" s="8">
        <f>[1]节奏总纲!BD74</f>
        <v>41.892000518560877</v>
      </c>
      <c r="AS74" s="8">
        <f>[1]节奏总纲!BE74</f>
        <v>46.561371072329244</v>
      </c>
    </row>
    <row r="75" spans="2:45" x14ac:dyDescent="0.15">
      <c r="B75" s="8">
        <f>[1]节奏总纲!N75</f>
        <v>82</v>
      </c>
      <c r="C75" s="8">
        <v>72</v>
      </c>
      <c r="D75" s="8">
        <f>[1]节奏总纲!P75</f>
        <v>146.03338943962044</v>
      </c>
      <c r="E75" s="8">
        <f>[1]节奏总纲!Q75</f>
        <v>126.581741966263</v>
      </c>
      <c r="F75" s="8">
        <f>[1]节奏总纲!R75</f>
        <v>103.31862302853146</v>
      </c>
      <c r="G75" s="8">
        <f>[1]节奏总纲!S75</f>
        <v>75.586882373947532</v>
      </c>
      <c r="H75" s="8">
        <f>[1]节奏总纲!T75</f>
        <v>41.896979430227098</v>
      </c>
      <c r="J75" s="8">
        <v>72</v>
      </c>
      <c r="K75" s="8">
        <f>[1]节奏总纲!W75</f>
        <v>9.8463862349749434</v>
      </c>
      <c r="L75" s="8">
        <f>[1]节奏总纲!X75</f>
        <v>8.548466288796746</v>
      </c>
      <c r="M75" s="8">
        <f>[1]节奏总纲!Y75</f>
        <v>6.7348003557968781</v>
      </c>
      <c r="N75" s="8">
        <f>[1]节奏总纲!Z75</f>
        <v>4.9739212123388512</v>
      </c>
      <c r="O75" s="8">
        <f>[1]节奏总纲!AA75</f>
        <v>2.7704534095324505</v>
      </c>
      <c r="Q75" s="8">
        <v>72</v>
      </c>
      <c r="R75" s="8">
        <f>[1]节奏总纲!AD75</f>
        <v>61.895048862094221</v>
      </c>
      <c r="S75" s="8">
        <f>[1]节奏总纲!AE75</f>
        <v>63.918876949118435</v>
      </c>
      <c r="T75" s="8">
        <f>[1]节奏总纲!AF75</f>
        <v>66.7307849375064</v>
      </c>
      <c r="U75" s="8">
        <f>[1]节奏总纲!AG75</f>
        <v>71.278862245535876</v>
      </c>
      <c r="V75" s="8">
        <f>[1]节奏总纲!AH75</f>
        <v>79.833079619844597</v>
      </c>
      <c r="Z75" s="8">
        <v>72</v>
      </c>
      <c r="AA75" s="8">
        <f>[1]节奏总纲!AM75</f>
        <v>14808.205062920617</v>
      </c>
      <c r="AB75" s="8">
        <f>[1]节奏总纲!AN75</f>
        <v>11846.564050336494</v>
      </c>
      <c r="AC75" s="8">
        <f>[1]节奏总纲!AO75</f>
        <v>8884.9230377523691</v>
      </c>
      <c r="AD75" s="8">
        <f>[1]节奏总纲!AP75</f>
        <v>5923.2820251682469</v>
      </c>
      <c r="AE75" s="8">
        <f>[1]节奏总纲!AQ75</f>
        <v>2961.6410125841235</v>
      </c>
      <c r="AG75" s="8">
        <v>72</v>
      </c>
      <c r="AH75" s="8">
        <f>[1]节奏总纲!AT75</f>
        <v>2011.0988460960561</v>
      </c>
      <c r="AI75" s="8">
        <f>[1]节奏总纲!AU75</f>
        <v>1608.8790768768449</v>
      </c>
      <c r="AJ75" s="8">
        <f>[1]节奏总纲!AV75</f>
        <v>1206.6593076576328</v>
      </c>
      <c r="AK75" s="8">
        <f>[1]节奏总纲!AW75</f>
        <v>804.43953843842246</v>
      </c>
      <c r="AL75" s="8">
        <f>[1]节奏总纲!AX75</f>
        <v>402.21976921921123</v>
      </c>
      <c r="AN75" s="8">
        <v>72</v>
      </c>
      <c r="AO75" s="8">
        <f>[1]节奏总纲!BA75</f>
        <v>35.829522274841217</v>
      </c>
      <c r="AP75" s="8">
        <f>[1]节奏总纲!BB75</f>
        <v>37.317457773889828</v>
      </c>
      <c r="AQ75" s="8">
        <f>[1]节奏总纲!BC75</f>
        <v>39.250296194358178</v>
      </c>
      <c r="AR75" s="8">
        <f>[1]节奏总纲!BD75</f>
        <v>41.992566056290244</v>
      </c>
      <c r="AS75" s="8">
        <f>[1]节奏总纲!BE75</f>
        <v>46.657691286422882</v>
      </c>
    </row>
    <row r="76" spans="2:45" x14ac:dyDescent="0.15">
      <c r="B76" s="8">
        <f>[1]节奏总纲!N76</f>
        <v>83</v>
      </c>
      <c r="C76" s="8">
        <v>73</v>
      </c>
      <c r="D76" s="8">
        <f>[1]节奏总纲!P76</f>
        <v>156.58648490814926</v>
      </c>
      <c r="E76" s="8">
        <f>[1]节奏总纲!Q76</f>
        <v>135.41599214856748</v>
      </c>
      <c r="F76" s="8">
        <f>[1]节奏总纲!R76</f>
        <v>110.58137564213501</v>
      </c>
      <c r="G76" s="8">
        <f>[1]节奏总纲!S76</f>
        <v>80.955212697513176</v>
      </c>
      <c r="H76" s="8">
        <f>[1]节奏总纲!T76</f>
        <v>44.877686574675579</v>
      </c>
      <c r="J76" s="8">
        <v>73</v>
      </c>
      <c r="K76" s="8">
        <f>[1]节奏总纲!W76</f>
        <v>10.553095468528824</v>
      </c>
      <c r="L76" s="8">
        <f>[1]节奏总纲!X76</f>
        <v>8.834250182304487</v>
      </c>
      <c r="M76" s="8">
        <f>[1]节奏总纲!Y76</f>
        <v>7.2627526136035527</v>
      </c>
      <c r="N76" s="8">
        <f>[1]节奏总纲!Z76</f>
        <v>5.3683303235656439</v>
      </c>
      <c r="O76" s="8">
        <f>[1]节奏总纲!AA76</f>
        <v>2.9807071444484805</v>
      </c>
      <c r="Q76" s="8">
        <v>73</v>
      </c>
      <c r="R76" s="8">
        <f>[1]节奏总纲!AD76</f>
        <v>62.091594979242075</v>
      </c>
      <c r="S76" s="8">
        <f>[1]节奏总纲!AE76</f>
        <v>64.114306430026588</v>
      </c>
      <c r="T76" s="8">
        <f>[1]节奏总纲!AF76</f>
        <v>66.939020225602619</v>
      </c>
      <c r="U76" s="8">
        <f>[1]节奏总纲!AG76</f>
        <v>71.479910866394462</v>
      </c>
      <c r="V76" s="8">
        <f>[1]节奏总纲!AH76</f>
        <v>80.043898354812981</v>
      </c>
      <c r="Z76" s="8">
        <v>73</v>
      </c>
      <c r="AA76" s="8">
        <f>[1]节奏总纲!AM76</f>
        <v>17134.425155737379</v>
      </c>
      <c r="AB76" s="8">
        <f>[1]节奏总纲!AN76</f>
        <v>13707.540124589905</v>
      </c>
      <c r="AC76" s="8">
        <f>[1]节奏总纲!AO76</f>
        <v>10280.655093442427</v>
      </c>
      <c r="AD76" s="8">
        <f>[1]节奏总纲!AP76</f>
        <v>6853.7700622949524</v>
      </c>
      <c r="AE76" s="8">
        <f>[1]节奏总纲!AQ76</f>
        <v>3426.8850311474762</v>
      </c>
      <c r="AG76" s="8">
        <v>73</v>
      </c>
      <c r="AH76" s="8">
        <f>[1]节奏总纲!AT76</f>
        <v>2326.2200928167622</v>
      </c>
      <c r="AI76" s="8">
        <f>[1]节奏总纲!AU76</f>
        <v>1860.9760742534108</v>
      </c>
      <c r="AJ76" s="8">
        <f>[1]节奏总纲!AV76</f>
        <v>1395.7320556900577</v>
      </c>
      <c r="AK76" s="8">
        <f>[1]节奏总纲!AW76</f>
        <v>930.48803712670542</v>
      </c>
      <c r="AL76" s="8">
        <f>[1]节奏总纲!AX76</f>
        <v>465.24401856335271</v>
      </c>
      <c r="AN76" s="8">
        <v>73</v>
      </c>
      <c r="AO76" s="8">
        <f>[1]节奏总纲!BA76</f>
        <v>35.927113130704889</v>
      </c>
      <c r="AP76" s="8">
        <f>[1]节奏总纲!BB76</f>
        <v>37.408211364961737</v>
      </c>
      <c r="AQ76" s="8">
        <f>[1]节奏总纲!BC76</f>
        <v>39.340350705546385</v>
      </c>
      <c r="AR76" s="8">
        <f>[1]节奏总纲!BD76</f>
        <v>42.080366850119908</v>
      </c>
      <c r="AS76" s="8">
        <f>[1]节奏总纲!BE76</f>
        <v>46.754011500516519</v>
      </c>
    </row>
    <row r="77" spans="2:45" x14ac:dyDescent="0.15">
      <c r="B77" s="8">
        <f>[1]节奏总纲!N77</f>
        <v>84</v>
      </c>
      <c r="C77" s="8">
        <v>74</v>
      </c>
      <c r="D77" s="8">
        <f>[1]节奏总纲!P77</f>
        <v>167.89701257893043</v>
      </c>
      <c r="E77" s="8">
        <f>[1]节奏总纲!Q77</f>
        <v>145.16375707574326</v>
      </c>
      <c r="F77" s="8">
        <f>[1]节奏总纲!R77</f>
        <v>118.70318789330381</v>
      </c>
      <c r="G77" s="8">
        <f>[1]节奏总纲!S77</f>
        <v>86.869914308338593</v>
      </c>
      <c r="H77" s="8">
        <f>[1]节奏总纲!T77</f>
        <v>48.169652908895138</v>
      </c>
      <c r="J77" s="8">
        <v>74</v>
      </c>
      <c r="K77" s="8">
        <f>[1]节奏总纲!W77</f>
        <v>11.31052767078117</v>
      </c>
      <c r="L77" s="8">
        <f>[1]节奏总纲!X77</f>
        <v>9.7477649271757798</v>
      </c>
      <c r="M77" s="8">
        <f>[1]节奏总纲!Y77</f>
        <v>8.1218122511687909</v>
      </c>
      <c r="N77" s="8">
        <f>[1]节奏总纲!Z77</f>
        <v>5.9147016108254178</v>
      </c>
      <c r="O77" s="8">
        <f>[1]节奏总纲!AA77</f>
        <v>3.2919663342195591</v>
      </c>
      <c r="Q77" s="8">
        <v>74</v>
      </c>
      <c r="R77" s="8">
        <f>[1]节奏总纲!AD77</f>
        <v>62.281112832649576</v>
      </c>
      <c r="S77" s="8">
        <f>[1]节奏总纲!AE77</f>
        <v>64.304793036447776</v>
      </c>
      <c r="T77" s="8">
        <f>[1]节奏总纲!AF77</f>
        <v>67.14262442756818</v>
      </c>
      <c r="U77" s="8">
        <f>[1]节奏总纲!AG77</f>
        <v>71.680959487253048</v>
      </c>
      <c r="V77" s="8">
        <f>[1]节奏总纲!AH77</f>
        <v>80.24075196383977</v>
      </c>
      <c r="Z77" s="8">
        <v>74</v>
      </c>
      <c r="AA77" s="8">
        <f>[1]节奏总纲!AM77</f>
        <v>19825.014596370729</v>
      </c>
      <c r="AB77" s="8">
        <f>[1]节奏总纲!AN77</f>
        <v>15860.011677096583</v>
      </c>
      <c r="AC77" s="8">
        <f>[1]节奏总纲!AO77</f>
        <v>11895.008757822437</v>
      </c>
      <c r="AD77" s="8">
        <f>[1]节奏总纲!AP77</f>
        <v>7930.0058385482916</v>
      </c>
      <c r="AE77" s="8">
        <f>[1]节奏总纲!AQ77</f>
        <v>3965.0029192741458</v>
      </c>
      <c r="AG77" s="8">
        <v>74</v>
      </c>
      <c r="AH77" s="8">
        <f>[1]节奏总纲!AT77</f>
        <v>2690.58944063335</v>
      </c>
      <c r="AI77" s="8">
        <f>[1]节奏总纲!AU77</f>
        <v>2152.4715525066786</v>
      </c>
      <c r="AJ77" s="8">
        <f>[1]节奏总纲!AV77</f>
        <v>1614.3536643800107</v>
      </c>
      <c r="AK77" s="8">
        <f>[1]节奏总纲!AW77</f>
        <v>1076.2357762533393</v>
      </c>
      <c r="AL77" s="8">
        <f>[1]节奏总纲!AX77</f>
        <v>538.11788812666964</v>
      </c>
      <c r="AN77" s="8">
        <v>74</v>
      </c>
      <c r="AO77" s="8">
        <f>[1]节奏总纲!BA77</f>
        <v>36.021306837933537</v>
      </c>
      <c r="AP77" s="8">
        <f>[1]节奏总纲!BB77</f>
        <v>37.498964956033646</v>
      </c>
      <c r="AQ77" s="8">
        <f>[1]节奏总纲!BC77</f>
        <v>39.430405216734592</v>
      </c>
      <c r="AR77" s="8">
        <f>[1]节奏总纲!BD77</f>
        <v>42.167148737437564</v>
      </c>
      <c r="AS77" s="8">
        <f>[1]节奏总纲!BE77</f>
        <v>46.850331714610157</v>
      </c>
    </row>
    <row r="78" spans="2:45" x14ac:dyDescent="0.15">
      <c r="B78" s="8">
        <f>[1]节奏总纲!N78</f>
        <v>85</v>
      </c>
      <c r="C78" s="8">
        <v>75</v>
      </c>
      <c r="D78" s="8">
        <f>[1]节奏总纲!P78</f>
        <v>180.01933598375612</v>
      </c>
      <c r="E78" s="8">
        <f>[1]节奏总纲!Q78</f>
        <v>155.75272949314578</v>
      </c>
      <c r="F78" s="8">
        <f>[1]节奏总纲!R78</f>
        <v>127.38168214210583</v>
      </c>
      <c r="G78" s="8">
        <f>[1]节奏总纲!S78</f>
        <v>93.214012172388934</v>
      </c>
      <c r="H78" s="8">
        <f>[1]节奏总纲!T78</f>
        <v>51.755559095329879</v>
      </c>
      <c r="J78" s="8">
        <v>75</v>
      </c>
      <c r="K78" s="8">
        <f>[1]节奏总纲!W78</f>
        <v>12.122323404825693</v>
      </c>
      <c r="L78" s="8">
        <f>[1]节奏总纲!X78</f>
        <v>10.588972417402516</v>
      </c>
      <c r="M78" s="8">
        <f>[1]节奏总纲!Y78</f>
        <v>8.6784942488020249</v>
      </c>
      <c r="N78" s="8">
        <f>[1]节奏总纲!Z78</f>
        <v>6.3440978640503403</v>
      </c>
      <c r="O78" s="8">
        <f>[1]节奏总纲!AA78</f>
        <v>3.585906186434741</v>
      </c>
      <c r="Q78" s="8">
        <v>75</v>
      </c>
      <c r="R78" s="8">
        <f>[1]节奏总纲!AD78</f>
        <v>62.470630686057078</v>
      </c>
      <c r="S78" s="8">
        <f>[1]节奏总纲!AE78</f>
        <v>64.495279642868965</v>
      </c>
      <c r="T78" s="8">
        <f>[1]节奏总纲!AF78</f>
        <v>67.344310856946692</v>
      </c>
      <c r="U78" s="8">
        <f>[1]节奏总纲!AG78</f>
        <v>71.882008108111634</v>
      </c>
      <c r="V78" s="8">
        <f>[1]节奏总纲!AH78</f>
        <v>80.437605572866573</v>
      </c>
      <c r="Z78" s="8">
        <v>75</v>
      </c>
      <c r="AA78" s="8">
        <f>[1]节奏总纲!AM78</f>
        <v>22936.899999999998</v>
      </c>
      <c r="AB78" s="8">
        <f>[1]节奏总纲!AN78</f>
        <v>18349.52</v>
      </c>
      <c r="AC78" s="8">
        <f>[1]节奏总纲!AO78</f>
        <v>13762.139999999998</v>
      </c>
      <c r="AD78" s="8">
        <f>[1]节奏总纲!AP78</f>
        <v>9174.76</v>
      </c>
      <c r="AE78" s="8">
        <f>[1]节奏总纲!AQ78</f>
        <v>4587.38</v>
      </c>
      <c r="AG78" s="8">
        <v>75</v>
      </c>
      <c r="AH78" s="8">
        <f>[1]节奏总纲!AT78</f>
        <v>3111.8854036292687</v>
      </c>
      <c r="AI78" s="8">
        <f>[1]节奏总纲!AU78</f>
        <v>2489.5083229034171</v>
      </c>
      <c r="AJ78" s="8">
        <f>[1]节奏总纲!AV78</f>
        <v>1867.1312421775601</v>
      </c>
      <c r="AK78" s="8">
        <f>[1]节奏总纲!AW78</f>
        <v>1244.7541614517086</v>
      </c>
      <c r="AL78" s="8">
        <f>[1]节奏总纲!AX78</f>
        <v>622.37708072585428</v>
      </c>
      <c r="AN78" s="8">
        <v>75</v>
      </c>
      <c r="AO78" s="8">
        <f>[1]节奏总纲!BA78</f>
        <v>36.105477566569242</v>
      </c>
      <c r="AP78" s="8">
        <f>[1]节奏总纲!BB78</f>
        <v>37.589718547105562</v>
      </c>
      <c r="AQ78" s="8">
        <f>[1]节奏总纲!BC78</f>
        <v>39.520459727922798</v>
      </c>
      <c r="AR78" s="8">
        <f>[1]节奏总纲!BD78</f>
        <v>42.253930624755228</v>
      </c>
      <c r="AS78" s="8">
        <f>[1]节奏总纲!BE78</f>
        <v>46.946651928703787</v>
      </c>
    </row>
    <row r="79" spans="2:45" x14ac:dyDescent="0.15">
      <c r="B79" s="8">
        <f>[1]节奏总纲!N79</f>
        <v>86</v>
      </c>
      <c r="C79" s="8">
        <v>76</v>
      </c>
      <c r="D79" s="8">
        <f>[1]节奏总纲!P79</f>
        <v>193.01172051333091</v>
      </c>
      <c r="E79" s="8">
        <f>[1]节奏总纲!Q79</f>
        <v>166.97443941608256</v>
      </c>
      <c r="F79" s="8">
        <f>[1]节奏总纲!R79</f>
        <v>136.51718991907896</v>
      </c>
      <c r="G79" s="8">
        <f>[1]节奏总纲!S79</f>
        <v>100.0379747420594</v>
      </c>
      <c r="H79" s="8">
        <f>[1]节奏总纲!T79</f>
        <v>55.664580196044632</v>
      </c>
      <c r="J79" s="8">
        <v>76</v>
      </c>
      <c r="K79" s="8">
        <f>[1]节奏总纲!W79</f>
        <v>12.992384529574792</v>
      </c>
      <c r="L79" s="8">
        <f>[1]节奏总纲!X79</f>
        <v>11.221709922936782</v>
      </c>
      <c r="M79" s="8">
        <f>[1]节奏总纲!Y79</f>
        <v>9.1355077769731281</v>
      </c>
      <c r="N79" s="8">
        <f>[1]节奏总纲!Z79</f>
        <v>6.8239625696704707</v>
      </c>
      <c r="O79" s="8">
        <f>[1]节奏总纲!AA79</f>
        <v>3.9090211007147531</v>
      </c>
      <c r="Q79" s="8">
        <v>76</v>
      </c>
      <c r="R79" s="8">
        <f>[1]节奏总纲!AD79</f>
        <v>62.660148539464579</v>
      </c>
      <c r="S79" s="8">
        <f>[1]节奏总纲!AE79</f>
        <v>64.685766249290154</v>
      </c>
      <c r="T79" s="8">
        <f>[1]节奏总纲!AF79</f>
        <v>67.545997286325218</v>
      </c>
      <c r="U79" s="8">
        <f>[1]节奏总纲!AG79</f>
        <v>72.076954583856178</v>
      </c>
      <c r="V79" s="8">
        <f>[1]节奏总纲!AH79</f>
        <v>80.634459181893376</v>
      </c>
      <c r="Z79" s="8">
        <v>76</v>
      </c>
      <c r="AA79" s="8">
        <f>[1]节奏总纲!AM79</f>
        <v>26535.88112606269</v>
      </c>
      <c r="AB79" s="8">
        <f>[1]节奏总纲!AN79</f>
        <v>21228.704900850153</v>
      </c>
      <c r="AC79" s="8">
        <f>[1]节奏总纲!AO79</f>
        <v>15921.528675637614</v>
      </c>
      <c r="AD79" s="8">
        <f>[1]节奏总纲!AP79</f>
        <v>10614.352450425076</v>
      </c>
      <c r="AE79" s="8">
        <f>[1]节奏总纲!AQ79</f>
        <v>5307.1762252125382</v>
      </c>
      <c r="AG79" s="8">
        <v>76</v>
      </c>
      <c r="AH79" s="8">
        <f>[1]节奏总纲!AT79</f>
        <v>3598.9811260626921</v>
      </c>
      <c r="AI79" s="8">
        <f>[1]节奏总纲!AU79</f>
        <v>2879.1849008501522</v>
      </c>
      <c r="AJ79" s="8">
        <f>[1]节奏总纲!AV79</f>
        <v>2159.388675637616</v>
      </c>
      <c r="AK79" s="8">
        <f>[1]节奏总纲!AW79</f>
        <v>1439.5924504250761</v>
      </c>
      <c r="AL79" s="8">
        <f>[1]节奏总纲!AX79</f>
        <v>719.79622521253805</v>
      </c>
      <c r="AN79" s="8">
        <v>76</v>
      </c>
      <c r="AO79" s="8">
        <f>[1]节奏总纲!BA79</f>
        <v>36.189648295204947</v>
      </c>
      <c r="AP79" s="8">
        <f>[1]节奏总纲!BB79</f>
        <v>37.680472138177471</v>
      </c>
      <c r="AQ79" s="8">
        <f>[1]节奏总纲!BC79</f>
        <v>39.610514239111005</v>
      </c>
      <c r="AR79" s="8">
        <f>[1]节奏总纲!BD79</f>
        <v>42.340712512072891</v>
      </c>
      <c r="AS79" s="8">
        <f>[1]节奏总纲!BE79</f>
        <v>47.037096473408994</v>
      </c>
    </row>
    <row r="80" spans="2:45" x14ac:dyDescent="0.15">
      <c r="B80" s="8">
        <f>[1]节奏总纲!N80</f>
        <v>87</v>
      </c>
      <c r="C80" s="8">
        <v>77</v>
      </c>
      <c r="D80" s="8">
        <f>[1]节奏总纲!P80</f>
        <v>206.93661346719625</v>
      </c>
      <c r="E80" s="8">
        <f>[1]节奏总纲!Q80</f>
        <v>179.12433261720508</v>
      </c>
      <c r="F80" s="8">
        <f>[1]节奏总纲!R80</f>
        <v>146.53181599612165</v>
      </c>
      <c r="G80" s="8">
        <f>[1]节奏总纲!S80</f>
        <v>107.42079605082158</v>
      </c>
      <c r="H80" s="8">
        <f>[1]节奏总纲!T80</f>
        <v>59.535663694512365</v>
      </c>
      <c r="J80" s="8">
        <v>77</v>
      </c>
      <c r="K80" s="8">
        <f>[1]节奏总纲!W80</f>
        <v>13.924892953865339</v>
      </c>
      <c r="L80" s="8">
        <f>[1]节奏总纲!X80</f>
        <v>12.149893201122524</v>
      </c>
      <c r="M80" s="8">
        <f>[1]节奏总纲!Y80</f>
        <v>10.014626077042692</v>
      </c>
      <c r="N80" s="8">
        <f>[1]节奏总纲!Z80</f>
        <v>7.3828213087621748</v>
      </c>
      <c r="O80" s="8">
        <f>[1]节奏总纲!AA80</f>
        <v>3.8710834984677334</v>
      </c>
      <c r="Q80" s="8">
        <v>77</v>
      </c>
      <c r="R80" s="8">
        <f>[1]节奏总纲!AD80</f>
        <v>62.849666392872081</v>
      </c>
      <c r="S80" s="8">
        <f>[1]节奏总纲!AE80</f>
        <v>64.876252855711357</v>
      </c>
      <c r="T80" s="8">
        <f>[1]节奏总纲!AF80</f>
        <v>67.747683715703729</v>
      </c>
      <c r="U80" s="8">
        <f>[1]节奏总纲!AG80</f>
        <v>72.263232241847945</v>
      </c>
      <c r="V80" s="8">
        <f>[1]节奏总纲!AH80</f>
        <v>80.83131279092018</v>
      </c>
      <c r="Z80" s="8">
        <v>77</v>
      </c>
      <c r="AA80" s="8">
        <f>[1]节奏总纲!AM80</f>
        <v>30698.011006346387</v>
      </c>
      <c r="AB80" s="8">
        <f>[1]节奏总纲!AN80</f>
        <v>24558.40880507711</v>
      </c>
      <c r="AC80" s="8">
        <f>[1]节奏总纲!AO80</f>
        <v>18418.806603807832</v>
      </c>
      <c r="AD80" s="8">
        <f>[1]节奏总纲!AP80</f>
        <v>12279.204402538555</v>
      </c>
      <c r="AE80" s="8">
        <f>[1]节奏总纲!AQ80</f>
        <v>6139.6022012692774</v>
      </c>
      <c r="AG80" s="8">
        <v>77</v>
      </c>
      <c r="AH80" s="8">
        <f>[1]节奏总纲!AT80</f>
        <v>4162.1298802836973</v>
      </c>
      <c r="AI80" s="8">
        <f>[1]节奏总纲!AU80</f>
        <v>3329.7039042269571</v>
      </c>
      <c r="AJ80" s="8">
        <f>[1]节奏总纲!AV80</f>
        <v>2497.2779281702187</v>
      </c>
      <c r="AK80" s="8">
        <f>[1]节奏总纲!AW80</f>
        <v>1664.8519521134785</v>
      </c>
      <c r="AL80" s="8">
        <f>[1]节奏总纲!AX80</f>
        <v>832.42597605673927</v>
      </c>
      <c r="AN80" s="8">
        <v>77</v>
      </c>
      <c r="AO80" s="8">
        <f>[1]节奏总纲!BA80</f>
        <v>36.273819023840659</v>
      </c>
      <c r="AP80" s="8">
        <f>[1]节奏总纲!BB80</f>
        <v>37.771225729249387</v>
      </c>
      <c r="AQ80" s="8">
        <f>[1]节奏总纲!BC80</f>
        <v>39.700568750299212</v>
      </c>
      <c r="AR80" s="8">
        <f>[1]节奏总纲!BD80</f>
        <v>42.427494399390554</v>
      </c>
      <c r="AS80" s="8">
        <f>[1]节奏总纲!BE80</f>
        <v>47.12024662670057</v>
      </c>
    </row>
    <row r="81" spans="2:45" x14ac:dyDescent="0.15">
      <c r="B81" s="8">
        <f>[1]节奏总纲!N81</f>
        <v>88</v>
      </c>
      <c r="C81" s="8">
        <v>78</v>
      </c>
      <c r="D81" s="8">
        <f>[1]节奏总纲!P81</f>
        <v>221.86094420380775</v>
      </c>
      <c r="E81" s="8">
        <f>[1]节奏总纲!Q81</f>
        <v>192.04283330281601</v>
      </c>
      <c r="F81" s="8">
        <f>[1]节奏总纲!R81</f>
        <v>157.23285115723854</v>
      </c>
      <c r="G81" s="8">
        <f>[1]节奏总纲!S81</f>
        <v>115.1680161361966</v>
      </c>
      <c r="H81" s="8">
        <f>[1]节奏总纲!T81</f>
        <v>63.651904892072437</v>
      </c>
      <c r="J81" s="8">
        <v>78</v>
      </c>
      <c r="K81" s="8">
        <f>[1]节奏总纲!W81</f>
        <v>14.924330736611495</v>
      </c>
      <c r="L81" s="8">
        <f>[1]节奏总纲!X81</f>
        <v>12.918500685610923</v>
      </c>
      <c r="M81" s="8">
        <f>[1]节奏总纲!Y81</f>
        <v>10.701035161116891</v>
      </c>
      <c r="N81" s="8">
        <f>[1]节奏总纲!Z81</f>
        <v>7.7472200853750195</v>
      </c>
      <c r="O81" s="8">
        <f>[1]节奏总纲!AA81</f>
        <v>4.1162411975600719</v>
      </c>
      <c r="Q81" s="8">
        <v>78</v>
      </c>
      <c r="R81" s="8">
        <f>[1]节奏总纲!AD81</f>
        <v>63.036560194527354</v>
      </c>
      <c r="S81" s="8">
        <f>[1]节奏总纲!AE81</f>
        <v>65.061438622789353</v>
      </c>
      <c r="T81" s="8">
        <f>[1]节奏总纲!AF81</f>
        <v>67.949370145082256</v>
      </c>
      <c r="U81" s="8">
        <f>[1]节奏总纲!AG81</f>
        <v>72.449509899839711</v>
      </c>
      <c r="V81" s="8">
        <f>[1]节奏总纲!AH81</f>
        <v>81.026624803116562</v>
      </c>
      <c r="Z81" s="8">
        <v>78</v>
      </c>
      <c r="AA81" s="8">
        <f>[1]节奏总纲!AM81</f>
        <v>35511.190322760085</v>
      </c>
      <c r="AB81" s="8">
        <f>[1]节奏总纲!AN81</f>
        <v>28408.952258208068</v>
      </c>
      <c r="AC81" s="8">
        <f>[1]节奏总纲!AO81</f>
        <v>21306.714193656051</v>
      </c>
      <c r="AD81" s="8">
        <f>[1]节奏总纲!AP81</f>
        <v>14204.476129104034</v>
      </c>
      <c r="AE81" s="8">
        <f>[1]节奏总纲!AQ81</f>
        <v>7102.238064552017</v>
      </c>
      <c r="AG81" s="8">
        <v>78</v>
      </c>
      <c r="AH81" s="8">
        <f>[1]节奏总纲!AT81</f>
        <v>4813.179316413698</v>
      </c>
      <c r="AI81" s="8">
        <f>[1]节奏总纲!AU81</f>
        <v>3850.5434531309584</v>
      </c>
      <c r="AJ81" s="8">
        <f>[1]节奏总纲!AV81</f>
        <v>2887.9075898482188</v>
      </c>
      <c r="AK81" s="8">
        <f>[1]节奏总纲!AW81</f>
        <v>1925.2717265654792</v>
      </c>
      <c r="AL81" s="8">
        <f>[1]节奏总纲!AX81</f>
        <v>962.63586328273959</v>
      </c>
      <c r="AN81" s="8">
        <v>78</v>
      </c>
      <c r="AO81" s="8">
        <f>[1]节奏总纲!BA81</f>
        <v>36.357989752476364</v>
      </c>
      <c r="AP81" s="8">
        <f>[1]节奏总纲!BB81</f>
        <v>37.861979320321296</v>
      </c>
      <c r="AQ81" s="8">
        <f>[1]节奏总纲!BC81</f>
        <v>39.790623261487418</v>
      </c>
      <c r="AR81" s="8">
        <f>[1]节奏总纲!BD81</f>
        <v>42.51427628670821</v>
      </c>
      <c r="AS81" s="8">
        <f>[1]节奏总纲!BE81</f>
        <v>47.203396779992147</v>
      </c>
    </row>
    <row r="82" spans="2:45" x14ac:dyDescent="0.15">
      <c r="B82" s="8">
        <f>[1]节奏总纲!N82</f>
        <v>89</v>
      </c>
      <c r="C82" s="8">
        <v>79</v>
      </c>
      <c r="D82" s="8">
        <f>[1]节奏总纲!P82</f>
        <v>237.85644583342264</v>
      </c>
      <c r="E82" s="8">
        <f>[1]节奏总纲!Q82</f>
        <v>206.07882467007735</v>
      </c>
      <c r="F82" s="8">
        <f>[1]节奏总纲!R82</f>
        <v>168.73536267423003</v>
      </c>
      <c r="G82" s="8">
        <f>[1]节奏总纲!S82</f>
        <v>123.11449636337954</v>
      </c>
      <c r="H82" s="8">
        <f>[1]节奏总纲!T82</f>
        <v>68.122086086692235</v>
      </c>
      <c r="J82" s="8">
        <v>79</v>
      </c>
      <c r="K82" s="8">
        <f>[1]节奏总纲!W82</f>
        <v>15.995501629614893</v>
      </c>
      <c r="L82" s="8">
        <f>[1]节奏总纲!X82</f>
        <v>14.035991367261346</v>
      </c>
      <c r="M82" s="8">
        <f>[1]节奏总纲!Y82</f>
        <v>11.50251151699149</v>
      </c>
      <c r="N82" s="8">
        <f>[1]节奏总纲!Z82</f>
        <v>7.9464802271829456</v>
      </c>
      <c r="O82" s="8">
        <f>[1]节奏总纲!AA82</f>
        <v>4.4701811946197978</v>
      </c>
      <c r="Q82" s="8">
        <v>79</v>
      </c>
      <c r="R82" s="8">
        <f>[1]节奏总纲!AD82</f>
        <v>63.213386604241791</v>
      </c>
      <c r="S82" s="8">
        <f>[1]节奏总纲!AE82</f>
        <v>65.23679566619937</v>
      </c>
      <c r="T82" s="8">
        <f>[1]节奏总纲!AF82</f>
        <v>68.132712808893615</v>
      </c>
      <c r="U82" s="8">
        <f>[1]节奏总纲!AG82</f>
        <v>72.635787557831478</v>
      </c>
      <c r="V82" s="8">
        <f>[1]节奏总纲!AH82</f>
        <v>81.212704266341873</v>
      </c>
      <c r="Z82" s="8">
        <v>79</v>
      </c>
      <c r="AA82" s="8">
        <f>[1]节奏总纲!AM82</f>
        <v>41077.009235645834</v>
      </c>
      <c r="AB82" s="8">
        <f>[1]节奏总纲!AN82</f>
        <v>32861.60738851667</v>
      </c>
      <c r="AC82" s="8">
        <f>[1]节奏总纲!AO82</f>
        <v>24646.205541387499</v>
      </c>
      <c r="AD82" s="8">
        <f>[1]节奏总纲!AP82</f>
        <v>16430.803694258335</v>
      </c>
      <c r="AE82" s="8">
        <f>[1]节奏总纲!AQ82</f>
        <v>8215.4018471291674</v>
      </c>
      <c r="AG82" s="8">
        <v>79</v>
      </c>
      <c r="AH82" s="8">
        <f>[1]节奏总纲!AT82</f>
        <v>5565.8189128857484</v>
      </c>
      <c r="AI82" s="8">
        <f>[1]节奏总纲!AU82</f>
        <v>4452.6551303086017</v>
      </c>
      <c r="AJ82" s="8">
        <f>[1]节奏总纲!AV82</f>
        <v>3339.4913477314476</v>
      </c>
      <c r="AK82" s="8">
        <f>[1]节奏总纲!AW82</f>
        <v>2226.3275651543008</v>
      </c>
      <c r="AL82" s="8">
        <f>[1]节奏总纲!AX82</f>
        <v>1113.1637825771504</v>
      </c>
      <c r="AN82" s="8">
        <v>79</v>
      </c>
      <c r="AO82" s="8">
        <f>[1]节奏总纲!BA82</f>
        <v>36.442160481112069</v>
      </c>
      <c r="AP82" s="8">
        <f>[1]节奏总纲!BB82</f>
        <v>37.952732911393213</v>
      </c>
      <c r="AQ82" s="8">
        <f>[1]节奏总纲!BC82</f>
        <v>39.880677772675625</v>
      </c>
      <c r="AR82" s="8">
        <f>[1]节奏总纲!BD82</f>
        <v>42.601058174025873</v>
      </c>
      <c r="AS82" s="8">
        <f>[1]节奏总纲!BE82</f>
        <v>47.286546933283724</v>
      </c>
    </row>
    <row r="83" spans="2:45" x14ac:dyDescent="0.15">
      <c r="B83" s="8">
        <f>[1]节奏总纲!N83</f>
        <v>90</v>
      </c>
      <c r="C83" s="8">
        <v>80</v>
      </c>
      <c r="D83" s="8">
        <f>[1]节奏总纲!P83</f>
        <v>255</v>
      </c>
      <c r="E83" s="8">
        <f>[1]节奏总纲!Q83</f>
        <v>221.08500000000001</v>
      </c>
      <c r="F83" s="8">
        <f>[1]节奏总纲!R83</f>
        <v>180.33600000000001</v>
      </c>
      <c r="G83" s="8">
        <f>[1]节奏总纲!S83</f>
        <v>131.58000000000001</v>
      </c>
      <c r="H83" s="8">
        <f>[1]节奏总纲!T83</f>
        <v>72.777000000000001</v>
      </c>
      <c r="J83" s="8">
        <v>80</v>
      </c>
      <c r="K83" s="8">
        <f>[1]节奏总纲!W83</f>
        <v>17.14355416657736</v>
      </c>
      <c r="L83" s="8">
        <f>[1]节奏总纲!X83</f>
        <v>15.006175329922655</v>
      </c>
      <c r="M83" s="8">
        <f>[1]节奏总纲!Y83</f>
        <v>11.600637325769981</v>
      </c>
      <c r="N83" s="8">
        <f>[1]节奏总纲!Z83</f>
        <v>8.4655036366204683</v>
      </c>
      <c r="O83" s="8">
        <f>[1]节奏总纲!AA83</f>
        <v>4.6549139133077659</v>
      </c>
      <c r="Q83" s="8">
        <v>80</v>
      </c>
      <c r="R83" s="8">
        <f>[1]节奏总纲!AD83</f>
        <v>63.39021301395622</v>
      </c>
      <c r="S83" s="8">
        <f>[1]节奏总纲!AE83</f>
        <v>65.412152709609373</v>
      </c>
      <c r="T83" s="8">
        <f>[1]节奏总纲!AF83</f>
        <v>68.309907165737044</v>
      </c>
      <c r="U83" s="8">
        <f>[1]节奏总纲!AG83</f>
        <v>72.822065215823244</v>
      </c>
      <c r="V83" s="8">
        <f>[1]节奏总纲!AH83</f>
        <v>81.398783729567185</v>
      </c>
      <c r="Z83" s="8">
        <v>80</v>
      </c>
      <c r="AA83" s="8">
        <f>[1]节奏总纲!AM83</f>
        <v>47512.875</v>
      </c>
      <c r="AB83" s="8">
        <f>[1]节奏总纲!AN83</f>
        <v>38010.300000000003</v>
      </c>
      <c r="AC83" s="8">
        <f>[1]节奏总纲!AO83</f>
        <v>28507.724999999999</v>
      </c>
      <c r="AD83" s="8">
        <f>[1]节奏总纲!AP83</f>
        <v>19005.150000000001</v>
      </c>
      <c r="AE83" s="8">
        <f>[1]节奏总纲!AQ83</f>
        <v>9502.5750000000007</v>
      </c>
      <c r="AG83" s="8">
        <v>80</v>
      </c>
      <c r="AH83" s="8">
        <f>[1]节奏总纲!AT83</f>
        <v>6435.8657643541665</v>
      </c>
      <c r="AI83" s="8">
        <f>[1]节奏总纲!AU83</f>
        <v>5148.6926114833332</v>
      </c>
      <c r="AJ83" s="8">
        <f>[1]节奏总纲!AV83</f>
        <v>3861.5194586124999</v>
      </c>
      <c r="AK83" s="8">
        <f>[1]节奏总纲!AW83</f>
        <v>2574.3463057416666</v>
      </c>
      <c r="AL83" s="8">
        <f>[1]节奏总纲!AX83</f>
        <v>1287.1731528708333</v>
      </c>
      <c r="AN83" s="8">
        <v>80</v>
      </c>
      <c r="AO83" s="8">
        <f>[1]节奏总纲!BA83</f>
        <v>36.526331209747774</v>
      </c>
      <c r="AP83" s="8">
        <f>[1]节奏总纲!BB83</f>
        <v>38.037513426486328</v>
      </c>
      <c r="AQ83" s="8">
        <f>[1]节奏总纲!BC83</f>
        <v>39.970732283863832</v>
      </c>
      <c r="AR83" s="8">
        <f>[1]节奏总纲!BD83</f>
        <v>42.687840061343536</v>
      </c>
      <c r="AS83" s="8">
        <f>[1]节奏总纲!BE83</f>
        <v>47.3696970865753</v>
      </c>
    </row>
    <row r="84" spans="2:45" x14ac:dyDescent="0.15">
      <c r="B84" s="8">
        <f>[1]节奏总纲!N84</f>
        <v>91</v>
      </c>
      <c r="C84" s="8">
        <v>81</v>
      </c>
      <c r="D84" s="8">
        <f>[1]节奏总纲!P84</f>
        <v>273.37400640929098</v>
      </c>
      <c r="E84" s="8">
        <f>[1]节奏总纲!Q84</f>
        <v>236.35916594147301</v>
      </c>
      <c r="F84" s="8">
        <f>[1]节奏总纲!R84</f>
        <v>192.67399971726829</v>
      </c>
      <c r="G84" s="8">
        <f>[1]节奏总纲!S84</f>
        <v>140.76027590014394</v>
      </c>
      <c r="H84" s="8">
        <f>[1]节奏总纲!T84</f>
        <v>77.856917025366073</v>
      </c>
      <c r="J84" s="8">
        <v>81</v>
      </c>
      <c r="K84" s="8">
        <f>[1]节奏总纲!W84</f>
        <v>18.374006409290985</v>
      </c>
      <c r="L84" s="8">
        <f>[1]节奏总纲!X84</f>
        <v>15.274165941473001</v>
      </c>
      <c r="M84" s="8">
        <f>[1]节奏总纲!Y84</f>
        <v>12.337999717268275</v>
      </c>
      <c r="N84" s="8">
        <f>[1]节奏总纲!Z84</f>
        <v>9.1802759001439256</v>
      </c>
      <c r="O84" s="8">
        <f>[1]节奏总纲!AA84</f>
        <v>5.0799170253660719</v>
      </c>
      <c r="Q84" s="8">
        <v>81</v>
      </c>
      <c r="R84" s="8">
        <f>[1]节奏总纲!AD84</f>
        <v>63.567039423670657</v>
      </c>
      <c r="S84" s="8">
        <f>[1]节奏总纲!AE84</f>
        <v>65.58750975301939</v>
      </c>
      <c r="T84" s="8">
        <f>[1]节奏总纲!AF84</f>
        <v>68.487101522580488</v>
      </c>
      <c r="U84" s="8">
        <f>[1]节奏总纲!AG84</f>
        <v>73.007572199822363</v>
      </c>
      <c r="V84" s="8">
        <f>[1]节奏总纲!AH84</f>
        <v>81.584863192792497</v>
      </c>
      <c r="AN84" s="8">
        <v>81</v>
      </c>
      <c r="AO84" s="8">
        <f>[1]节奏总纲!BA84</f>
        <v>36.610501938383479</v>
      </c>
      <c r="AP84" s="8">
        <f>[1]节奏总纲!BB84</f>
        <v>38.11580158428373</v>
      </c>
      <c r="AQ84" s="8">
        <f>[1]节奏总纲!BC84</f>
        <v>40.052446592012309</v>
      </c>
      <c r="AR84" s="8">
        <f>[1]节奏总纲!BD84</f>
        <v>42.774621948661192</v>
      </c>
      <c r="AS84" s="8">
        <f>[1]节奏总纲!BE84</f>
        <v>47.452847239866877</v>
      </c>
    </row>
    <row r="85" spans="2:45" x14ac:dyDescent="0.15">
      <c r="B85" s="8">
        <f>[1]节奏总纲!N85</f>
        <v>92</v>
      </c>
      <c r="C85" s="8">
        <v>82</v>
      </c>
      <c r="D85" s="8">
        <f>[1]节奏总纲!P85</f>
        <v>293.06677887924064</v>
      </c>
      <c r="E85" s="8">
        <f>[1]节奏总纲!Q85</f>
        <v>253.15108359588808</v>
      </c>
      <c r="F85" s="8">
        <f>[1]节奏总纲!R85</f>
        <v>206.37762568676126</v>
      </c>
      <c r="G85" s="8">
        <f>[1]节奏总纲!S85</f>
        <v>150.81216441125721</v>
      </c>
      <c r="H85" s="8">
        <f>[1]节奏总纲!T85</f>
        <v>83.230965201704336</v>
      </c>
      <c r="J85" s="8">
        <v>82</v>
      </c>
      <c r="K85" s="8">
        <f>[1]节奏总纲!W85</f>
        <v>19.692772469949659</v>
      </c>
      <c r="L85" s="8">
        <f>[1]节奏总纲!X85</f>
        <v>16.791917654415073</v>
      </c>
      <c r="M85" s="8">
        <f>[1]节奏总纲!Y85</f>
        <v>13.703625969492975</v>
      </c>
      <c r="N85" s="8">
        <f>[1]节奏总纲!Z85</f>
        <v>10.051888511113276</v>
      </c>
      <c r="O85" s="8">
        <f>[1]节奏总纲!AA85</f>
        <v>5.3740481763382633</v>
      </c>
      <c r="Q85" s="8">
        <v>82</v>
      </c>
      <c r="R85" s="8">
        <f>[1]节奏总纲!AD85</f>
        <v>63.743865833385094</v>
      </c>
      <c r="S85" s="8">
        <f>[1]节奏总纲!AE85</f>
        <v>65.762866796429392</v>
      </c>
      <c r="T85" s="8">
        <f>[1]节奏总纲!AF85</f>
        <v>68.664295879423918</v>
      </c>
      <c r="U85" s="8">
        <f>[1]节奏总纲!AG85</f>
        <v>73.176642436293761</v>
      </c>
      <c r="V85" s="8">
        <f>[1]节奏总纲!AH85</f>
        <v>81.770942656017823</v>
      </c>
      <c r="AN85" s="8">
        <v>82</v>
      </c>
      <c r="AO85" s="8">
        <f>[1]节奏总纲!BA85</f>
        <v>36.694672667019191</v>
      </c>
      <c r="AP85" s="8">
        <f>[1]节奏总纲!BB85</f>
        <v>38.194089742081125</v>
      </c>
      <c r="AQ85" s="8">
        <f>[1]节奏总纲!BC85</f>
        <v>40.130145246845366</v>
      </c>
      <c r="AR85" s="8">
        <f>[1]节奏总纲!BD85</f>
        <v>42.861403835978855</v>
      </c>
      <c r="AS85" s="8">
        <f>[1]节奏总纲!BE85</f>
        <v>47.535997393158453</v>
      </c>
    </row>
    <row r="86" spans="2:45" x14ac:dyDescent="0.15">
      <c r="B86" s="8">
        <f>[1]节奏总纲!N86</f>
        <v>93</v>
      </c>
      <c r="C86" s="8">
        <v>83</v>
      </c>
      <c r="D86" s="8">
        <f>[1]节奏总纲!P86</f>
        <v>314.1729698162988</v>
      </c>
      <c r="E86" s="8">
        <f>[1]节奏总纲!Q86</f>
        <v>271.53969781222702</v>
      </c>
      <c r="F86" s="8">
        <f>[1]节奏总纲!R86</f>
        <v>221.55477831445393</v>
      </c>
      <c r="G86" s="8">
        <f>[1]节奏总纲!S86</f>
        <v>161.57915837652246</v>
      </c>
      <c r="H86" s="8">
        <f>[1]节奏总纲!T86</f>
        <v>89.193706130847232</v>
      </c>
      <c r="J86" s="8">
        <v>83</v>
      </c>
      <c r="K86" s="8">
        <f>[1]节奏总纲!W86</f>
        <v>21.106190937058159</v>
      </c>
      <c r="L86" s="8">
        <f>[1]节奏总纲!X86</f>
        <v>18.388614216338937</v>
      </c>
      <c r="M86" s="8">
        <f>[1]节奏总纲!Y86</f>
        <v>15.177152627692664</v>
      </c>
      <c r="N86" s="8">
        <f>[1]节奏总纲!Z86</f>
        <v>10.766993965265243</v>
      </c>
      <c r="O86" s="8">
        <f>[1]节奏总纲!AA86</f>
        <v>5.9627409291428961</v>
      </c>
      <c r="Q86" s="8">
        <v>83</v>
      </c>
      <c r="R86" s="8">
        <f>[1]节奏总纲!AD86</f>
        <v>63.920692243099523</v>
      </c>
      <c r="S86" s="8">
        <f>[1]节奏总纲!AE86</f>
        <v>65.938223839839395</v>
      </c>
      <c r="T86" s="8">
        <f>[1]节奏总纲!AF86</f>
        <v>68.841490236267347</v>
      </c>
      <c r="U86" s="8">
        <f>[1]节奏总纲!AG86</f>
        <v>73.34571267276516</v>
      </c>
      <c r="V86" s="8">
        <f>[1]节奏总纲!AH86</f>
        <v>81.957022119243135</v>
      </c>
      <c r="AN86" s="8">
        <v>83</v>
      </c>
      <c r="AO86" s="8">
        <f>[1]节奏总纲!BA86</f>
        <v>36.778843395654896</v>
      </c>
      <c r="AP86" s="8">
        <f>[1]节奏总纲!BB86</f>
        <v>38.272377899878528</v>
      </c>
      <c r="AQ86" s="8">
        <f>[1]节奏总纲!BC86</f>
        <v>40.207843901678423</v>
      </c>
      <c r="AR86" s="8">
        <f>[1]节奏总纲!BD86</f>
        <v>42.948185723296518</v>
      </c>
      <c r="AS86" s="8">
        <f>[1]节奏总纲!BE86</f>
        <v>47.619147546450023</v>
      </c>
    </row>
    <row r="87" spans="2:45" x14ac:dyDescent="0.15">
      <c r="B87" s="8">
        <f>[1]节奏总纲!N87</f>
        <v>94</v>
      </c>
      <c r="C87" s="8">
        <v>84</v>
      </c>
      <c r="D87" s="8">
        <f>[1]节奏总纲!P87</f>
        <v>336.79402515786086</v>
      </c>
      <c r="E87" s="8">
        <f>[1]节奏总纲!Q87</f>
        <v>291.2594729565181</v>
      </c>
      <c r="F87" s="8">
        <f>[1]节奏总纲!R87</f>
        <v>237.27139072371298</v>
      </c>
      <c r="G87" s="8">
        <f>[1]节奏总纲!S87</f>
        <v>172.97741132107731</v>
      </c>
      <c r="H87" s="8">
        <f>[1]节奏总纲!T87</f>
        <v>95.64950314483248</v>
      </c>
      <c r="J87" s="8">
        <v>84</v>
      </c>
      <c r="K87" s="8">
        <f>[1]节奏总纲!W87</f>
        <v>22.621055341562055</v>
      </c>
      <c r="L87" s="8">
        <f>[1]节奏总纲!X87</f>
        <v>19.719775144291077</v>
      </c>
      <c r="M87" s="8">
        <f>[1]节奏总纲!Y87</f>
        <v>15.716612409259056</v>
      </c>
      <c r="N87" s="8">
        <f>[1]节奏总纲!Z87</f>
        <v>11.398252944554855</v>
      </c>
      <c r="O87" s="8">
        <f>[1]节奏总纲!AA87</f>
        <v>6.4557970139852472</v>
      </c>
      <c r="Q87" s="8">
        <v>84</v>
      </c>
      <c r="R87" s="8">
        <f>[1]节奏总纲!AD87</f>
        <v>64.090988120365651</v>
      </c>
      <c r="S87" s="8">
        <f>[1]节奏总纲!AE87</f>
        <v>66.105889403880397</v>
      </c>
      <c r="T87" s="8">
        <f>[1]节奏总纲!AF87</f>
        <v>69.01697485309198</v>
      </c>
      <c r="U87" s="8">
        <f>[1]节奏总纲!AG87</f>
        <v>73.514782909236544</v>
      </c>
      <c r="V87" s="8">
        <f>[1]节奏总纲!AH87</f>
        <v>82.128973371044353</v>
      </c>
      <c r="AN87" s="8">
        <v>84</v>
      </c>
      <c r="AO87" s="8">
        <f>[1]节奏总纲!BA87</f>
        <v>36.863014124290601</v>
      </c>
      <c r="AP87" s="8">
        <f>[1]节奏总纲!BB87</f>
        <v>38.35066605767593</v>
      </c>
      <c r="AQ87" s="8">
        <f>[1]节奏总纲!BC87</f>
        <v>40.28554255651148</v>
      </c>
      <c r="AR87" s="8">
        <f>[1]节奏总纲!BD87</f>
        <v>43.030177309109042</v>
      </c>
      <c r="AS87" s="8">
        <f>[1]节奏总纲!BE87</f>
        <v>47.7022976997416</v>
      </c>
    </row>
    <row r="88" spans="2:45" x14ac:dyDescent="0.15">
      <c r="B88" s="8">
        <f>[1]节奏总纲!N88</f>
        <v>95</v>
      </c>
      <c r="C88" s="8">
        <v>85</v>
      </c>
      <c r="D88" s="8">
        <f>[1]节奏总纲!P88</f>
        <v>361.0386719675123</v>
      </c>
      <c r="E88" s="8">
        <f>[1]节奏总纲!Q88</f>
        <v>311.72078937675008</v>
      </c>
      <c r="F88" s="8">
        <f>[1]节奏总纲!R88</f>
        <v>253.91849799475142</v>
      </c>
      <c r="G88" s="8">
        <f>[1]节奏总纲!S88</f>
        <v>185.57387739130132</v>
      </c>
      <c r="H88" s="8">
        <f>[1]节奏总纲!T88</f>
        <v>102.53498283877349</v>
      </c>
      <c r="J88" s="8">
        <v>85</v>
      </c>
      <c r="K88" s="8">
        <f>[1]节奏总纲!W88</f>
        <v>24.244646809651442</v>
      </c>
      <c r="L88" s="8">
        <f>[1]节奏总纲!X88</f>
        <v>20.461316420231981</v>
      </c>
      <c r="M88" s="8">
        <f>[1]节奏总纲!Y88</f>
        <v>16.647107271038436</v>
      </c>
      <c r="N88" s="8">
        <f>[1]节奏总纲!Z88</f>
        <v>12.596466070224011</v>
      </c>
      <c r="O88" s="8">
        <f>[1]节奏总纲!AA88</f>
        <v>6.8854796939410079</v>
      </c>
      <c r="Q88" s="8">
        <v>85</v>
      </c>
      <c r="R88" s="8">
        <f>[1]节奏总纲!AD88</f>
        <v>64.255972994404218</v>
      </c>
      <c r="S88" s="8">
        <f>[1]节奏总纲!AE88</f>
        <v>66.269371604948859</v>
      </c>
      <c r="T88" s="8">
        <f>[1]节奏总纲!AF88</f>
        <v>69.17795498031839</v>
      </c>
      <c r="U88" s="8">
        <f>[1]节奏总纲!AG88</f>
        <v>73.683853145707943</v>
      </c>
      <c r="V88" s="8">
        <f>[1]节奏总纲!AH88</f>
        <v>82.296681479091191</v>
      </c>
      <c r="AN88" s="8">
        <v>85</v>
      </c>
      <c r="AO88" s="8">
        <f>[1]节奏总纲!BA88</f>
        <v>36.947184852926306</v>
      </c>
      <c r="AP88" s="8">
        <f>[1]节奏总纲!BB88</f>
        <v>38.428954215473325</v>
      </c>
      <c r="AQ88" s="8">
        <f>[1]节奏总纲!BC88</f>
        <v>40.363241211344537</v>
      </c>
      <c r="AR88" s="8">
        <f>[1]节奏总纲!BD88</f>
        <v>43.105070725978337</v>
      </c>
      <c r="AS88" s="8">
        <f>[1]节奏总纲!BE88</f>
        <v>47.785447853033176</v>
      </c>
    </row>
    <row r="89" spans="2:45" x14ac:dyDescent="0.15">
      <c r="B89" s="8">
        <f>[1]节奏总纲!N89</f>
        <v>96</v>
      </c>
      <c r="C89" s="8">
        <v>86</v>
      </c>
      <c r="D89" s="8">
        <f>[1]节奏总纲!P89</f>
        <v>387.02344102666189</v>
      </c>
      <c r="E89" s="8">
        <f>[1]节奏总纲!Q89</f>
        <v>334.00122960600919</v>
      </c>
      <c r="F89" s="8">
        <f>[1]节奏总纲!R89</f>
        <v>272.23228841815398</v>
      </c>
      <c r="G89" s="8">
        <f>[1]节奏总纲!S89</f>
        <v>199.39447681693619</v>
      </c>
      <c r="H89" s="8">
        <f>[1]节奏总纲!T89</f>
        <v>108.94709864900531</v>
      </c>
      <c r="J89" s="8">
        <v>86</v>
      </c>
      <c r="K89" s="8">
        <f>[1]节奏总纲!W89</f>
        <v>25.984769059149585</v>
      </c>
      <c r="L89" s="8">
        <f>[1]节奏总纲!X89</f>
        <v>22.280440229259113</v>
      </c>
      <c r="M89" s="8">
        <f>[1]节奏总纲!Y89</f>
        <v>18.313790423402565</v>
      </c>
      <c r="N89" s="8">
        <f>[1]节奏总纲!Z89</f>
        <v>13.820599425634867</v>
      </c>
      <c r="O89" s="8">
        <f>[1]节奏总纲!AA89</f>
        <v>6.4121158102318248</v>
      </c>
      <c r="Q89" s="8">
        <v>86</v>
      </c>
      <c r="R89" s="8">
        <f>[1]节奏总纲!AD89</f>
        <v>64.420957868442798</v>
      </c>
      <c r="S89" s="8">
        <f>[1]节奏总纲!AE89</f>
        <v>66.43285380601732</v>
      </c>
      <c r="T89" s="8">
        <f>[1]节奏总纲!AF89</f>
        <v>69.338935107544785</v>
      </c>
      <c r="U89" s="8">
        <f>[1]节奏总纲!AG89</f>
        <v>73.852923382179341</v>
      </c>
      <c r="V89" s="8">
        <f>[1]节奏总纲!AH89</f>
        <v>82.464389587138029</v>
      </c>
      <c r="AN89" s="8">
        <v>86</v>
      </c>
      <c r="AO89" s="8">
        <f>[1]节奏总纲!BA89</f>
        <v>37.027046282459708</v>
      </c>
      <c r="AP89" s="8">
        <f>[1]节奏总纲!BB89</f>
        <v>38.507242373270728</v>
      </c>
      <c r="AQ89" s="8">
        <f>[1]节奏总纲!BC89</f>
        <v>40.440939866177594</v>
      </c>
      <c r="AR89" s="8">
        <f>[1]节奏总纲!BD89</f>
        <v>43.179964142847631</v>
      </c>
      <c r="AS89" s="8">
        <f>[1]节奏总纲!BE89</f>
        <v>47.868598006324753</v>
      </c>
    </row>
    <row r="90" spans="2:45" x14ac:dyDescent="0.15">
      <c r="B90" s="8">
        <f>[1]节奏总纲!N90</f>
        <v>97</v>
      </c>
      <c r="C90" s="8">
        <v>87</v>
      </c>
      <c r="D90" s="8">
        <f>[1]节奏总纲!P90</f>
        <v>414.87322693439216</v>
      </c>
      <c r="E90" s="8">
        <f>[1]节奏总纲!Q90</f>
        <v>358.28451878054108</v>
      </c>
      <c r="F90" s="8">
        <f>[1]节奏总纲!R90</f>
        <v>292.4026503433596</v>
      </c>
      <c r="G90" s="8">
        <f>[1]节奏总纲!S90</f>
        <v>212.58104148118252</v>
      </c>
      <c r="H90" s="8">
        <f>[1]节奏总纲!T90</f>
        <v>115.74963031469542</v>
      </c>
      <c r="J90" s="8">
        <v>87</v>
      </c>
      <c r="K90" s="8">
        <f>[1]节奏总纲!W90</f>
        <v>27.849785907730279</v>
      </c>
      <c r="L90" s="8">
        <f>[1]节奏总纲!X90</f>
        <v>24.283289174531888</v>
      </c>
      <c r="M90" s="8">
        <f>[1]节奏总纲!Y90</f>
        <v>20.170361925205611</v>
      </c>
      <c r="N90" s="8">
        <f>[1]节奏总纲!Z90</f>
        <v>13.186564664246333</v>
      </c>
      <c r="O90" s="8">
        <f>[1]节奏总纲!AA90</f>
        <v>6.8025316656901111</v>
      </c>
      <c r="Q90" s="8">
        <v>87</v>
      </c>
      <c r="R90" s="8">
        <f>[1]节奏总纲!AD90</f>
        <v>64.585942742481365</v>
      </c>
      <c r="S90" s="8">
        <f>[1]节奏总纲!AE90</f>
        <v>66.596336007085796</v>
      </c>
      <c r="T90" s="8">
        <f>[1]节奏总纲!AF90</f>
        <v>69.49991523477118</v>
      </c>
      <c r="U90" s="8">
        <f>[1]节奏总纲!AG90</f>
        <v>74.02050499447661</v>
      </c>
      <c r="V90" s="8">
        <f>[1]节奏总纲!AH90</f>
        <v>82.632097695184868</v>
      </c>
      <c r="AN90" s="8">
        <v>87</v>
      </c>
      <c r="AO90" s="8">
        <f>[1]节奏总纲!BA90</f>
        <v>37.099649155317238</v>
      </c>
      <c r="AP90" s="8">
        <f>[1]节奏总纲!BB90</f>
        <v>38.58553053106813</v>
      </c>
      <c r="AQ90" s="8">
        <f>[1]节奏总纲!BC90</f>
        <v>40.518638521010651</v>
      </c>
      <c r="AR90" s="8">
        <f>[1]节奏总纲!BD90</f>
        <v>43.254857559716925</v>
      </c>
      <c r="AS90" s="8">
        <f>[1]节奏总纲!BE90</f>
        <v>47.951748159616329</v>
      </c>
    </row>
    <row r="91" spans="2:45" x14ac:dyDescent="0.15">
      <c r="B91" s="8">
        <f>[1]节奏总纲!N91</f>
        <v>98</v>
      </c>
      <c r="C91" s="8">
        <v>88</v>
      </c>
      <c r="D91" s="8">
        <f>[1]节奏总纲!P91</f>
        <v>444.72188840761549</v>
      </c>
      <c r="E91" s="8">
        <f>[1]节奏总纲!Q91</f>
        <v>384.7733778502689</v>
      </c>
      <c r="F91" s="8">
        <f>[1]节奏总纲!R91</f>
        <v>312.90632068359827</v>
      </c>
      <c r="G91" s="8">
        <f>[1]节奏总纲!S91</f>
        <v>226.0076636887502</v>
      </c>
      <c r="H91" s="8">
        <f>[1]节奏总纲!T91</f>
        <v>123.1879630889095</v>
      </c>
      <c r="J91" s="8">
        <v>88</v>
      </c>
      <c r="K91" s="8">
        <f>[1]节奏总纲!W91</f>
        <v>29.848661473223331</v>
      </c>
      <c r="L91" s="8">
        <f>[1]节奏总纲!X91</f>
        <v>26.488859069727823</v>
      </c>
      <c r="M91" s="8">
        <f>[1]节奏总纲!Y91</f>
        <v>20.503670340238671</v>
      </c>
      <c r="N91" s="8">
        <f>[1]节奏总纲!Z91</f>
        <v>13.426622207567675</v>
      </c>
      <c r="O91" s="8">
        <f>[1]节奏总纲!AA91</f>
        <v>7.438332774214075</v>
      </c>
      <c r="Q91" s="8">
        <v>88</v>
      </c>
      <c r="R91" s="8">
        <f>[1]节奏总纲!AD91</f>
        <v>64.750927616519931</v>
      </c>
      <c r="S91" s="8">
        <f>[1]节奏总纲!AE91</f>
        <v>66.759818208154257</v>
      </c>
      <c r="T91" s="8">
        <f>[1]节奏总纲!AF91</f>
        <v>69.660895361997589</v>
      </c>
      <c r="U91" s="8">
        <f>[1]节奏总纲!AG91</f>
        <v>74.178131818877702</v>
      </c>
      <c r="V91" s="8">
        <f>[1]节奏总纲!AH91</f>
        <v>82.799805803231706</v>
      </c>
      <c r="AN91" s="8">
        <v>88</v>
      </c>
      <c r="AO91" s="8">
        <f>[1]节奏总纲!BA91</f>
        <v>37.172252028174768</v>
      </c>
      <c r="AP91" s="8">
        <f>[1]节奏总纲!BB91</f>
        <v>38.663818688865533</v>
      </c>
      <c r="AQ91" s="8">
        <f>[1]节奏总纲!BC91</f>
        <v>40.596337175843701</v>
      </c>
      <c r="AR91" s="8">
        <f>[1]节奏总纲!BD91</f>
        <v>43.329750976586219</v>
      </c>
      <c r="AS91" s="8">
        <f>[1]节奏总纲!BE91</f>
        <v>48.030128751164234</v>
      </c>
    </row>
    <row r="92" spans="2:45" x14ac:dyDescent="0.15">
      <c r="B92" s="8">
        <f>[1]节奏总纲!N92</f>
        <v>99</v>
      </c>
      <c r="C92" s="8">
        <v>89</v>
      </c>
      <c r="D92" s="8">
        <f>[1]节奏总纲!P92</f>
        <v>476.71289166684534</v>
      </c>
      <c r="E92" s="8">
        <f>[1]节奏总纲!Q92</f>
        <v>411.78459582182103</v>
      </c>
      <c r="F92" s="8">
        <f>[1]节奏总纲!R92</f>
        <v>332.60258451595797</v>
      </c>
      <c r="G92" s="8">
        <f>[1]节奏总纲!S92</f>
        <v>240.31096868925673</v>
      </c>
      <c r="H92" s="8">
        <f>[1]节奏总纲!T92</f>
        <v>130.61933231671563</v>
      </c>
      <c r="J92" s="8">
        <v>89</v>
      </c>
      <c r="K92" s="8">
        <f>[1]节奏总纲!W92</f>
        <v>31.991003259229842</v>
      </c>
      <c r="L92" s="8">
        <f>[1]节奏总纲!X92</f>
        <v>27.011217971552128</v>
      </c>
      <c r="M92" s="8">
        <f>[1]节奏总纲!Y92</f>
        <v>19.696263832359705</v>
      </c>
      <c r="N92" s="8">
        <f>[1]节奏总纲!Z92</f>
        <v>14.303305000506526</v>
      </c>
      <c r="O92" s="8">
        <f>[1]节奏总纲!AA92</f>
        <v>7.4313692278061296</v>
      </c>
      <c r="Q92" s="8">
        <v>89</v>
      </c>
      <c r="R92" s="8">
        <f>[1]节奏总纲!AD92</f>
        <v>64.915912490558512</v>
      </c>
      <c r="S92" s="8">
        <f>[1]节奏总纲!AE92</f>
        <v>66.923300409222719</v>
      </c>
      <c r="T92" s="8">
        <f>[1]节奏总纲!AF92</f>
        <v>69.821875489223984</v>
      </c>
      <c r="U92" s="8">
        <f>[1]节奏总纲!AG92</f>
        <v>74.335758643278794</v>
      </c>
      <c r="V92" s="8">
        <f>[1]节奏总纲!AH92</f>
        <v>82.967513911278544</v>
      </c>
      <c r="AN92" s="8">
        <v>89</v>
      </c>
      <c r="AO92" s="8">
        <f>[1]节奏总纲!BA92</f>
        <v>37.244854901032298</v>
      </c>
      <c r="AP92" s="8">
        <f>[1]节奏总纲!BB92</f>
        <v>38.742106846662928</v>
      </c>
      <c r="AQ92" s="8">
        <f>[1]节奏总纲!BC92</f>
        <v>40.674035830676758</v>
      </c>
      <c r="AR92" s="8">
        <f>[1]节奏总纲!BD92</f>
        <v>43.404644393455513</v>
      </c>
      <c r="AS92" s="8">
        <f>[1]节奏总纲!BE92</f>
        <v>48.101914750802706</v>
      </c>
    </row>
    <row r="93" spans="2:45" x14ac:dyDescent="0.15">
      <c r="B93" s="8">
        <f>[1]节奏总纲!N93</f>
        <v>100</v>
      </c>
      <c r="C93" s="8">
        <v>90</v>
      </c>
      <c r="D93" s="8">
        <f>[1]节奏总纲!P93</f>
        <v>511</v>
      </c>
      <c r="E93" s="8">
        <f>[1]节奏总纲!Q93</f>
        <v>438.13140000000004</v>
      </c>
      <c r="F93" s="8">
        <f>[1]节奏总纲!R93</f>
        <v>354.12299999999999</v>
      </c>
      <c r="G93" s="8">
        <f>[1]节奏总纲!S93</f>
        <v>254.88680000000002</v>
      </c>
      <c r="H93" s="8">
        <f>[1]节奏总纲!T93</f>
        <v>138.48100000000002</v>
      </c>
      <c r="J93" s="8">
        <v>90</v>
      </c>
      <c r="K93" s="8">
        <f>[1]节奏总纲!W93</f>
        <v>34.287108333154663</v>
      </c>
      <c r="L93" s="8">
        <f>[1]节奏总纲!X93</f>
        <v>26.346804178179013</v>
      </c>
      <c r="M93" s="8">
        <f>[1]节奏总纲!Y93</f>
        <v>21.520415484042019</v>
      </c>
      <c r="N93" s="8">
        <f>[1]节奏总纲!Z93</f>
        <v>14.575831310743297</v>
      </c>
      <c r="O93" s="8">
        <f>[1]节奏总纲!AA93</f>
        <v>7.861667683284395</v>
      </c>
      <c r="Q93" s="8">
        <v>90</v>
      </c>
      <c r="R93" s="8">
        <f>[1]节奏总纲!AD93</f>
        <v>65.075479910097457</v>
      </c>
      <c r="S93" s="8">
        <f>[1]节奏总纲!AE93</f>
        <v>67.083433628014333</v>
      </c>
      <c r="T93" s="8">
        <f>[1]节奏总纲!AF93</f>
        <v>69.982855616450394</v>
      </c>
      <c r="U93" s="8">
        <f>[1]节奏总纲!AG93</f>
        <v>74.493385467679886</v>
      </c>
      <c r="V93" s="8">
        <f>[1]节奏总纲!AH93</f>
        <v>83.124894550960335</v>
      </c>
      <c r="AN93" s="8">
        <v>90</v>
      </c>
      <c r="AO93" s="8">
        <f>[1]节奏总纲!BA93</f>
        <v>37.317457773889828</v>
      </c>
      <c r="AP93" s="8">
        <f>[1]节奏总纲!BB93</f>
        <v>38.82039500446033</v>
      </c>
      <c r="AQ93" s="8">
        <f>[1]节奏总纲!BC93</f>
        <v>40.751734485509814</v>
      </c>
      <c r="AR93" s="8">
        <f>[1]节奏总纲!BD93</f>
        <v>43.479537810324807</v>
      </c>
      <c r="AS93" s="8">
        <f>[1]节奏总纲!BE93</f>
        <v>48.173700750441178</v>
      </c>
    </row>
    <row r="94" spans="2:45" x14ac:dyDescent="0.15">
      <c r="B94" s="8">
        <f>[1]节奏总纲!N94</f>
        <v>101</v>
      </c>
      <c r="C94" s="8">
        <v>91</v>
      </c>
      <c r="D94" s="8">
        <f>[1]节奏总纲!P94</f>
        <v>547.74801281858208</v>
      </c>
      <c r="E94" s="8">
        <f>[1]节奏总纲!Q94</f>
        <v>469.6391461906523</v>
      </c>
      <c r="F94" s="8">
        <f>[1]节奏总纲!R94</f>
        <v>378.43910205635837</v>
      </c>
      <c r="G94" s="8">
        <f>[1]节奏总纲!S94</f>
        <v>272.61418597980827</v>
      </c>
      <c r="H94" s="8">
        <f>[1]节奏总纲!T94</f>
        <v>147.89196346101718</v>
      </c>
      <c r="J94" s="8">
        <v>91</v>
      </c>
      <c r="K94" s="8">
        <f>[1]节奏总纲!W94</f>
        <v>36.748012818582083</v>
      </c>
      <c r="L94" s="8">
        <f>[1]节奏总纲!X94</f>
        <v>31.507746190652256</v>
      </c>
      <c r="M94" s="8">
        <f>[1]节奏总纲!Y94</f>
        <v>24.316102056358375</v>
      </c>
      <c r="N94" s="8">
        <f>[1]节奏总纲!Z94</f>
        <v>17.727385979808247</v>
      </c>
      <c r="O94" s="8">
        <f>[1]节奏总纲!AA94</f>
        <v>9.4109634610171611</v>
      </c>
      <c r="Q94" s="8">
        <v>91</v>
      </c>
      <c r="R94" s="8">
        <f>[1]节奏总纲!AD94</f>
        <v>65.229416240679981</v>
      </c>
      <c r="S94" s="8">
        <f>[1]节奏总纲!AE94</f>
        <v>67.240606973055961</v>
      </c>
      <c r="T94" s="8">
        <f>[1]节奏总纲!AF94</f>
        <v>70.137942795989005</v>
      </c>
      <c r="U94" s="8">
        <f>[1]节奏总纲!AG94</f>
        <v>74.651012292080978</v>
      </c>
      <c r="V94" s="8">
        <f>[1]节奏总纲!AH94</f>
        <v>83.279794092850153</v>
      </c>
      <c r="AN94" s="8">
        <v>91</v>
      </c>
      <c r="AO94" s="8">
        <f>[1]节奏总纲!BA94</f>
        <v>37.390060646747358</v>
      </c>
      <c r="AP94" s="8">
        <f>[1]节奏总纲!BB94</f>
        <v>38.898683162257733</v>
      </c>
      <c r="AQ94" s="8">
        <f>[1]节奏总纲!BC94</f>
        <v>40.829433140342871</v>
      </c>
      <c r="AR94" s="8">
        <f>[1]节奏总纲!BD94</f>
        <v>43.554431227194108</v>
      </c>
      <c r="AS94" s="8">
        <f>[1]节奏总纲!BE94</f>
        <v>48.24548675007965</v>
      </c>
    </row>
    <row r="95" spans="2:45" x14ac:dyDescent="0.15">
      <c r="B95" s="8">
        <f>[1]节奏总纲!N95</f>
        <v>102</v>
      </c>
      <c r="C95" s="8">
        <v>92</v>
      </c>
      <c r="D95" s="8">
        <f>[1]节奏总纲!P95</f>
        <v>587.1335577584814</v>
      </c>
      <c r="E95" s="8">
        <f>[1]节奏总纲!Q95</f>
        <v>502.29275866238083</v>
      </c>
      <c r="F95" s="8">
        <f>[1]节奏总纲!R95</f>
        <v>405.12215485335213</v>
      </c>
      <c r="G95" s="8">
        <f>[1]节奏总纲!S95</f>
        <v>291.57052478286187</v>
      </c>
      <c r="H95" s="8">
        <f>[1]节奏总纲!T95</f>
        <v>157.64536025815227</v>
      </c>
      <c r="J95" s="8">
        <v>92</v>
      </c>
      <c r="K95" s="8">
        <f>[1]节奏总纲!W95</f>
        <v>39.385544939899319</v>
      </c>
      <c r="L95" s="8">
        <f>[1]节奏总纲!X95</f>
        <v>32.653612471728536</v>
      </c>
      <c r="M95" s="8">
        <f>[1]节奏总纲!Y95</f>
        <v>26.683052796993763</v>
      </c>
      <c r="N95" s="8">
        <f>[1]节奏总纲!Z95</f>
        <v>18.956338803053598</v>
      </c>
      <c r="O95" s="8">
        <f>[1]节奏总纲!AA95</f>
        <v>9.7533967971350819</v>
      </c>
      <c r="Q95" s="8">
        <v>92</v>
      </c>
      <c r="R95" s="8">
        <f>[1]节奏总纲!AD95</f>
        <v>65.38335257126252</v>
      </c>
      <c r="S95" s="8">
        <f>[1]节奏总纲!AE95</f>
        <v>67.397780318097588</v>
      </c>
      <c r="T95" s="8">
        <f>[1]节奏总纲!AF95</f>
        <v>70.292327570459079</v>
      </c>
      <c r="U95" s="8">
        <f>[1]节奏总纲!AG95</f>
        <v>74.808639116482055</v>
      </c>
      <c r="V95" s="8">
        <f>[1]节奏总纲!AH95</f>
        <v>83.434693634739986</v>
      </c>
      <c r="AN95" s="8">
        <v>92</v>
      </c>
      <c r="AO95" s="8">
        <f>[1]节奏总纲!BA95</f>
        <v>37.462663519604888</v>
      </c>
      <c r="AP95" s="8">
        <f>[1]节奏总纲!BB95</f>
        <v>38.976971320055128</v>
      </c>
      <c r="AQ95" s="8">
        <f>[1]节奏总纲!BC95</f>
        <v>40.907131795175928</v>
      </c>
      <c r="AR95" s="8">
        <f>[1]节奏总纲!BD95</f>
        <v>43.629324644063402</v>
      </c>
      <c r="AS95" s="8">
        <f>[1]节奏总纲!BE95</f>
        <v>48.317272749718121</v>
      </c>
    </row>
    <row r="96" spans="2:45" x14ac:dyDescent="0.15">
      <c r="B96" s="8">
        <f>[1]节奏总纲!N96</f>
        <v>103</v>
      </c>
      <c r="C96" s="8">
        <v>93</v>
      </c>
      <c r="D96" s="8">
        <f>[1]节奏总纲!P96</f>
        <v>629.34593963259704</v>
      </c>
      <c r="E96" s="8">
        <f>[1]节奏总纲!Q96</f>
        <v>538.34251676172357</v>
      </c>
      <c r="F96" s="8">
        <f>[1]节奏总纲!R96</f>
        <v>433.68228700082267</v>
      </c>
      <c r="G96" s="8">
        <f>[1]节奏总纲!S96</f>
        <v>311.52624011813555</v>
      </c>
      <c r="H96" s="8">
        <f>[1]节奏总纲!T96</f>
        <v>168.35003885171972</v>
      </c>
      <c r="J96" s="8">
        <v>93</v>
      </c>
      <c r="K96" s="8">
        <f>[1]节奏总纲!W96</f>
        <v>42.212381874115636</v>
      </c>
      <c r="L96" s="8">
        <f>[1]节奏总纲!X96</f>
        <v>36.049758099342739</v>
      </c>
      <c r="M96" s="8">
        <f>[1]节奏总纲!Y96</f>
        <v>28.56013214747054</v>
      </c>
      <c r="N96" s="8">
        <f>[1]节奏总纲!Z96</f>
        <v>19.95571533527368</v>
      </c>
      <c r="O96" s="8">
        <f>[1]节奏总纲!AA96</f>
        <v>10.704678593567451</v>
      </c>
      <c r="Q96" s="8">
        <v>93</v>
      </c>
      <c r="R96" s="8">
        <f>[1]节奏总纲!AD96</f>
        <v>65.537288901845059</v>
      </c>
      <c r="S96" s="8">
        <f>[1]节奏总纲!AE96</f>
        <v>67.554953663139216</v>
      </c>
      <c r="T96" s="8">
        <f>[1]节奏总纲!AF96</f>
        <v>70.446712344929153</v>
      </c>
      <c r="U96" s="8">
        <f>[1]节奏总纲!AG96</f>
        <v>74.966265940883147</v>
      </c>
      <c r="V96" s="8">
        <f>[1]节奏总纲!AH96</f>
        <v>83.589593176629805</v>
      </c>
      <c r="AN96" s="8">
        <v>93</v>
      </c>
      <c r="AO96" s="8">
        <f>[1]节奏总纲!BA96</f>
        <v>37.535266392462418</v>
      </c>
      <c r="AP96" s="8">
        <f>[1]节奏总纲!BB96</f>
        <v>39.047673544184711</v>
      </c>
      <c r="AQ96" s="8">
        <f>[1]节奏总纲!BC96</f>
        <v>40.984830450008985</v>
      </c>
      <c r="AR96" s="8">
        <f>[1]节奏总纲!BD96</f>
        <v>43.704218060932696</v>
      </c>
      <c r="AS96" s="8">
        <f>[1]节奏总纲!BE96</f>
        <v>48.389058749356593</v>
      </c>
    </row>
    <row r="97" spans="2:45" x14ac:dyDescent="0.15">
      <c r="B97" s="8">
        <f>[1]节奏总纲!N97</f>
        <v>104</v>
      </c>
      <c r="C97" s="8">
        <v>94</v>
      </c>
      <c r="D97" s="8">
        <f>[1]节奏总纲!P97</f>
        <v>674.58805031572183</v>
      </c>
      <c r="E97" s="8">
        <f>[1]节奏总纲!Q97</f>
        <v>576.30057138472114</v>
      </c>
      <c r="F97" s="8">
        <f>[1]节奏总纲!R97</f>
        <v>464.04911981218504</v>
      </c>
      <c r="G97" s="8">
        <f>[1]节奏总纲!S97</f>
        <v>332.70682641571403</v>
      </c>
      <c r="H97" s="8">
        <f>[1]节奏总纲!T97</f>
        <v>179.6427977990767</v>
      </c>
      <c r="J97" s="8">
        <v>94</v>
      </c>
      <c r="K97" s="8">
        <f>[1]节奏总纲!W97</f>
        <v>45.242110683124793</v>
      </c>
      <c r="L97" s="8">
        <f>[1]节奏总纲!X97</f>
        <v>37.958054622997565</v>
      </c>
      <c r="M97" s="8">
        <f>[1]节奏总纲!Y97</f>
        <v>30.366832811362372</v>
      </c>
      <c r="N97" s="8">
        <f>[1]节奏总纲!Z97</f>
        <v>21.180586297578486</v>
      </c>
      <c r="O97" s="8">
        <f>[1]节奏总纲!AA97</f>
        <v>11.292758947356987</v>
      </c>
      <c r="Q97" s="8">
        <v>94</v>
      </c>
      <c r="R97" s="8">
        <f>[1]节奏总纲!AD97</f>
        <v>65.691225232427584</v>
      </c>
      <c r="S97" s="8">
        <f>[1]节奏总纲!AE97</f>
        <v>67.712127008180858</v>
      </c>
      <c r="T97" s="8">
        <f>[1]节奏总纲!AF97</f>
        <v>70.601097119399213</v>
      </c>
      <c r="U97" s="8">
        <f>[1]节奏总纲!AG97</f>
        <v>75.115180559621535</v>
      </c>
      <c r="V97" s="8">
        <f>[1]节奏总纲!AH97</f>
        <v>83.744492718519624</v>
      </c>
      <c r="AN97" s="8">
        <v>94</v>
      </c>
      <c r="AO97" s="8">
        <f>[1]节奏总纲!BA97</f>
        <v>37.607869265319941</v>
      </c>
      <c r="AP97" s="8">
        <f>[1]节奏总纲!BB97</f>
        <v>39.115214427575864</v>
      </c>
      <c r="AQ97" s="8">
        <f>[1]节奏总纲!BC97</f>
        <v>41.053954370816207</v>
      </c>
      <c r="AR97" s="8">
        <f>[1]节奏总纲!BD97</f>
        <v>43.77911147780199</v>
      </c>
      <c r="AS97" s="8">
        <f>[1]节奏总纲!BE97</f>
        <v>48.460844748995065</v>
      </c>
    </row>
    <row r="98" spans="2:45" x14ac:dyDescent="0.15">
      <c r="B98" s="8">
        <f>[1]节奏总纲!N98</f>
        <v>105</v>
      </c>
      <c r="C98" s="8">
        <v>95</v>
      </c>
      <c r="D98" s="8">
        <f>[1]节奏总纲!P98</f>
        <v>723.0773439350246</v>
      </c>
      <c r="E98" s="8">
        <f>[1]节奏总纲!Q98</f>
        <v>618.15882133005255</v>
      </c>
      <c r="F98" s="8">
        <f>[1]节奏总纲!R98</f>
        <v>495.95875020503337</v>
      </c>
      <c r="G98" s="8">
        <f>[1]节奏总纲!S98</f>
        <v>355.39251454406457</v>
      </c>
      <c r="H98" s="8">
        <f>[1]节奏总纲!T98</f>
        <v>192.84472762747106</v>
      </c>
      <c r="J98" s="8">
        <v>95</v>
      </c>
      <c r="K98" s="8">
        <f>[1]节奏总纲!W98</f>
        <v>48.489293619302771</v>
      </c>
      <c r="L98" s="8">
        <f>[1]节奏总纲!X98</f>
        <v>41.858249945331409</v>
      </c>
      <c r="M98" s="8">
        <f>[1]节奏总纲!Y98</f>
        <v>31.909630392848328</v>
      </c>
      <c r="N98" s="8">
        <f>[1]节奏总纲!Z98</f>
        <v>22.685688128350534</v>
      </c>
      <c r="O98" s="8">
        <f>[1]节奏总纲!AA98</f>
        <v>13.201929828394356</v>
      </c>
      <c r="Q98" s="8">
        <v>95</v>
      </c>
      <c r="R98" s="8">
        <f>[1]节奏总纲!AD98</f>
        <v>65.845161563010123</v>
      </c>
      <c r="S98" s="8">
        <f>[1]节奏总纲!AE98</f>
        <v>67.869300353222485</v>
      </c>
      <c r="T98" s="8">
        <f>[1]节奏总纲!AF98</f>
        <v>70.755481893869288</v>
      </c>
      <c r="U98" s="8">
        <f>[1]节奏总纲!AG98</f>
        <v>75.261722981240993</v>
      </c>
      <c r="V98" s="8">
        <f>[1]节奏总纲!AH98</f>
        <v>83.899392260409456</v>
      </c>
      <c r="AN98" s="8">
        <v>95</v>
      </c>
      <c r="AO98" s="8">
        <f>[1]节奏总纲!BA98</f>
        <v>37.680472138177471</v>
      </c>
      <c r="AP98" s="8">
        <f>[1]节奏总纲!BB98</f>
        <v>39.182755310967018</v>
      </c>
      <c r="AQ98" s="8">
        <f>[1]节奏总纲!BC98</f>
        <v>41.120998062635785</v>
      </c>
      <c r="AR98" s="8">
        <f>[1]节奏总纲!BD98</f>
        <v>43.854004894671284</v>
      </c>
      <c r="AS98" s="8">
        <f>[1]节奏总纲!BE98</f>
        <v>48.532630748633537</v>
      </c>
    </row>
    <row r="99" spans="2:45" x14ac:dyDescent="0.15">
      <c r="B99" s="8">
        <f>[1]节奏总纲!N99</f>
        <v>106</v>
      </c>
      <c r="C99" s="8">
        <v>96</v>
      </c>
      <c r="D99" s="8">
        <f>[1]节奏总纲!P99</f>
        <v>775.04688205332377</v>
      </c>
      <c r="E99" s="8">
        <f>[1]节奏总纲!Q99</f>
        <v>661.0374857032798</v>
      </c>
      <c r="F99" s="8">
        <f>[1]节奏总纲!R99</f>
        <v>529.97705794806279</v>
      </c>
      <c r="G99" s="8">
        <f>[1]节奏总纲!S99</f>
        <v>380.70302846459265</v>
      </c>
      <c r="H99" s="8">
        <f>[1]节奏总纲!T99</f>
        <v>206.86001282003213</v>
      </c>
      <c r="J99" s="8">
        <v>96</v>
      </c>
      <c r="K99" s="8">
        <f>[1]节奏总纲!W99</f>
        <v>51.96953811829917</v>
      </c>
      <c r="L99" s="8">
        <f>[1]节奏总纲!X99</f>
        <v>42.878664373227252</v>
      </c>
      <c r="M99" s="8">
        <f>[1]节奏总纲!Y99</f>
        <v>34.018307743029425</v>
      </c>
      <c r="N99" s="8">
        <f>[1]节奏总纲!Z99</f>
        <v>25.310513920528081</v>
      </c>
      <c r="O99" s="8">
        <f>[1]节奏总纲!AA99</f>
        <v>14.015285192561066</v>
      </c>
      <c r="Q99" s="8">
        <v>96</v>
      </c>
      <c r="R99" s="8">
        <f>[1]节奏总纲!AD99</f>
        <v>65.999097893592648</v>
      </c>
      <c r="S99" s="8">
        <f>[1]节奏总纲!AE99</f>
        <v>68.025215371037646</v>
      </c>
      <c r="T99" s="8">
        <f>[1]节奏总纲!AF99</f>
        <v>70.909866668339362</v>
      </c>
      <c r="U99" s="8">
        <f>[1]节奏总纲!AG99</f>
        <v>75.408265402860437</v>
      </c>
      <c r="V99" s="8">
        <f>[1]节奏总纲!AH99</f>
        <v>84.050903767166133</v>
      </c>
      <c r="AN99" s="8">
        <v>96</v>
      </c>
      <c r="AO99" s="8">
        <f>[1]节奏总纲!BA99</f>
        <v>37.753075011035001</v>
      </c>
      <c r="AP99" s="8">
        <f>[1]节奏总纲!BB99</f>
        <v>39.250296194358178</v>
      </c>
      <c r="AQ99" s="8">
        <f>[1]节奏总纲!BC99</f>
        <v>41.188041754455355</v>
      </c>
      <c r="AR99" s="8">
        <f>[1]节奏总纲!BD99</f>
        <v>43.928898311540578</v>
      </c>
      <c r="AS99" s="8">
        <f>[1]节奏总纲!BE99</f>
        <v>48.604416748272008</v>
      </c>
    </row>
    <row r="100" spans="2:45" x14ac:dyDescent="0.15">
      <c r="B100" s="8">
        <f>[1]节奏总纲!N100</f>
        <v>107</v>
      </c>
      <c r="C100" s="8">
        <v>97</v>
      </c>
      <c r="D100" s="8">
        <f>[1]节奏总纲!P100</f>
        <v>830.74645386878444</v>
      </c>
      <c r="E100" s="8">
        <f>[1]节奏总纲!Q100</f>
        <v>707.71290405081743</v>
      </c>
      <c r="F100" s="8">
        <f>[1]节奏总纲!R100</f>
        <v>569.31054483627804</v>
      </c>
      <c r="G100" s="8">
        <f>[1]节奏总纲!S100</f>
        <v>409.80722569347137</v>
      </c>
      <c r="H100" s="8">
        <f>[1]节奏总纲!T100</f>
        <v>223.30464679992923</v>
      </c>
      <c r="J100" s="8">
        <v>97</v>
      </c>
      <c r="K100" s="8">
        <f>[1]节奏总纲!W100</f>
        <v>55.699571815460672</v>
      </c>
      <c r="L100" s="8">
        <f>[1]节奏总纲!X100</f>
        <v>46.675418347537629</v>
      </c>
      <c r="M100" s="8">
        <f>[1]节奏总纲!Y100</f>
        <v>39.333486888215248</v>
      </c>
      <c r="N100" s="8">
        <f>[1]节奏总纲!Z100</f>
        <v>29.104197228878718</v>
      </c>
      <c r="O100" s="8">
        <f>[1]节奏总纲!AA100</f>
        <v>16.444633979897105</v>
      </c>
      <c r="Q100" s="8">
        <v>97</v>
      </c>
      <c r="R100" s="8">
        <f>[1]节奏总纲!AD100</f>
        <v>66.142785979989682</v>
      </c>
      <c r="S100" s="8">
        <f>[1]节奏总纲!AE100</f>
        <v>68.174918074940805</v>
      </c>
      <c r="T100" s="8">
        <f>[1]节奏总纲!AF100</f>
        <v>71.061795050376986</v>
      </c>
      <c r="U100" s="8">
        <f>[1]节奏总纲!AG100</f>
        <v>75.554807824479894</v>
      </c>
      <c r="V100" s="8">
        <f>[1]节奏总纲!AH100</f>
        <v>84.196136930932482</v>
      </c>
      <c r="AN100" s="8">
        <v>97</v>
      </c>
      <c r="AO100" s="8">
        <f>[1]节奏总纲!BA100</f>
        <v>37.825677883892531</v>
      </c>
      <c r="AP100" s="8">
        <f>[1]节奏总纲!BB100</f>
        <v>39.317837077749331</v>
      </c>
      <c r="AQ100" s="8">
        <f>[1]节奏总纲!BC100</f>
        <v>41.255085446274933</v>
      </c>
      <c r="AR100" s="8">
        <f>[1]节奏总纲!BD100</f>
        <v>44.003272544984547</v>
      </c>
      <c r="AS100" s="8">
        <f>[1]节奏总纲!BE100</f>
        <v>48.67620274791048</v>
      </c>
    </row>
    <row r="101" spans="2:45" x14ac:dyDescent="0.15">
      <c r="B101" s="8">
        <f>[1]节奏总纲!N101</f>
        <v>108</v>
      </c>
      <c r="C101" s="8">
        <v>98</v>
      </c>
      <c r="D101" s="8">
        <f>[1]节奏总纲!P101</f>
        <v>890.4437768152311</v>
      </c>
      <c r="E101" s="8">
        <f>[1]节奏总纲!Q101</f>
        <v>760.34994102252585</v>
      </c>
      <c r="F101" s="8">
        <f>[1]节奏总纲!R101</f>
        <v>612.98149595960513</v>
      </c>
      <c r="G101" s="8">
        <f>[1]节奏总纲!S101</f>
        <v>441.9272464333992</v>
      </c>
      <c r="H101" s="8">
        <f>[1]节奏总纲!T101</f>
        <v>240.77599725083846</v>
      </c>
      <c r="J101" s="8">
        <v>98</v>
      </c>
      <c r="K101" s="8">
        <f>[1]节奏总纲!W101</f>
        <v>59.697322946446661</v>
      </c>
      <c r="L101" s="8">
        <f>[1]节奏总纲!X101</f>
        <v>52.637036971708426</v>
      </c>
      <c r="M101" s="8">
        <f>[1]节奏总纲!Y101</f>
        <v>43.670951123327086</v>
      </c>
      <c r="N101" s="8">
        <f>[1]节奏总纲!Z101</f>
        <v>32.120020739927838</v>
      </c>
      <c r="O101" s="8">
        <f>[1]节奏总纲!AA101</f>
        <v>17.471350450909227</v>
      </c>
      <c r="Q101" s="8">
        <v>98</v>
      </c>
      <c r="R101" s="8">
        <f>[1]节奏总纲!AD101</f>
        <v>66.286413655019302</v>
      </c>
      <c r="S101" s="8">
        <f>[1]节奏总纲!AE101</f>
        <v>68.324620778843951</v>
      </c>
      <c r="T101" s="8">
        <f>[1]节奏总纲!AF101</f>
        <v>71.210277551293188</v>
      </c>
      <c r="U101" s="8">
        <f>[1]节奏总纲!AG101</f>
        <v>75.701350246099338</v>
      </c>
      <c r="V101" s="8">
        <f>[1]节奏总纲!AH101</f>
        <v>84.341370094698831</v>
      </c>
      <c r="AN101" s="8">
        <v>98</v>
      </c>
      <c r="AO101" s="8">
        <f>[1]节奏总纲!BA101</f>
        <v>37.898280756750061</v>
      </c>
      <c r="AP101" s="8">
        <f>[1]节奏总纲!BB101</f>
        <v>39.385377961140485</v>
      </c>
      <c r="AQ101" s="8">
        <f>[1]节奏总纲!BC101</f>
        <v>41.322129138094503</v>
      </c>
      <c r="AR101" s="8">
        <f>[1]节奏总纲!BD101</f>
        <v>44.067911160744309</v>
      </c>
      <c r="AS101" s="8">
        <f>[1]节奏总纲!BE101</f>
        <v>48.747988747548945</v>
      </c>
    </row>
    <row r="102" spans="2:45" x14ac:dyDescent="0.15">
      <c r="B102" s="8">
        <f>[1]节奏总纲!N102</f>
        <v>109</v>
      </c>
      <c r="C102" s="8">
        <v>99</v>
      </c>
      <c r="D102" s="8">
        <f>[1]节奏总纲!P102</f>
        <v>954.42578333369079</v>
      </c>
      <c r="E102" s="8">
        <f>[1]节奏总纲!Q102</f>
        <v>816.51125764197252</v>
      </c>
      <c r="F102" s="8">
        <f>[1]节奏总纲!R102</f>
        <v>658.6492330785801</v>
      </c>
      <c r="G102" s="8">
        <f>[1]节奏总纲!S102</f>
        <v>475.39948267851139</v>
      </c>
      <c r="H102" s="8">
        <f>[1]节奏总纲!T102</f>
        <v>257.59951892176309</v>
      </c>
      <c r="J102" s="8">
        <v>99</v>
      </c>
      <c r="K102" s="8">
        <f>[1]节奏总纲!W102</f>
        <v>63.982006518459684</v>
      </c>
      <c r="L102" s="8">
        <f>[1]节奏总纲!X102</f>
        <v>56.161316619446666</v>
      </c>
      <c r="M102" s="8">
        <f>[1]节奏总纲!Y102</f>
        <v>45.667737118974969</v>
      </c>
      <c r="N102" s="8">
        <f>[1]节奏总纲!Z102</f>
        <v>33.472236245112185</v>
      </c>
      <c r="O102" s="8">
        <f>[1]节奏总纲!AA102</f>
        <v>16.823521670924634</v>
      </c>
      <c r="Q102" s="8">
        <v>99</v>
      </c>
      <c r="R102" s="8">
        <f>[1]节奏总纲!AD102</f>
        <v>66.430041330048923</v>
      </c>
      <c r="S102" s="8">
        <f>[1]节奏总纲!AE102</f>
        <v>68.474323482747096</v>
      </c>
      <c r="T102" s="8">
        <f>[1]节奏总纲!AF102</f>
        <v>71.358760052209377</v>
      </c>
      <c r="U102" s="8">
        <f>[1]节奏总纲!AG102</f>
        <v>75.847892667718796</v>
      </c>
      <c r="V102" s="8">
        <f>[1]节奏总纲!AH102</f>
        <v>84.48660325846518</v>
      </c>
      <c r="AN102" s="8">
        <v>99</v>
      </c>
      <c r="AO102" s="8">
        <f>[1]节奏总纲!BA102</f>
        <v>37.970883629607592</v>
      </c>
      <c r="AP102" s="8">
        <f>[1]节奏总纲!BB102</f>
        <v>39.452918844531645</v>
      </c>
      <c r="AQ102" s="8">
        <f>[1]节奏总纲!BC102</f>
        <v>41.389172829914081</v>
      </c>
      <c r="AR102" s="8">
        <f>[1]节奏总纲!BD102</f>
        <v>44.132549776504064</v>
      </c>
      <c r="AS102" s="8">
        <f>[1]节奏总纲!BE102</f>
        <v>48.819774747187417</v>
      </c>
    </row>
    <row r="103" spans="2:45" x14ac:dyDescent="0.15">
      <c r="B103" s="8">
        <f>[1]节奏总纲!N103</f>
        <v>110</v>
      </c>
      <c r="C103" s="8">
        <v>100</v>
      </c>
      <c r="D103" s="8">
        <f>[1]节奏总纲!P103</f>
        <v>1023</v>
      </c>
      <c r="E103" s="8">
        <f>[1]节奏总纲!Q103</f>
        <v>875.38110000000006</v>
      </c>
      <c r="F103" s="8">
        <f>[1]节奏总纲!R103</f>
        <v>706.6884</v>
      </c>
      <c r="G103" s="8">
        <f>[1]节奏总纲!S103</f>
        <v>508.22640000000001</v>
      </c>
      <c r="H103" s="8">
        <f>[1]节奏总纲!T103</f>
        <v>274.77780000000001</v>
      </c>
      <c r="J103" s="8">
        <v>100</v>
      </c>
      <c r="K103" s="8">
        <f>[1]节奏总纲!W103</f>
        <v>68.574216666309212</v>
      </c>
      <c r="L103" s="8">
        <f>[1]节奏总纲!X103</f>
        <v>58.86984235802754</v>
      </c>
      <c r="M103" s="8">
        <f>[1]节奏总纲!Y103</f>
        <v>48.039166921419906</v>
      </c>
      <c r="N103" s="8">
        <f>[1]节奏总纲!Z103</f>
        <v>32.826917321488622</v>
      </c>
      <c r="O103" s="8">
        <f>[1]节奏总纲!AA103</f>
        <v>17.178281078236921</v>
      </c>
      <c r="Q103" s="8">
        <v>100</v>
      </c>
      <c r="R103" s="8">
        <f>[1]节奏总纲!AD103</f>
        <v>66.573669005078543</v>
      </c>
      <c r="S103" s="8">
        <f>[1]节奏总纲!AE103</f>
        <v>68.624026186650241</v>
      </c>
      <c r="T103" s="8">
        <f>[1]节奏总纲!AF103</f>
        <v>71.507242553125565</v>
      </c>
      <c r="U103" s="8">
        <f>[1]节奏总纲!AG103</f>
        <v>75.994435089338239</v>
      </c>
      <c r="V103" s="8">
        <f>[1]节奏总纲!AH103</f>
        <v>84.63183642223153</v>
      </c>
      <c r="AN103" s="8">
        <v>100</v>
      </c>
      <c r="AO103" s="8">
        <f>[1]节奏总纲!BA103</f>
        <v>38.037513426486328</v>
      </c>
      <c r="AP103" s="8">
        <f>[1]节奏总纲!BB103</f>
        <v>39.520459727922798</v>
      </c>
      <c r="AQ103" s="8">
        <f>[1]节奏总纲!BC103</f>
        <v>41.456216521733651</v>
      </c>
      <c r="AR103" s="8">
        <f>[1]节奏总纲!BD103</f>
        <v>44.197188392263818</v>
      </c>
      <c r="AS103" s="8">
        <f>[1]节奏总纲!BE103</f>
        <v>48.891560746825888</v>
      </c>
    </row>
    <row r="104" spans="2:45" x14ac:dyDescent="0.15">
      <c r="B104" s="8">
        <f>[1]节奏总纲!N104</f>
        <v>111</v>
      </c>
      <c r="C104" s="8">
        <v>101</v>
      </c>
      <c r="D104" s="8">
        <f>[1]节奏总纲!P104</f>
        <v>1096.4960256371633</v>
      </c>
      <c r="E104" s="8">
        <f>[1]节奏总纲!Q104</f>
        <v>939.14884595823037</v>
      </c>
      <c r="F104" s="8">
        <f>[1]节奏总纲!R104</f>
        <v>756.25330888195151</v>
      </c>
      <c r="G104" s="8">
        <f>[1]节奏总纲!S104</f>
        <v>541.99798547244984</v>
      </c>
      <c r="H104" s="8">
        <f>[1]节奏总纲!T104</f>
        <v>293.42233646050488</v>
      </c>
      <c r="J104" s="8">
        <v>101</v>
      </c>
      <c r="K104" s="8">
        <f>[1]节奏总纲!W104</f>
        <v>73.496025637163257</v>
      </c>
      <c r="L104" s="8">
        <f>[1]节奏总纲!X104</f>
        <v>63.767745958230307</v>
      </c>
      <c r="M104" s="8">
        <f>[1]节奏总纲!Y104</f>
        <v>49.56490888195151</v>
      </c>
      <c r="N104" s="8">
        <f>[1]节奏总纲!Z104</f>
        <v>33.771585472449829</v>
      </c>
      <c r="O104" s="8">
        <f>[1]节奏总纲!AA104</f>
        <v>18.644536460504867</v>
      </c>
      <c r="Q104" s="8">
        <v>101</v>
      </c>
      <c r="R104" s="8">
        <f>[1]节奏总纲!AD104</f>
        <v>66.717296680108163</v>
      </c>
      <c r="S104" s="8">
        <f>[1]节奏总纲!AE104</f>
        <v>68.773728890553386</v>
      </c>
      <c r="T104" s="8">
        <f>[1]节奏总纲!AF104</f>
        <v>71.655725054041767</v>
      </c>
      <c r="U104" s="8">
        <f>[1]节奏总纲!AG104</f>
        <v>76.130305911210229</v>
      </c>
      <c r="V104" s="8">
        <f>[1]节奏总纲!AH104</f>
        <v>84.777069585997879</v>
      </c>
      <c r="AN104" s="8">
        <v>101</v>
      </c>
      <c r="AO104" s="8">
        <f>[1]节奏总纲!BA104</f>
        <v>38.100143952724252</v>
      </c>
      <c r="AP104" s="8">
        <f>[1]节奏总纲!BB104</f>
        <v>39.588000611313952</v>
      </c>
      <c r="AQ104" s="8">
        <f>[1]节奏总纲!BC104</f>
        <v>41.523260213553229</v>
      </c>
      <c r="AR104" s="8">
        <f>[1]节奏总纲!BD104</f>
        <v>44.261827008023573</v>
      </c>
      <c r="AS104" s="8">
        <f>[1]节奏总纲!BE104</f>
        <v>48.96334674646436</v>
      </c>
    </row>
    <row r="105" spans="2:45" x14ac:dyDescent="0.15">
      <c r="B105" s="8">
        <f>[1]节奏总纲!N105</f>
        <v>112</v>
      </c>
      <c r="C105" s="8">
        <v>102</v>
      </c>
      <c r="D105" s="8">
        <f>[1]节奏总纲!P105</f>
        <v>1175.2671155169628</v>
      </c>
      <c r="E105" s="8">
        <f>[1]节奏总纲!Q105</f>
        <v>1004.2657502092447</v>
      </c>
      <c r="F105" s="8">
        <f>[1]节奏总纲!R105</f>
        <v>806.23324124463659</v>
      </c>
      <c r="G105" s="8">
        <f>[1]节奏总纲!S105</f>
        <v>577.99636741124232</v>
      </c>
      <c r="H105" s="8">
        <f>[1]节奏总纲!T105</f>
        <v>313.56126641992563</v>
      </c>
      <c r="J105" s="8">
        <v>102</v>
      </c>
      <c r="K105" s="8">
        <f>[1]节奏总纲!W105</f>
        <v>78.771089879799547</v>
      </c>
      <c r="L105" s="8">
        <f>[1]节奏总纲!X105</f>
        <v>65.116904251014375</v>
      </c>
      <c r="M105" s="8">
        <f>[1]节奏总纲!Y105</f>
        <v>49.979932362685076</v>
      </c>
      <c r="N105" s="8">
        <f>[1]节奏总纲!Z105</f>
        <v>35.998381938792477</v>
      </c>
      <c r="O105" s="8">
        <f>[1]节奏总纲!AA105</f>
        <v>20.13892995942075</v>
      </c>
      <c r="Q105" s="8">
        <v>102</v>
      </c>
      <c r="R105" s="8">
        <f>[1]节奏总纲!AD105</f>
        <v>66.860924355137783</v>
      </c>
      <c r="S105" s="8">
        <f>[1]节奏总纲!AE105</f>
        <v>68.923431594456531</v>
      </c>
      <c r="T105" s="8">
        <f>[1]节奏总纲!AF105</f>
        <v>71.804207554957955</v>
      </c>
      <c r="U105" s="8">
        <f>[1]节奏总纲!AG105</f>
        <v>76.265755485049056</v>
      </c>
      <c r="V105" s="8">
        <f>[1]节奏总纲!AH105</f>
        <v>84.922302749764228</v>
      </c>
      <c r="AN105" s="8">
        <v>102</v>
      </c>
      <c r="AO105" s="8">
        <f>[1]节奏总纲!BA105</f>
        <v>38.16277447896217</v>
      </c>
      <c r="AP105" s="8">
        <f>[1]节奏总纲!BB105</f>
        <v>39.655541494705105</v>
      </c>
      <c r="AQ105" s="8">
        <f>[1]节奏总纲!BC105</f>
        <v>41.590303905372799</v>
      </c>
      <c r="AR105" s="8">
        <f>[1]节奏总纲!BD105</f>
        <v>44.326465623783335</v>
      </c>
      <c r="AS105" s="8">
        <f>[1]节奏总纲!BE105</f>
        <v>49.030333272797542</v>
      </c>
    </row>
    <row r="106" spans="2:45" x14ac:dyDescent="0.15">
      <c r="B106" s="8">
        <f>[1]节奏总纲!N106</f>
        <v>113</v>
      </c>
      <c r="C106" s="8">
        <v>103</v>
      </c>
      <c r="D106" s="8">
        <f>[1]节奏总纲!P106</f>
        <v>1259.6918792651943</v>
      </c>
      <c r="E106" s="8">
        <f>[1]节奏总纲!Q106</f>
        <v>1073.383450321872</v>
      </c>
      <c r="F106" s="8">
        <f>[1]节奏总纲!R106</f>
        <v>861.50327622946634</v>
      </c>
      <c r="G106" s="8">
        <f>[1]节奏总纲!S106</f>
        <v>619.01258947091651</v>
      </c>
      <c r="H106" s="8">
        <f>[1]节奏总纲!T106</f>
        <v>335.8338550121008</v>
      </c>
      <c r="J106" s="8">
        <v>103</v>
      </c>
      <c r="K106" s="8">
        <f>[1]节奏总纲!W106</f>
        <v>84.424763748231499</v>
      </c>
      <c r="L106" s="8">
        <f>[1]节奏总纲!X106</f>
        <v>69.11770011262729</v>
      </c>
      <c r="M106" s="8">
        <f>[1]节奏总纲!Y106</f>
        <v>55.270034984829749</v>
      </c>
      <c r="N106" s="8">
        <f>[1]节奏总纲!Z106</f>
        <v>41.016222059674192</v>
      </c>
      <c r="O106" s="8">
        <f>[1]节奏总纲!AA106</f>
        <v>22.272588592175168</v>
      </c>
      <c r="Q106" s="8">
        <v>103</v>
      </c>
      <c r="R106" s="8">
        <f>[1]节奏总纲!AD106</f>
        <v>67.004247194324648</v>
      </c>
      <c r="S106" s="8">
        <f>[1]节奏总纲!AE106</f>
        <v>69.0655056802525</v>
      </c>
      <c r="T106" s="8">
        <f>[1]节奏总纲!AF106</f>
        <v>71.952690055874157</v>
      </c>
      <c r="U106" s="8">
        <f>[1]节奏总纲!AG106</f>
        <v>76.401205058887882</v>
      </c>
      <c r="V106" s="8">
        <f>[1]节奏总纲!AH106</f>
        <v>85.072521641060263</v>
      </c>
      <c r="AN106" s="8">
        <v>103</v>
      </c>
      <c r="AO106" s="8">
        <f>[1]节奏总纲!BA106</f>
        <v>38.225405005200088</v>
      </c>
      <c r="AP106" s="8">
        <f>[1]节奏总纲!BB106</f>
        <v>39.723082378096265</v>
      </c>
      <c r="AQ106" s="8">
        <f>[1]节奏总纲!BC106</f>
        <v>41.657347597192377</v>
      </c>
      <c r="AR106" s="8">
        <f>[1]节奏总纲!BD106</f>
        <v>44.39110423954309</v>
      </c>
      <c r="AS106" s="8">
        <f>[1]节奏总纲!BE106</f>
        <v>49.09231260978715</v>
      </c>
    </row>
    <row r="107" spans="2:45" x14ac:dyDescent="0.15">
      <c r="B107" s="8">
        <f>[1]节奏总纲!N107</f>
        <v>114</v>
      </c>
      <c r="C107" s="8">
        <v>104</v>
      </c>
      <c r="D107" s="8">
        <f>[1]节奏总纲!P107</f>
        <v>1350.1761006314437</v>
      </c>
      <c r="E107" s="8">
        <f>[1]节奏总纲!Q107</f>
        <v>1150.7550905681794</v>
      </c>
      <c r="F107" s="8">
        <f>[1]节奏总纲!R107</f>
        <v>925.41069937279144</v>
      </c>
      <c r="G107" s="8">
        <f>[1]节奏总纲!S107</f>
        <v>665.09674717104917</v>
      </c>
      <c r="H107" s="8">
        <f>[1]节奏总纲!T107</f>
        <v>360.49701886859549</v>
      </c>
      <c r="J107" s="8">
        <v>104</v>
      </c>
      <c r="K107" s="8">
        <f>[1]节奏总纲!W107</f>
        <v>90.484221366249358</v>
      </c>
      <c r="L107" s="8">
        <f>[1]节奏总纲!X107</f>
        <v>77.371640246307379</v>
      </c>
      <c r="M107" s="8">
        <f>[1]节奏总纲!Y107</f>
        <v>63.907423143325104</v>
      </c>
      <c r="N107" s="8">
        <f>[1]节奏总纲!Z107</f>
        <v>46.084157700132664</v>
      </c>
      <c r="O107" s="8">
        <f>[1]节奏总纲!AA107</f>
        <v>24.663163856494691</v>
      </c>
      <c r="Q107" s="8">
        <v>104</v>
      </c>
      <c r="R107" s="8">
        <f>[1]节奏总纲!AD107</f>
        <v>67.138256553625013</v>
      </c>
      <c r="S107" s="8">
        <f>[1]节奏总纲!AE107</f>
        <v>69.199592937186125</v>
      </c>
      <c r="T107" s="8">
        <f>[1]节奏总纲!AF107</f>
        <v>72.093818006439079</v>
      </c>
      <c r="U107" s="8">
        <f>[1]节奏总纲!AG107</f>
        <v>76.536654632726695</v>
      </c>
      <c r="V107" s="8">
        <f>[1]节奏总纲!AH107</f>
        <v>85.228476403824274</v>
      </c>
      <c r="AN107" s="8">
        <v>104</v>
      </c>
      <c r="AO107" s="8">
        <f>[1]节奏总纲!BA107</f>
        <v>38.288035531438013</v>
      </c>
      <c r="AP107" s="8">
        <f>[1]节奏总纲!BB107</f>
        <v>39.790623261487418</v>
      </c>
      <c r="AQ107" s="8">
        <f>[1]节奏总纲!BC107</f>
        <v>41.724391289011947</v>
      </c>
      <c r="AR107" s="8">
        <f>[1]节奏总纲!BD107</f>
        <v>44.455742855302844</v>
      </c>
      <c r="AS107" s="8">
        <f>[1]节奏总纲!BE107</f>
        <v>49.154291946776759</v>
      </c>
    </row>
    <row r="108" spans="2:45" x14ac:dyDescent="0.15">
      <c r="B108" s="8">
        <f>[1]节奏总纲!N108</f>
        <v>115</v>
      </c>
      <c r="C108" s="8">
        <v>105</v>
      </c>
      <c r="D108" s="8">
        <f>[1]节奏总纲!P108</f>
        <v>1447.1546878700494</v>
      </c>
      <c r="E108" s="8">
        <f>[1]节奏总纲!Q108</f>
        <v>1234.8570951595132</v>
      </c>
      <c r="F108" s="8">
        <f>[1]节奏总纲!R108</f>
        <v>993.18226228521496</v>
      </c>
      <c r="G108" s="8">
        <f>[1]节奏总纲!S108</f>
        <v>713.59197658872131</v>
      </c>
      <c r="H108" s="8">
        <f>[1]节奏总纲!T108</f>
        <v>386.39030166130323</v>
      </c>
      <c r="J108" s="8">
        <v>105</v>
      </c>
      <c r="K108" s="8">
        <f>[1]节奏总纲!W108</f>
        <v>96.978587238605769</v>
      </c>
      <c r="L108" s="8">
        <f>[1]节奏总纲!X108</f>
        <v>84.102004591333753</v>
      </c>
      <c r="M108" s="8">
        <f>[1]节奏总纲!Y108</f>
        <v>67.771562912423519</v>
      </c>
      <c r="N108" s="8">
        <f>[1]节奏总纲!Z108</f>
        <v>48.495229417672135</v>
      </c>
      <c r="O108" s="8">
        <f>[1]节奏总纲!AA108</f>
        <v>25.893282792707737</v>
      </c>
      <c r="Q108" s="8">
        <v>105</v>
      </c>
      <c r="R108" s="8">
        <f>[1]节奏总纲!AD108</f>
        <v>67.272265912925377</v>
      </c>
      <c r="S108" s="8">
        <f>[1]节奏总纲!AE108</f>
        <v>69.333680194119751</v>
      </c>
      <c r="T108" s="8">
        <f>[1]节奏总纲!AF108</f>
        <v>72.23150684883845</v>
      </c>
      <c r="U108" s="8">
        <f>[1]节奏总纲!AG108</f>
        <v>76.672104206565521</v>
      </c>
      <c r="V108" s="8">
        <f>[1]节奏总纲!AH108</f>
        <v>85.384431166588271</v>
      </c>
      <c r="AN108" s="8">
        <v>105</v>
      </c>
      <c r="AO108" s="8">
        <f>[1]节奏总纲!BA108</f>
        <v>38.35066605767593</v>
      </c>
      <c r="AP108" s="8">
        <f>[1]节奏总纲!BB108</f>
        <v>39.858164144878572</v>
      </c>
      <c r="AQ108" s="8">
        <f>[1]节奏总纲!BC108</f>
        <v>41.791434980831518</v>
      </c>
      <c r="AR108" s="8">
        <f>[1]节奏总纲!BD108</f>
        <v>44.520381471062606</v>
      </c>
      <c r="AS108" s="8">
        <f>[1]节奏总纲!BE108</f>
        <v>49.216271283766375</v>
      </c>
    </row>
    <row r="109" spans="2:45" x14ac:dyDescent="0.15">
      <c r="B109" s="8">
        <f>[1]节奏总纲!N109</f>
        <v>116</v>
      </c>
      <c r="C109" s="8">
        <v>106</v>
      </c>
      <c r="D109" s="8">
        <f>[1]节奏总纲!P109</f>
        <v>1551.0937641066464</v>
      </c>
      <c r="E109" s="8">
        <f>[1]节奏总纲!Q109</f>
        <v>1324.4789651706653</v>
      </c>
      <c r="F109" s="8">
        <f>[1]节奏总纲!R109</f>
        <v>1064.6707596828021</v>
      </c>
      <c r="G109" s="8">
        <f>[1]节奏总纲!S109</f>
        <v>764.3790069517554</v>
      </c>
      <c r="H109" s="8">
        <f>[1]节奏总纲!T109</f>
        <v>412.59094125236794</v>
      </c>
      <c r="J109" s="8">
        <v>106</v>
      </c>
      <c r="K109" s="8">
        <f>[1]节奏总纲!W109</f>
        <v>103.93907623659697</v>
      </c>
      <c r="L109" s="8">
        <f>[1]节奏总纲!X109</f>
        <v>89.621870011152168</v>
      </c>
      <c r="M109" s="8">
        <f>[1]节奏总纲!Y109</f>
        <v>71.488497397587139</v>
      </c>
      <c r="N109" s="8">
        <f>[1]节奏总纲!Z109</f>
        <v>50.787030363034091</v>
      </c>
      <c r="O109" s="8">
        <f>[1]节奏总纲!AA109</f>
        <v>26.200639591064714</v>
      </c>
      <c r="Q109" s="8">
        <v>106</v>
      </c>
      <c r="R109" s="8">
        <f>[1]节奏总纲!AD109</f>
        <v>67.406275272225741</v>
      </c>
      <c r="S109" s="8">
        <f>[1]节奏总纲!AE109</f>
        <v>69.467767451053362</v>
      </c>
      <c r="T109" s="8">
        <f>[1]节奏总纲!AF109</f>
        <v>72.369195691237806</v>
      </c>
      <c r="U109" s="8">
        <f>[1]节奏总纲!AG109</f>
        <v>76.807553780404334</v>
      </c>
      <c r="V109" s="8">
        <f>[1]节奏总纲!AH109</f>
        <v>85.540385929352269</v>
      </c>
      <c r="AN109" s="8">
        <v>106</v>
      </c>
      <c r="AO109" s="8">
        <f>[1]节奏总纲!BA109</f>
        <v>38.413296583913848</v>
      </c>
      <c r="AP109" s="8">
        <f>[1]节奏总纲!BB109</f>
        <v>39.925705028269732</v>
      </c>
      <c r="AQ109" s="8">
        <f>[1]节奏总纲!BC109</f>
        <v>41.858478672651096</v>
      </c>
      <c r="AR109" s="8">
        <f>[1]节奏总纲!BD109</f>
        <v>44.585020086822361</v>
      </c>
      <c r="AS109" s="8">
        <f>[1]节奏总纲!BE109</f>
        <v>49.278250620755983</v>
      </c>
    </row>
    <row r="110" spans="2:45" x14ac:dyDescent="0.15">
      <c r="B110" s="8">
        <f>[1]节奏总纲!N110</f>
        <v>117</v>
      </c>
      <c r="C110" s="8">
        <v>107</v>
      </c>
      <c r="D110" s="8">
        <f>[1]节奏总纲!P110</f>
        <v>1662.4929077375689</v>
      </c>
      <c r="E110" s="8">
        <f>[1]节奏总纲!Q110</f>
        <v>1418.9376967540152</v>
      </c>
      <c r="F110" s="8">
        <f>[1]节奏总纲!R110</f>
        <v>1141.6338797433884</v>
      </c>
      <c r="G110" s="8">
        <f>[1]节奏总纲!S110</f>
        <v>816.11776840837263</v>
      </c>
      <c r="H110" s="8">
        <f>[1]节奏总纲!T110</f>
        <v>440.22812196890823</v>
      </c>
      <c r="J110" s="8">
        <v>107</v>
      </c>
      <c r="K110" s="8">
        <f>[1]节奏总纲!W110</f>
        <v>111.39914363092248</v>
      </c>
      <c r="L110" s="8">
        <f>[1]节奏总纲!X110</f>
        <v>94.458731583349845</v>
      </c>
      <c r="M110" s="8">
        <f>[1]节奏总纲!Y110</f>
        <v>76.963120060586334</v>
      </c>
      <c r="N110" s="8">
        <f>[1]节奏总纲!Z110</f>
        <v>51.738761456617226</v>
      </c>
      <c r="O110" s="8">
        <f>[1]节奏总纲!AA110</f>
        <v>27.637180716540286</v>
      </c>
      <c r="Q110" s="8">
        <v>107</v>
      </c>
      <c r="R110" s="8">
        <f>[1]节奏总纲!AD110</f>
        <v>67.540284631526106</v>
      </c>
      <c r="S110" s="8">
        <f>[1]节奏总纲!AE110</f>
        <v>69.601854707986988</v>
      </c>
      <c r="T110" s="8">
        <f>[1]节奏总纲!AF110</f>
        <v>72.506884533637162</v>
      </c>
      <c r="U110" s="8">
        <f>[1]节奏总纲!AG110</f>
        <v>76.94300335424316</v>
      </c>
      <c r="V110" s="8">
        <f>[1]节奏总纲!AH110</f>
        <v>85.696340692116266</v>
      </c>
      <c r="AN110" s="8">
        <v>107</v>
      </c>
      <c r="AO110" s="8">
        <f>[1]节奏总纲!BA110</f>
        <v>38.475927110151773</v>
      </c>
      <c r="AP110" s="8">
        <f>[1]节奏总纲!BB110</f>
        <v>39.993245911660885</v>
      </c>
      <c r="AQ110" s="8">
        <f>[1]节奏总纲!BC110</f>
        <v>41.925522364470666</v>
      </c>
      <c r="AR110" s="8">
        <f>[1]节奏总纲!BD110</f>
        <v>44.649658702582116</v>
      </c>
      <c r="AS110" s="8">
        <f>[1]节奏总纲!BE110</f>
        <v>49.340229957745592</v>
      </c>
    </row>
    <row r="111" spans="2:45" x14ac:dyDescent="0.15">
      <c r="B111" s="8">
        <f>[1]节奏总纲!N111</f>
        <v>118</v>
      </c>
      <c r="C111" s="8">
        <v>108</v>
      </c>
      <c r="D111" s="8">
        <f>[1]节奏总纲!P111</f>
        <v>1781.8875536304624</v>
      </c>
      <c r="E111" s="8">
        <f>[1]节奏总纲!Q111</f>
        <v>1520.8410270235997</v>
      </c>
      <c r="F111" s="8">
        <f>[1]节奏总纲!R111</f>
        <v>1218.0983316617842</v>
      </c>
      <c r="G111" s="8">
        <f>[1]节奏总纲!S111</f>
        <v>871.69939123602228</v>
      </c>
      <c r="H111" s="8">
        <f>[1]节奏总纲!T111</f>
        <v>471.13106917989433</v>
      </c>
      <c r="J111" s="8">
        <v>108</v>
      </c>
      <c r="K111" s="8">
        <f>[1]节奏总纲!W111</f>
        <v>119.39464589289355</v>
      </c>
      <c r="L111" s="8">
        <f>[1]节奏总纲!X111</f>
        <v>101.90333026958456</v>
      </c>
      <c r="M111" s="8">
        <f>[1]节奏总纲!Y111</f>
        <v>76.464451918395753</v>
      </c>
      <c r="N111" s="8">
        <f>[1]节奏总纲!Z111</f>
        <v>55.581622827649653</v>
      </c>
      <c r="O111" s="8">
        <f>[1]节奏总纲!AA111</f>
        <v>30.902947210986099</v>
      </c>
      <c r="Q111" s="8">
        <v>108</v>
      </c>
      <c r="R111" s="8">
        <f>[1]节奏总纲!AD111</f>
        <v>67.674293990826456</v>
      </c>
      <c r="S111" s="8">
        <f>[1]节奏总纲!AE111</f>
        <v>69.735941964920613</v>
      </c>
      <c r="T111" s="8">
        <f>[1]节奏总纲!AF111</f>
        <v>72.644573376036519</v>
      </c>
      <c r="U111" s="8">
        <f>[1]节奏总纲!AG111</f>
        <v>77.074762810762508</v>
      </c>
      <c r="V111" s="8">
        <f>[1]节奏总纲!AH111</f>
        <v>85.852295454880277</v>
      </c>
      <c r="AN111" s="8">
        <v>108</v>
      </c>
      <c r="AO111" s="8">
        <f>[1]节奏总纲!BA111</f>
        <v>38.53855763638969</v>
      </c>
      <c r="AP111" s="8">
        <f>[1]节奏总纲!BB111</f>
        <v>40.052446592012309</v>
      </c>
      <c r="AQ111" s="8">
        <f>[1]节奏总纲!BC111</f>
        <v>41.992566056290244</v>
      </c>
      <c r="AR111" s="8">
        <f>[1]节奏总纲!BD111</f>
        <v>44.71429731834187</v>
      </c>
      <c r="AS111" s="8">
        <f>[1]节奏总纲!BE111</f>
        <v>49.402209294735208</v>
      </c>
    </row>
    <row r="112" spans="2:45" x14ac:dyDescent="0.15">
      <c r="B112" s="8">
        <f>[1]节奏总纲!N112</f>
        <v>119</v>
      </c>
      <c r="C112" s="8">
        <v>109</v>
      </c>
      <c r="D112" s="8">
        <f>[1]节奏总纲!P112</f>
        <v>1909.8515666673818</v>
      </c>
      <c r="E112" s="8">
        <f>[1]节奏总纲!Q112</f>
        <v>1624.7107277639418</v>
      </c>
      <c r="F112" s="8">
        <f>[1]节奏总纲!R112</f>
        <v>1301.5638426838207</v>
      </c>
      <c r="G112" s="8">
        <f>[1]节奏总纲!S112</f>
        <v>931.81657937701561</v>
      </c>
      <c r="H112" s="8">
        <f>[1]节奏总纲!T112</f>
        <v>504.58278391352223</v>
      </c>
      <c r="J112" s="8">
        <v>109</v>
      </c>
      <c r="K112" s="8">
        <f>[1]节奏总纲!W112</f>
        <v>127.96401303691937</v>
      </c>
      <c r="L112" s="8">
        <f>[1]节奏总纲!X112</f>
        <v>103.86970074034207</v>
      </c>
      <c r="M112" s="8">
        <f>[1]节奏总纲!Y112</f>
        <v>83.46551102203648</v>
      </c>
      <c r="N112" s="8">
        <f>[1]节奏总纲!Z112</f>
        <v>60.117188140993335</v>
      </c>
      <c r="O112" s="8">
        <f>[1]节奏总纲!AA112</f>
        <v>33.451714733627909</v>
      </c>
      <c r="Q112" s="8">
        <v>109</v>
      </c>
      <c r="R112" s="8">
        <f>[1]节奏总纲!AD112</f>
        <v>67.80830335012682</v>
      </c>
      <c r="S112" s="8">
        <f>[1]节奏总纲!AE112</f>
        <v>69.870029221854239</v>
      </c>
      <c r="T112" s="8">
        <f>[1]节奏总纲!AF112</f>
        <v>72.782262218435889</v>
      </c>
      <c r="U112" s="8">
        <f>[1]节奏总纲!AG112</f>
        <v>77.203841369133116</v>
      </c>
      <c r="V112" s="8">
        <f>[1]节奏总纲!AH112</f>
        <v>86.007776715139968</v>
      </c>
      <c r="AN112" s="8">
        <v>109</v>
      </c>
      <c r="AO112" s="8">
        <f>[1]节奏总纲!BA112</f>
        <v>38.601188162627608</v>
      </c>
      <c r="AP112" s="8">
        <f>[1]节奏总纲!BB112</f>
        <v>40.110720583137102</v>
      </c>
      <c r="AQ112" s="8">
        <f>[1]节奏总纲!BC112</f>
        <v>42.051439554347354</v>
      </c>
      <c r="AR112" s="8">
        <f>[1]节奏总纲!BD112</f>
        <v>44.778935934101632</v>
      </c>
      <c r="AS112" s="8">
        <f>[1]节奏总纲!BE112</f>
        <v>49.464188631724817</v>
      </c>
    </row>
    <row r="113" spans="2:45" x14ac:dyDescent="0.15">
      <c r="B113" s="8">
        <f>[1]节奏总纲!N113</f>
        <v>120</v>
      </c>
      <c r="C113" s="8">
        <v>110</v>
      </c>
      <c r="D113" s="8">
        <f>[1]节奏总纲!P113</f>
        <v>2047</v>
      </c>
      <c r="E113" s="8">
        <f>[1]节奏总纲!Q113</f>
        <v>1741.3829000000001</v>
      </c>
      <c r="F113" s="8">
        <f>[1]节奏总纲!R113</f>
        <v>1397.2821999999999</v>
      </c>
      <c r="G113" s="8">
        <f>[1]节奏总纲!S113</f>
        <v>1001.3924000000001</v>
      </c>
      <c r="H113" s="8">
        <f>[1]节奏总纲!T113</f>
        <v>542.04559999999992</v>
      </c>
      <c r="J113" s="8">
        <v>110</v>
      </c>
      <c r="K113" s="8">
        <f>[1]节奏总纲!W113</f>
        <v>137.1484333326182</v>
      </c>
      <c r="L113" s="8">
        <f>[1]节奏总纲!X113</f>
        <v>116.67217223605826</v>
      </c>
      <c r="M113" s="8">
        <f>[1]节奏总纲!Y113</f>
        <v>95.718357316179208</v>
      </c>
      <c r="N113" s="8">
        <f>[1]节奏总纲!Z113</f>
        <v>69.575820622984452</v>
      </c>
      <c r="O113" s="8">
        <f>[1]节奏总纲!AA113</f>
        <v>37.462816086477687</v>
      </c>
      <c r="Q113" s="8">
        <v>110</v>
      </c>
      <c r="R113" s="8">
        <f>[1]节奏总纲!AD113</f>
        <v>67.942312709427185</v>
      </c>
      <c r="S113" s="8">
        <f>[1]节奏总纲!AE113</f>
        <v>70.003807055133578</v>
      </c>
      <c r="T113" s="8">
        <f>[1]节奏总纲!AF113</f>
        <v>72.919951060835245</v>
      </c>
      <c r="U113" s="8">
        <f>[1]节奏总纲!AG113</f>
        <v>77.332919927503724</v>
      </c>
      <c r="V113" s="8">
        <f>[1]节奏总纲!AH113</f>
        <v>86.154780808490045</v>
      </c>
      <c r="AN113" s="8">
        <v>110</v>
      </c>
      <c r="AO113" s="8">
        <f>[1]节奏总纲!BA113</f>
        <v>38.663818688865533</v>
      </c>
      <c r="AP113" s="8">
        <f>[1]节奏总纲!BB113</f>
        <v>40.168994574261895</v>
      </c>
      <c r="AQ113" s="8">
        <f>[1]节奏总纲!BC113</f>
        <v>42.109294145892463</v>
      </c>
      <c r="AR113" s="8">
        <f>[1]节奏总纲!BD113</f>
        <v>44.843574549861387</v>
      </c>
      <c r="AS113" s="8">
        <f>[1]节奏总纲!BE113</f>
        <v>49.526167968714425</v>
      </c>
    </row>
    <row r="114" spans="2:45" x14ac:dyDescent="0.15">
      <c r="B114" s="8">
        <f>[1]节奏总纲!N114</f>
        <v>121</v>
      </c>
      <c r="C114" s="8">
        <v>111</v>
      </c>
      <c r="D114" s="8">
        <f>[1]节奏总纲!P114</f>
        <v>2193.9920512743265</v>
      </c>
      <c r="E114" s="8">
        <f>[1]节奏总纲!Q114</f>
        <v>1869.0618284805987</v>
      </c>
      <c r="F114" s="8">
        <f>[1]节奏总纲!R114</f>
        <v>1500.4711638665117</v>
      </c>
      <c r="G114" s="8">
        <f>[1]节奏总纲!S114</f>
        <v>1076.5918995603122</v>
      </c>
      <c r="H114" s="8">
        <f>[1]节奏总纲!T114</f>
        <v>583.16308722871599</v>
      </c>
      <c r="J114" s="8">
        <v>111</v>
      </c>
      <c r="K114" s="8">
        <f>[1]节奏总纲!W114</f>
        <v>146.99205127432651</v>
      </c>
      <c r="L114" s="8">
        <f>[1]节奏总纲!X114</f>
        <v>127.67892848059864</v>
      </c>
      <c r="M114" s="8">
        <f>[1]节奏总纲!Y114</f>
        <v>103.18896386651181</v>
      </c>
      <c r="N114" s="8">
        <f>[1]节奏总纲!Z114</f>
        <v>75.19949956031212</v>
      </c>
      <c r="O114" s="8">
        <f>[1]节奏总纲!AA114</f>
        <v>41.117487228716072</v>
      </c>
      <c r="Q114" s="8">
        <v>111</v>
      </c>
      <c r="R114" s="8">
        <f>[1]节奏总纲!AD114</f>
        <v>68.071211008105138</v>
      </c>
      <c r="S114" s="8">
        <f>[1]节奏总纲!AE114</f>
        <v>70.127815365673797</v>
      </c>
      <c r="T114" s="8">
        <f>[1]节奏总纲!AF114</f>
        <v>73.051543220271398</v>
      </c>
      <c r="U114" s="8">
        <f>[1]节奏总纲!AG114</f>
        <v>77.461998485874332</v>
      </c>
      <c r="V114" s="8">
        <f>[1]节奏总纲!AH114</f>
        <v>86.301784901840136</v>
      </c>
      <c r="AN114" s="8">
        <v>111</v>
      </c>
      <c r="AO114" s="8">
        <f>[1]节奏总纲!BA114</f>
        <v>38.72644921510345</v>
      </c>
      <c r="AP114" s="8">
        <f>[1]节奏总纲!BB114</f>
        <v>40.227268565386687</v>
      </c>
      <c r="AQ114" s="8">
        <f>[1]节奏总纲!BC114</f>
        <v>42.167148737437572</v>
      </c>
      <c r="AR114" s="8">
        <f>[1]节奏总纲!BD114</f>
        <v>44.908213165621142</v>
      </c>
      <c r="AS114" s="8">
        <f>[1]节奏总纲!BE114</f>
        <v>49.588147305704041</v>
      </c>
    </row>
    <row r="115" spans="2:45" x14ac:dyDescent="0.15">
      <c r="B115" s="8">
        <f>[1]节奏总纲!N115</f>
        <v>122</v>
      </c>
      <c r="C115" s="8">
        <v>112</v>
      </c>
      <c r="D115" s="8">
        <f>[1]节奏总纲!P115</f>
        <v>2351.5342310339256</v>
      </c>
      <c r="E115" s="8">
        <f>[1]节奏总纲!Q115</f>
        <v>2004.6829319564217</v>
      </c>
      <c r="F115" s="8">
        <f>[1]节奏总纲!R115</f>
        <v>1609.3900277196187</v>
      </c>
      <c r="G115" s="8">
        <f>[1]节奏总纲!S115</f>
        <v>1155.3087677069677</v>
      </c>
      <c r="H115" s="8">
        <f>[1]节奏总纲!T115</f>
        <v>623.15657122399034</v>
      </c>
      <c r="J115" s="8">
        <v>112</v>
      </c>
      <c r="K115" s="8">
        <f>[1]节奏总纲!W115</f>
        <v>157.54217975959909</v>
      </c>
      <c r="L115" s="8">
        <f>[1]节奏总纲!X115</f>
        <v>135.62110347582302</v>
      </c>
      <c r="M115" s="8">
        <f>[1]节奏总纲!Y115</f>
        <v>108.91886385310704</v>
      </c>
      <c r="N115" s="8">
        <f>[1]节奏总纲!Z115</f>
        <v>78.716868146655543</v>
      </c>
      <c r="O115" s="8">
        <f>[1]节奏总纲!AA115</f>
        <v>39.993483995274346</v>
      </c>
      <c r="Q115" s="8">
        <v>112</v>
      </c>
      <c r="R115" s="8">
        <f>[1]节奏总纲!AD115</f>
        <v>68.196246161507091</v>
      </c>
      <c r="S115" s="8">
        <f>[1]节奏总纲!AE115</f>
        <v>70.251823676214016</v>
      </c>
      <c r="T115" s="8">
        <f>[1]节奏总纲!AF115</f>
        <v>73.174668450093861</v>
      </c>
      <c r="U115" s="8">
        <f>[1]节奏总纲!AG115</f>
        <v>77.591077044244926</v>
      </c>
      <c r="V115" s="8">
        <f>[1]节奏总纲!AH115</f>
        <v>86.448788995190213</v>
      </c>
      <c r="AN115" s="8">
        <v>112</v>
      </c>
      <c r="AO115" s="8">
        <f>[1]节奏总纲!BA115</f>
        <v>38.789079741341368</v>
      </c>
      <c r="AP115" s="8">
        <f>[1]节奏总纲!BB115</f>
        <v>40.28554255651148</v>
      </c>
      <c r="AQ115" s="8">
        <f>[1]节奏总纲!BC115</f>
        <v>42.225003328982673</v>
      </c>
      <c r="AR115" s="8">
        <f>[1]节奏总纲!BD115</f>
        <v>44.972851781380903</v>
      </c>
      <c r="AS115" s="8">
        <f>[1]节奏总纲!BE115</f>
        <v>49.65012664269365</v>
      </c>
    </row>
    <row r="116" spans="2:45" x14ac:dyDescent="0.15">
      <c r="B116" s="8">
        <f>[1]节奏总纲!N116</f>
        <v>123</v>
      </c>
      <c r="C116" s="8">
        <v>113</v>
      </c>
      <c r="D116" s="8">
        <f>[1]节奏总纲!P116</f>
        <v>2520.3837585303886</v>
      </c>
      <c r="E116" s="8">
        <f>[1]节奏总纲!Q116</f>
        <v>2149.6353076505684</v>
      </c>
      <c r="F116" s="8">
        <f>[1]节奏总纲!R116</f>
        <v>1726.7149129691693</v>
      </c>
      <c r="G116" s="8">
        <f>[1]节奏总纲!S116</f>
        <v>1235.7441568074496</v>
      </c>
      <c r="H116" s="8">
        <f>[1]节奏总纲!T116</f>
        <v>665.63335062787564</v>
      </c>
      <c r="J116" s="8">
        <v>113</v>
      </c>
      <c r="K116" s="8">
        <f>[1]节奏总纲!W116</f>
        <v>168.849527496463</v>
      </c>
      <c r="L116" s="8">
        <f>[1]节奏总纲!X116</f>
        <v>144.95237569414667</v>
      </c>
      <c r="M116" s="8">
        <f>[1]节奏总纲!Y116</f>
        <v>117.32488524955056</v>
      </c>
      <c r="N116" s="8">
        <f>[1]节奏总纲!Z116</f>
        <v>80.435389100481871</v>
      </c>
      <c r="O116" s="8">
        <f>[1]节奏总纲!AA116</f>
        <v>42.476779403885303</v>
      </c>
      <c r="Q116" s="8">
        <v>113</v>
      </c>
      <c r="R116" s="8">
        <f>[1]节奏总纲!AD116</f>
        <v>68.321281314909029</v>
      </c>
      <c r="S116" s="8">
        <f>[1]节奏总纲!AE116</f>
        <v>70.375831986754235</v>
      </c>
      <c r="T116" s="8">
        <f>[1]节奏总纲!AF116</f>
        <v>73.297793679916325</v>
      </c>
      <c r="U116" s="8">
        <f>[1]节奏总纲!AG116</f>
        <v>77.720155602615534</v>
      </c>
      <c r="V116" s="8">
        <f>[1]节奏总纲!AH116</f>
        <v>86.595793088540304</v>
      </c>
      <c r="AN116" s="8">
        <v>113</v>
      </c>
      <c r="AO116" s="8">
        <f>[1]节奏总纲!BA116</f>
        <v>38.851710267579293</v>
      </c>
      <c r="AP116" s="8">
        <f>[1]节奏总纲!BB116</f>
        <v>40.343816547636273</v>
      </c>
      <c r="AQ116" s="8">
        <f>[1]节奏总纲!BC116</f>
        <v>42.282857920527782</v>
      </c>
      <c r="AR116" s="8">
        <f>[1]节奏总纲!BD116</f>
        <v>45.032359480672049</v>
      </c>
      <c r="AS116" s="8">
        <f>[1]节奏总纲!BE116</f>
        <v>49.712105979683258</v>
      </c>
    </row>
    <row r="117" spans="2:45" x14ac:dyDescent="0.15">
      <c r="B117" s="8">
        <f>[1]节奏总纲!N117</f>
        <v>124</v>
      </c>
      <c r="C117" s="8">
        <v>114</v>
      </c>
      <c r="D117" s="8">
        <f>[1]节奏总纲!P117</f>
        <v>2701.3522012628878</v>
      </c>
      <c r="E117" s="8">
        <f>[1]节奏总纲!Q117</f>
        <v>2304.5235628973696</v>
      </c>
      <c r="F117" s="8">
        <f>[1]节奏总纲!R117</f>
        <v>1846.3742295631837</v>
      </c>
      <c r="G117" s="8">
        <f>[1]节奏总纲!S117</f>
        <v>1319.3404150967945</v>
      </c>
      <c r="H117" s="8">
        <f>[1]节奏总纲!T117</f>
        <v>710.99589937239205</v>
      </c>
      <c r="J117" s="8">
        <v>114</v>
      </c>
      <c r="K117" s="8">
        <f>[1]节奏总纲!W117</f>
        <v>180.96844273249917</v>
      </c>
      <c r="L117" s="8">
        <f>[1]节奏总纲!X117</f>
        <v>154.88825524680124</v>
      </c>
      <c r="M117" s="8">
        <f>[1]节奏总纲!Y117</f>
        <v>119.6593165940144</v>
      </c>
      <c r="N117" s="8">
        <f>[1]节奏总纲!Z117</f>
        <v>83.59625828934486</v>
      </c>
      <c r="O117" s="8">
        <f>[1]节奏总纲!AA117</f>
        <v>45.362548744516403</v>
      </c>
      <c r="Q117" s="8">
        <v>114</v>
      </c>
      <c r="R117" s="8">
        <f>[1]节奏总纲!AD117</f>
        <v>68.446316468310982</v>
      </c>
      <c r="S117" s="8">
        <f>[1]节奏总纲!AE117</f>
        <v>70.499840297294455</v>
      </c>
      <c r="T117" s="8">
        <f>[1]节奏总纲!AF117</f>
        <v>73.420918909738774</v>
      </c>
      <c r="U117" s="8">
        <f>[1]节奏总纲!AG117</f>
        <v>77.849234160986143</v>
      </c>
      <c r="V117" s="8">
        <f>[1]节奏总纲!AH117</f>
        <v>86.742797181890381</v>
      </c>
      <c r="AN117" s="8">
        <v>114</v>
      </c>
      <c r="AO117" s="8">
        <f>[1]节奏总纲!BA117</f>
        <v>38.91434079381721</v>
      </c>
      <c r="AP117" s="8">
        <f>[1]节奏总纲!BB117</f>
        <v>40.402090538761065</v>
      </c>
      <c r="AQ117" s="8">
        <f>[1]节奏总纲!BC117</f>
        <v>42.340712512072891</v>
      </c>
      <c r="AR117" s="8">
        <f>[1]节奏总纲!BD117</f>
        <v>45.088151688727308</v>
      </c>
      <c r="AS117" s="8">
        <f>[1]节奏总纲!BE117</f>
        <v>49.774085316672867</v>
      </c>
    </row>
    <row r="118" spans="2:45" x14ac:dyDescent="0.15">
      <c r="B118" s="8">
        <f>[1]节奏总纲!N118</f>
        <v>125</v>
      </c>
      <c r="C118" s="8">
        <v>115</v>
      </c>
      <c r="D118" s="8">
        <f>[1]节奏总纲!P118</f>
        <v>2895.3093757400989</v>
      </c>
      <c r="E118" s="8">
        <f>[1]节奏总纲!Q118</f>
        <v>2463.0396859421021</v>
      </c>
      <c r="F118" s="8">
        <f>[1]节奏总纲!R118</f>
        <v>1969.9684992535633</v>
      </c>
      <c r="G118" s="8">
        <f>[1]节奏总纲!S118</f>
        <v>1407.1203566096881</v>
      </c>
      <c r="H118" s="8">
        <f>[1]节奏总纲!T118</f>
        <v>758.86058738147995</v>
      </c>
      <c r="J118" s="8">
        <v>115</v>
      </c>
      <c r="K118" s="8">
        <f>[1]节奏总纲!W118</f>
        <v>193.95717447721108</v>
      </c>
      <c r="L118" s="8">
        <f>[1]节奏总纲!X118</f>
        <v>158.51612304473247</v>
      </c>
      <c r="M118" s="8">
        <f>[1]节奏总纲!Y118</f>
        <v>123.59426969037963</v>
      </c>
      <c r="N118" s="8">
        <f>[1]节奏总纲!Z118</f>
        <v>87.779941512893629</v>
      </c>
      <c r="O118" s="8">
        <f>[1]节奏总纲!AA118</f>
        <v>47.864688009087899</v>
      </c>
      <c r="Q118" s="8">
        <v>115</v>
      </c>
      <c r="R118" s="8">
        <f>[1]节奏总纲!AD118</f>
        <v>68.571351621712935</v>
      </c>
      <c r="S118" s="8">
        <f>[1]节奏总纲!AE118</f>
        <v>70.623848607834674</v>
      </c>
      <c r="T118" s="8">
        <f>[1]节奏总纲!AF118</f>
        <v>73.544044139561237</v>
      </c>
      <c r="U118" s="8">
        <f>[1]节奏总纲!AG118</f>
        <v>77.978312719356751</v>
      </c>
      <c r="V118" s="8">
        <f>[1]节奏总纲!AH118</f>
        <v>86.889801275240458</v>
      </c>
      <c r="AN118" s="8">
        <v>115</v>
      </c>
      <c r="AO118" s="8">
        <f>[1]节奏总纲!BA118</f>
        <v>38.976971320055128</v>
      </c>
      <c r="AP118" s="8">
        <f>[1]节奏总纲!BB118</f>
        <v>40.460364529885858</v>
      </c>
      <c r="AQ118" s="8">
        <f>[1]节奏总纲!BC118</f>
        <v>42.398567103617999</v>
      </c>
      <c r="AR118" s="8">
        <f>[1]节奏总纲!BD118</f>
        <v>45.143943896782567</v>
      </c>
      <c r="AS118" s="8">
        <f>[1]节奏总纲!BE118</f>
        <v>49.836064653662483</v>
      </c>
    </row>
    <row r="119" spans="2:45" x14ac:dyDescent="0.15">
      <c r="B119" s="8">
        <f>[1]节奏总纲!N119</f>
        <v>126</v>
      </c>
      <c r="C119" s="8">
        <v>116</v>
      </c>
      <c r="D119" s="8">
        <f>[1]节奏总纲!P119</f>
        <v>3103.1875282132928</v>
      </c>
      <c r="E119" s="8">
        <f>[1]节奏总纲!Q119</f>
        <v>2636.7784427228348</v>
      </c>
      <c r="F119" s="8">
        <f>[1]节奏总纲!R119</f>
        <v>2108.9262441737537</v>
      </c>
      <c r="G119" s="8">
        <f>[1]节奏总纲!S119</f>
        <v>1509.0800949701243</v>
      </c>
      <c r="H119" s="8">
        <f>[1]节奏总纲!T119</f>
        <v>813.34545114470404</v>
      </c>
      <c r="J119" s="8">
        <v>116</v>
      </c>
      <c r="K119" s="8">
        <f>[1]节奏总纲!W119</f>
        <v>207.87815247319395</v>
      </c>
      <c r="L119" s="8">
        <f>[1]节奏总纲!X119</f>
        <v>173.73875678073273</v>
      </c>
      <c r="M119" s="8">
        <f>[1]节奏总纲!Y119</f>
        <v>138.95774492019041</v>
      </c>
      <c r="N119" s="8">
        <f>[1]节奏总纲!Z119</f>
        <v>101.95973836043618</v>
      </c>
      <c r="O119" s="8">
        <f>[1]节奏总纲!AA119</f>
        <v>54.484863763224098</v>
      </c>
      <c r="Q119" s="8">
        <v>116</v>
      </c>
      <c r="R119" s="8">
        <f>[1]节奏总纲!AD119</f>
        <v>68.696386775114874</v>
      </c>
      <c r="S119" s="8">
        <f>[1]节奏总纲!AE119</f>
        <v>70.747856918374893</v>
      </c>
      <c r="T119" s="8">
        <f>[1]节奏总纲!AF119</f>
        <v>73.667169369383686</v>
      </c>
      <c r="U119" s="8">
        <f>[1]节奏总纲!AG119</f>
        <v>78.10469841238104</v>
      </c>
      <c r="V119" s="8">
        <f>[1]节奏总纲!AH119</f>
        <v>87.033659382136349</v>
      </c>
      <c r="AN119" s="8">
        <v>116</v>
      </c>
      <c r="AO119" s="8">
        <f>[1]节奏总纲!BA119</f>
        <v>39.034165367506482</v>
      </c>
      <c r="AP119" s="8">
        <f>[1]节奏总纲!BB119</f>
        <v>40.518638521010644</v>
      </c>
      <c r="AQ119" s="8">
        <f>[1]节奏总纲!BC119</f>
        <v>42.456421695163108</v>
      </c>
      <c r="AR119" s="8">
        <f>[1]节奏总纲!BD119</f>
        <v>45.199736104837825</v>
      </c>
      <c r="AS119" s="8">
        <f>[1]节奏总纲!BE119</f>
        <v>49.898043990652091</v>
      </c>
    </row>
    <row r="120" spans="2:45" x14ac:dyDescent="0.15">
      <c r="B120" s="8">
        <f>[1]节奏总纲!N120</f>
        <v>127</v>
      </c>
      <c r="C120" s="8">
        <v>117</v>
      </c>
      <c r="D120" s="8">
        <f>[1]节奏总纲!P120</f>
        <v>3325.985815475135</v>
      </c>
      <c r="E120" s="8">
        <f>[1]节奏总纲!Q120</f>
        <v>2826.7553445723174</v>
      </c>
      <c r="F120" s="8">
        <f>[1]节奏总纲!R120</f>
        <v>2262.6681502677343</v>
      </c>
      <c r="G120" s="8">
        <f>[1]节奏总纲!S120</f>
        <v>1618.0920992286531</v>
      </c>
      <c r="H120" s="8">
        <f>[1]节奏总纲!T120</f>
        <v>873.07127656222303</v>
      </c>
      <c r="J120" s="8">
        <v>117</v>
      </c>
      <c r="K120" s="8">
        <f>[1]节奏总纲!W120</f>
        <v>222.79828726184223</v>
      </c>
      <c r="L120" s="8">
        <f>[1]节奏总纲!X120</f>
        <v>189.9769018494826</v>
      </c>
      <c r="M120" s="8">
        <f>[1]节奏总纲!Y120</f>
        <v>153.74190609398056</v>
      </c>
      <c r="N120" s="8">
        <f>[1]节奏总纲!Z120</f>
        <v>109.0120042585288</v>
      </c>
      <c r="O120" s="8">
        <f>[1]节奏总纲!AA120</f>
        <v>59.72582541751899</v>
      </c>
      <c r="Q120" s="8">
        <v>117</v>
      </c>
      <c r="R120" s="8">
        <f>[1]节奏总纲!AD120</f>
        <v>68.821421928516827</v>
      </c>
      <c r="S120" s="8">
        <f>[1]节奏总纲!AE120</f>
        <v>70.871865228915112</v>
      </c>
      <c r="T120" s="8">
        <f>[1]节奏总纲!AF120</f>
        <v>73.790294599206149</v>
      </c>
      <c r="U120" s="8">
        <f>[1]节奏总纲!AG120</f>
        <v>78.230540290975199</v>
      </c>
      <c r="V120" s="8">
        <f>[1]节奏总纲!AH120</f>
        <v>87.168098110592624</v>
      </c>
      <c r="AN120" s="8">
        <v>117</v>
      </c>
      <c r="AO120" s="8">
        <f>[1]节奏总纲!BA120</f>
        <v>39.088198074219406</v>
      </c>
      <c r="AP120" s="8">
        <f>[1]节奏总纲!BB120</f>
        <v>40.576912512135436</v>
      </c>
      <c r="AQ120" s="8">
        <f>[1]节奏总纲!BC120</f>
        <v>42.51427628670821</v>
      </c>
      <c r="AR120" s="8">
        <f>[1]节奏总纲!BD120</f>
        <v>45.255528312893091</v>
      </c>
      <c r="AS120" s="8">
        <f>[1]节奏总纲!BE120</f>
        <v>49.9600233276417</v>
      </c>
    </row>
    <row r="121" spans="2:45" x14ac:dyDescent="0.15">
      <c r="B121" s="8">
        <f>[1]节奏总纲!N121</f>
        <v>128</v>
      </c>
      <c r="C121" s="8">
        <v>118</v>
      </c>
      <c r="D121" s="8">
        <f>[1]节奏总纲!P121</f>
        <v>3564.7751072609281</v>
      </c>
      <c r="E121" s="8">
        <f>[1]节奏总纲!Q121</f>
        <v>3030.4153186825147</v>
      </c>
      <c r="F121" s="8">
        <f>[1]节奏总纲!R121</f>
        <v>2426.1859380017877</v>
      </c>
      <c r="G121" s="8">
        <f>[1]节奏总纲!S121</f>
        <v>1737.4713872789764</v>
      </c>
      <c r="H121" s="8">
        <f>[1]节奏总纲!T121</f>
        <v>936.10994316671975</v>
      </c>
      <c r="J121" s="8">
        <v>118</v>
      </c>
      <c r="K121" s="8">
        <f>[1]节奏总纲!W121</f>
        <v>238.78929178579301</v>
      </c>
      <c r="L121" s="8">
        <f>[1]节奏总纲!X121</f>
        <v>203.65997411019725</v>
      </c>
      <c r="M121" s="8">
        <f>[1]节奏总纲!Y121</f>
        <v>163.5177877340534</v>
      </c>
      <c r="N121" s="8">
        <f>[1]节奏总纲!Z121</f>
        <v>119.37928805032334</v>
      </c>
      <c r="O121" s="8">
        <f>[1]节奏总纲!AA121</f>
        <v>63.038666604496711</v>
      </c>
      <c r="Q121" s="8">
        <v>118</v>
      </c>
      <c r="R121" s="8">
        <f>[1]节奏总纲!AD121</f>
        <v>68.946457081918766</v>
      </c>
      <c r="S121" s="8">
        <f>[1]节奏总纲!AE121</f>
        <v>70.995873539455332</v>
      </c>
      <c r="T121" s="8">
        <f>[1]节奏总纲!AF121</f>
        <v>73.913419829028598</v>
      </c>
      <c r="U121" s="8">
        <f>[1]节奏总纲!AG121</f>
        <v>78.356382169569343</v>
      </c>
      <c r="V121" s="8">
        <f>[1]节奏总纲!AH121</f>
        <v>87.302536839048898</v>
      </c>
      <c r="AN121" s="8">
        <v>118</v>
      </c>
      <c r="AO121" s="8">
        <f>[1]节奏总纲!BA121</f>
        <v>39.14223078093233</v>
      </c>
      <c r="AP121" s="8">
        <f>[1]节奏总纲!BB121</f>
        <v>40.635186503260229</v>
      </c>
      <c r="AQ121" s="8">
        <f>[1]节奏总纲!BC121</f>
        <v>42.572130878253319</v>
      </c>
      <c r="AR121" s="8">
        <f>[1]节奏总纲!BD121</f>
        <v>45.31132052094835</v>
      </c>
      <c r="AS121" s="8">
        <f>[1]节奏总纲!BE121</f>
        <v>50.018998195299922</v>
      </c>
    </row>
    <row r="122" spans="2:45" x14ac:dyDescent="0.15">
      <c r="B122" s="8">
        <f>[1]节奏总纲!N122</f>
        <v>129</v>
      </c>
      <c r="C122" s="8">
        <v>119</v>
      </c>
      <c r="D122" s="8">
        <f>[1]节奏总纲!P122</f>
        <v>3820.7031333347636</v>
      </c>
      <c r="E122" s="8">
        <f>[1]节奏总纲!Q122</f>
        <v>3250.2721555278836</v>
      </c>
      <c r="F122" s="8">
        <f>[1]节奏总纲!R122</f>
        <v>2604.5733259943081</v>
      </c>
      <c r="G122" s="8">
        <f>[1]节奏总纲!S122</f>
        <v>1863.3569181273642</v>
      </c>
      <c r="H122" s="8">
        <f>[1]节奏总纲!T122</f>
        <v>1000.260080307041</v>
      </c>
      <c r="J122" s="8">
        <v>119</v>
      </c>
      <c r="K122" s="8">
        <f>[1]节奏总纲!W122</f>
        <v>255.92802607383555</v>
      </c>
      <c r="L122" s="8">
        <f>[1]节奏总纲!X122</f>
        <v>219.85683684536889</v>
      </c>
      <c r="M122" s="8">
        <f>[1]节奏总纲!Y122</f>
        <v>178.38738799252042</v>
      </c>
      <c r="N122" s="8">
        <f>[1]节奏总纲!Z122</f>
        <v>125.88553084838782</v>
      </c>
      <c r="O122" s="8">
        <f>[1]节奏总纲!AA122</f>
        <v>64.150137140321249</v>
      </c>
      <c r="Q122" s="8">
        <v>119</v>
      </c>
      <c r="R122" s="8">
        <f>[1]节奏总纲!AD122</f>
        <v>69.066704614192943</v>
      </c>
      <c r="S122" s="8">
        <f>[1]节奏总纲!AE122</f>
        <v>71.113087458015798</v>
      </c>
      <c r="T122" s="8">
        <f>[1]节奏总纲!AF122</f>
        <v>74.034200876118248</v>
      </c>
      <c r="U122" s="8">
        <f>[1]节奏总纲!AG122</f>
        <v>78.482224048163502</v>
      </c>
      <c r="V122" s="8">
        <f>[1]节奏总纲!AH122</f>
        <v>87.436975567505186</v>
      </c>
      <c r="AN122" s="8">
        <v>119</v>
      </c>
      <c r="AO122" s="8">
        <f>[1]节奏总纲!BA122</f>
        <v>39.196263487645254</v>
      </c>
      <c r="AP122" s="8">
        <f>[1]节奏总纲!BB122</f>
        <v>40.693460494385022</v>
      </c>
      <c r="AQ122" s="8">
        <f>[1]节奏总纲!BC122</f>
        <v>42.629985469798427</v>
      </c>
      <c r="AR122" s="8">
        <f>[1]节奏总纲!BD122</f>
        <v>45.367112729003608</v>
      </c>
      <c r="AS122" s="8">
        <f>[1]节奏总纲!BE122</f>
        <v>50.072514238398277</v>
      </c>
    </row>
    <row r="123" spans="2:45" x14ac:dyDescent="0.15">
      <c r="B123" s="8">
        <f>[1]节奏总纲!N123</f>
        <v>130</v>
      </c>
      <c r="C123" s="8">
        <v>120</v>
      </c>
      <c r="D123" s="8">
        <f>[1]节奏总纲!P123</f>
        <v>4095</v>
      </c>
      <c r="E123" s="8">
        <f>[1]节奏总纲!Q123</f>
        <v>3486.0735</v>
      </c>
      <c r="F123" s="8">
        <f>[1]节奏总纲!R123</f>
        <v>2791.971</v>
      </c>
      <c r="G123" s="8">
        <f>[1]节奏总纲!S123</f>
        <v>1988.5319999999999</v>
      </c>
      <c r="H123" s="8">
        <f>[1]节奏总纲!T123</f>
        <v>1067.9759999999999</v>
      </c>
      <c r="J123" s="8">
        <v>120</v>
      </c>
      <c r="K123" s="8">
        <f>[1]节奏总纲!W123</f>
        <v>274.29686666523639</v>
      </c>
      <c r="L123" s="8">
        <f>[1]节奏总纲!X123</f>
        <v>235.8013444721164</v>
      </c>
      <c r="M123" s="8">
        <f>[1]节奏总纲!Y123</f>
        <v>187.3976740056919</v>
      </c>
      <c r="N123" s="8">
        <f>[1]节奏总纲!Z123</f>
        <v>125.1750818726357</v>
      </c>
      <c r="O123" s="8">
        <f>[1]节奏总纲!AA123</f>
        <v>67.715919692958892</v>
      </c>
      <c r="Q123" s="8">
        <v>120</v>
      </c>
      <c r="R123" s="8">
        <f>[1]节奏总纲!AD123</f>
        <v>69.18336653741882</v>
      </c>
      <c r="S123" s="8">
        <f>[1]节奏总纲!AE123</f>
        <v>71.230067506391322</v>
      </c>
      <c r="T123" s="8">
        <f>[1]节奏总纲!AF123</f>
        <v>74.149428238300118</v>
      </c>
      <c r="U123" s="8">
        <f>[1]节奏总纲!AG123</f>
        <v>78.608065926757661</v>
      </c>
      <c r="V123" s="8">
        <f>[1]节奏总纲!AH123</f>
        <v>87.571414295961461</v>
      </c>
      <c r="AN123" s="8">
        <v>120</v>
      </c>
      <c r="AO123" s="8">
        <f>[1]节奏总纲!BA123</f>
        <v>39.250296194358178</v>
      </c>
      <c r="AP123" s="8">
        <f>[1]节奏总纲!BB123</f>
        <v>40.751734485509814</v>
      </c>
      <c r="AQ123" s="8">
        <f>[1]节奏总纲!BC123</f>
        <v>42.687840061343536</v>
      </c>
      <c r="AR123" s="8">
        <f>[1]节奏总纲!BD123</f>
        <v>45.422904937058867</v>
      </c>
      <c r="AS123" s="8">
        <f>[1]节奏总纲!BE123</f>
        <v>50.126030281496639</v>
      </c>
    </row>
    <row r="124" spans="2:45" x14ac:dyDescent="0.15">
      <c r="B124" s="8">
        <f>[1]节奏总纲!N124</f>
        <v>131</v>
      </c>
      <c r="C124" s="8">
        <v>121</v>
      </c>
      <c r="D124" s="8">
        <f>[1]节奏总纲!P124</f>
        <v>4388.9841025486576</v>
      </c>
      <c r="E124" s="8">
        <f>[1]节奏总纲!Q124</f>
        <v>3731.5142839868686</v>
      </c>
      <c r="F124" s="8">
        <f>[1]节奏总纲!R124</f>
        <v>2978.8035103997736</v>
      </c>
      <c r="G124" s="8">
        <f>[1]节奏总纲!S124</f>
        <v>2122.0738135822758</v>
      </c>
      <c r="H124" s="8">
        <f>[1]节奏总纲!T124</f>
        <v>1143.3303587139253</v>
      </c>
      <c r="J124" s="8">
        <v>121</v>
      </c>
      <c r="K124" s="8">
        <f>[1]节奏总纲!W124</f>
        <v>293.98410254865757</v>
      </c>
      <c r="L124" s="8">
        <f>[1]节奏总纲!X124</f>
        <v>245.44078398686861</v>
      </c>
      <c r="M124" s="8">
        <f>[1]节奏总纲!Y124</f>
        <v>186.83251039977358</v>
      </c>
      <c r="N124" s="8">
        <f>[1]节奏总纲!Z124</f>
        <v>133.54181358227584</v>
      </c>
      <c r="O124" s="8">
        <f>[1]节奏总纲!AA124</f>
        <v>75.354358713925421</v>
      </c>
      <c r="Q124" s="8">
        <v>121</v>
      </c>
      <c r="R124" s="8">
        <f>[1]节奏总纲!AD124</f>
        <v>69.300028460644711</v>
      </c>
      <c r="S124" s="8">
        <f>[1]节奏总纲!AE124</f>
        <v>71.347047554766846</v>
      </c>
      <c r="T124" s="8">
        <f>[1]节奏总纲!AF124</f>
        <v>74.264655600481987</v>
      </c>
      <c r="U124" s="8">
        <f>[1]节奏总纲!AG124</f>
        <v>78.733907805351805</v>
      </c>
      <c r="V124" s="8">
        <f>[1]节奏总纲!AH124</f>
        <v>87.705853024417735</v>
      </c>
      <c r="AN124" s="8">
        <v>121</v>
      </c>
      <c r="AO124" s="8">
        <f>[1]节奏总纲!BA124</f>
        <v>39.304328901071102</v>
      </c>
      <c r="AP124" s="8">
        <f>[1]节奏总纲!BB124</f>
        <v>40.810008476634607</v>
      </c>
      <c r="AQ124" s="8">
        <f>[1]节奏总纲!BC124</f>
        <v>42.745694652888645</v>
      </c>
      <c r="AR124" s="8">
        <f>[1]节奏总纲!BD124</f>
        <v>45.478697145114126</v>
      </c>
      <c r="AS124" s="8">
        <f>[1]节奏总纲!BE124</f>
        <v>50.179546324595002</v>
      </c>
    </row>
    <row r="125" spans="2:45" x14ac:dyDescent="0.15">
      <c r="B125" s="8">
        <f>[1]节奏总纲!N125</f>
        <v>132</v>
      </c>
      <c r="C125" s="8">
        <v>122</v>
      </c>
      <c r="D125" s="8">
        <f>[1]节奏总纲!P125</f>
        <v>4704.0684620678521</v>
      </c>
      <c r="E125" s="8">
        <f>[1]节奏总纲!Q125</f>
        <v>3989.5204626797454</v>
      </c>
      <c r="F125" s="8">
        <f>[1]节奏总纲!R125</f>
        <v>3183.7135351275219</v>
      </c>
      <c r="G125" s="8">
        <f>[1]节奏总纲!S125</f>
        <v>2271.1242534863591</v>
      </c>
      <c r="H125" s="8">
        <f>[1]节奏总纲!T125</f>
        <v>1223.9986138300551</v>
      </c>
      <c r="J125" s="8">
        <v>122</v>
      </c>
      <c r="K125" s="8">
        <f>[1]节奏总纲!W125</f>
        <v>315.08435951919455</v>
      </c>
      <c r="L125" s="8">
        <f>[1]节奏总纲!X125</f>
        <v>258.0061786928768</v>
      </c>
      <c r="M125" s="8">
        <f>[1]节奏总纲!Y125</f>
        <v>204.91002472774835</v>
      </c>
      <c r="N125" s="8">
        <f>[1]节奏总纲!Z125</f>
        <v>149.05043990408331</v>
      </c>
      <c r="O125" s="8">
        <f>[1]节奏总纲!AA125</f>
        <v>80.668255116129785</v>
      </c>
      <c r="Q125" s="8">
        <v>122</v>
      </c>
      <c r="R125" s="8">
        <f>[1]节奏总纲!AD125</f>
        <v>69.416690383870588</v>
      </c>
      <c r="S125" s="8">
        <f>[1]节奏总纲!AE125</f>
        <v>71.46402760314237</v>
      </c>
      <c r="T125" s="8">
        <f>[1]节奏总纲!AF125</f>
        <v>74.379882962663856</v>
      </c>
      <c r="U125" s="8">
        <f>[1]节奏总纲!AG125</f>
        <v>78.859749683945964</v>
      </c>
      <c r="V125" s="8">
        <f>[1]节奏总纲!AH125</f>
        <v>87.840291752874009</v>
      </c>
      <c r="AN125" s="8">
        <v>122</v>
      </c>
      <c r="AO125" s="8">
        <f>[1]节奏总纲!BA125</f>
        <v>39.358361607784026</v>
      </c>
      <c r="AP125" s="8">
        <f>[1]节奏总纲!BB125</f>
        <v>40.8682824677594</v>
      </c>
      <c r="AQ125" s="8">
        <f>[1]节奏总纲!BC125</f>
        <v>42.803549244433754</v>
      </c>
      <c r="AR125" s="8">
        <f>[1]节奏总纲!BD125</f>
        <v>45.534489353169384</v>
      </c>
      <c r="AS125" s="8">
        <f>[1]节奏总纲!BE125</f>
        <v>50.233062367693357</v>
      </c>
    </row>
    <row r="126" spans="2:45" x14ac:dyDescent="0.15">
      <c r="B126" s="8">
        <f>[1]节奏总纲!N126</f>
        <v>133</v>
      </c>
      <c r="C126" s="8">
        <v>123</v>
      </c>
      <c r="D126" s="8">
        <f>[1]节奏总纲!P126</f>
        <v>5041.7675170607781</v>
      </c>
      <c r="E126" s="8">
        <f>[1]节奏总纲!Q126</f>
        <v>4275.9230312192458</v>
      </c>
      <c r="F126" s="8">
        <f>[1]节奏总纲!R126</f>
        <v>3419.8309068223257</v>
      </c>
      <c r="G126" s="8">
        <f>[1]节奏总纲!S126</f>
        <v>2442.7363620159467</v>
      </c>
      <c r="H126" s="8">
        <f>[1]节奏总纲!T126</f>
        <v>1316.4054987045693</v>
      </c>
      <c r="J126" s="8">
        <v>123</v>
      </c>
      <c r="K126" s="8">
        <f>[1]节奏总纲!W126</f>
        <v>337.69905499292599</v>
      </c>
      <c r="L126" s="8">
        <f>[1]节奏总纲!X126</f>
        <v>286.40256853950041</v>
      </c>
      <c r="M126" s="8">
        <f>[1]节奏总纲!Y126</f>
        <v>236.11737169480375</v>
      </c>
      <c r="N126" s="8">
        <f>[1]节奏总纲!Z126</f>
        <v>171.61210852958766</v>
      </c>
      <c r="O126" s="8">
        <f>[1]节奏总纲!AA126</f>
        <v>92.406884874514162</v>
      </c>
      <c r="Q126" s="8">
        <v>123</v>
      </c>
      <c r="R126" s="8">
        <f>[1]节奏总纲!AD126</f>
        <v>69.533352307096465</v>
      </c>
      <c r="S126" s="8">
        <f>[1]节奏总纲!AE126</f>
        <v>71.581007651517908</v>
      </c>
      <c r="T126" s="8">
        <f>[1]节奏总纲!AF126</f>
        <v>74.495110324845726</v>
      </c>
      <c r="U126" s="8">
        <f>[1]节奏总纲!AG126</f>
        <v>78.985591562540122</v>
      </c>
      <c r="V126" s="8">
        <f>[1]节奏总纲!AH126</f>
        <v>87.974730481330297</v>
      </c>
      <c r="AN126" s="8">
        <v>123</v>
      </c>
      <c r="AO126" s="8">
        <f>[1]节奏总纲!BA126</f>
        <v>39.41239431449695</v>
      </c>
      <c r="AP126" s="8">
        <f>[1]节奏总纲!BB126</f>
        <v>40.926556458884193</v>
      </c>
      <c r="AQ126" s="8">
        <f>[1]节奏总纲!BC126</f>
        <v>42.861403835978855</v>
      </c>
      <c r="AR126" s="8">
        <f>[1]节奏总纲!BD126</f>
        <v>45.590281561224643</v>
      </c>
      <c r="AS126" s="8">
        <f>[1]节奏总纲!BE126</f>
        <v>50.286578410791719</v>
      </c>
    </row>
    <row r="127" spans="2:45" x14ac:dyDescent="0.15">
      <c r="B127" s="8">
        <f>[1]节奏总纲!N127</f>
        <v>134</v>
      </c>
      <c r="C127" s="8">
        <v>124</v>
      </c>
      <c r="D127" s="8">
        <f>[1]节奏总纲!P127</f>
        <v>5403.704402525771</v>
      </c>
      <c r="E127" s="8">
        <f>[1]节奏总纲!Q127</f>
        <v>4591.5276308261473</v>
      </c>
      <c r="F127" s="8">
        <f>[1]节奏总纲!R127</f>
        <v>3671.276771076009</v>
      </c>
      <c r="G127" s="8">
        <f>[1]节奏总纲!S127</f>
        <v>2624.0388578665143</v>
      </c>
      <c r="H127" s="8">
        <f>[1]节奏总纲!T127</f>
        <v>1415.7705534617521</v>
      </c>
      <c r="J127" s="8">
        <v>124</v>
      </c>
      <c r="K127" s="8">
        <f>[1]节奏总纲!W127</f>
        <v>361.93688546499288</v>
      </c>
      <c r="L127" s="8">
        <f>[1]节奏总纲!X127</f>
        <v>315.6045996069015</v>
      </c>
      <c r="M127" s="8">
        <f>[1]节奏总纲!Y127</f>
        <v>251.44586425368334</v>
      </c>
      <c r="N127" s="8">
        <f>[1]节奏总纲!Z127</f>
        <v>181.30249585056754</v>
      </c>
      <c r="O127" s="8">
        <f>[1]节奏总纲!AA127</f>
        <v>99.365054757182861</v>
      </c>
      <c r="Q127" s="8">
        <v>124</v>
      </c>
      <c r="R127" s="8">
        <f>[1]节奏总纲!AD127</f>
        <v>69.650014230322356</v>
      </c>
      <c r="S127" s="8">
        <f>[1]节奏总纲!AE127</f>
        <v>71.697987699893432</v>
      </c>
      <c r="T127" s="8">
        <f>[1]节奏总纲!AF127</f>
        <v>74.610337687027609</v>
      </c>
      <c r="U127" s="8">
        <f>[1]节奏总纲!AG127</f>
        <v>79.104601412347151</v>
      </c>
      <c r="V127" s="8">
        <f>[1]节奏总纲!AH127</f>
        <v>88.109271506528316</v>
      </c>
      <c r="AN127" s="8">
        <v>124</v>
      </c>
      <c r="AO127" s="8">
        <f>[1]节奏总纲!BA127</f>
        <v>39.466427021209874</v>
      </c>
      <c r="AP127" s="8">
        <f>[1]节奏总纲!BB127</f>
        <v>40.984830450008978</v>
      </c>
      <c r="AQ127" s="8">
        <f>[1]节奏总纲!BC127</f>
        <v>42.919258427523964</v>
      </c>
      <c r="AR127" s="8">
        <f>[1]节奏总纲!BD127</f>
        <v>45.646073769279901</v>
      </c>
      <c r="AS127" s="8">
        <f>[1]节奏总纲!BE127</f>
        <v>50.340094453890082</v>
      </c>
    </row>
    <row r="128" spans="2:45" x14ac:dyDescent="0.15">
      <c r="B128" s="8">
        <f>[1]节奏总纲!N128</f>
        <v>135</v>
      </c>
      <c r="C128" s="8">
        <v>125</v>
      </c>
      <c r="D128" s="8">
        <f>[1]节奏总纲!P128</f>
        <v>5791.6187514801986</v>
      </c>
      <c r="E128" s="8">
        <f>[1]节奏总纲!Q128</f>
        <v>4918.821805632133</v>
      </c>
      <c r="F128" s="8">
        <f>[1]节奏总纲!R128</f>
        <v>3940.0382366319791</v>
      </c>
      <c r="G128" s="8">
        <f>[1]节奏总纲!S128</f>
        <v>2816.4641988448207</v>
      </c>
      <c r="H128" s="8">
        <f>[1]节奏总纲!T128</f>
        <v>1509.8750085108877</v>
      </c>
      <c r="J128" s="8">
        <v>125</v>
      </c>
      <c r="K128" s="8">
        <f>[1]节奏总纲!W128</f>
        <v>387.91434895442762</v>
      </c>
      <c r="L128" s="8">
        <f>[1]节奏总纲!X128</f>
        <v>327.29417480598568</v>
      </c>
      <c r="M128" s="8">
        <f>[1]节奏总纲!Y128</f>
        <v>268.76146555597006</v>
      </c>
      <c r="N128" s="8">
        <f>[1]节奏总纲!Z128</f>
        <v>192.42534097830639</v>
      </c>
      <c r="O128" s="8">
        <f>[1]节奏总纲!AA128</f>
        <v>94.104455049135595</v>
      </c>
      <c r="Q128" s="8">
        <v>125</v>
      </c>
      <c r="R128" s="8">
        <f>[1]节奏总纲!AD128</f>
        <v>69.766676153548232</v>
      </c>
      <c r="S128" s="8">
        <f>[1]节奏总纲!AE128</f>
        <v>71.814967748268955</v>
      </c>
      <c r="T128" s="8">
        <f>[1]节奏总纲!AF128</f>
        <v>74.725565049209479</v>
      </c>
      <c r="U128" s="8">
        <f>[1]节奏总纲!AG128</f>
        <v>79.222727875098187</v>
      </c>
      <c r="V128" s="8">
        <f>[1]节奏总纲!AH128</f>
        <v>88.243836210467165</v>
      </c>
      <c r="AN128" s="8">
        <v>125</v>
      </c>
      <c r="AO128" s="8">
        <f>[1]节奏总纲!BA128</f>
        <v>39.520459727922798</v>
      </c>
      <c r="AP128" s="8">
        <f>[1]节奏总纲!BB128</f>
        <v>41.037193447861313</v>
      </c>
      <c r="AQ128" s="8">
        <f>[1]节奏总纲!BC128</f>
        <v>42.977113019069073</v>
      </c>
      <c r="AR128" s="8">
        <f>[1]节奏总纲!BD128</f>
        <v>45.701865977335167</v>
      </c>
      <c r="AS128" s="8">
        <f>[1]节奏总纲!BE128</f>
        <v>50.393610496988437</v>
      </c>
    </row>
    <row r="129" spans="2:45" x14ac:dyDescent="0.15">
      <c r="B129" s="8">
        <f>[1]节奏总纲!N129</f>
        <v>136</v>
      </c>
      <c r="C129" s="8">
        <v>126</v>
      </c>
      <c r="D129" s="8">
        <f>[1]节奏总纲!P129</f>
        <v>6207.3750564265865</v>
      </c>
      <c r="E129" s="8">
        <f>[1]节奏总纲!Q129</f>
        <v>5279.3724854908123</v>
      </c>
      <c r="F129" s="8">
        <f>[1]节奏总纲!R129</f>
        <v>4225.9809384152195</v>
      </c>
      <c r="G129" s="8">
        <f>[1]节奏总纲!S129</f>
        <v>3006.8524773330387</v>
      </c>
      <c r="H129" s="8">
        <f>[1]节奏总纲!T129</f>
        <v>1610.1930896370566</v>
      </c>
      <c r="J129" s="8">
        <v>126</v>
      </c>
      <c r="K129" s="8">
        <f>[1]节奏总纲!W129</f>
        <v>415.7563049463879</v>
      </c>
      <c r="L129" s="8">
        <f>[1]节奏总纲!X129</f>
        <v>360.55067985867936</v>
      </c>
      <c r="M129" s="8">
        <f>[1]节奏总纲!Y129</f>
        <v>285.94270178324041</v>
      </c>
      <c r="N129" s="8">
        <f>[1]节奏总纲!Z129</f>
        <v>190.38827848821802</v>
      </c>
      <c r="O129" s="8">
        <f>[1]节奏总纲!AA129</f>
        <v>100.31808112616886</v>
      </c>
      <c r="Q129" s="8">
        <v>126</v>
      </c>
      <c r="R129" s="8">
        <f>[1]节奏总纲!AD129</f>
        <v>69.883338076774123</v>
      </c>
      <c r="S129" s="8">
        <f>[1]节奏总纲!AE129</f>
        <v>71.931947796644479</v>
      </c>
      <c r="T129" s="8">
        <f>[1]节奏总纲!AF129</f>
        <v>74.840792411391348</v>
      </c>
      <c r="U129" s="8">
        <f>[1]节奏总纲!AG129</f>
        <v>79.340854337849223</v>
      </c>
      <c r="V129" s="8">
        <f>[1]节奏总纲!AH129</f>
        <v>88.378400914406001</v>
      </c>
      <c r="AN129" s="8">
        <v>126</v>
      </c>
      <c r="AO129" s="8">
        <f>[1]节奏总纲!BA129</f>
        <v>39.574492434635722</v>
      </c>
      <c r="AP129" s="8">
        <f>[1]节奏总纲!BB129</f>
        <v>41.087476216725996</v>
      </c>
      <c r="AQ129" s="8">
        <f>[1]节奏总纲!BC129</f>
        <v>43.030177309109042</v>
      </c>
      <c r="AR129" s="8">
        <f>[1]节奏总纲!BD129</f>
        <v>45.757658185390426</v>
      </c>
      <c r="AS129" s="8">
        <f>[1]节奏总纲!BE129</f>
        <v>50.447126540086799</v>
      </c>
    </row>
    <row r="130" spans="2:45" x14ac:dyDescent="0.15">
      <c r="B130" s="8">
        <f>[1]节奏总纲!N130</f>
        <v>137</v>
      </c>
      <c r="C130" s="8">
        <v>127</v>
      </c>
      <c r="D130" s="8">
        <f>[1]节奏总纲!P130</f>
        <v>6652.971630950271</v>
      </c>
      <c r="E130" s="8">
        <f>[1]节奏总纲!Q130</f>
        <v>5658.3523721232059</v>
      </c>
      <c r="F130" s="8">
        <f>[1]节奏总纲!R130</f>
        <v>4508.7188742949984</v>
      </c>
      <c r="G130" s="8">
        <f>[1]节奏总纲!S130</f>
        <v>3203.4058403025556</v>
      </c>
      <c r="H130" s="8">
        <f>[1]节奏总纲!T130</f>
        <v>1719.793166600645</v>
      </c>
      <c r="J130" s="8">
        <v>127</v>
      </c>
      <c r="K130" s="8">
        <f>[1]节奏总纲!W130</f>
        <v>445.59657452368447</v>
      </c>
      <c r="L130" s="8">
        <f>[1]节奏总纲!X130</f>
        <v>378.97988663239357</v>
      </c>
      <c r="M130" s="8">
        <f>[1]节奏总纲!Y130</f>
        <v>282.73793587977889</v>
      </c>
      <c r="N130" s="8">
        <f>[1]节奏总纲!Z130</f>
        <v>196.55336296951691</v>
      </c>
      <c r="O130" s="8">
        <f>[1]节奏总纲!AA130</f>
        <v>109.60007696358844</v>
      </c>
      <c r="Q130" s="8">
        <v>127</v>
      </c>
      <c r="R130" s="8">
        <f>[1]节奏总纲!AD130</f>
        <v>70</v>
      </c>
      <c r="S130" s="8">
        <f>[1]节奏总纲!AE130</f>
        <v>72.047345051940553</v>
      </c>
      <c r="T130" s="8">
        <f>[1]节奏总纲!AF130</f>
        <v>74.956019773573217</v>
      </c>
      <c r="U130" s="8">
        <f>[1]节奏总纲!AG130</f>
        <v>79.458980800600258</v>
      </c>
      <c r="V130" s="8">
        <f>[1]节奏总纲!AH130</f>
        <v>88.51296561834485</v>
      </c>
      <c r="AN130" s="8">
        <v>127</v>
      </c>
      <c r="AO130" s="8">
        <f>[1]节奏总纲!BA130</f>
        <v>39.628525141348646</v>
      </c>
      <c r="AP130" s="8">
        <f>[1]节奏总纲!BB130</f>
        <v>41.137758985590679</v>
      </c>
      <c r="AQ130" s="8">
        <f>[1]节奏总纲!BC130</f>
        <v>43.080106253688569</v>
      </c>
      <c r="AR130" s="8">
        <f>[1]节奏总纲!BD130</f>
        <v>45.813450393445684</v>
      </c>
      <c r="AS130" s="8">
        <f>[1]节奏总纲!BE130</f>
        <v>50.500642583185162</v>
      </c>
    </row>
    <row r="131" spans="2:45" x14ac:dyDescent="0.15">
      <c r="B131" s="8">
        <f>[1]节奏总纲!N131</f>
        <v>138</v>
      </c>
      <c r="C131" s="8">
        <v>128</v>
      </c>
      <c r="D131" s="8">
        <f>[1]节奏总纲!P131</f>
        <v>7130.5502145218443</v>
      </c>
      <c r="E131" s="8">
        <f>[1]节奏总纲!Q131</f>
        <v>6036.010756592741</v>
      </c>
      <c r="F131" s="8">
        <f>[1]节奏总纲!R131</f>
        <v>4805.9908445877236</v>
      </c>
      <c r="G131" s="8">
        <f>[1]节奏总纲!S131</f>
        <v>3419.0988278632244</v>
      </c>
      <c r="H131" s="8">
        <f>[1]节奏总纲!T131</f>
        <v>1838.9689003251838</v>
      </c>
      <c r="J131" s="8">
        <v>128</v>
      </c>
      <c r="K131" s="8">
        <f>[1]节奏总纲!W131</f>
        <v>477.57858357157329</v>
      </c>
      <c r="L131" s="8">
        <f>[1]节奏总纲!X131</f>
        <v>377.65838446953512</v>
      </c>
      <c r="M131" s="8">
        <f>[1]节奏总纲!Y131</f>
        <v>297.2719702927252</v>
      </c>
      <c r="N131" s="8">
        <f>[1]节奏总纲!Z131</f>
        <v>215.69298756066883</v>
      </c>
      <c r="O131" s="8">
        <f>[1]节奏总纲!AA131</f>
        <v>119.17573372453876</v>
      </c>
      <c r="Q131" s="8">
        <v>128</v>
      </c>
      <c r="R131" s="8">
        <f>[1]节奏总纲!AD131</f>
        <v>70.108849423225877</v>
      </c>
      <c r="S131" s="8">
        <f>[1]节奏总纲!AE131</f>
        <v>72.160540850040434</v>
      </c>
      <c r="T131" s="8">
        <f>[1]节奏总纲!AF131</f>
        <v>75.067682921736733</v>
      </c>
      <c r="U131" s="8">
        <f>[1]节奏总纲!AG131</f>
        <v>79.577107263351294</v>
      </c>
      <c r="V131" s="8">
        <f>[1]节奏总纲!AH131</f>
        <v>88.6475303222837</v>
      </c>
      <c r="AN131" s="8">
        <v>128</v>
      </c>
      <c r="AO131" s="8">
        <f>[1]节奏总纲!BA131</f>
        <v>39.68255784806157</v>
      </c>
      <c r="AP131" s="8">
        <f>[1]节奏总纲!BB131</f>
        <v>41.188041754455355</v>
      </c>
      <c r="AQ131" s="8">
        <f>[1]节奏总纲!BC131</f>
        <v>43.130035198268104</v>
      </c>
      <c r="AR131" s="8">
        <f>[1]节奏总纲!BD131</f>
        <v>45.869242601500943</v>
      </c>
      <c r="AS131" s="8">
        <f>[1]节奏总纲!BE131</f>
        <v>50.554158626283517</v>
      </c>
    </row>
    <row r="132" spans="2:45" x14ac:dyDescent="0.15">
      <c r="B132" s="8">
        <f>[1]节奏总纲!N132</f>
        <v>139</v>
      </c>
      <c r="C132" s="8">
        <v>129</v>
      </c>
      <c r="D132" s="8">
        <f>[1]节奏总纲!P132</f>
        <v>7642.4062666695281</v>
      </c>
      <c r="E132" s="8">
        <f>[1]节奏总纲!Q132</f>
        <v>6469.2969047357556</v>
      </c>
      <c r="F132" s="8">
        <f>[1]节奏总纲!R132</f>
        <v>5159.388470628599</v>
      </c>
      <c r="G132" s="8">
        <f>[1]节奏总纲!S132</f>
        <v>3676.7616548947103</v>
      </c>
      <c r="H132" s="8">
        <f>[1]节奏总纲!T132</f>
        <v>1975.5620199340731</v>
      </c>
      <c r="J132" s="8">
        <v>129</v>
      </c>
      <c r="K132" s="8">
        <f>[1]节奏总纲!W132</f>
        <v>511.85605214768384</v>
      </c>
      <c r="L132" s="8">
        <f>[1]节奏总纲!X132</f>
        <v>433.28614814301454</v>
      </c>
      <c r="M132" s="8">
        <f>[1]节奏总纲!Y132</f>
        <v>353.39762604087537</v>
      </c>
      <c r="N132" s="8">
        <f>[1]节奏总纲!Z132</f>
        <v>257.6628270314859</v>
      </c>
      <c r="O132" s="8">
        <f>[1]节奏总纲!AA132</f>
        <v>136.59311960888931</v>
      </c>
      <c r="Q132" s="8">
        <v>129</v>
      </c>
      <c r="R132" s="8">
        <f>[1]节奏总纲!AD132</f>
        <v>70.217698846451768</v>
      </c>
      <c r="S132" s="8">
        <f>[1]节奏总纲!AE132</f>
        <v>72.273736648140314</v>
      </c>
      <c r="T132" s="8">
        <f>[1]节奏总纲!AF132</f>
        <v>75.177145912126889</v>
      </c>
      <c r="U132" s="8">
        <f>[1]节奏总纲!AG132</f>
        <v>79.69523372610233</v>
      </c>
      <c r="V132" s="8">
        <f>[1]节奏总纲!AH132</f>
        <v>88.782095026222549</v>
      </c>
      <c r="AN132" s="8">
        <v>129</v>
      </c>
      <c r="AO132" s="8">
        <f>[1]节奏总纲!BA132</f>
        <v>39.736590554774494</v>
      </c>
      <c r="AP132" s="8">
        <f>[1]节奏总纲!BB132</f>
        <v>41.238324523320038</v>
      </c>
      <c r="AQ132" s="8">
        <f>[1]节奏总纲!BC132</f>
        <v>43.179964142847631</v>
      </c>
      <c r="AR132" s="8">
        <f>[1]节奏总纲!BD132</f>
        <v>45.925034809556202</v>
      </c>
      <c r="AS132" s="8">
        <f>[1]节奏总纲!BE132</f>
        <v>50.607674669381879</v>
      </c>
    </row>
    <row r="133" spans="2:45" x14ac:dyDescent="0.15">
      <c r="B133" s="8">
        <f>[1]节奏总纲!N133</f>
        <v>140</v>
      </c>
      <c r="C133" s="8">
        <v>130</v>
      </c>
      <c r="D133" s="8">
        <f>[1]节奏总纲!P133</f>
        <v>8191</v>
      </c>
      <c r="E133" s="8">
        <f>[1]节奏总纲!Q133</f>
        <v>6941.8725000000004</v>
      </c>
      <c r="F133" s="8">
        <f>[1]节奏总纲!R133</f>
        <v>5542.0306</v>
      </c>
      <c r="G133" s="8">
        <f>[1]节奏总纲!S133</f>
        <v>3951.3384000000001</v>
      </c>
      <c r="H133" s="8">
        <f>[1]节奏总纲!T133</f>
        <v>2124.7454000000002</v>
      </c>
      <c r="J133" s="8">
        <v>130</v>
      </c>
      <c r="K133" s="8">
        <f>[1]节奏总纲!W133</f>
        <v>548.59373333047188</v>
      </c>
      <c r="L133" s="8">
        <f>[1]节奏总纲!X133</f>
        <v>472.57559526424484</v>
      </c>
      <c r="M133" s="8">
        <f>[1]节奏总纲!Y133</f>
        <v>382.6421293714011</v>
      </c>
      <c r="N133" s="8">
        <f>[1]节奏总纲!Z133</f>
        <v>274.57674510528977</v>
      </c>
      <c r="O133" s="8">
        <f>[1]节奏总纲!AA133</f>
        <v>149.18338006592717</v>
      </c>
      <c r="Q133" s="8">
        <v>130</v>
      </c>
      <c r="R133" s="8">
        <f>[1]节奏总纲!AD133</f>
        <v>70.326548269677644</v>
      </c>
      <c r="S133" s="8">
        <f>[1]节奏总纲!AE133</f>
        <v>72.386932446240195</v>
      </c>
      <c r="T133" s="8">
        <f>[1]节奏总纲!AF133</f>
        <v>75.286608902517045</v>
      </c>
      <c r="U133" s="8">
        <f>[1]节奏总纲!AG133</f>
        <v>79.813360188853366</v>
      </c>
      <c r="V133" s="8">
        <f>[1]节奏总纲!AH133</f>
        <v>88.916659730161399</v>
      </c>
      <c r="AN133" s="8">
        <v>130</v>
      </c>
      <c r="AO133" s="8">
        <f>[1]节奏总纲!BA133</f>
        <v>39.790623261487418</v>
      </c>
      <c r="AP133" s="8">
        <f>[1]节奏总纲!BB133</f>
        <v>41.288607292184714</v>
      </c>
      <c r="AQ133" s="8">
        <f>[1]节奏总纲!BC133</f>
        <v>43.229893087427158</v>
      </c>
      <c r="AR133" s="8">
        <f>[1]节奏总纲!BD133</f>
        <v>45.98082701761146</v>
      </c>
      <c r="AS133" s="8">
        <f>[1]节奏总纲!BE133</f>
        <v>50.661190712480241</v>
      </c>
    </row>
    <row r="134" spans="2:45" x14ac:dyDescent="0.15">
      <c r="B134" s="8">
        <f>[1]节奏总纲!N134</f>
        <v>141</v>
      </c>
      <c r="C134" s="8">
        <v>131</v>
      </c>
      <c r="D134" s="8">
        <f>[1]节奏总纲!P134</f>
        <v>8778.9682050973151</v>
      </c>
      <c r="E134" s="8">
        <f>[1]节奏总纲!Q134</f>
        <v>7443.6871411020138</v>
      </c>
      <c r="F134" s="8">
        <f>[1]节奏总纲!R134</f>
        <v>5945.117268491902</v>
      </c>
      <c r="G134" s="8">
        <f>[1]节奏总纲!S134</f>
        <v>4244.6311271645518</v>
      </c>
      <c r="H134" s="8">
        <f>[1]节奏总纲!T134</f>
        <v>2275.5085587612239</v>
      </c>
      <c r="J134" s="8">
        <v>131</v>
      </c>
      <c r="K134" s="8">
        <f>[1]节奏总纲!W134</f>
        <v>587.96820509731515</v>
      </c>
      <c r="L134" s="8">
        <f>[1]节奏总纲!X134</f>
        <v>501.81464110201341</v>
      </c>
      <c r="M134" s="8">
        <f>[1]节奏总纲!Y134</f>
        <v>403.08666849190195</v>
      </c>
      <c r="N134" s="8">
        <f>[1]节奏总纲!Z134</f>
        <v>293.29272716455171</v>
      </c>
      <c r="O134" s="8">
        <f>[1]节奏总纲!AA134</f>
        <v>150.76315876122362</v>
      </c>
      <c r="Q134" s="8">
        <v>131</v>
      </c>
      <c r="R134" s="8">
        <f>[1]节奏总纲!AD134</f>
        <v>70.435397692903535</v>
      </c>
      <c r="S134" s="8">
        <f>[1]节奏总纲!AE134</f>
        <v>72.50012824434009</v>
      </c>
      <c r="T134" s="8">
        <f>[1]节奏总纲!AF134</f>
        <v>75.396071892907202</v>
      </c>
      <c r="U134" s="8">
        <f>[1]节奏总纲!AG134</f>
        <v>79.931486651604402</v>
      </c>
      <c r="V134" s="8">
        <f>[1]节奏总纲!AH134</f>
        <v>89.048420729369383</v>
      </c>
      <c r="AN134" s="8">
        <v>131</v>
      </c>
      <c r="AO134" s="8">
        <f>[1]节奏总纲!BA134</f>
        <v>39.844655968200342</v>
      </c>
      <c r="AP134" s="8">
        <f>[1]节奏总纲!BB134</f>
        <v>41.338890061049398</v>
      </c>
      <c r="AQ134" s="8">
        <f>[1]节奏总纲!BC134</f>
        <v>43.279822032006692</v>
      </c>
      <c r="AR134" s="8">
        <f>[1]节奏总纲!BD134</f>
        <v>46.031609894814238</v>
      </c>
      <c r="AS134" s="8">
        <f>[1]节奏总纲!BE134</f>
        <v>50.714706755578604</v>
      </c>
    </row>
    <row r="135" spans="2:45" x14ac:dyDescent="0.15">
      <c r="B135" s="8">
        <f>[1]节奏总纲!N135</f>
        <v>142</v>
      </c>
      <c r="C135" s="8">
        <v>132</v>
      </c>
      <c r="D135" s="8">
        <f>[1]节奏总纲!P135</f>
        <v>9409.1369241357042</v>
      </c>
      <c r="E135" s="8">
        <f>[1]节奏总纲!Q135</f>
        <v>7983.6526801291457</v>
      </c>
      <c r="F135" s="8">
        <f>[1]节奏总纲!R135</f>
        <v>6385.9812304109018</v>
      </c>
      <c r="G135" s="8">
        <f>[1]节奏总纲!S135</f>
        <v>4544.6131343575453</v>
      </c>
      <c r="H135" s="8">
        <f>[1]节奏总纲!T135</f>
        <v>2431.3209811966663</v>
      </c>
      <c r="J135" s="8">
        <v>132</v>
      </c>
      <c r="K135" s="8">
        <f>[1]节奏总纲!W135</f>
        <v>630.1687190383891</v>
      </c>
      <c r="L135" s="8">
        <f>[1]节奏总纲!X135</f>
        <v>539.96553902713185</v>
      </c>
      <c r="M135" s="8">
        <f>[1]节奏总纲!Y135</f>
        <v>440.86396191899985</v>
      </c>
      <c r="N135" s="8">
        <f>[1]节奏总纲!Z135</f>
        <v>299.98200719299348</v>
      </c>
      <c r="O135" s="8">
        <f>[1]节奏总纲!AA135</f>
        <v>155.81242243544239</v>
      </c>
      <c r="Q135" s="8">
        <v>132</v>
      </c>
      <c r="R135" s="8">
        <f>[1]节奏总纲!AD135</f>
        <v>70.544247116129412</v>
      </c>
      <c r="S135" s="8">
        <f>[1]节奏总纲!AE135</f>
        <v>72.61332404243997</v>
      </c>
      <c r="T135" s="8">
        <f>[1]节奏总纲!AF135</f>
        <v>75.505534883297358</v>
      </c>
      <c r="U135" s="8">
        <f>[1]节奏总纲!AG135</f>
        <v>80.045750258986601</v>
      </c>
      <c r="V135" s="8">
        <f>[1]节奏总纲!AH135</f>
        <v>89.175620204122851</v>
      </c>
      <c r="AN135" s="8">
        <v>132</v>
      </c>
      <c r="AO135" s="8">
        <f>[1]节奏总纲!BA135</f>
        <v>39.898688674913267</v>
      </c>
      <c r="AP135" s="8">
        <f>[1]节奏总纲!BB135</f>
        <v>41.389172829914081</v>
      </c>
      <c r="AQ135" s="8">
        <f>[1]节奏总纲!BC135</f>
        <v>43.329750976586219</v>
      </c>
      <c r="AR135" s="8">
        <f>[1]节奏总纲!BD135</f>
        <v>46.079770001861057</v>
      </c>
      <c r="AS135" s="8">
        <f>[1]节奏总纲!BE135</f>
        <v>50.768222798676959</v>
      </c>
    </row>
    <row r="136" spans="2:45" x14ac:dyDescent="0.15">
      <c r="B136" s="8">
        <f>[1]节奏总纲!N136</f>
        <v>143</v>
      </c>
      <c r="C136" s="8">
        <v>133</v>
      </c>
      <c r="D136" s="8">
        <f>[1]节奏总纲!P136</f>
        <v>10084.535034121556</v>
      </c>
      <c r="E136" s="8">
        <f>[1]节奏总纲!Q136</f>
        <v>8562.7786974726132</v>
      </c>
      <c r="F136" s="8">
        <f>[1]节奏总纲!R136</f>
        <v>6827.2302181002942</v>
      </c>
      <c r="G136" s="8">
        <f>[1]节奏总纲!S136</f>
        <v>4847.6359909022322</v>
      </c>
      <c r="H136" s="8">
        <f>[1]节奏总纲!T136</f>
        <v>2595.759317782889</v>
      </c>
      <c r="J136" s="8">
        <v>133</v>
      </c>
      <c r="K136" s="8">
        <f>[1]节奏总纲!W136</f>
        <v>675.39810998585199</v>
      </c>
      <c r="L136" s="8">
        <f>[1]节奏总纲!X136</f>
        <v>579.12601734346754</v>
      </c>
      <c r="M136" s="8">
        <f>[1]节奏总纲!Y136</f>
        <v>441.24898768939238</v>
      </c>
      <c r="N136" s="8">
        <f>[1]节奏总纲!Z136</f>
        <v>303.02285654468687</v>
      </c>
      <c r="O136" s="8">
        <f>[1]节奏总纲!AA136</f>
        <v>164.4383365862227</v>
      </c>
      <c r="Q136" s="8">
        <v>133</v>
      </c>
      <c r="R136" s="8">
        <f>[1]节奏总纲!AD136</f>
        <v>70.653096539355303</v>
      </c>
      <c r="S136" s="8">
        <f>[1]节奏总纲!AE136</f>
        <v>72.726519840539851</v>
      </c>
      <c r="T136" s="8">
        <f>[1]节奏总纲!AF136</f>
        <v>75.614997873687514</v>
      </c>
      <c r="U136" s="8">
        <f>[1]节奏总纲!AG136</f>
        <v>80.154679447049915</v>
      </c>
      <c r="V136" s="8">
        <f>[1]节奏总纲!AH136</f>
        <v>89.302819678876304</v>
      </c>
      <c r="AN136" s="8">
        <v>133</v>
      </c>
      <c r="AO136" s="8">
        <f>[1]节奏总纲!BA136</f>
        <v>39.952721381626191</v>
      </c>
      <c r="AP136" s="8">
        <f>[1]节奏总纲!BB136</f>
        <v>41.439455598778757</v>
      </c>
      <c r="AQ136" s="8">
        <f>[1]节奏总纲!BC136</f>
        <v>43.379679921165753</v>
      </c>
      <c r="AR136" s="8">
        <f>[1]节奏总纲!BD136</f>
        <v>46.127930108907876</v>
      </c>
      <c r="AS136" s="8">
        <f>[1]节奏总纲!BE136</f>
        <v>50.821738841775321</v>
      </c>
    </row>
    <row r="137" spans="2:45" x14ac:dyDescent="0.15">
      <c r="B137" s="8">
        <f>[1]节奏总纲!N137</f>
        <v>144</v>
      </c>
      <c r="C137" s="8">
        <v>134</v>
      </c>
      <c r="D137" s="8">
        <f>[1]节奏总纲!P137</f>
        <v>10808.408805051544</v>
      </c>
      <c r="E137" s="8">
        <f>[1]节奏总纲!Q137</f>
        <v>9151.4797352371424</v>
      </c>
      <c r="F137" s="8">
        <f>[1]节奏总纲!R137</f>
        <v>7283.7866937242361</v>
      </c>
      <c r="G137" s="8">
        <f>[1]节奏总纲!S137</f>
        <v>5175.0661358586794</v>
      </c>
      <c r="H137" s="8">
        <f>[1]节奏总纲!T137</f>
        <v>2775.5993811372364</v>
      </c>
      <c r="J137" s="8">
        <v>134</v>
      </c>
      <c r="K137" s="8">
        <f>[1]节奏总纲!W137</f>
        <v>723.87377092998759</v>
      </c>
      <c r="L137" s="8">
        <f>[1]节奏总纲!X137</f>
        <v>588.70103776452925</v>
      </c>
      <c r="M137" s="8">
        <f>[1]节奏总纲!Y137</f>
        <v>456.55647562394188</v>
      </c>
      <c r="N137" s="8">
        <f>[1]节奏总纲!Z137</f>
        <v>327.43014495644729</v>
      </c>
      <c r="O137" s="8">
        <f>[1]节奏总纲!AA137</f>
        <v>179.84006335434742</v>
      </c>
      <c r="Q137" s="8">
        <v>134</v>
      </c>
      <c r="R137" s="8">
        <f>[1]节奏总纲!AD137</f>
        <v>70.76194596258118</v>
      </c>
      <c r="S137" s="8">
        <f>[1]节奏总纲!AE137</f>
        <v>72.839715638639731</v>
      </c>
      <c r="T137" s="8">
        <f>[1]节奏总纲!AF137</f>
        <v>75.72446086407767</v>
      </c>
      <c r="U137" s="8">
        <f>[1]节奏总纲!AG137</f>
        <v>80.263608635113243</v>
      </c>
      <c r="V137" s="8">
        <f>[1]节奏总纲!AH137</f>
        <v>89.430019153629758</v>
      </c>
      <c r="AN137" s="8">
        <v>134</v>
      </c>
      <c r="AO137" s="8">
        <f>[1]节奏总纲!BA137</f>
        <v>40.005827399112476</v>
      </c>
      <c r="AP137" s="8">
        <f>[1]节奏总纲!BB137</f>
        <v>41.48973836764344</v>
      </c>
      <c r="AQ137" s="8">
        <f>[1]节奏总纲!BC137</f>
        <v>43.42960886574528</v>
      </c>
      <c r="AR137" s="8">
        <f>[1]节奏总纲!BD137</f>
        <v>46.176090215954694</v>
      </c>
      <c r="AS137" s="8">
        <f>[1]节奏总纲!BE137</f>
        <v>50.875254884873684</v>
      </c>
    </row>
    <row r="138" spans="2:45" x14ac:dyDescent="0.15">
      <c r="B138" s="8">
        <f>[1]节奏总纲!N138</f>
        <v>145</v>
      </c>
      <c r="C138" s="8">
        <v>135</v>
      </c>
      <c r="D138" s="8">
        <f>[1]节奏总纲!P138</f>
        <v>11584.237502960397</v>
      </c>
      <c r="E138" s="8">
        <f>[1]节奏总纲!Q138</f>
        <v>9796.789656253608</v>
      </c>
      <c r="F138" s="8">
        <f>[1]节奏总纲!R138</f>
        <v>7796.1918394923478</v>
      </c>
      <c r="G138" s="8">
        <f>[1]节奏总纲!S138</f>
        <v>5548.8497639180305</v>
      </c>
      <c r="H138" s="8">
        <f>[1]节奏总纲!T138</f>
        <v>2979.465885761414</v>
      </c>
      <c r="J138" s="8">
        <v>135</v>
      </c>
      <c r="K138" s="8">
        <f>[1]节奏总纲!W138</f>
        <v>775.82869790885343</v>
      </c>
      <c r="L138" s="8">
        <f>[1]节奏总纲!X138</f>
        <v>645.30992101646552</v>
      </c>
      <c r="M138" s="8">
        <f>[1]节奏总纲!Y138</f>
        <v>512.40514576811165</v>
      </c>
      <c r="N138" s="8">
        <f>[1]节奏总纲!Z138</f>
        <v>373.78362805935103</v>
      </c>
      <c r="O138" s="8">
        <f>[1]节奏总纲!AA138</f>
        <v>203.86650462417765</v>
      </c>
      <c r="Q138" s="8">
        <v>135</v>
      </c>
      <c r="R138" s="8">
        <f>[1]节奏总纲!AD138</f>
        <v>70.870795385807057</v>
      </c>
      <c r="S138" s="8">
        <f>[1]节奏总纲!AE138</f>
        <v>72.952911436739612</v>
      </c>
      <c r="T138" s="8">
        <f>[1]节奏总纲!AF138</f>
        <v>75.833923854467812</v>
      </c>
      <c r="U138" s="8">
        <f>[1]节奏总纲!AG138</f>
        <v>80.372537823176572</v>
      </c>
      <c r="V138" s="8">
        <f>[1]节奏总纲!AH138</f>
        <v>89.557218628383211</v>
      </c>
      <c r="AN138" s="8">
        <v>135</v>
      </c>
      <c r="AO138" s="8">
        <f>[1]节奏总纲!BA138</f>
        <v>40.052446592012309</v>
      </c>
      <c r="AP138" s="8">
        <f>[1]节奏总纲!BB138</f>
        <v>41.540021136508116</v>
      </c>
      <c r="AQ138" s="8">
        <f>[1]节奏总纲!BC138</f>
        <v>43.479537810324814</v>
      </c>
      <c r="AR138" s="8">
        <f>[1]节奏总纲!BD138</f>
        <v>46.224250323001513</v>
      </c>
      <c r="AS138" s="8">
        <f>[1]节奏总纲!BE138</f>
        <v>50.928770927972039</v>
      </c>
    </row>
    <row r="139" spans="2:45" x14ac:dyDescent="0.15">
      <c r="B139" s="8">
        <f>[1]节奏总纲!N139</f>
        <v>146</v>
      </c>
      <c r="C139" s="8">
        <v>136</v>
      </c>
      <c r="D139" s="8">
        <f>[1]节奏总纲!P139</f>
        <v>12415.750112853173</v>
      </c>
      <c r="E139" s="8">
        <f>[1]节奏总纲!Q139</f>
        <v>10507.449320507641</v>
      </c>
      <c r="F139" s="8">
        <f>[1]节奏总纲!R139</f>
        <v>8384.3560512097483</v>
      </c>
      <c r="G139" s="8">
        <f>[1]节奏总纲!S139</f>
        <v>5967.009504237235</v>
      </c>
      <c r="H139" s="8">
        <f>[1]节奏总纲!T139</f>
        <v>3204.5051041274041</v>
      </c>
      <c r="J139" s="8">
        <v>136</v>
      </c>
      <c r="K139" s="8">
        <f>[1]节奏总纲!W139</f>
        <v>831.5126098927758</v>
      </c>
      <c r="L139" s="8">
        <f>[1]节奏总纲!X139</f>
        <v>710.65966425403349</v>
      </c>
      <c r="M139" s="8">
        <f>[1]节奏总纲!Y139</f>
        <v>588.16421171740058</v>
      </c>
      <c r="N139" s="8">
        <f>[1]节奏总纲!Z139</f>
        <v>418.1597403192045</v>
      </c>
      <c r="O139" s="8">
        <f>[1]节奏总纲!AA139</f>
        <v>225.03921836599011</v>
      </c>
      <c r="Q139" s="8">
        <v>136</v>
      </c>
      <c r="R139" s="8">
        <f>[1]节奏总纲!AD139</f>
        <v>70.979644809032948</v>
      </c>
      <c r="S139" s="8">
        <f>[1]节奏总纲!AE139</f>
        <v>73.059911975288244</v>
      </c>
      <c r="T139" s="8">
        <f>[1]节奏总纲!AF139</f>
        <v>75.943386844857969</v>
      </c>
      <c r="U139" s="8">
        <f>[1]节奏总纲!AG139</f>
        <v>80.4814670112399</v>
      </c>
      <c r="V139" s="8">
        <f>[1]节奏总纲!AH139</f>
        <v>89.684418103136665</v>
      </c>
      <c r="AN139" s="8">
        <v>136</v>
      </c>
      <c r="AO139" s="8">
        <f>[1]节奏总纲!BA139</f>
        <v>40.099065784912149</v>
      </c>
      <c r="AP139" s="8">
        <f>[1]节奏总纲!BB139</f>
        <v>41.590303905372799</v>
      </c>
      <c r="AQ139" s="8">
        <f>[1]节奏总纲!BC139</f>
        <v>43.529466754904341</v>
      </c>
      <c r="AR139" s="8">
        <f>[1]节奏总纲!BD139</f>
        <v>46.272410430048332</v>
      </c>
      <c r="AS139" s="8">
        <f>[1]节奏总纲!BE139</f>
        <v>50.982286971070401</v>
      </c>
    </row>
    <row r="140" spans="2:45" x14ac:dyDescent="0.15">
      <c r="B140" s="8">
        <f>[1]节奏总纲!N140</f>
        <v>147</v>
      </c>
      <c r="C140" s="8">
        <v>137</v>
      </c>
      <c r="D140" s="8">
        <f>[1]节奏总纲!P140</f>
        <v>13306.943261900544</v>
      </c>
      <c r="E140" s="8">
        <f>[1]节奏总纲!Q140</f>
        <v>11274.973025808331</v>
      </c>
      <c r="F140" s="8">
        <f>[1]节奏总纲!R140</f>
        <v>8995.4936450447676</v>
      </c>
      <c r="G140" s="8">
        <f>[1]节奏总纲!S140</f>
        <v>6407.293180605112</v>
      </c>
      <c r="H140" s="8">
        <f>[1]节奏总纲!T140</f>
        <v>3438.5141388751008</v>
      </c>
      <c r="J140" s="8">
        <v>137</v>
      </c>
      <c r="K140" s="8">
        <f>[1]节奏总纲!W140</f>
        <v>891.19314904737075</v>
      </c>
      <c r="L140" s="8">
        <f>[1]节奏总纲!X140</f>
        <v>767.52370530068947</v>
      </c>
      <c r="M140" s="8">
        <f>[1]节奏总纲!Y140</f>
        <v>611.13759383501929</v>
      </c>
      <c r="N140" s="8">
        <f>[1]节奏总纲!Z140</f>
        <v>440.28367636787698</v>
      </c>
      <c r="O140" s="8">
        <f>[1]节奏总纲!AA140</f>
        <v>234.00903474769666</v>
      </c>
      <c r="Q140" s="8">
        <v>137</v>
      </c>
      <c r="R140" s="8">
        <f>[1]节奏总纲!AD140</f>
        <v>71.082568038258202</v>
      </c>
      <c r="S140" s="8">
        <f>[1]节奏总纲!AE140</f>
        <v>73.162499594857536</v>
      </c>
      <c r="T140" s="8">
        <f>[1]节奏总纲!AF140</f>
        <v>76.048210495050611</v>
      </c>
      <c r="U140" s="8">
        <f>[1]节奏总纲!AG140</f>
        <v>80.590396199303228</v>
      </c>
      <c r="V140" s="8">
        <f>[1]节奏总纲!AH140</f>
        <v>89.811617577890132</v>
      </c>
      <c r="AN140" s="8">
        <v>137</v>
      </c>
      <c r="AO140" s="8">
        <f>[1]节奏总纲!BA140</f>
        <v>40.145684977811982</v>
      </c>
      <c r="AP140" s="8">
        <f>[1]节奏总纲!BB140</f>
        <v>41.640586674237483</v>
      </c>
      <c r="AQ140" s="8">
        <f>[1]节奏总纲!BC140</f>
        <v>43.579395699483875</v>
      </c>
      <c r="AR140" s="8">
        <f>[1]节奏总纲!BD140</f>
        <v>46.320570537095151</v>
      </c>
      <c r="AS140" s="8">
        <f>[1]节奏总纲!BE140</f>
        <v>51.030916192165336</v>
      </c>
    </row>
    <row r="141" spans="2:45" x14ac:dyDescent="0.15">
      <c r="B141" s="8">
        <f>[1]节奏总纲!N141</f>
        <v>148</v>
      </c>
      <c r="C141" s="8">
        <v>138</v>
      </c>
      <c r="D141" s="8">
        <f>[1]节奏总纲!P141</f>
        <v>14262.10042904369</v>
      </c>
      <c r="E141" s="8">
        <f>[1]节奏总纲!Q141</f>
        <v>12084.27769352872</v>
      </c>
      <c r="F141" s="8">
        <f>[1]节奏总纲!R141</f>
        <v>9648.3109402480568</v>
      </c>
      <c r="G141" s="8">
        <f>[1]节奏总纲!S141</f>
        <v>6871.4799867132497</v>
      </c>
      <c r="H141" s="8">
        <f>[1]节奏总纲!T141</f>
        <v>3671.064650435846</v>
      </c>
      <c r="J141" s="8">
        <v>138</v>
      </c>
      <c r="K141" s="8">
        <f>[1]节奏总纲!W141</f>
        <v>955.15716714314658</v>
      </c>
      <c r="L141" s="8">
        <f>[1]节奏总纲!X141</f>
        <v>809.30466772038926</v>
      </c>
      <c r="M141" s="8">
        <f>[1]节奏总纲!Y141</f>
        <v>652.81729520328918</v>
      </c>
      <c r="N141" s="8">
        <f>[1]节奏总纲!Z141</f>
        <v>464.18680610813772</v>
      </c>
      <c r="O141" s="8">
        <f>[1]节奏总纲!AA141</f>
        <v>232.55051156074524</v>
      </c>
      <c r="Q141" s="8">
        <v>138</v>
      </c>
      <c r="R141" s="8">
        <f>[1]节奏总纲!AD141</f>
        <v>71.184128141237707</v>
      </c>
      <c r="S141" s="8">
        <f>[1]节奏总纲!AE141</f>
        <v>73.265087214426828</v>
      </c>
      <c r="T141" s="8">
        <f>[1]节奏总纲!AF141</f>
        <v>76.148064447889894</v>
      </c>
      <c r="U141" s="8">
        <f>[1]节奏总纲!AG141</f>
        <v>80.699325387366557</v>
      </c>
      <c r="V141" s="8">
        <f>[1]节奏总纲!AH141</f>
        <v>89.938817052643586</v>
      </c>
      <c r="AN141" s="8">
        <v>138</v>
      </c>
      <c r="AO141" s="8">
        <f>[1]节奏总纲!BA141</f>
        <v>40.192304170711814</v>
      </c>
      <c r="AP141" s="8">
        <f>[1]节奏总纲!BB141</f>
        <v>41.690869443102159</v>
      </c>
      <c r="AQ141" s="8">
        <f>[1]节奏总纲!BC141</f>
        <v>43.629324644063402</v>
      </c>
      <c r="AR141" s="8">
        <f>[1]节奏总纲!BD141</f>
        <v>46.368730644141969</v>
      </c>
      <c r="AS141" s="8">
        <f>[1]节奏总纲!BE141</f>
        <v>51.077127728003028</v>
      </c>
    </row>
    <row r="142" spans="2:45" x14ac:dyDescent="0.15">
      <c r="B142" s="8">
        <f>[1]节奏总纲!N142</f>
        <v>149</v>
      </c>
      <c r="C142" s="8">
        <v>139</v>
      </c>
      <c r="D142" s="8">
        <f>[1]节奏总纲!P142</f>
        <v>15285.812533339058</v>
      </c>
      <c r="E142" s="8">
        <f>[1]节奏总纲!Q142</f>
        <v>12957.783284511519</v>
      </c>
      <c r="F142" s="8">
        <f>[1]节奏总纲!R142</f>
        <v>10342.380760057207</v>
      </c>
      <c r="G142" s="8">
        <f>[1]节奏总纲!S142</f>
        <v>7335.6614347494142</v>
      </c>
      <c r="H142" s="8">
        <f>[1]节奏总纲!T142</f>
        <v>3920.8109148014687</v>
      </c>
      <c r="J142" s="8">
        <v>139</v>
      </c>
      <c r="K142" s="8">
        <f>[1]节奏总纲!W142</f>
        <v>1023.7121042953677</v>
      </c>
      <c r="L142" s="8">
        <f>[1]节奏总纲!X142</f>
        <v>873.50559098279882</v>
      </c>
      <c r="M142" s="8">
        <f>[1]节奏总纲!Y142</f>
        <v>694.06981980915043</v>
      </c>
      <c r="N142" s="8">
        <f>[1]节奏总纲!Z142</f>
        <v>464.18144803616451</v>
      </c>
      <c r="O142" s="8">
        <f>[1]节奏总纲!AA142</f>
        <v>249.74626436562266</v>
      </c>
      <c r="Q142" s="8">
        <v>139</v>
      </c>
      <c r="R142" s="8">
        <f>[1]节奏总纲!AD142</f>
        <v>71.285688244217212</v>
      </c>
      <c r="S142" s="8">
        <f>[1]节奏总纲!AE142</f>
        <v>73.367674833996119</v>
      </c>
      <c r="T142" s="8">
        <f>[1]节奏总纲!AF142</f>
        <v>76.247918400729162</v>
      </c>
      <c r="U142" s="8">
        <f>[1]节奏总纲!AG142</f>
        <v>80.808254575429885</v>
      </c>
      <c r="V142" s="8">
        <f>[1]节奏总纲!AH142</f>
        <v>90.055148444912135</v>
      </c>
      <c r="AN142" s="8">
        <v>139</v>
      </c>
      <c r="AO142" s="8">
        <f>[1]节奏总纲!BA142</f>
        <v>40.238923363611647</v>
      </c>
      <c r="AP142" s="8">
        <f>[1]节奏总纲!BB142</f>
        <v>41.741152211966842</v>
      </c>
      <c r="AQ142" s="8">
        <f>[1]节奏总纲!BC142</f>
        <v>43.679253588642929</v>
      </c>
      <c r="AR142" s="8">
        <f>[1]节奏总纲!BD142</f>
        <v>46.416890751188788</v>
      </c>
      <c r="AS142" s="8">
        <f>[1]节奏总纲!BE142</f>
        <v>51.12333926384072</v>
      </c>
    </row>
    <row r="143" spans="2:45" x14ac:dyDescent="0.15">
      <c r="B143" s="8">
        <f>[1]节奏总纲!N143</f>
        <v>150</v>
      </c>
      <c r="C143" s="8">
        <v>140</v>
      </c>
      <c r="D143" s="8">
        <f>[1]节奏总纲!P143</f>
        <v>16383</v>
      </c>
      <c r="E143" s="8">
        <f>[1]节奏总纲!Q143</f>
        <v>13881.315900000001</v>
      </c>
      <c r="F143" s="8">
        <f>[1]节奏总纲!R143</f>
        <v>11037.2271</v>
      </c>
      <c r="G143" s="8">
        <f>[1]节奏总纲!S143</f>
        <v>7827.7974000000004</v>
      </c>
      <c r="H143" s="8">
        <f>[1]节奏总纲!T143</f>
        <v>4192.4097000000002</v>
      </c>
      <c r="J143" s="8">
        <v>140</v>
      </c>
      <c r="K143" s="8">
        <f>[1]节奏总纲!W143</f>
        <v>1097.1874666609419</v>
      </c>
      <c r="L143" s="8">
        <f>[1]节奏总纲!X143</f>
        <v>923.53261548848241</v>
      </c>
      <c r="M143" s="8">
        <f>[1]节奏总纲!Y143</f>
        <v>694.84633994279284</v>
      </c>
      <c r="N143" s="8">
        <f>[1]节奏总纲!Z143</f>
        <v>492.1359652505862</v>
      </c>
      <c r="O143" s="8">
        <f>[1]节奏总纲!AA143</f>
        <v>271.59878519853146</v>
      </c>
      <c r="Q143" s="8">
        <v>140</v>
      </c>
      <c r="R143" s="8">
        <f>[1]节奏总纲!AD143</f>
        <v>71.387248347196717</v>
      </c>
      <c r="S143" s="8">
        <f>[1]节奏总纲!AE143</f>
        <v>73.470262453565411</v>
      </c>
      <c r="T143" s="8">
        <f>[1]节奏总纲!AF143</f>
        <v>76.347772353568445</v>
      </c>
      <c r="U143" s="8">
        <f>[1]节奏总纲!AG143</f>
        <v>80.917183763493213</v>
      </c>
      <c r="V143" s="8">
        <f>[1]节奏总纲!AH143</f>
        <v>90.16140749098561</v>
      </c>
      <c r="AN143" s="8">
        <v>140</v>
      </c>
      <c r="AO143" s="8">
        <f>[1]节奏总纲!BA143</f>
        <v>40.28554255651148</v>
      </c>
      <c r="AP143" s="8">
        <f>[1]节奏总纲!BB143</f>
        <v>41.791434980831518</v>
      </c>
      <c r="AQ143" s="8">
        <f>[1]节奏总纲!BC143</f>
        <v>43.729182533222463</v>
      </c>
      <c r="AR143" s="8">
        <f>[1]节奏总纲!BD143</f>
        <v>46.465050858235607</v>
      </c>
      <c r="AS143" s="8">
        <f>[1]节奏总纲!BE143</f>
        <v>51.169550799678412</v>
      </c>
    </row>
    <row r="144" spans="2:45" x14ac:dyDescent="0.15">
      <c r="B144" s="8">
        <f>[1]节奏总纲!N144</f>
        <v>151</v>
      </c>
      <c r="C144" s="8">
        <v>141</v>
      </c>
      <c r="D144" s="8">
        <f>[1]节奏总纲!P144</f>
        <v>17558.936410194601</v>
      </c>
      <c r="E144" s="8">
        <f>[1]节奏总纲!Q144</f>
        <v>14839.057160255457</v>
      </c>
      <c r="F144" s="8">
        <f>[1]节奏总纲!R144</f>
        <v>11789.069905804656</v>
      </c>
      <c r="G144" s="8">
        <f>[1]节奏总纲!S144</f>
        <v>8380.8803485858825</v>
      </c>
      <c r="H144" s="8">
        <f>[1]节奏总纲!T144</f>
        <v>4489.820040086759</v>
      </c>
      <c r="J144" s="8">
        <v>141</v>
      </c>
      <c r="K144" s="8">
        <f>[1]节奏总纲!W144</f>
        <v>1175.9364101946012</v>
      </c>
      <c r="L144" s="8">
        <f>[1]节奏总纲!X144</f>
        <v>957.74126025545593</v>
      </c>
      <c r="M144" s="8">
        <f>[1]节奏总纲!Y144</f>
        <v>751.84280580465565</v>
      </c>
      <c r="N144" s="8">
        <f>[1]节奏总纲!Z144</f>
        <v>553.08294858588215</v>
      </c>
      <c r="O144" s="8">
        <f>[1]节奏总纲!AA144</f>
        <v>297.41034008675888</v>
      </c>
      <c r="Q144" s="8">
        <v>141</v>
      </c>
      <c r="R144" s="8">
        <f>[1]节奏总纲!AD144</f>
        <v>71.488808450176208</v>
      </c>
      <c r="S144" s="8">
        <f>[1]节奏总纲!AE144</f>
        <v>73.572850073134703</v>
      </c>
      <c r="T144" s="8">
        <f>[1]节奏总纲!AF144</f>
        <v>76.447626306407713</v>
      </c>
      <c r="U144" s="8">
        <f>[1]节奏总纲!AG144</f>
        <v>81.023848662825003</v>
      </c>
      <c r="V144" s="8">
        <f>[1]节奏总纲!AH144</f>
        <v>90.267666537059071</v>
      </c>
      <c r="AN144" s="8">
        <v>141</v>
      </c>
      <c r="AO144" s="8">
        <f>[1]节奏总纲!BA144</f>
        <v>40.332161749411313</v>
      </c>
      <c r="AP144" s="8">
        <f>[1]节奏总纲!BB144</f>
        <v>41.841717749696201</v>
      </c>
      <c r="AQ144" s="8">
        <f>[1]节奏总纲!BC144</f>
        <v>43.77911147780199</v>
      </c>
      <c r="AR144" s="8">
        <f>[1]节奏总纲!BD144</f>
        <v>46.513210965282425</v>
      </c>
      <c r="AS144" s="8">
        <f>[1]节奏总纲!BE144</f>
        <v>51.215762335516104</v>
      </c>
    </row>
    <row r="145" spans="2:45" x14ac:dyDescent="0.15">
      <c r="B145" s="8">
        <f>[1]节奏总纲!N145</f>
        <v>152</v>
      </c>
      <c r="C145" s="8">
        <v>142</v>
      </c>
      <c r="D145" s="8">
        <f>[1]节奏总纲!P145</f>
        <v>18819.273848271412</v>
      </c>
      <c r="E145" s="8">
        <f>[1]节奏总纲!Q145</f>
        <v>15904.16832917417</v>
      </c>
      <c r="F145" s="8">
        <f>[1]节奏总纲!R145</f>
        <v>12667.253227271489</v>
      </c>
      <c r="G145" s="8">
        <f>[1]节奏总纲!S145</f>
        <v>9003.140609013044</v>
      </c>
      <c r="H145" s="8">
        <f>[1]节奏总纲!T145</f>
        <v>4823.3798873119622</v>
      </c>
      <c r="J145" s="8">
        <v>142</v>
      </c>
      <c r="K145" s="8">
        <f>[1]节奏总纲!W145</f>
        <v>1260.3374380768109</v>
      </c>
      <c r="L145" s="8">
        <f>[1]节奏总纲!X145</f>
        <v>1065.1111689187128</v>
      </c>
      <c r="M145" s="8">
        <f>[1]节奏总纲!Y145</f>
        <v>878.18332146683315</v>
      </c>
      <c r="N145" s="8">
        <f>[1]节奏总纲!Z145</f>
        <v>622.26026042716148</v>
      </c>
      <c r="O145" s="8">
        <f>[1]节奏总纲!AA145</f>
        <v>333.55984722520316</v>
      </c>
      <c r="Q145" s="8">
        <v>142</v>
      </c>
      <c r="R145" s="8">
        <f>[1]节奏总纲!AD145</f>
        <v>71.590368553155713</v>
      </c>
      <c r="S145" s="8">
        <f>[1]节奏总纲!AE145</f>
        <v>73.675437692703994</v>
      </c>
      <c r="T145" s="8">
        <f>[1]节奏总纲!AF145</f>
        <v>76.547480259246996</v>
      </c>
      <c r="U145" s="8">
        <f>[1]节奏总纲!AG145</f>
        <v>81.123332456233015</v>
      </c>
      <c r="V145" s="8">
        <f>[1]节奏总纲!AH145</f>
        <v>90.373925583132547</v>
      </c>
      <c r="AN145" s="8">
        <v>142</v>
      </c>
      <c r="AO145" s="8">
        <f>[1]节奏总纲!BA145</f>
        <v>40.378780942311145</v>
      </c>
      <c r="AP145" s="8">
        <f>[1]节奏总纲!BB145</f>
        <v>41.892000518560877</v>
      </c>
      <c r="AQ145" s="8">
        <f>[1]节奏总纲!BC145</f>
        <v>43.829040422381524</v>
      </c>
      <c r="AR145" s="8">
        <f>[1]节奏总纲!BD145</f>
        <v>46.561371072329244</v>
      </c>
      <c r="AS145" s="8">
        <f>[1]节奏总纲!BE145</f>
        <v>51.261973871353796</v>
      </c>
    </row>
    <row r="146" spans="2:45" x14ac:dyDescent="0.15">
      <c r="B146" s="8">
        <f>[1]节奏总纲!N146</f>
        <v>153</v>
      </c>
      <c r="C146" s="8">
        <v>143</v>
      </c>
      <c r="D146" s="8">
        <f>[1]节奏总纲!P146</f>
        <v>20170.070068243116</v>
      </c>
      <c r="E146" s="8">
        <f>[1]节奏总纲!Q146</f>
        <v>17065.896284740498</v>
      </c>
      <c r="F146" s="8">
        <f>[1]节奏总纲!R146</f>
        <v>13594.62722599586</v>
      </c>
      <c r="G146" s="8">
        <f>[1]节奏总纲!S146</f>
        <v>9669.5315907157492</v>
      </c>
      <c r="H146" s="8">
        <f>[1]节奏总纲!T146</f>
        <v>5185.7250145453054</v>
      </c>
      <c r="J146" s="8">
        <v>143</v>
      </c>
      <c r="K146" s="8">
        <f>[1]节奏总纲!W146</f>
        <v>1350.796219971704</v>
      </c>
      <c r="L146" s="8">
        <f>[1]节奏总纲!X146</f>
        <v>1161.7279555663281</v>
      </c>
      <c r="M146" s="8">
        <f>[1]节奏总纲!Y146</f>
        <v>927.37399872437163</v>
      </c>
      <c r="N146" s="8">
        <f>[1]节奏总纲!Z146</f>
        <v>666.39098170270518</v>
      </c>
      <c r="O146" s="8">
        <f>[1]节奏总纲!AA146</f>
        <v>362.34512723334319</v>
      </c>
      <c r="Q146" s="8">
        <v>143</v>
      </c>
      <c r="R146" s="8">
        <f>[1]节奏总纲!AD146</f>
        <v>71.691928656135218</v>
      </c>
      <c r="S146" s="8">
        <f>[1]节奏总纲!AE146</f>
        <v>73.778025312273286</v>
      </c>
      <c r="T146" s="8">
        <f>[1]节奏总纲!AF146</f>
        <v>76.647334212086264</v>
      </c>
      <c r="U146" s="8">
        <f>[1]节奏总纲!AG146</f>
        <v>81.222816249641028</v>
      </c>
      <c r="V146" s="8">
        <f>[1]节奏总纲!AH146</f>
        <v>90.480184629206022</v>
      </c>
      <c r="AN146" s="8">
        <v>143</v>
      </c>
      <c r="AO146" s="8">
        <f>[1]节奏总纲!BA146</f>
        <v>40.425400135210978</v>
      </c>
      <c r="AP146" s="8">
        <f>[1]节奏总纲!BB146</f>
        <v>41.94228328742556</v>
      </c>
      <c r="AQ146" s="8">
        <f>[1]节奏总纲!BC146</f>
        <v>43.878969366961051</v>
      </c>
      <c r="AR146" s="8">
        <f>[1]节奏总纲!BD146</f>
        <v>46.609531179376063</v>
      </c>
      <c r="AS146" s="8">
        <f>[1]节奏总纲!BE146</f>
        <v>51.308185407191495</v>
      </c>
    </row>
    <row r="147" spans="2:45" x14ac:dyDescent="0.15">
      <c r="B147" s="8">
        <f>[1]节奏总纲!N147</f>
        <v>154</v>
      </c>
      <c r="C147" s="8">
        <v>144</v>
      </c>
      <c r="D147" s="8">
        <f>[1]节奏总纲!P147</f>
        <v>21617.817610103088</v>
      </c>
      <c r="E147" s="8">
        <f>[1]节奏总纲!Q147</f>
        <v>18290.835479908223</v>
      </c>
      <c r="F147" s="8">
        <f>[1]节奏总纲!R147</f>
        <v>14585.541541536553</v>
      </c>
      <c r="G147" s="8">
        <f>[1]节奏总纲!S147</f>
        <v>10380.876016371503</v>
      </c>
      <c r="H147" s="8">
        <f>[1]节奏总纲!T147</f>
        <v>5547.1319987524521</v>
      </c>
      <c r="J147" s="8">
        <v>144</v>
      </c>
      <c r="K147" s="8">
        <f>[1]节奏总纲!W147</f>
        <v>1447.7475418599715</v>
      </c>
      <c r="L147" s="8">
        <f>[1]节奏总纲!X147</f>
        <v>1224.9391951677244</v>
      </c>
      <c r="M147" s="8">
        <f>[1]节奏总纲!Y147</f>
        <v>990.91431554069277</v>
      </c>
      <c r="N147" s="8">
        <f>[1]节奏总纲!Z147</f>
        <v>711.34442565575409</v>
      </c>
      <c r="O147" s="8">
        <f>[1]节奏总纲!AA147</f>
        <v>361.40698420714671</v>
      </c>
      <c r="Q147" s="8">
        <v>144</v>
      </c>
      <c r="R147" s="8">
        <f>[1]节奏总纲!AD147</f>
        <v>71.793488759114723</v>
      </c>
      <c r="S147" s="8">
        <f>[1]节奏总纲!AE147</f>
        <v>73.880612931842577</v>
      </c>
      <c r="T147" s="8">
        <f>[1]节奏总纲!AF147</f>
        <v>76.747188164925547</v>
      </c>
      <c r="U147" s="8">
        <f>[1]节奏总纲!AG147</f>
        <v>81.322300043049054</v>
      </c>
      <c r="V147" s="8">
        <f>[1]节奏总纲!AH147</f>
        <v>90.586443675279497</v>
      </c>
      <c r="AN147" s="8">
        <v>144</v>
      </c>
      <c r="AO147" s="8">
        <f>[1]节奏总纲!BA147</f>
        <v>40.472019328110811</v>
      </c>
      <c r="AP147" s="8">
        <f>[1]节奏总纲!BB147</f>
        <v>41.992566056290244</v>
      </c>
      <c r="AQ147" s="8">
        <f>[1]节奏总纲!BC147</f>
        <v>43.928898311540586</v>
      </c>
      <c r="AR147" s="8">
        <f>[1]节奏总纲!BD147</f>
        <v>46.657691286422882</v>
      </c>
      <c r="AS147" s="8">
        <f>[1]节奏总纲!BE147</f>
        <v>51.354396943029187</v>
      </c>
    </row>
    <row r="148" spans="2:45" x14ac:dyDescent="0.15">
      <c r="B148" s="8">
        <f>[1]节奏总纲!N148</f>
        <v>155</v>
      </c>
      <c r="C148" s="8">
        <v>145</v>
      </c>
      <c r="D148" s="8">
        <f>[1]节奏总纲!P148</f>
        <v>23169.475005920798</v>
      </c>
      <c r="E148" s="8">
        <f>[1]节奏总纲!Q148</f>
        <v>19631.496172516694</v>
      </c>
      <c r="F148" s="8">
        <f>[1]节奏总纲!R148</f>
        <v>15650.9803664995</v>
      </c>
      <c r="G148" s="8">
        <f>[1]节奏总纲!S148</f>
        <v>11105.129370337838</v>
      </c>
      <c r="H148" s="8">
        <f>[1]节奏总纲!T148</f>
        <v>5926.7517065145412</v>
      </c>
      <c r="J148" s="8">
        <v>145</v>
      </c>
      <c r="K148" s="8">
        <f>[1]节奏总纲!W148</f>
        <v>1551.6573958177105</v>
      </c>
      <c r="L148" s="8">
        <f>[1]节奏总纲!X148</f>
        <v>1340.6606926084714</v>
      </c>
      <c r="M148" s="8">
        <f>[1]节奏总纲!Y148</f>
        <v>1065.4388249629465</v>
      </c>
      <c r="N148" s="8">
        <f>[1]节奏总纲!Z148</f>
        <v>724.25335396633454</v>
      </c>
      <c r="O148" s="8">
        <f>[1]节奏总纲!AA148</f>
        <v>379.61970776208909</v>
      </c>
      <c r="Q148" s="8">
        <v>145</v>
      </c>
      <c r="R148" s="8">
        <f>[1]节奏总纲!AD148</f>
        <v>71.895048862094214</v>
      </c>
      <c r="S148" s="8">
        <f>[1]节奏总纲!AE148</f>
        <v>73.983200551411869</v>
      </c>
      <c r="T148" s="8">
        <f>[1]节奏总纲!AF148</f>
        <v>76.847042117764815</v>
      </c>
      <c r="U148" s="8">
        <f>[1]节奏总纲!AG148</f>
        <v>81.421783836457067</v>
      </c>
      <c r="V148" s="8">
        <f>[1]节奏总纲!AH148</f>
        <v>90.692702721352973</v>
      </c>
      <c r="AN148" s="8">
        <v>145</v>
      </c>
      <c r="AO148" s="8">
        <f>[1]节奏总纲!BA148</f>
        <v>40.518638521010651</v>
      </c>
      <c r="AP148" s="8">
        <f>[1]节奏总纲!BB148</f>
        <v>42.036975906461073</v>
      </c>
      <c r="AQ148" s="8">
        <f>[1]节奏总纲!BC148</f>
        <v>43.978827256120113</v>
      </c>
      <c r="AR148" s="8">
        <f>[1]节奏总纲!BD148</f>
        <v>46.7058513934697</v>
      </c>
      <c r="AS148" s="8">
        <f>[1]节奏总纲!BE148</f>
        <v>51.400608478866879</v>
      </c>
    </row>
    <row r="149" spans="2:45" x14ac:dyDescent="0.15">
      <c r="B149" s="8">
        <f>[1]节奏总纲!N149</f>
        <v>156</v>
      </c>
      <c r="C149" s="8">
        <v>146</v>
      </c>
      <c r="D149" s="8">
        <f>[1]节奏总纲!P149</f>
        <v>24832.50022570635</v>
      </c>
      <c r="E149" s="8">
        <f>[1]节奏总纲!Q149</f>
        <v>21035.61094119585</v>
      </c>
      <c r="F149" s="8">
        <f>[1]节奏总纲!R149</f>
        <v>16719.722401968087</v>
      </c>
      <c r="G149" s="8">
        <f>[1]节奏总纲!S149</f>
        <v>11847.5858576845</v>
      </c>
      <c r="H149" s="8">
        <f>[1]节奏总纲!T149</f>
        <v>6324.8378074874072</v>
      </c>
      <c r="J149" s="8">
        <v>146</v>
      </c>
      <c r="K149" s="8">
        <f>[1]节奏总纲!W149</f>
        <v>1663.0252197855516</v>
      </c>
      <c r="L149" s="8">
        <f>[1]节奏总纲!X149</f>
        <v>1404.1147686791555</v>
      </c>
      <c r="M149" s="8">
        <f>[1]节奏总纲!Y149</f>
        <v>1068.7420354685873</v>
      </c>
      <c r="N149" s="8">
        <f>[1]节奏总纲!Z149</f>
        <v>742.45648734666247</v>
      </c>
      <c r="O149" s="8">
        <f>[1]节奏总纲!AA149</f>
        <v>398.08610097286601</v>
      </c>
      <c r="Q149" s="8">
        <v>146</v>
      </c>
      <c r="R149" s="8">
        <f>[1]节奏总纲!AD149</f>
        <v>71.996608965073719</v>
      </c>
      <c r="S149" s="8">
        <f>[1]节奏总纲!AE149</f>
        <v>74.078973000522922</v>
      </c>
      <c r="T149" s="8">
        <f>[1]节奏总纲!AF149</f>
        <v>76.946896070604097</v>
      </c>
      <c r="U149" s="8">
        <f>[1]节奏总纲!AG149</f>
        <v>81.521267629865079</v>
      </c>
      <c r="V149" s="8">
        <f>[1]节奏总纲!AH149</f>
        <v>90.798961767426448</v>
      </c>
      <c r="AN149" s="8">
        <v>146</v>
      </c>
      <c r="AO149" s="8">
        <f>[1]节奏总纲!BA149</f>
        <v>40.565257713910484</v>
      </c>
      <c r="AP149" s="8">
        <f>[1]节奏总纲!BB149</f>
        <v>42.080366850119908</v>
      </c>
      <c r="AQ149" s="8">
        <f>[1]节奏总纲!BC149</f>
        <v>44.024818750237806</v>
      </c>
      <c r="AR149" s="8">
        <f>[1]节奏总纲!BD149</f>
        <v>46.754011500516519</v>
      </c>
      <c r="AS149" s="8">
        <f>[1]节奏总纲!BE149</f>
        <v>51.446820014704571</v>
      </c>
    </row>
    <row r="150" spans="2:45" x14ac:dyDescent="0.15">
      <c r="B150" s="8">
        <f>[1]节奏总纲!N150</f>
        <v>157</v>
      </c>
      <c r="C150" s="8">
        <v>147</v>
      </c>
      <c r="D150" s="8">
        <f>[1]节奏总纲!P150</f>
        <v>26614.886523801088</v>
      </c>
      <c r="E150" s="8">
        <f>[1]节奏总纲!Q150</f>
        <v>22470.948692045258</v>
      </c>
      <c r="F150" s="8">
        <f>[1]节奏总纲!R150</f>
        <v>17837.296948251489</v>
      </c>
      <c r="G150" s="8">
        <f>[1]节奏总纲!S150</f>
        <v>12631.425144195997</v>
      </c>
      <c r="H150" s="8">
        <f>[1]节奏总纲!T150</f>
        <v>6754.8581997407164</v>
      </c>
      <c r="J150" s="8">
        <v>147</v>
      </c>
      <c r="K150" s="8">
        <f>[1]节奏总纲!W150</f>
        <v>1782.3862980947379</v>
      </c>
      <c r="L150" s="8">
        <f>[1]节奏总纲!X150</f>
        <v>1435.3377508494086</v>
      </c>
      <c r="M150" s="8">
        <f>[1]节奏总纲!Y150</f>
        <v>1117.574546283402</v>
      </c>
      <c r="N150" s="8">
        <f>[1]节奏总纲!Z150</f>
        <v>783.83928651149654</v>
      </c>
      <c r="O150" s="8">
        <f>[1]节奏总纲!AA150</f>
        <v>430.02039225330918</v>
      </c>
      <c r="Q150" s="8">
        <v>147</v>
      </c>
      <c r="R150" s="8">
        <f>[1]节奏总纲!AD150</f>
        <v>72.091594979242075</v>
      </c>
      <c r="S150" s="8">
        <f>[1]节奏总纲!AE150</f>
        <v>74.173410870467364</v>
      </c>
      <c r="T150" s="8">
        <f>[1]节奏总纲!AF150</f>
        <v>77.043751281705866</v>
      </c>
      <c r="U150" s="8">
        <f>[1]节奏总纲!AG150</f>
        <v>81.620751423273092</v>
      </c>
      <c r="V150" s="8">
        <f>[1]节奏总纲!AH150</f>
        <v>90.905220813499923</v>
      </c>
      <c r="AN150" s="8">
        <v>147</v>
      </c>
      <c r="AO150" s="8">
        <f>[1]节奏总纲!BA150</f>
        <v>40.611876906810316</v>
      </c>
      <c r="AP150" s="8">
        <f>[1]节奏总纲!BB150</f>
        <v>42.123757793778736</v>
      </c>
      <c r="AQ150" s="8">
        <f>[1]节奏总纲!BC150</f>
        <v>44.067911160744309</v>
      </c>
      <c r="AR150" s="8">
        <f>[1]节奏总纲!BD150</f>
        <v>46.802171607563338</v>
      </c>
      <c r="AS150" s="8">
        <f>[1]节奏总纲!BE150</f>
        <v>51.493031550542263</v>
      </c>
    </row>
    <row r="151" spans="2:45" x14ac:dyDescent="0.15">
      <c r="B151" s="8">
        <f>[1]节奏总纲!N151</f>
        <v>158</v>
      </c>
      <c r="C151" s="8">
        <v>148</v>
      </c>
      <c r="D151" s="8">
        <f>[1]节奏总纲!P151</f>
        <v>28525.200858087381</v>
      </c>
      <c r="E151" s="8">
        <f>[1]节奏总纲!Q151</f>
        <v>24083.827084483179</v>
      </c>
      <c r="F151" s="8">
        <f>[1]节奏总纲!R151</f>
        <v>19128.999695433398</v>
      </c>
      <c r="G151" s="8">
        <f>[1]节奏总纲!S151</f>
        <v>13566.58552810636</v>
      </c>
      <c r="H151" s="8">
        <f>[1]节奏总纲!T151</f>
        <v>7242.5484978683862</v>
      </c>
      <c r="J151" s="8">
        <v>148</v>
      </c>
      <c r="K151" s="8">
        <f>[1]节奏总纲!W151</f>
        <v>1910.3143342862932</v>
      </c>
      <c r="L151" s="8">
        <f>[1]节奏总纲!X151</f>
        <v>1612.8783924379204</v>
      </c>
      <c r="M151" s="8">
        <f>[1]节奏总纲!Y151</f>
        <v>1291.7027471819092</v>
      </c>
      <c r="N151" s="8">
        <f>[1]节奏总纲!Z151</f>
        <v>935.16038391036273</v>
      </c>
      <c r="O151" s="8">
        <f>[1]节奏总纲!AA151</f>
        <v>487.69029812766985</v>
      </c>
      <c r="Q151" s="8">
        <v>148</v>
      </c>
      <c r="R151" s="8">
        <f>[1]节奏总纲!AD151</f>
        <v>72.186353905945822</v>
      </c>
      <c r="S151" s="8">
        <f>[1]节奏总纲!AE151</f>
        <v>74.267848740411821</v>
      </c>
      <c r="T151" s="8">
        <f>[1]节奏总纲!AF151</f>
        <v>77.137200185007629</v>
      </c>
      <c r="U151" s="8">
        <f>[1]节奏总纲!AG151</f>
        <v>81.720235216681118</v>
      </c>
      <c r="V151" s="8">
        <f>[1]节奏总纲!AH151</f>
        <v>91.011076811620597</v>
      </c>
      <c r="AN151" s="8">
        <v>148</v>
      </c>
      <c r="AO151" s="8">
        <f>[1]节奏总纲!BA151</f>
        <v>40.658496099710149</v>
      </c>
      <c r="AP151" s="8">
        <f>[1]节奏总纲!BB151</f>
        <v>42.167148737437564</v>
      </c>
      <c r="AQ151" s="8">
        <f>[1]节奏总纲!BC151</f>
        <v>44.111003571250812</v>
      </c>
      <c r="AR151" s="8">
        <f>[1]节奏总纲!BD151</f>
        <v>46.850331714610157</v>
      </c>
      <c r="AS151" s="8">
        <f>[1]节奏总纲!BE151</f>
        <v>51.539243086379955</v>
      </c>
    </row>
    <row r="152" spans="2:45" x14ac:dyDescent="0.15">
      <c r="B152" s="8">
        <f>[1]节奏总纲!N152</f>
        <v>159</v>
      </c>
      <c r="C152" s="8">
        <v>149</v>
      </c>
      <c r="D152" s="8">
        <f>[1]节奏总纲!P152</f>
        <v>30572.62506667812</v>
      </c>
      <c r="E152" s="8">
        <f>[1]节奏总纲!Q152</f>
        <v>25818.581868809673</v>
      </c>
      <c r="F152" s="8">
        <f>[1]节奏总纲!R152</f>
        <v>20520.345944754354</v>
      </c>
      <c r="G152" s="8">
        <f>[1]节奏总纲!S152</f>
        <v>14549.512269232117</v>
      </c>
      <c r="H152" s="8">
        <f>[1]节奏总纲!T152</f>
        <v>7768.50402944291</v>
      </c>
      <c r="J152" s="8">
        <v>149</v>
      </c>
      <c r="K152" s="8">
        <f>[1]节奏总纲!W152</f>
        <v>2047.424208590739</v>
      </c>
      <c r="L152" s="8">
        <f>[1]节奏总纲!X152</f>
        <v>1734.7547843264947</v>
      </c>
      <c r="M152" s="8">
        <f>[1]节奏总纲!Y152</f>
        <v>1391.3462493209554</v>
      </c>
      <c r="N152" s="8">
        <f>[1]节奏总纲!Z152</f>
        <v>982.92674112575696</v>
      </c>
      <c r="O152" s="8">
        <f>[1]节奏总纲!AA152</f>
        <v>525.95553157452377</v>
      </c>
      <c r="Q152" s="8">
        <v>149</v>
      </c>
      <c r="R152" s="8">
        <f>[1]节奏总纲!AD152</f>
        <v>72.281112832649583</v>
      </c>
      <c r="S152" s="8">
        <f>[1]节奏总纲!AE152</f>
        <v>74.362286610356264</v>
      </c>
      <c r="T152" s="8">
        <f>[1]节奏总纲!AF152</f>
        <v>77.230649088309391</v>
      </c>
      <c r="U152" s="8">
        <f>[1]节奏总纲!AG152</f>
        <v>81.819719010089131</v>
      </c>
      <c r="V152" s="8">
        <f>[1]节奏总纲!AH152</f>
        <v>91.113605194377854</v>
      </c>
      <c r="AN152" s="8">
        <v>149</v>
      </c>
      <c r="AO152" s="8">
        <f>[1]节奏总纲!BA152</f>
        <v>40.705115292609982</v>
      </c>
      <c r="AP152" s="8">
        <f>[1]节奏总纲!BB152</f>
        <v>42.2105396810964</v>
      </c>
      <c r="AQ152" s="8">
        <f>[1]节奏总纲!BC152</f>
        <v>44.154095981757315</v>
      </c>
      <c r="AR152" s="8">
        <f>[1]节奏总纲!BD152</f>
        <v>46.898491821656968</v>
      </c>
      <c r="AS152" s="8">
        <f>[1]节奏总纲!BE152</f>
        <v>51.585454622217647</v>
      </c>
    </row>
    <row r="153" spans="2:45" x14ac:dyDescent="0.15">
      <c r="B153" s="8">
        <f>[1]节奏总纲!N153</f>
        <v>160</v>
      </c>
      <c r="C153" s="8">
        <v>150</v>
      </c>
      <c r="D153" s="8">
        <f>[1]节奏总纲!P153</f>
        <v>32767</v>
      </c>
      <c r="E153" s="8">
        <f>[1]节奏总纲!Q153</f>
        <v>27671.731500000002</v>
      </c>
      <c r="F153" s="8">
        <f>[1]节奏总纲!R153</f>
        <v>21996.487099999998</v>
      </c>
      <c r="G153" s="8">
        <f>[1]节奏总纲!S153</f>
        <v>15603.645400000001</v>
      </c>
      <c r="H153" s="8">
        <f>[1]节奏总纲!T153</f>
        <v>8355.5850000000009</v>
      </c>
      <c r="J153" s="8">
        <v>150</v>
      </c>
      <c r="K153" s="8">
        <f>[1]节奏总纲!W153</f>
        <v>2194.3749333218802</v>
      </c>
      <c r="L153" s="8">
        <f>[1]节奏总纲!X153</f>
        <v>1853.1496311903284</v>
      </c>
      <c r="M153" s="8">
        <f>[1]节奏总纲!Y153</f>
        <v>1476.1411552456448</v>
      </c>
      <c r="N153" s="8">
        <f>[1]节奏总纲!Z153</f>
        <v>1054.1331307678847</v>
      </c>
      <c r="O153" s="8">
        <f>[1]节奏总纲!AA153</f>
        <v>587.08097055709095</v>
      </c>
      <c r="Q153" s="8">
        <v>150</v>
      </c>
      <c r="R153" s="8">
        <f>[1]节奏总纲!AD153</f>
        <v>72.375871759353331</v>
      </c>
      <c r="S153" s="8">
        <f>[1]节奏总纲!AE153</f>
        <v>74.456724480300707</v>
      </c>
      <c r="T153" s="8">
        <f>[1]节奏总纲!AF153</f>
        <v>77.324097991611154</v>
      </c>
      <c r="U153" s="8">
        <f>[1]节奏总纲!AG153</f>
        <v>81.919202803497143</v>
      </c>
      <c r="V153" s="8">
        <f>[1]节奏总纲!AH153</f>
        <v>91.216133577135096</v>
      </c>
      <c r="AN153" s="8">
        <v>150</v>
      </c>
      <c r="AO153" s="8">
        <f>[1]节奏总纲!BA153</f>
        <v>40.751734485509814</v>
      </c>
      <c r="AP153" s="8">
        <f>[1]节奏总纲!BB153</f>
        <v>42.253930624755228</v>
      </c>
      <c r="AQ153" s="8">
        <f>[1]节奏总纲!BC153</f>
        <v>44.197188392263818</v>
      </c>
      <c r="AR153" s="8">
        <f>[1]节奏总纲!BD153</f>
        <v>46.946651928703787</v>
      </c>
      <c r="AS153" s="8">
        <f>[1]节奏总纲!BE153</f>
        <v>51.631666158055346</v>
      </c>
    </row>
    <row r="154" spans="2:45" x14ac:dyDescent="0.15">
      <c r="B154" s="8">
        <f>[1]节奏总纲!N154</f>
        <v>161</v>
      </c>
      <c r="C154" s="8">
        <v>151</v>
      </c>
      <c r="D154" s="8">
        <f>[1]节奏总纲!P154</f>
        <v>35118.87282038921</v>
      </c>
      <c r="E154" s="8">
        <f>[1]节奏总纲!Q154</f>
        <v>29671.935645946844</v>
      </c>
      <c r="F154" s="8">
        <f>[1]节奏总纲!R154</f>
        <v>23592.858760737468</v>
      </c>
      <c r="G154" s="8">
        <f>[1]节奏总纲!S154</f>
        <v>16804.380644556237</v>
      </c>
      <c r="H154" s="8">
        <f>[1]节奏总纲!T154</f>
        <v>9095.7880604808051</v>
      </c>
      <c r="J154" s="8">
        <v>151</v>
      </c>
      <c r="K154" s="8">
        <f>[1]节奏总纲!W154</f>
        <v>2351.8728203892097</v>
      </c>
      <c r="L154" s="8">
        <f>[1]节奏总纲!X154</f>
        <v>2000.2041459468419</v>
      </c>
      <c r="M154" s="8">
        <f>[1]节奏总纲!Y154</f>
        <v>1596.3716607374699</v>
      </c>
      <c r="N154" s="8">
        <f>[1]节奏总纲!Z154</f>
        <v>1200.7352445562356</v>
      </c>
      <c r="O154" s="8">
        <f>[1]节奏总纲!AA154</f>
        <v>740.2030604808042</v>
      </c>
      <c r="Q154" s="8">
        <v>151</v>
      </c>
      <c r="R154" s="8">
        <f>[1]节奏总纲!AD154</f>
        <v>72.470630686057078</v>
      </c>
      <c r="S154" s="8">
        <f>[1]节奏总纲!AE154</f>
        <v>74.551162350245164</v>
      </c>
      <c r="T154" s="8">
        <f>[1]节奏总纲!AF154</f>
        <v>77.417546894912917</v>
      </c>
      <c r="U154" s="8">
        <f>[1]节奏总纲!AG154</f>
        <v>82.01744549958407</v>
      </c>
      <c r="V154" s="8">
        <f>[1]节奏总纲!AH154</f>
        <v>91.318661959892353</v>
      </c>
      <c r="AN154" s="8">
        <v>151</v>
      </c>
      <c r="AO154" s="8">
        <f>[1]节奏总纲!BA154</f>
        <v>40.798353678409647</v>
      </c>
      <c r="AP154" s="8">
        <f>[1]节奏总纲!BB154</f>
        <v>42.297321568414056</v>
      </c>
      <c r="AQ154" s="8">
        <f>[1]节奏总纲!BC154</f>
        <v>44.240280802770329</v>
      </c>
      <c r="AR154" s="8">
        <f>[1]节奏总纲!BD154</f>
        <v>46.994812035750606</v>
      </c>
      <c r="AS154" s="8">
        <f>[1]节奏总纲!BE154</f>
        <v>51.677877693893038</v>
      </c>
    </row>
    <row r="155" spans="2:45" x14ac:dyDescent="0.15">
      <c r="B155" s="8">
        <f>[1]节奏总纲!N155</f>
        <v>162</v>
      </c>
      <c r="C155" s="8">
        <v>152</v>
      </c>
      <c r="D155" s="8">
        <f>[1]节奏总纲!P155</f>
        <v>37639.547696542824</v>
      </c>
      <c r="E155" s="8">
        <f>[1]节奏总纲!Q155</f>
        <v>31794.125939269725</v>
      </c>
      <c r="F155" s="8">
        <f>[1]节奏总纲!R155</f>
        <v>25425.514469014677</v>
      </c>
      <c r="G155" s="8">
        <f>[1]节奏总纲!S155</f>
        <v>18255.180632823271</v>
      </c>
      <c r="H155" s="8">
        <f>[1]节奏总纲!T155</f>
        <v>14114.830386203559</v>
      </c>
      <c r="J155" s="8">
        <v>152</v>
      </c>
      <c r="K155" s="8">
        <f>[1]节奏总纲!W155</f>
        <v>2520.6748761536146</v>
      </c>
      <c r="L155" s="8">
        <f>[1]节奏总纲!X155</f>
        <v>2122.1902933228812</v>
      </c>
      <c r="M155" s="8">
        <f>[1]节奏总纲!Y155</f>
        <v>1832.6557082772088</v>
      </c>
      <c r="N155" s="8">
        <f>[1]节奏总纲!Z155</f>
        <v>1450.7999882670338</v>
      </c>
      <c r="O155" s="8">
        <f>[1]节奏总纲!AA155</f>
        <v>5019.042325722754</v>
      </c>
      <c r="Q155" s="8">
        <v>152</v>
      </c>
      <c r="R155" s="8">
        <f>[1]节奏总纲!AD155</f>
        <v>72.565389612760825</v>
      </c>
      <c r="S155" s="8">
        <f>[1]节奏总纲!AE155</f>
        <v>74.645600220189607</v>
      </c>
      <c r="T155" s="8">
        <f>[1]节奏总纲!AF155</f>
        <v>77.51099579821468</v>
      </c>
      <c r="U155" s="8">
        <f>[1]节奏总纲!AG155</f>
        <v>82.110321933176039</v>
      </c>
      <c r="V155" s="8">
        <f>[1]节奏总纲!AH155</f>
        <v>91.421190342649595</v>
      </c>
      <c r="AN155" s="8">
        <v>152</v>
      </c>
      <c r="AO155" s="8">
        <f>[1]节奏总纲!BA155</f>
        <v>40.84497287130948</v>
      </c>
      <c r="AP155" s="8">
        <f>[1]节奏总纲!BB155</f>
        <v>42.340712512072891</v>
      </c>
      <c r="AQ155" s="8">
        <f>[1]节奏总纲!BC155</f>
        <v>44.283373213276832</v>
      </c>
      <c r="AR155" s="8">
        <f>[1]节奏总纲!BD155</f>
        <v>47.037096473408994</v>
      </c>
      <c r="AS155" s="8">
        <f>[1]节奏总纲!BE155</f>
        <v>51.72408922973073</v>
      </c>
    </row>
    <row r="156" spans="2:45" x14ac:dyDescent="0.15">
      <c r="B156" s="8">
        <f>[1]节奏总纲!N156</f>
        <v>163</v>
      </c>
      <c r="C156" s="8">
        <v>153</v>
      </c>
      <c r="D156" s="8">
        <f>[1]节奏总纲!P156</f>
        <v>40341.140136486232</v>
      </c>
      <c r="E156" s="8">
        <f>[1]节奏总纲!Q156</f>
        <v>34330.31025614978</v>
      </c>
      <c r="F156" s="8">
        <f>[1]节奏总纲!R156</f>
        <v>27552.998713220099</v>
      </c>
      <c r="G156" s="8">
        <f>[1]节奏总纲!S156</f>
        <v>24204.684081891737</v>
      </c>
      <c r="H156" s="8">
        <f>[1]节奏总纲!T156</f>
        <v>24204.684081891737</v>
      </c>
      <c r="J156" s="8">
        <v>153</v>
      </c>
      <c r="K156" s="8">
        <f>[1]节奏总纲!W156</f>
        <v>2701.592439943408</v>
      </c>
      <c r="L156" s="8">
        <f>[1]节奏总纲!X156</f>
        <v>2536.1843168800551</v>
      </c>
      <c r="M156" s="8">
        <f>[1]节奏总纲!Y156</f>
        <v>2127.4842442054214</v>
      </c>
      <c r="N156" s="8">
        <f>[1]节奏总纲!Z156</f>
        <v>5949.5034490684666</v>
      </c>
      <c r="O156" s="8">
        <f>[1]节奏总纲!AA156</f>
        <v>10089.853695688178</v>
      </c>
      <c r="Q156" s="8">
        <v>153</v>
      </c>
      <c r="R156" s="8">
        <f>[1]节奏总纲!AD156</f>
        <v>72.660148539464572</v>
      </c>
      <c r="S156" s="8">
        <f>[1]节奏总纲!AE156</f>
        <v>74.74003809013405</v>
      </c>
      <c r="T156" s="8">
        <f>[1]节奏总纲!AF156</f>
        <v>77.604444701516456</v>
      </c>
      <c r="U156" s="8">
        <f>[1]节奏总纲!AG156</f>
        <v>82.203198366767992</v>
      </c>
      <c r="V156" s="8">
        <f>[1]节奏总纲!AH156</f>
        <v>91.523718725406852</v>
      </c>
      <c r="AN156" s="8">
        <v>153</v>
      </c>
      <c r="AO156" s="8">
        <f>[1]节奏总纲!BA156</f>
        <v>40.891592064209313</v>
      </c>
      <c r="AP156" s="8">
        <f>[1]节奏总纲!BB156</f>
        <v>42.384103455731719</v>
      </c>
      <c r="AQ156" s="8">
        <f>[1]节奏总纲!BC156</f>
        <v>44.326465623783335</v>
      </c>
      <c r="AR156" s="8">
        <f>[1]节奏总纲!BD156</f>
        <v>47.078671550054786</v>
      </c>
      <c r="AS156" s="8">
        <f>[1]节奏总纲!BE156</f>
        <v>51.770300765568422</v>
      </c>
    </row>
    <row r="157" spans="2:45" x14ac:dyDescent="0.15">
      <c r="B157" s="8">
        <f>[1]节奏总纲!N157</f>
        <v>164</v>
      </c>
      <c r="C157" s="8">
        <v>154</v>
      </c>
      <c r="D157" s="8">
        <f>[1]节奏总纲!P157</f>
        <v>43236.635220206183</v>
      </c>
      <c r="E157" s="8">
        <f>[1]节奏总纲!Q157</f>
        <v>36967.323113276288</v>
      </c>
      <c r="F157" s="8">
        <f>[1]节奏总纲!R157</f>
        <v>33940.758647861854</v>
      </c>
      <c r="G157" s="8">
        <f>[1]节奏总纲!S157</f>
        <v>34156.941823962887</v>
      </c>
      <c r="H157" s="8">
        <f>[1]节奏总纲!T157</f>
        <v>34156.941823962887</v>
      </c>
      <c r="J157" s="8">
        <v>154</v>
      </c>
      <c r="K157" s="8">
        <f>[1]节奏总纲!W157</f>
        <v>2895.4950837199503</v>
      </c>
      <c r="L157" s="8">
        <f>[1]节奏总纲!X157</f>
        <v>2637.0128571265086</v>
      </c>
      <c r="M157" s="8">
        <f>[1]节奏总纲!Y157</f>
        <v>6387.7599346417555</v>
      </c>
      <c r="N157" s="8">
        <f>[1]节奏总纲!Z157</f>
        <v>9952.2577420711496</v>
      </c>
      <c r="O157" s="8">
        <f>[1]节奏总纲!AA157</f>
        <v>9952.2577420711496</v>
      </c>
      <c r="Q157" s="8">
        <v>154</v>
      </c>
      <c r="R157" s="8">
        <f>[1]节奏总纲!AD157</f>
        <v>72.754907466168333</v>
      </c>
      <c r="S157" s="8">
        <f>[1]节奏总纲!AE157</f>
        <v>74.834475960078507</v>
      </c>
      <c r="T157" s="8">
        <f>[1]节奏总纲!AF157</f>
        <v>77.697893604818219</v>
      </c>
      <c r="U157" s="8">
        <f>[1]节奏总纲!AG157</f>
        <v>82.29607480035996</v>
      </c>
      <c r="V157" s="8">
        <f>[1]节奏总纲!AH157</f>
        <v>91.626247108164094</v>
      </c>
      <c r="AN157" s="8">
        <v>154</v>
      </c>
      <c r="AO157" s="8">
        <f>[1]节奏总纲!BA157</f>
        <v>40.938211257109145</v>
      </c>
      <c r="AP157" s="8">
        <f>[1]节奏总纲!BB157</f>
        <v>42.427494399390554</v>
      </c>
      <c r="AQ157" s="8">
        <f>[1]节奏总纲!BC157</f>
        <v>44.369558034289838</v>
      </c>
      <c r="AR157" s="8">
        <f>[1]节奏总纲!BD157</f>
        <v>47.12024662670057</v>
      </c>
      <c r="AS157" s="8">
        <f>[1]节奏总纲!BE157</f>
        <v>51.816512301406114</v>
      </c>
    </row>
    <row r="158" spans="2:45" x14ac:dyDescent="0.15">
      <c r="B158" s="8">
        <f>[1]节奏总纲!N158</f>
        <v>165</v>
      </c>
      <c r="C158" s="8">
        <v>155</v>
      </c>
      <c r="D158" s="8">
        <f>[1]节奏总纲!P158</f>
        <v>46339.950011841604</v>
      </c>
      <c r="E158" s="8">
        <f>[1]节奏总纲!Q158</f>
        <v>44078.560451263736</v>
      </c>
      <c r="F158" s="8">
        <f>[1]节奏总纲!R158</f>
        <v>44402.940101346627</v>
      </c>
      <c r="G158" s="8">
        <f>[1]节奏总纲!S158</f>
        <v>44402.940101346627</v>
      </c>
      <c r="H158" s="8">
        <f>[1]节奏总纲!T158</f>
        <v>44541.959951382152</v>
      </c>
      <c r="J158" s="8">
        <v>155</v>
      </c>
      <c r="K158" s="8">
        <f>[1]节奏总纲!W158</f>
        <v>3103.314791635421</v>
      </c>
      <c r="L158" s="8">
        <f>[1]节奏总纲!X158</f>
        <v>7111.237337987448</v>
      </c>
      <c r="M158" s="8">
        <f>[1]节奏总纲!Y158</f>
        <v>10462.181453484773</v>
      </c>
      <c r="N158" s="8">
        <f>[1]节奏总纲!Z158</f>
        <v>10245.99827738374</v>
      </c>
      <c r="O158" s="8">
        <f>[1]节奏总纲!AA158</f>
        <v>10385.018127419266</v>
      </c>
      <c r="Q158" s="8">
        <v>155</v>
      </c>
      <c r="R158" s="8">
        <f>[1]节奏总纲!AD158</f>
        <v>72.849666392872081</v>
      </c>
      <c r="S158" s="8">
        <f>[1]节奏总纲!AE158</f>
        <v>74.92891383002295</v>
      </c>
      <c r="T158" s="8">
        <f>[1]节奏总纲!AF158</f>
        <v>77.791342508119982</v>
      </c>
      <c r="U158" s="8">
        <f>[1]节奏总纲!AG158</f>
        <v>82.388951233951914</v>
      </c>
      <c r="V158" s="8">
        <f>[1]节奏总纲!AH158</f>
        <v>91.72877549092135</v>
      </c>
      <c r="AN158" s="8">
        <v>155</v>
      </c>
      <c r="AO158" s="8">
        <f>[1]节奏总纲!BA158</f>
        <v>40.984830450008985</v>
      </c>
      <c r="AP158" s="8">
        <f>[1]节奏总纲!BB158</f>
        <v>42.470885343049382</v>
      </c>
      <c r="AQ158" s="8">
        <f>[1]节奏总纲!BC158</f>
        <v>44.412650444796341</v>
      </c>
      <c r="AR158" s="8">
        <f>[1]节奏总纲!BD158</f>
        <v>47.161821703346362</v>
      </c>
      <c r="AS158" s="8">
        <f>[1]节奏总纲!BE158</f>
        <v>51.862723837243806</v>
      </c>
    </row>
    <row r="159" spans="2:45" x14ac:dyDescent="0.15">
      <c r="B159" s="8">
        <f>[1]节奏总纲!N159</f>
        <v>166</v>
      </c>
      <c r="C159" s="8">
        <v>156</v>
      </c>
      <c r="D159" s="8">
        <f>[1]节奏总纲!P159</f>
        <v>49666.000451412707</v>
      </c>
      <c r="E159" s="8">
        <f>[1]节奏总纲!Q159</f>
        <v>49666.000451412707</v>
      </c>
      <c r="F159" s="8">
        <f>[1]节奏总纲!R159</f>
        <v>50162.660455926831</v>
      </c>
      <c r="G159" s="8">
        <f>[1]节奏总纲!S159</f>
        <v>50162.660455926831</v>
      </c>
      <c r="H159" s="8">
        <f>[1]节奏总纲!T159</f>
        <v>50311.658457281068</v>
      </c>
      <c r="J159" s="8">
        <v>156</v>
      </c>
      <c r="K159" s="8">
        <f>[1]节奏总纲!W159</f>
        <v>3326.0504395711032</v>
      </c>
      <c r="L159" s="8">
        <f>[1]节奏总纲!X159</f>
        <v>5587.4400001489703</v>
      </c>
      <c r="M159" s="8">
        <f>[1]节奏总纲!Y159</f>
        <v>5759.720354580204</v>
      </c>
      <c r="N159" s="8">
        <f>[1]节奏总纲!Z159</f>
        <v>5759.720354580204</v>
      </c>
      <c r="O159" s="8">
        <f>[1]节奏总纲!AA159</f>
        <v>5769.6985058989158</v>
      </c>
      <c r="Q159" s="8">
        <v>156</v>
      </c>
      <c r="R159" s="8">
        <f>[1]节奏总纲!AD159</f>
        <v>72.944425319575828</v>
      </c>
      <c r="S159" s="8">
        <f>[1]节奏总纲!AE159</f>
        <v>75.022035011469043</v>
      </c>
      <c r="T159" s="8">
        <f>[1]节奏总纲!AF159</f>
        <v>77.884791411421745</v>
      </c>
      <c r="U159" s="8">
        <f>[1]节奏总纲!AG159</f>
        <v>82.481827667543882</v>
      </c>
      <c r="V159" s="8">
        <f>[1]节奏总纲!AH159</f>
        <v>91.831303873678593</v>
      </c>
      <c r="AN159" s="8">
        <v>156</v>
      </c>
      <c r="AO159" s="8">
        <f>[1]节奏总纲!BA159</f>
        <v>41.027136894088379</v>
      </c>
      <c r="AP159" s="8">
        <f>[1]节奏总纲!BB159</f>
        <v>42.51427628670821</v>
      </c>
      <c r="AQ159" s="8">
        <f>[1]节奏总纲!BC159</f>
        <v>44.455742855302844</v>
      </c>
      <c r="AR159" s="8">
        <f>[1]节奏总纲!BD159</f>
        <v>47.203396779992147</v>
      </c>
      <c r="AS159" s="8">
        <f>[1]节奏总纲!BE159</f>
        <v>51.908935373081505</v>
      </c>
    </row>
    <row r="160" spans="2:45" x14ac:dyDescent="0.15">
      <c r="B160" s="8">
        <f>[1]节奏总纲!N160</f>
        <v>167</v>
      </c>
      <c r="C160" s="8">
        <v>157</v>
      </c>
      <c r="D160" s="8">
        <f>[1]节奏总纲!P160</f>
        <v>53230.773047602182</v>
      </c>
      <c r="E160" s="8">
        <f>[1]节奏总纲!Q160</f>
        <v>53230.773047602182</v>
      </c>
      <c r="F160" s="8">
        <f>[1]节奏总纲!R160</f>
        <v>53763.080778078205</v>
      </c>
      <c r="G160" s="8">
        <f>[1]节奏总纲!S160</f>
        <v>53763.080778078205</v>
      </c>
      <c r="H160" s="8">
        <f>[1]节奏总纲!T160</f>
        <v>53763.080778078205</v>
      </c>
      <c r="J160" s="8">
        <v>157</v>
      </c>
      <c r="K160" s="8">
        <f>[1]节奏总纲!W160</f>
        <v>3564.7725961894757</v>
      </c>
      <c r="L160" s="8">
        <f>[1]节奏总纲!X160</f>
        <v>3564.7725961894757</v>
      </c>
      <c r="M160" s="8">
        <f>[1]节奏总纲!Y160</f>
        <v>3600.4203221513744</v>
      </c>
      <c r="N160" s="8">
        <f>[1]节奏总纲!Z160</f>
        <v>3600.4203221513744</v>
      </c>
      <c r="O160" s="8">
        <f>[1]节奏总纲!AA160</f>
        <v>3451.4223207971372</v>
      </c>
      <c r="Q160" s="8">
        <v>157</v>
      </c>
      <c r="R160" s="8">
        <f>[1]节奏总纲!AD160</f>
        <v>73.036560194527354</v>
      </c>
      <c r="S160" s="8">
        <f>[1]节奏总纲!AE160</f>
        <v>75.111147990406067</v>
      </c>
      <c r="T160" s="8">
        <f>[1]节奏总纲!AF160</f>
        <v>77.978240314723507</v>
      </c>
      <c r="U160" s="8">
        <f>[1]节奏总纲!AG160</f>
        <v>82.574704101135836</v>
      </c>
      <c r="V160" s="8">
        <f>[1]节奏总纲!AH160</f>
        <v>91.933832256435849</v>
      </c>
      <c r="AN160" s="8">
        <v>157</v>
      </c>
      <c r="AO160" s="8">
        <f>[1]节奏总纲!BA160</f>
        <v>41.067363109180121</v>
      </c>
      <c r="AP160" s="8">
        <f>[1]节奏总纲!BB160</f>
        <v>42.557667230367045</v>
      </c>
      <c r="AQ160" s="8">
        <f>[1]节奏总纲!BC160</f>
        <v>44.498835265809355</v>
      </c>
      <c r="AR160" s="8">
        <f>[1]节奏总纲!BD160</f>
        <v>47.244971856637939</v>
      </c>
      <c r="AS160" s="8">
        <f>[1]节奏总纲!BE160</f>
        <v>51.955146908919197</v>
      </c>
    </row>
    <row r="161" spans="2:45" x14ac:dyDescent="0.15">
      <c r="B161" s="8">
        <f>[1]节奏总纲!N161</f>
        <v>168</v>
      </c>
      <c r="C161" s="8">
        <v>158</v>
      </c>
      <c r="D161" s="8">
        <f>[1]节奏总纲!P161</f>
        <v>57051.401716174769</v>
      </c>
      <c r="E161" s="8">
        <f>[1]节奏总纲!Q161</f>
        <v>57051.401716174769</v>
      </c>
      <c r="F161" s="8">
        <f>[1]节奏总纲!R161</f>
        <v>57621.915733336515</v>
      </c>
      <c r="G161" s="8">
        <f>[1]节奏总纲!S161</f>
        <v>57621.915733336515</v>
      </c>
      <c r="H161" s="8">
        <f>[1]节奏总纲!T161</f>
        <v>57621.915733336515</v>
      </c>
      <c r="J161" s="8">
        <v>158</v>
      </c>
      <c r="K161" s="8">
        <f>[1]节奏总纲!W161</f>
        <v>3820.6286685725863</v>
      </c>
      <c r="L161" s="8">
        <f>[1]节奏总纲!X161</f>
        <v>3820.6286685725863</v>
      </c>
      <c r="M161" s="8">
        <f>[1]节奏总纲!Y161</f>
        <v>3858.8349552583095</v>
      </c>
      <c r="N161" s="8">
        <f>[1]节奏总纲!Z161</f>
        <v>3858.8349552583095</v>
      </c>
      <c r="O161" s="8">
        <f>[1]节奏总纲!AA161</f>
        <v>3858.8349552583095</v>
      </c>
      <c r="Q161" s="8">
        <v>158</v>
      </c>
      <c r="R161" s="8">
        <f>[1]节奏总纲!AD161</f>
        <v>73.124973399384572</v>
      </c>
      <c r="S161" s="8">
        <f>[1]节奏总纲!AE161</f>
        <v>75.200260969343077</v>
      </c>
      <c r="T161" s="8">
        <f>[1]节奏总纲!AF161</f>
        <v>78.066694029528094</v>
      </c>
      <c r="U161" s="8">
        <f>[1]节奏总纲!AG161</f>
        <v>82.667580534727804</v>
      </c>
      <c r="V161" s="8">
        <f>[1]节奏总纲!AH161</f>
        <v>92.033129415212969</v>
      </c>
      <c r="AN161" s="8">
        <v>158</v>
      </c>
      <c r="AO161" s="8">
        <f>[1]节奏总纲!BA161</f>
        <v>41.107589324271871</v>
      </c>
      <c r="AP161" s="8">
        <f>[1]节奏总纲!BB161</f>
        <v>42.601058174025873</v>
      </c>
      <c r="AQ161" s="8">
        <f>[1]节奏总纲!BC161</f>
        <v>44.541927676315858</v>
      </c>
      <c r="AR161" s="8">
        <f>[1]节奏总纲!BD161</f>
        <v>47.286546933283724</v>
      </c>
      <c r="AS161" s="8">
        <f>[1]节奏总纲!BE161</f>
        <v>52.001173105835825</v>
      </c>
    </row>
    <row r="162" spans="2:45" x14ac:dyDescent="0.15">
      <c r="B162" s="8">
        <f>[1]节奏总纲!N162</f>
        <v>169</v>
      </c>
      <c r="C162" s="8">
        <v>159</v>
      </c>
      <c r="D162" s="8">
        <f>[1]节奏总纲!P162</f>
        <v>61146.25013335624</v>
      </c>
      <c r="E162" s="8">
        <f>[1]节奏总纲!Q162</f>
        <v>61146.25013335624</v>
      </c>
      <c r="F162" s="8">
        <f>[1]节奏总纲!R162</f>
        <v>61757.7126346898</v>
      </c>
      <c r="G162" s="8">
        <f>[1]节奏总纲!S162</f>
        <v>61757.7126346898</v>
      </c>
      <c r="H162" s="8">
        <f>[1]节奏总纲!T162</f>
        <v>61757.7126346898</v>
      </c>
      <c r="J162" s="8">
        <v>159</v>
      </c>
      <c r="K162" s="8">
        <f>[1]节奏总纲!W162</f>
        <v>4094.8484171814707</v>
      </c>
      <c r="L162" s="8">
        <f>[1]节奏总纲!X162</f>
        <v>4094.8484171814707</v>
      </c>
      <c r="M162" s="8">
        <f>[1]节奏总纲!Y162</f>
        <v>4135.7969013532856</v>
      </c>
      <c r="N162" s="8">
        <f>[1]节奏总纲!Z162</f>
        <v>4135.7969013532856</v>
      </c>
      <c r="O162" s="8">
        <f>[1]节奏总纲!AA162</f>
        <v>4135.7969013532856</v>
      </c>
      <c r="Q162" s="8">
        <v>159</v>
      </c>
      <c r="R162" s="8">
        <f>[1]节奏总纲!AD162</f>
        <v>73.213386604241791</v>
      </c>
      <c r="S162" s="8">
        <f>[1]节奏总纲!AE162</f>
        <v>75.289373948280101</v>
      </c>
      <c r="T162" s="8">
        <f>[1]节奏总纲!AF162</f>
        <v>78.153631564737054</v>
      </c>
      <c r="U162" s="8">
        <f>[1]节奏总纲!AG162</f>
        <v>82.760456968319758</v>
      </c>
      <c r="V162" s="8">
        <f>[1]节奏总纲!AH162</f>
        <v>92.126546512350387</v>
      </c>
      <c r="AN162" s="8">
        <v>159</v>
      </c>
      <c r="AO162" s="8">
        <f>[1]节奏总纲!BA162</f>
        <v>41.147815539363613</v>
      </c>
      <c r="AP162" s="8">
        <f>[1]节奏总纲!BB162</f>
        <v>42.644449117684701</v>
      </c>
      <c r="AQ162" s="8">
        <f>[1]节奏总纲!BC162</f>
        <v>44.585020086822361</v>
      </c>
      <c r="AR162" s="8">
        <f>[1]节奏总纲!BD162</f>
        <v>47.328122009929508</v>
      </c>
      <c r="AS162" s="8">
        <f>[1]节奏总纲!BE162</f>
        <v>52.041079787427918</v>
      </c>
    </row>
    <row r="163" spans="2:45" x14ac:dyDescent="0.15">
      <c r="B163" s="8">
        <f>[1]节奏总纲!N163</f>
        <v>170</v>
      </c>
      <c r="C163" s="8">
        <v>160</v>
      </c>
      <c r="D163" s="8">
        <f>[1]节奏总纲!P163</f>
        <v>65535</v>
      </c>
      <c r="E163" s="8">
        <f>[1]节奏总纲!Q163</f>
        <v>65535</v>
      </c>
      <c r="F163" s="8">
        <f>[1]节奏总纲!R163</f>
        <v>66190.350000000006</v>
      </c>
      <c r="G163" s="8">
        <f>[1]节奏总纲!S163</f>
        <v>66190.350000000006</v>
      </c>
      <c r="H163" s="8">
        <f>[1]节奏总纲!T163</f>
        <v>66190.350000000006</v>
      </c>
      <c r="J163" s="8">
        <v>160</v>
      </c>
      <c r="K163" s="8">
        <f>[1]节奏总纲!W163</f>
        <v>4388.7498666437605</v>
      </c>
      <c r="L163" s="8">
        <f>[1]节奏总纲!X163</f>
        <v>4388.7498666437605</v>
      </c>
      <c r="M163" s="8">
        <f>[1]节奏总纲!Y163</f>
        <v>4432.6373653102055</v>
      </c>
      <c r="N163" s="8">
        <f>[1]节奏总纲!Z163</f>
        <v>4432.6373653102055</v>
      </c>
      <c r="O163" s="8">
        <f>[1]节奏总纲!AA163</f>
        <v>4432.6373653102055</v>
      </c>
      <c r="Q163" s="8">
        <v>160</v>
      </c>
      <c r="R163" s="8">
        <f>[1]节奏总纲!AD163</f>
        <v>73.301799809099009</v>
      </c>
      <c r="S163" s="8">
        <f>[1]节奏总纲!AE163</f>
        <v>75.378486927217125</v>
      </c>
      <c r="T163" s="8">
        <f>[1]节奏总纲!AF163</f>
        <v>78.240569099946029</v>
      </c>
      <c r="U163" s="8">
        <f>[1]节奏总纲!AG163</f>
        <v>82.853333401911726</v>
      </c>
      <c r="V163" s="8">
        <f>[1]节奏总纲!AH163</f>
        <v>92.219963609487792</v>
      </c>
      <c r="AN163" s="8">
        <v>160</v>
      </c>
      <c r="AO163" s="8">
        <f>[1]节奏总纲!BA163</f>
        <v>41.188041754455355</v>
      </c>
      <c r="AP163" s="8">
        <f>[1]节奏总纲!BB163</f>
        <v>42.687840061343536</v>
      </c>
      <c r="AQ163" s="8">
        <f>[1]节奏总纲!BC163</f>
        <v>44.628112497328864</v>
      </c>
      <c r="AR163" s="8">
        <f>[1]节奏总纲!BD163</f>
        <v>47.3696970865753</v>
      </c>
      <c r="AS163" s="8">
        <f>[1]节奏总纲!BE163</f>
        <v>52.080986469020011</v>
      </c>
    </row>
    <row r="164" spans="2:45" x14ac:dyDescent="0.15">
      <c r="Q164" s="8">
        <v>161</v>
      </c>
      <c r="R164" s="8">
        <f>[1]节奏总纲!AD164</f>
        <v>73.390213013956213</v>
      </c>
      <c r="S164" s="8">
        <f>[1]节奏总纲!AE164</f>
        <v>75.467599906154135</v>
      </c>
      <c r="T164" s="8">
        <f>[1]节奏总纲!AF164</f>
        <v>78.32750663515499</v>
      </c>
      <c r="U164" s="8">
        <f>[1]节奏总纲!AG164</f>
        <v>82.94620983550368</v>
      </c>
      <c r="V164" s="8">
        <f>[1]节奏总纲!AH164</f>
        <v>92.313380706625196</v>
      </c>
      <c r="AN164" s="8">
        <v>161</v>
      </c>
      <c r="AO164" s="8">
        <f>[1]节奏总纲!BA164</f>
        <v>41.228267969547105</v>
      </c>
      <c r="AP164" s="8">
        <f>[1]节奏总纲!BB164</f>
        <v>42.731231005002364</v>
      </c>
      <c r="AQ164" s="8">
        <f>[1]节奏总纲!BC164</f>
        <v>44.671204907835367</v>
      </c>
      <c r="AR164" s="8">
        <f>[1]节奏总纲!BD164</f>
        <v>47.411272163221085</v>
      </c>
      <c r="AS164" s="8">
        <f>[1]节奏总纲!BE164</f>
        <v>52.120893150612112</v>
      </c>
    </row>
    <row r="165" spans="2:45" x14ac:dyDescent="0.15">
      <c r="Q165" s="8">
        <v>162</v>
      </c>
      <c r="R165" s="8">
        <f>[1]节奏总纲!AD165</f>
        <v>73.478626218813432</v>
      </c>
      <c r="S165" s="8">
        <f>[1]节奏总纲!AE165</f>
        <v>75.556712885091159</v>
      </c>
      <c r="T165" s="8">
        <f>[1]节奏总纲!AF165</f>
        <v>78.414444170363964</v>
      </c>
      <c r="U165" s="8">
        <f>[1]节奏总纲!AG165</f>
        <v>83.036921590135321</v>
      </c>
      <c r="V165" s="8">
        <f>[1]节奏总纲!AH165</f>
        <v>92.406797803762601</v>
      </c>
      <c r="AN165" s="8">
        <v>162</v>
      </c>
      <c r="AO165" s="8">
        <f>[1]节奏总纲!BA165</f>
        <v>41.268494184638847</v>
      </c>
      <c r="AP165" s="8">
        <f>[1]节奏总纲!BB165</f>
        <v>42.774621948661192</v>
      </c>
      <c r="AQ165" s="8">
        <f>[1]节奏总纲!BC165</f>
        <v>44.714297318341877</v>
      </c>
      <c r="AR165" s="8">
        <f>[1]节奏总纲!BD165</f>
        <v>47.452847239866877</v>
      </c>
      <c r="AS165" s="8">
        <f>[1]节奏总纲!BE165</f>
        <v>52.160799832204205</v>
      </c>
    </row>
    <row r="166" spans="2:45" x14ac:dyDescent="0.15">
      <c r="Q166" s="8">
        <v>163</v>
      </c>
      <c r="R166" s="8">
        <f>[1]节奏总纲!AD166</f>
        <v>73.56703942367065</v>
      </c>
      <c r="S166" s="8">
        <f>[1]节奏总纲!AE166</f>
        <v>75.645825864028183</v>
      </c>
      <c r="T166" s="8">
        <f>[1]节奏总纲!AF166</f>
        <v>78.501381705572925</v>
      </c>
      <c r="U166" s="8">
        <f>[1]节奏总纲!AG166</f>
        <v>83.124654333465756</v>
      </c>
      <c r="V166" s="8">
        <f>[1]节奏总纲!AH166</f>
        <v>92.500214900900005</v>
      </c>
      <c r="AN166" s="8">
        <v>163</v>
      </c>
      <c r="AO166" s="8">
        <f>[1]节奏总纲!BA166</f>
        <v>41.308720399730589</v>
      </c>
      <c r="AP166" s="8">
        <f>[1]节奏总纲!BB166</f>
        <v>42.818012892320027</v>
      </c>
      <c r="AQ166" s="8">
        <f>[1]节奏总纲!BC166</f>
        <v>44.757389728848381</v>
      </c>
      <c r="AR166" s="8">
        <f>[1]节奏总纲!BD166</f>
        <v>47.494422316512662</v>
      </c>
      <c r="AS166" s="8">
        <f>[1]节奏总纲!BE166</f>
        <v>52.200706513796298</v>
      </c>
    </row>
    <row r="167" spans="2:45" x14ac:dyDescent="0.15">
      <c r="Q167" s="8">
        <v>164</v>
      </c>
      <c r="R167" s="8">
        <f>[1]节奏总纲!AD167</f>
        <v>73.655452628527868</v>
      </c>
      <c r="S167" s="8">
        <f>[1]节奏总纲!AE167</f>
        <v>75.734938842965192</v>
      </c>
      <c r="T167" s="8">
        <f>[1]节奏总纲!AF167</f>
        <v>78.5883192407819</v>
      </c>
      <c r="U167" s="8">
        <f>[1]节奏总纲!AG167</f>
        <v>83.21238707679619</v>
      </c>
      <c r="V167" s="8">
        <f>[1]节奏总纲!AH167</f>
        <v>92.593631998037409</v>
      </c>
      <c r="AN167" s="8">
        <v>164</v>
      </c>
      <c r="AO167" s="8">
        <f>[1]节奏总纲!BA167</f>
        <v>41.348946614822331</v>
      </c>
      <c r="AP167" s="8">
        <f>[1]节奏总纲!BB167</f>
        <v>42.861403835978855</v>
      </c>
      <c r="AQ167" s="8">
        <f>[1]节奏总纲!BC167</f>
        <v>44.800482139354884</v>
      </c>
      <c r="AR167" s="8">
        <f>[1]节奏总纲!BD167</f>
        <v>47.535997393158453</v>
      </c>
      <c r="AS167" s="8">
        <f>[1]节奏总纲!BE167</f>
        <v>52.240613195388391</v>
      </c>
    </row>
    <row r="168" spans="2:45" x14ac:dyDescent="0.15">
      <c r="Q168" s="8">
        <v>165</v>
      </c>
      <c r="R168" s="8">
        <f>[1]节奏总纲!AD168</f>
        <v>73.743865833385087</v>
      </c>
      <c r="S168" s="8">
        <f>[1]节奏总纲!AE168</f>
        <v>75.824051821902216</v>
      </c>
      <c r="T168" s="8">
        <f>[1]节奏总纲!AF168</f>
        <v>78.67525677599086</v>
      </c>
      <c r="U168" s="8">
        <f>[1]节奏总纲!AG168</f>
        <v>83.300119820126625</v>
      </c>
      <c r="V168" s="8">
        <f>[1]节奏总纲!AH168</f>
        <v>92.687049095174814</v>
      </c>
      <c r="AN168" s="8">
        <v>165</v>
      </c>
      <c r="AO168" s="8">
        <f>[1]节奏总纲!BA168</f>
        <v>41.389172829914081</v>
      </c>
      <c r="AP168" s="8">
        <f>[1]节奏总纲!BB168</f>
        <v>42.904794779637683</v>
      </c>
      <c r="AQ168" s="8">
        <f>[1]节奏总纲!BC168</f>
        <v>44.843574549861387</v>
      </c>
      <c r="AR168" s="8">
        <f>[1]节奏总纲!BD168</f>
        <v>47.577572469804238</v>
      </c>
      <c r="AS168" s="8">
        <f>[1]节奏总纲!BE168</f>
        <v>52.280519876980485</v>
      </c>
    </row>
    <row r="169" spans="2:45" x14ac:dyDescent="0.15">
      <c r="Q169" s="8">
        <v>166</v>
      </c>
      <c r="R169" s="8">
        <f>[1]节奏总纲!AD169</f>
        <v>73.832279038242305</v>
      </c>
      <c r="S169" s="8">
        <f>[1]节奏总纲!AE169</f>
        <v>75.91316480083924</v>
      </c>
      <c r="T169" s="8">
        <f>[1]节奏总纲!AF169</f>
        <v>78.762194311199835</v>
      </c>
      <c r="U169" s="8">
        <f>[1]节奏总纲!AG169</f>
        <v>83.387852563457059</v>
      </c>
      <c r="V169" s="8">
        <f>[1]节奏总纲!AH169</f>
        <v>92.780466192312218</v>
      </c>
      <c r="AN169" s="8">
        <v>166</v>
      </c>
      <c r="AO169" s="8">
        <f>[1]节奏总纲!BA169</f>
        <v>41.429399045005823</v>
      </c>
      <c r="AP169" s="8">
        <f>[1]节奏总纲!BB169</f>
        <v>42.948185723296518</v>
      </c>
      <c r="AQ169" s="8">
        <f>[1]节奏总纲!BC169</f>
        <v>44.88666696036789</v>
      </c>
      <c r="AR169" s="8">
        <f>[1]节奏总纲!BD169</f>
        <v>47.619147546450023</v>
      </c>
      <c r="AS169" s="8">
        <f>[1]节奏总纲!BE169</f>
        <v>52.320426558572585</v>
      </c>
    </row>
    <row r="170" spans="2:45" x14ac:dyDescent="0.15">
      <c r="Q170" s="8">
        <v>167</v>
      </c>
      <c r="R170" s="8">
        <f>[1]节奏总纲!AD170</f>
        <v>73.920692243099523</v>
      </c>
      <c r="S170" s="8">
        <f>[1]节奏总纲!AE170</f>
        <v>76.002103770254962</v>
      </c>
      <c r="T170" s="8">
        <f>[1]节奏总纲!AF170</f>
        <v>78.849131846408795</v>
      </c>
      <c r="U170" s="8">
        <f>[1]节奏总纲!AG170</f>
        <v>83.475585306787494</v>
      </c>
      <c r="V170" s="8">
        <f>[1]节奏总纲!AH170</f>
        <v>92.873883289449623</v>
      </c>
      <c r="AN170" s="8">
        <v>167</v>
      </c>
      <c r="AO170" s="8">
        <f>[1]节奏总纲!BA170</f>
        <v>41.469625260097565</v>
      </c>
      <c r="AP170" s="8">
        <f>[1]节奏总纲!BB170</f>
        <v>42.991576666955346</v>
      </c>
      <c r="AQ170" s="8">
        <f>[1]节奏总纲!BC170</f>
        <v>44.9297593708744</v>
      </c>
      <c r="AR170" s="8">
        <f>[1]节奏总纲!BD170</f>
        <v>47.660722623095815</v>
      </c>
      <c r="AS170" s="8">
        <f>[1]节奏总纲!BE170</f>
        <v>52.360333240164678</v>
      </c>
    </row>
    <row r="171" spans="2:45" x14ac:dyDescent="0.15">
      <c r="Q171" s="8">
        <v>168</v>
      </c>
      <c r="R171" s="8">
        <f>[1]节奏总纲!AD171</f>
        <v>74.008495683346354</v>
      </c>
      <c r="S171" s="8">
        <f>[1]节奏总纲!AE171</f>
        <v>76.084409020469636</v>
      </c>
      <c r="T171" s="8">
        <f>[1]节奏总纲!AF171</f>
        <v>78.93606938161777</v>
      </c>
      <c r="U171" s="8">
        <f>[1]节奏总纲!AG171</f>
        <v>83.563318050117928</v>
      </c>
      <c r="V171" s="8">
        <f>[1]节奏总纲!AH171</f>
        <v>92.967300386587027</v>
      </c>
      <c r="AN171" s="8">
        <v>168</v>
      </c>
      <c r="AO171" s="8">
        <f>[1]节奏总纲!BA171</f>
        <v>41.509851475189308</v>
      </c>
      <c r="AP171" s="8">
        <f>[1]节奏总纲!BB171</f>
        <v>43.030177309109042</v>
      </c>
      <c r="AQ171" s="8">
        <f>[1]节奏总纲!BC171</f>
        <v>44.972851781380903</v>
      </c>
      <c r="AR171" s="8">
        <f>[1]节奏总纲!BD171</f>
        <v>47.7022976997416</v>
      </c>
      <c r="AS171" s="8">
        <f>[1]节奏总纲!BE171</f>
        <v>52.400239921756771</v>
      </c>
    </row>
    <row r="172" spans="2:45" x14ac:dyDescent="0.15">
      <c r="Q172" s="8">
        <v>169</v>
      </c>
      <c r="R172" s="8">
        <f>[1]节奏总纲!AD172</f>
        <v>74.090988120365651</v>
      </c>
      <c r="S172" s="8">
        <f>[1]节奏总纲!AE172</f>
        <v>76.166714270684309</v>
      </c>
      <c r="T172" s="8">
        <f>[1]节奏总纲!AF172</f>
        <v>79.022812309215297</v>
      </c>
      <c r="U172" s="8">
        <f>[1]节奏总纲!AG172</f>
        <v>83.651050793448363</v>
      </c>
      <c r="V172" s="8">
        <f>[1]节奏总纲!AH172</f>
        <v>93.057555567360481</v>
      </c>
      <c r="AN172" s="8">
        <v>169</v>
      </c>
      <c r="AO172" s="8">
        <f>[1]节奏总纲!BA172</f>
        <v>41.550077690281057</v>
      </c>
      <c r="AP172" s="8">
        <f>[1]节奏总纲!BB172</f>
        <v>43.067624017543686</v>
      </c>
      <c r="AQ172" s="8">
        <f>[1]节奏总纲!BC172</f>
        <v>45.013762077986961</v>
      </c>
      <c r="AR172" s="8">
        <f>[1]节奏总纲!BD172</f>
        <v>47.743872776387391</v>
      </c>
      <c r="AS172" s="8">
        <f>[1]节奏总纲!BE172</f>
        <v>52.440146603348865</v>
      </c>
    </row>
    <row r="173" spans="2:45" x14ac:dyDescent="0.15">
      <c r="Q173" s="8">
        <v>170</v>
      </c>
      <c r="R173" s="8">
        <f>[1]节奏总纲!AD173</f>
        <v>74.173480557384934</v>
      </c>
      <c r="S173" s="8">
        <f>[1]节奏总纲!AE173</f>
        <v>76.249019520898997</v>
      </c>
      <c r="T173" s="8">
        <f>[1]节奏总纲!AF173</f>
        <v>79.109014469658547</v>
      </c>
      <c r="U173" s="8">
        <f>[1]节奏总纲!AG173</f>
        <v>83.738783536778797</v>
      </c>
      <c r="V173" s="8">
        <f>[1]节奏总纲!AH173</f>
        <v>93.146107887007233</v>
      </c>
      <c r="AN173" s="8">
        <v>170</v>
      </c>
      <c r="AO173" s="8">
        <f>[1]节奏总纲!BA173</f>
        <v>41.590303905372799</v>
      </c>
      <c r="AP173" s="8">
        <f>[1]节奏总纲!BB173</f>
        <v>43.105070725978337</v>
      </c>
      <c r="AQ173" s="8">
        <f>[1]节奏总纲!BC173</f>
        <v>45.050956883357138</v>
      </c>
      <c r="AR173" s="8">
        <f>[1]节奏总纲!BD173</f>
        <v>47.785447853033176</v>
      </c>
      <c r="AS173" s="8">
        <f>[1]节奏总纲!BE173</f>
        <v>52.480053284940965</v>
      </c>
    </row>
    <row r="174" spans="2:45" x14ac:dyDescent="0.15">
      <c r="Q174" s="8">
        <v>171</v>
      </c>
      <c r="R174" s="8">
        <f>[1]节奏总纲!AD174</f>
        <v>74.255972994404218</v>
      </c>
      <c r="S174" s="8">
        <f>[1]节奏总纲!AE174</f>
        <v>76.331324771113671</v>
      </c>
      <c r="T174" s="8">
        <f>[1]节奏总纲!AF174</f>
        <v>79.195216630101797</v>
      </c>
      <c r="U174" s="8">
        <f>[1]节奏总纲!AG174</f>
        <v>83.826516280109232</v>
      </c>
      <c r="V174" s="8">
        <f>[1]节奏总纲!AH174</f>
        <v>93.23466020665397</v>
      </c>
      <c r="AN174" s="8">
        <v>171</v>
      </c>
      <c r="AO174" s="8">
        <f>[1]节奏总纲!BA174</f>
        <v>41.630530120464542</v>
      </c>
      <c r="AP174" s="8">
        <f>[1]节奏总纲!BB174</f>
        <v>43.14251743441298</v>
      </c>
      <c r="AQ174" s="8">
        <f>[1]节奏总纲!BC174</f>
        <v>45.088151688727308</v>
      </c>
      <c r="AR174" s="8">
        <f>[1]节奏总纲!BD174</f>
        <v>47.827022929678968</v>
      </c>
      <c r="AS174" s="8">
        <f>[1]节奏总纲!BE174</f>
        <v>52.519959966533058</v>
      </c>
    </row>
    <row r="175" spans="2:45" x14ac:dyDescent="0.15">
      <c r="Q175" s="8">
        <v>172</v>
      </c>
      <c r="R175" s="8">
        <f>[1]节奏总纲!AD175</f>
        <v>74.338465431423501</v>
      </c>
      <c r="S175" s="8">
        <f>[1]节奏总纲!AE175</f>
        <v>76.413630021328345</v>
      </c>
      <c r="T175" s="8">
        <f>[1]节奏总纲!AF175</f>
        <v>79.281418790545047</v>
      </c>
      <c r="U175" s="8">
        <f>[1]节奏总纲!AG175</f>
        <v>83.914249023439666</v>
      </c>
      <c r="V175" s="8">
        <f>[1]节奏总纲!AH175</f>
        <v>93.323212526300722</v>
      </c>
      <c r="AN175" s="8">
        <v>172</v>
      </c>
      <c r="AO175" s="8">
        <f>[1]节奏总纲!BA175</f>
        <v>41.670756335556291</v>
      </c>
      <c r="AP175" s="8">
        <f>[1]节奏总纲!BB175</f>
        <v>43.179964142847631</v>
      </c>
      <c r="AQ175" s="8">
        <f>[1]节奏总纲!BC175</f>
        <v>45.125346494097485</v>
      </c>
      <c r="AR175" s="8">
        <f>[1]节奏总纲!BD175</f>
        <v>47.868598006324753</v>
      </c>
      <c r="AS175" s="8">
        <f>[1]节奏总纲!BE175</f>
        <v>52.559866648125151</v>
      </c>
    </row>
    <row r="176" spans="2:45" x14ac:dyDescent="0.15">
      <c r="Q176" s="8">
        <v>173</v>
      </c>
      <c r="R176" s="8">
        <f>[1]节奏总纲!AD176</f>
        <v>74.420957868442784</v>
      </c>
      <c r="S176" s="8">
        <f>[1]节奏总纲!AE176</f>
        <v>76.495935271543019</v>
      </c>
      <c r="T176" s="8">
        <f>[1]节奏总纲!AF176</f>
        <v>79.367620950988297</v>
      </c>
      <c r="U176" s="8">
        <f>[1]节奏总纲!AG176</f>
        <v>84.00179325525086</v>
      </c>
      <c r="V176" s="8">
        <f>[1]节奏总纲!AH176</f>
        <v>93.411764845947459</v>
      </c>
      <c r="AN176" s="8">
        <v>173</v>
      </c>
      <c r="AO176" s="8">
        <f>[1]节奏总纲!BA176</f>
        <v>41.710982550648033</v>
      </c>
      <c r="AP176" s="8">
        <f>[1]节奏总纲!BB176</f>
        <v>43.217410851282274</v>
      </c>
      <c r="AQ176" s="8">
        <f>[1]节奏总纲!BC176</f>
        <v>45.162541299467655</v>
      </c>
      <c r="AR176" s="8">
        <f>[1]节奏总纲!BD176</f>
        <v>47.910173082970537</v>
      </c>
      <c r="AS176" s="8">
        <f>[1]节奏总纲!BE176</f>
        <v>52.599773329717245</v>
      </c>
    </row>
    <row r="177" spans="17:45" x14ac:dyDescent="0.15">
      <c r="Q177" s="8">
        <v>174</v>
      </c>
      <c r="R177" s="8">
        <f>[1]节奏总纲!AD177</f>
        <v>74.503450305462081</v>
      </c>
      <c r="S177" s="8">
        <f>[1]节奏总纲!AE177</f>
        <v>76.578240521757706</v>
      </c>
      <c r="T177" s="8">
        <f>[1]节奏总纲!AF177</f>
        <v>79.453823111431561</v>
      </c>
      <c r="U177" s="8">
        <f>[1]节奏总纲!AG177</f>
        <v>84.08118060043364</v>
      </c>
      <c r="V177" s="8">
        <f>[1]节奏总纲!AH177</f>
        <v>93.500317165594211</v>
      </c>
      <c r="AN177" s="8">
        <v>174</v>
      </c>
      <c r="AO177" s="8">
        <f>[1]节奏总纲!BA177</f>
        <v>41.751208765739776</v>
      </c>
      <c r="AP177" s="8">
        <f>[1]节奏总纲!BB177</f>
        <v>43.254857559716925</v>
      </c>
      <c r="AQ177" s="8">
        <f>[1]节奏总纲!BC177</f>
        <v>45.199736104837832</v>
      </c>
      <c r="AR177" s="8">
        <f>[1]节奏总纲!BD177</f>
        <v>47.951748159616329</v>
      </c>
      <c r="AS177" s="8">
        <f>[1]节奏总纲!BE177</f>
        <v>52.639680011309345</v>
      </c>
    </row>
    <row r="178" spans="17:45" x14ac:dyDescent="0.15">
      <c r="Q178" s="8">
        <v>175</v>
      </c>
      <c r="R178" s="8">
        <f>[1]节奏总纲!AD178</f>
        <v>74.585942742481365</v>
      </c>
      <c r="S178" s="8">
        <f>[1]节奏总纲!AE178</f>
        <v>76.66054577197238</v>
      </c>
      <c r="T178" s="8">
        <f>[1]节奏总纲!AF178</f>
        <v>79.540025271874811</v>
      </c>
      <c r="U178" s="8">
        <f>[1]节奏总纲!AG178</f>
        <v>84.160567945616407</v>
      </c>
      <c r="V178" s="8">
        <f>[1]节奏总纲!AH178</f>
        <v>93.588869485240949</v>
      </c>
      <c r="AN178" s="8">
        <v>175</v>
      </c>
      <c r="AO178" s="8">
        <f>[1]节奏总纲!BA178</f>
        <v>41.791434980831518</v>
      </c>
      <c r="AP178" s="8">
        <f>[1]节奏总纲!BB178</f>
        <v>43.292304268151575</v>
      </c>
      <c r="AQ178" s="8">
        <f>[1]节奏总纲!BC178</f>
        <v>45.236930910208002</v>
      </c>
      <c r="AR178" s="8">
        <f>[1]节奏总纲!BD178</f>
        <v>47.993323236262114</v>
      </c>
      <c r="AS178" s="8">
        <f>[1]节奏总纲!BE178</f>
        <v>52.679586692901438</v>
      </c>
    </row>
    <row r="179" spans="17:45" x14ac:dyDescent="0.15">
      <c r="Q179" s="8">
        <v>176</v>
      </c>
      <c r="R179" s="8">
        <f>[1]节奏总纲!AD179</f>
        <v>74.668435179500648</v>
      </c>
      <c r="S179" s="8">
        <f>[1]节奏总纲!AE179</f>
        <v>76.742851022187054</v>
      </c>
      <c r="T179" s="8">
        <f>[1]节奏总纲!AF179</f>
        <v>79.626227432318061</v>
      </c>
      <c r="U179" s="8">
        <f>[1]节奏总纲!AG179</f>
        <v>84.239955290799188</v>
      </c>
      <c r="V179" s="8">
        <f>[1]节奏总纲!AH179</f>
        <v>93.6774218048877</v>
      </c>
      <c r="AN179" s="8">
        <v>176</v>
      </c>
      <c r="AO179" s="8">
        <f>[1]节奏总纲!BA179</f>
        <v>41.831661195923267</v>
      </c>
      <c r="AP179" s="8">
        <f>[1]节奏总纲!BB179</f>
        <v>43.329750976586219</v>
      </c>
      <c r="AQ179" s="8">
        <f>[1]节奏总纲!BC179</f>
        <v>45.274125715578172</v>
      </c>
      <c r="AR179" s="8">
        <f>[1]节奏总纲!BD179</f>
        <v>48.030128751164234</v>
      </c>
      <c r="AS179" s="8">
        <f>[1]节奏总纲!BE179</f>
        <v>52.719493374493531</v>
      </c>
    </row>
    <row r="180" spans="17:45" x14ac:dyDescent="0.15">
      <c r="Q180" s="8">
        <v>177</v>
      </c>
      <c r="R180" s="8">
        <f>[1]节奏总纲!AD180</f>
        <v>74.750927616519931</v>
      </c>
      <c r="S180" s="8">
        <f>[1]节奏总纲!AE180</f>
        <v>76.825156272401728</v>
      </c>
      <c r="T180" s="8">
        <f>[1]节奏总纲!AF180</f>
        <v>79.71242959276131</v>
      </c>
      <c r="U180" s="8">
        <f>[1]节奏总纲!AG180</f>
        <v>84.319342635981968</v>
      </c>
      <c r="V180" s="8">
        <f>[1]节奏总纲!AH180</f>
        <v>93.765974124534438</v>
      </c>
      <c r="AN180" s="8">
        <v>177</v>
      </c>
      <c r="AO180" s="8">
        <f>[1]节奏总纲!BA180</f>
        <v>41.87188741101501</v>
      </c>
      <c r="AP180" s="8">
        <f>[1]节奏总纲!BB180</f>
        <v>43.367197685020869</v>
      </c>
      <c r="AQ180" s="8">
        <f>[1]节奏总纲!BC180</f>
        <v>45.31132052094835</v>
      </c>
      <c r="AR180" s="8">
        <f>[1]节奏总纲!BD180</f>
        <v>48.066021750983474</v>
      </c>
      <c r="AS180" s="8">
        <f>[1]节奏总纲!BE180</f>
        <v>52.759400056085624</v>
      </c>
    </row>
    <row r="181" spans="17:45" x14ac:dyDescent="0.15">
      <c r="Q181" s="8">
        <v>178</v>
      </c>
      <c r="R181" s="8">
        <f>[1]节奏总纲!AD181</f>
        <v>74.833420053539214</v>
      </c>
      <c r="S181" s="8">
        <f>[1]节奏总纲!AE181</f>
        <v>76.907461522616416</v>
      </c>
      <c r="T181" s="8">
        <f>[1]节奏总纲!AF181</f>
        <v>79.79863175320456</v>
      </c>
      <c r="U181" s="8">
        <f>[1]节奏总纲!AG181</f>
        <v>84.398729981164735</v>
      </c>
      <c r="V181" s="8">
        <f>[1]节奏总纲!AH181</f>
        <v>93.85452644418119</v>
      </c>
      <c r="AN181" s="8">
        <v>178</v>
      </c>
      <c r="AO181" s="8">
        <f>[1]节奏总纲!BA181</f>
        <v>41.912113626106752</v>
      </c>
      <c r="AP181" s="8">
        <f>[1]节奏总纲!BB181</f>
        <v>43.404644393455513</v>
      </c>
      <c r="AQ181" s="8">
        <f>[1]节奏总纲!BC181</f>
        <v>45.34851532631852</v>
      </c>
      <c r="AR181" s="8">
        <f>[1]节奏总纲!BD181</f>
        <v>48.101914750802706</v>
      </c>
      <c r="AS181" s="8">
        <f>[1]节奏总纲!BE181</f>
        <v>52.799306737677718</v>
      </c>
    </row>
    <row r="182" spans="17:45" x14ac:dyDescent="0.15">
      <c r="Q182" s="8">
        <v>179</v>
      </c>
      <c r="R182" s="8">
        <f>[1]节奏总纲!AD182</f>
        <v>74.915912490558512</v>
      </c>
      <c r="S182" s="8">
        <f>[1]节奏总纲!AE182</f>
        <v>76.989766772831089</v>
      </c>
      <c r="T182" s="8">
        <f>[1]节奏总纲!AF182</f>
        <v>79.88483391364781</v>
      </c>
      <c r="U182" s="8">
        <f>[1]节奏总纲!AG182</f>
        <v>84.478117326347515</v>
      </c>
      <c r="V182" s="8">
        <f>[1]节奏总纲!AH182</f>
        <v>93.943078763827941</v>
      </c>
      <c r="AN182" s="8">
        <v>179</v>
      </c>
      <c r="AO182" s="8">
        <f>[1]节奏总纲!BA182</f>
        <v>41.952339841198494</v>
      </c>
      <c r="AP182" s="8">
        <f>[1]节奏总纲!BB182</f>
        <v>43.442091101890163</v>
      </c>
      <c r="AQ182" s="8">
        <f>[1]节奏总纲!BC182</f>
        <v>45.385710131688697</v>
      </c>
      <c r="AR182" s="8">
        <f>[1]节奏总纲!BD182</f>
        <v>48.137807750621946</v>
      </c>
      <c r="AS182" s="8">
        <f>[1]节奏总纲!BE182</f>
        <v>52.839213419269818</v>
      </c>
    </row>
    <row r="183" spans="17:45" x14ac:dyDescent="0.15">
      <c r="Q183" s="8">
        <v>180</v>
      </c>
      <c r="R183" s="8">
        <f>[1]节奏总纲!AD183</f>
        <v>74.998404927577795</v>
      </c>
      <c r="S183" s="8">
        <f>[1]节奏总纲!AE183</f>
        <v>77.06778397927944</v>
      </c>
      <c r="T183" s="8">
        <f>[1]节奏总纲!AF183</f>
        <v>79.97103607409106</v>
      </c>
      <c r="U183" s="8">
        <f>[1]节奏总纲!AG183</f>
        <v>84.557504671530296</v>
      </c>
      <c r="V183" s="8">
        <f>[1]节奏总纲!AH183</f>
        <v>94.027056817114342</v>
      </c>
      <c r="AN183" s="8">
        <v>180</v>
      </c>
      <c r="AO183" s="8">
        <f>[1]节奏总纲!BA183</f>
        <v>41.992566056290244</v>
      </c>
      <c r="AP183" s="8">
        <f>[1]节奏总纲!BB183</f>
        <v>43.479537810324807</v>
      </c>
      <c r="AQ183" s="8">
        <f>[1]节奏总纲!BC183</f>
        <v>45.422904937058867</v>
      </c>
      <c r="AR183" s="8">
        <f>[1]节奏总纲!BD183</f>
        <v>48.173700750441178</v>
      </c>
      <c r="AS183" s="8">
        <f>[1]节奏总纲!BE183</f>
        <v>52.879120100861911</v>
      </c>
    </row>
    <row r="184" spans="17:45" x14ac:dyDescent="0.15">
      <c r="Q184" s="8">
        <v>181</v>
      </c>
      <c r="R184" s="8">
        <f>[1]节奏总纲!AD184</f>
        <v>75.075479910097457</v>
      </c>
      <c r="S184" s="8">
        <f>[1]节奏总纲!AE184</f>
        <v>77.145192343015793</v>
      </c>
      <c r="T184" s="8">
        <f>[1]节奏总纲!AF184</f>
        <v>80.053817475702374</v>
      </c>
      <c r="U184" s="8">
        <f>[1]节奏总纲!AG184</f>
        <v>84.636892016713063</v>
      </c>
      <c r="V184" s="8">
        <f>[1]节奏总纲!AH184</f>
        <v>94.102803318799971</v>
      </c>
      <c r="AN184" s="8">
        <v>181</v>
      </c>
      <c r="AO184" s="8">
        <f>[1]节奏总纲!BA184</f>
        <v>42.028297717729309</v>
      </c>
      <c r="AP184" s="8">
        <f>[1]节奏总纲!BB184</f>
        <v>43.516984518759458</v>
      </c>
      <c r="AQ184" s="8">
        <f>[1]节奏总纲!BC184</f>
        <v>45.460099742429037</v>
      </c>
      <c r="AR184" s="8">
        <f>[1]节奏总纲!BD184</f>
        <v>48.209593750260417</v>
      </c>
      <c r="AS184" s="8">
        <f>[1]节奏总纲!BE184</f>
        <v>52.919026782454004</v>
      </c>
    </row>
    <row r="185" spans="17:45" x14ac:dyDescent="0.15">
      <c r="Q185" s="8">
        <v>182</v>
      </c>
      <c r="R185" s="8">
        <f>[1]节奏总纲!AD185</f>
        <v>75.152448075388719</v>
      </c>
      <c r="S185" s="8">
        <f>[1]节奏总纲!AE185</f>
        <v>77.222600706752132</v>
      </c>
      <c r="T185" s="8">
        <f>[1]节奏总纲!AF185</f>
        <v>80.134867890916794</v>
      </c>
      <c r="U185" s="8">
        <f>[1]节奏总纲!AG185</f>
        <v>84.716279361895843</v>
      </c>
      <c r="V185" s="8">
        <f>[1]节奏总纲!AH185</f>
        <v>94.1785498204856</v>
      </c>
      <c r="AN185" s="8">
        <v>182</v>
      </c>
      <c r="AO185" s="8">
        <f>[1]节奏总纲!BA185</f>
        <v>42.063010472656373</v>
      </c>
      <c r="AP185" s="8">
        <f>[1]节奏总纲!BB185</f>
        <v>43.554431227194108</v>
      </c>
      <c r="AQ185" s="8">
        <f>[1]节奏总纲!BC185</f>
        <v>45.497294547799214</v>
      </c>
      <c r="AR185" s="8">
        <f>[1]节奏总纲!BD185</f>
        <v>48.24548675007965</v>
      </c>
      <c r="AS185" s="8">
        <f>[1]节奏总纲!BE185</f>
        <v>52.958933464046098</v>
      </c>
    </row>
    <row r="186" spans="17:45" x14ac:dyDescent="0.15">
      <c r="Q186" s="8">
        <v>183</v>
      </c>
      <c r="R186" s="8">
        <f>[1]节奏总纲!AD186</f>
        <v>75.229416240679981</v>
      </c>
      <c r="S186" s="8">
        <f>[1]节奏总纲!AE186</f>
        <v>77.300009070488485</v>
      </c>
      <c r="T186" s="8">
        <f>[1]节奏总纲!AF186</f>
        <v>80.215918306131215</v>
      </c>
      <c r="U186" s="8">
        <f>[1]节奏总纲!AG186</f>
        <v>84.795666707078624</v>
      </c>
      <c r="V186" s="8">
        <f>[1]节奏总纲!AH186</f>
        <v>94.254296322171228</v>
      </c>
      <c r="AN186" s="8">
        <v>183</v>
      </c>
      <c r="AO186" s="8">
        <f>[1]节奏总纲!BA186</f>
        <v>42.097723227583437</v>
      </c>
      <c r="AP186" s="8">
        <f>[1]节奏总纲!BB186</f>
        <v>43.591877935628752</v>
      </c>
      <c r="AQ186" s="8">
        <f>[1]节奏总纲!BC186</f>
        <v>45.534489353169384</v>
      </c>
      <c r="AR186" s="8">
        <f>[1]节奏总纲!BD186</f>
        <v>48.281379749898889</v>
      </c>
      <c r="AS186" s="8">
        <f>[1]节奏总纲!BE186</f>
        <v>52.998840145638198</v>
      </c>
    </row>
    <row r="187" spans="17:45" x14ac:dyDescent="0.15">
      <c r="Q187" s="8">
        <v>184</v>
      </c>
      <c r="R187" s="8">
        <f>[1]节奏总纲!AD187</f>
        <v>75.306384405971258</v>
      </c>
      <c r="S187" s="8">
        <f>[1]节奏总纲!AE187</f>
        <v>77.377417434224824</v>
      </c>
      <c r="T187" s="8">
        <f>[1]节奏总纲!AF187</f>
        <v>80.296968721345635</v>
      </c>
      <c r="U187" s="8">
        <f>[1]节奏总纲!AG187</f>
        <v>84.87505405226139</v>
      </c>
      <c r="V187" s="8">
        <f>[1]节奏总纲!AH187</f>
        <v>94.330042823856857</v>
      </c>
      <c r="AN187" s="8">
        <v>184</v>
      </c>
      <c r="AO187" s="8">
        <f>[1]节奏总纲!BA187</f>
        <v>42.132435982510501</v>
      </c>
      <c r="AP187" s="8">
        <f>[1]节奏总纲!BB187</f>
        <v>43.629324644063402</v>
      </c>
      <c r="AQ187" s="8">
        <f>[1]节奏总纲!BC187</f>
        <v>45.571684158539561</v>
      </c>
      <c r="AR187" s="8">
        <f>[1]节奏总纲!BD187</f>
        <v>48.317272749718121</v>
      </c>
      <c r="AS187" s="8">
        <f>[1]节奏总纲!BE187</f>
        <v>53.033462597729766</v>
      </c>
    </row>
    <row r="188" spans="17:45" x14ac:dyDescent="0.15">
      <c r="Q188" s="8">
        <v>185</v>
      </c>
      <c r="R188" s="8">
        <f>[1]节奏总纲!AD188</f>
        <v>75.38335257126252</v>
      </c>
      <c r="S188" s="8">
        <f>[1]节奏总纲!AE188</f>
        <v>77.454825797961163</v>
      </c>
      <c r="T188" s="8">
        <f>[1]节奏总纲!AF188</f>
        <v>80.378019136560056</v>
      </c>
      <c r="U188" s="8">
        <f>[1]节奏总纲!AG188</f>
        <v>84.954441397444171</v>
      </c>
      <c r="V188" s="8">
        <f>[1]节奏总纲!AH188</f>
        <v>94.405789325542486</v>
      </c>
      <c r="AN188" s="8">
        <v>185</v>
      </c>
      <c r="AO188" s="8">
        <f>[1]节奏总纲!BA188</f>
        <v>42.167148737437564</v>
      </c>
      <c r="AP188" s="8">
        <f>[1]节奏总纲!BB188</f>
        <v>43.666771352498046</v>
      </c>
      <c r="AQ188" s="8">
        <f>[1]节奏总纲!BC188</f>
        <v>45.608878963909731</v>
      </c>
      <c r="AR188" s="8">
        <f>[1]节奏总纲!BD188</f>
        <v>48.353165749537354</v>
      </c>
      <c r="AS188" s="8">
        <f>[1]节奏总纲!BE188</f>
        <v>53.067926870763252</v>
      </c>
    </row>
    <row r="189" spans="17:45" x14ac:dyDescent="0.15">
      <c r="Q189" s="8">
        <v>186</v>
      </c>
      <c r="R189" s="8">
        <f>[1]节奏总纲!AD189</f>
        <v>75.460320736553783</v>
      </c>
      <c r="S189" s="8">
        <f>[1]节奏总纲!AE189</f>
        <v>77.532234161697517</v>
      </c>
      <c r="T189" s="8">
        <f>[1]节奏总纲!AF189</f>
        <v>80.459069551774476</v>
      </c>
      <c r="U189" s="8">
        <f>[1]节奏总纲!AG189</f>
        <v>85.030832425973387</v>
      </c>
      <c r="V189" s="8">
        <f>[1]节奏总纲!AH189</f>
        <v>94.4815358272281</v>
      </c>
      <c r="AN189" s="8">
        <v>186</v>
      </c>
      <c r="AO189" s="8">
        <f>[1]节奏总纲!BA189</f>
        <v>42.201861492364635</v>
      </c>
      <c r="AP189" s="8">
        <f>[1]节奏总纲!BB189</f>
        <v>43.704218060932696</v>
      </c>
      <c r="AQ189" s="8">
        <f>[1]节奏总纲!BC189</f>
        <v>45.646073769279901</v>
      </c>
      <c r="AR189" s="8">
        <f>[1]节奏总纲!BD189</f>
        <v>48.389058749356593</v>
      </c>
      <c r="AS189" s="8">
        <f>[1]节奏总纲!BE189</f>
        <v>53.102391143796744</v>
      </c>
    </row>
    <row r="190" spans="17:45" x14ac:dyDescent="0.15">
      <c r="Q190" s="8">
        <v>187</v>
      </c>
      <c r="R190" s="8">
        <f>[1]节奏总纲!AD190</f>
        <v>75.537288901845045</v>
      </c>
      <c r="S190" s="8">
        <f>[1]节奏总纲!AE190</f>
        <v>77.609642525433856</v>
      </c>
      <c r="T190" s="8">
        <f>[1]节奏总纲!AF190</f>
        <v>80.540119966988897</v>
      </c>
      <c r="U190" s="8">
        <f>[1]节奏总纲!AG190</f>
        <v>85.103188187775231</v>
      </c>
      <c r="V190" s="8">
        <f>[1]节奏总纲!AH190</f>
        <v>94.557282328913729</v>
      </c>
      <c r="AN190" s="8">
        <v>187</v>
      </c>
      <c r="AO190" s="8">
        <f>[1]节奏总纲!BA190</f>
        <v>42.236574247291699</v>
      </c>
      <c r="AP190" s="8">
        <f>[1]节奏总纲!BB190</f>
        <v>43.741664769367347</v>
      </c>
      <c r="AQ190" s="8">
        <f>[1]节奏总纲!BC190</f>
        <v>45.683268574650079</v>
      </c>
      <c r="AR190" s="8">
        <f>[1]节奏总纲!BD190</f>
        <v>48.424951749175825</v>
      </c>
      <c r="AS190" s="8">
        <f>[1]节奏总纲!BE190</f>
        <v>53.13685541683023</v>
      </c>
    </row>
    <row r="191" spans="17:45" x14ac:dyDescent="0.15">
      <c r="Q191" s="8">
        <v>188</v>
      </c>
      <c r="R191" s="8">
        <f>[1]节奏总纲!AD191</f>
        <v>75.614257067136322</v>
      </c>
      <c r="S191" s="8">
        <f>[1]节奏总纲!AE191</f>
        <v>77.687050889170209</v>
      </c>
      <c r="T191" s="8">
        <f>[1]节奏总纲!AF191</f>
        <v>80.621170382203317</v>
      </c>
      <c r="U191" s="8">
        <f>[1]节奏总纲!AG191</f>
        <v>85.175543949577076</v>
      </c>
      <c r="V191" s="8">
        <f>[1]节奏总纲!AH191</f>
        <v>94.633028830599358</v>
      </c>
      <c r="AN191" s="8">
        <v>188</v>
      </c>
      <c r="AO191" s="8">
        <f>[1]节奏总纲!BA191</f>
        <v>42.271287002218763</v>
      </c>
      <c r="AP191" s="8">
        <f>[1]节奏总纲!BB191</f>
        <v>43.77911147780199</v>
      </c>
      <c r="AQ191" s="8">
        <f>[1]节奏总纲!BC191</f>
        <v>45.720463380020249</v>
      </c>
      <c r="AR191" s="8">
        <f>[1]节奏总纲!BD191</f>
        <v>48.460844748995065</v>
      </c>
      <c r="AS191" s="8">
        <f>[1]节奏总纲!BE191</f>
        <v>53.171319689863722</v>
      </c>
    </row>
    <row r="192" spans="17:45" x14ac:dyDescent="0.15">
      <c r="Q192" s="8">
        <v>189</v>
      </c>
      <c r="R192" s="8">
        <f>[1]节奏总纲!AD192</f>
        <v>75.691225232427584</v>
      </c>
      <c r="S192" s="8">
        <f>[1]节奏总纲!AE192</f>
        <v>77.764459252906548</v>
      </c>
      <c r="T192" s="8">
        <f>[1]节奏总纲!AF192</f>
        <v>80.702220797417738</v>
      </c>
      <c r="U192" s="8">
        <f>[1]节奏总纲!AG192</f>
        <v>85.247899711378935</v>
      </c>
      <c r="V192" s="8">
        <f>[1]节奏总纲!AH192</f>
        <v>94.708775332284986</v>
      </c>
      <c r="AN192" s="8">
        <v>189</v>
      </c>
      <c r="AO192" s="8">
        <f>[1]节奏总纲!BA192</f>
        <v>42.305999757145827</v>
      </c>
      <c r="AP192" s="8">
        <f>[1]节奏总纲!BB192</f>
        <v>43.816558186236641</v>
      </c>
      <c r="AQ192" s="8">
        <f>[1]节奏总纲!BC192</f>
        <v>45.757658185390426</v>
      </c>
      <c r="AR192" s="8">
        <f>[1]节奏总纲!BD192</f>
        <v>48.496737748814297</v>
      </c>
      <c r="AS192" s="8">
        <f>[1]节奏总纲!BE192</f>
        <v>53.205783962897208</v>
      </c>
    </row>
    <row r="193" spans="17:45" x14ac:dyDescent="0.15">
      <c r="Q193" s="8">
        <v>190</v>
      </c>
      <c r="R193" s="8">
        <f>[1]节奏总纲!AD193</f>
        <v>75.768193397718846</v>
      </c>
      <c r="S193" s="8">
        <f>[1]节奏总纲!AE193</f>
        <v>77.841867616642901</v>
      </c>
      <c r="T193" s="8">
        <f>[1]节奏总纲!AF193</f>
        <v>80.783271212632158</v>
      </c>
      <c r="U193" s="8">
        <f>[1]节奏总纲!AG193</f>
        <v>85.320255473180779</v>
      </c>
      <c r="V193" s="8">
        <f>[1]节奏总纲!AH193</f>
        <v>94.784521833970615</v>
      </c>
      <c r="AN193" s="8">
        <v>190</v>
      </c>
      <c r="AO193" s="8">
        <f>[1]节奏总纲!BA193</f>
        <v>42.340712512072891</v>
      </c>
      <c r="AP193" s="8">
        <f>[1]节奏总纲!BB193</f>
        <v>43.854004894671284</v>
      </c>
      <c r="AQ193" s="8">
        <f>[1]节奏总纲!BC193</f>
        <v>45.794852990760596</v>
      </c>
      <c r="AR193" s="8">
        <f>[1]节奏总纲!BD193</f>
        <v>48.532630748633537</v>
      </c>
      <c r="AS193" s="8">
        <f>[1]节奏总纲!BE193</f>
        <v>53.240248235930693</v>
      </c>
    </row>
    <row r="194" spans="17:45" x14ac:dyDescent="0.15">
      <c r="Q194" s="8">
        <v>191</v>
      </c>
      <c r="R194" s="8">
        <f>[1]节奏总纲!AD194</f>
        <v>75.845161563010109</v>
      </c>
      <c r="S194" s="8">
        <f>[1]节奏总纲!AE194</f>
        <v>77.91927598037924</v>
      </c>
      <c r="T194" s="8">
        <f>[1]节奏总纲!AF194</f>
        <v>80.864321627846579</v>
      </c>
      <c r="U194" s="8">
        <f>[1]节奏总纲!AG194</f>
        <v>85.392611234982624</v>
      </c>
      <c r="V194" s="8">
        <f>[1]节奏总纲!AH194</f>
        <v>94.860268335656244</v>
      </c>
      <c r="AN194" s="8">
        <v>191</v>
      </c>
      <c r="AO194" s="8">
        <f>[1]节奏总纲!BA194</f>
        <v>42.375425266999954</v>
      </c>
      <c r="AP194" s="8">
        <f>[1]节奏总纲!BB194</f>
        <v>43.891451603105935</v>
      </c>
      <c r="AQ194" s="8">
        <f>[1]节奏总纲!BC194</f>
        <v>45.832047796130773</v>
      </c>
      <c r="AR194" s="8">
        <f>[1]节奏总纲!BD194</f>
        <v>48.568523748452769</v>
      </c>
      <c r="AS194" s="8">
        <f>[1]节奏总纲!BE194</f>
        <v>53.274712508964186</v>
      </c>
    </row>
    <row r="195" spans="17:45" x14ac:dyDescent="0.15">
      <c r="Q195" s="8">
        <v>192</v>
      </c>
      <c r="R195" s="8">
        <f>[1]节奏总纲!AD195</f>
        <v>75.922129728301385</v>
      </c>
      <c r="S195" s="8">
        <f>[1]节奏总纲!AE195</f>
        <v>77.996684344115593</v>
      </c>
      <c r="T195" s="8">
        <f>[1]节奏总纲!AF195</f>
        <v>80.945372043060999</v>
      </c>
      <c r="U195" s="8">
        <f>[1]节奏总纲!AG195</f>
        <v>85.464966996784469</v>
      </c>
      <c r="V195" s="8">
        <f>[1]节奏总纲!AH195</f>
        <v>94.936014837341872</v>
      </c>
      <c r="AN195" s="8">
        <v>192</v>
      </c>
      <c r="AO195" s="8">
        <f>[1]节奏总纲!BA195</f>
        <v>42.410138021927018</v>
      </c>
      <c r="AP195" s="8">
        <f>[1]节奏总纲!BB195</f>
        <v>43.928898311540578</v>
      </c>
      <c r="AQ195" s="8">
        <f>[1]节奏总纲!BC195</f>
        <v>45.869242601500943</v>
      </c>
      <c r="AR195" s="8">
        <f>[1]节奏总纲!BD195</f>
        <v>48.604416748272008</v>
      </c>
      <c r="AS195" s="8">
        <f>[1]节奏总纲!BE195</f>
        <v>53.309176781997671</v>
      </c>
    </row>
    <row r="196" spans="17:45" x14ac:dyDescent="0.15">
      <c r="Q196" s="8">
        <v>193</v>
      </c>
      <c r="R196" s="8">
        <f>[1]节奏总纲!AD196</f>
        <v>75.999097893592648</v>
      </c>
      <c r="S196" s="8">
        <f>[1]节奏总纲!AE196</f>
        <v>78.068193736526268</v>
      </c>
      <c r="T196" s="8">
        <f>[1]节奏总纲!AF196</f>
        <v>81.02378934476593</v>
      </c>
      <c r="U196" s="8">
        <f>[1]节奏总纲!AG196</f>
        <v>85.537322758586328</v>
      </c>
      <c r="V196" s="8">
        <f>[1]节奏总纲!AH196</f>
        <v>95.011078787937279</v>
      </c>
      <c r="AN196" s="8">
        <v>193</v>
      </c>
      <c r="AO196" s="8">
        <f>[1]节奏总纲!BA196</f>
        <v>42.444850776854082</v>
      </c>
      <c r="AP196" s="8">
        <f>[1]节奏总纲!BB196</f>
        <v>43.966345019975229</v>
      </c>
      <c r="AQ196" s="8">
        <f>[1]节奏总纲!BC196</f>
        <v>45.906437406871113</v>
      </c>
      <c r="AR196" s="8">
        <f>[1]节奏总纲!BD196</f>
        <v>48.640309748091241</v>
      </c>
      <c r="AS196" s="8">
        <f>[1]节奏总纲!BE196</f>
        <v>53.343641055031163</v>
      </c>
    </row>
    <row r="197" spans="17:45" x14ac:dyDescent="0.15">
      <c r="Q197" s="8">
        <v>194</v>
      </c>
      <c r="R197" s="8">
        <f>[1]节奏总纲!AD197</f>
        <v>76.070972142474872</v>
      </c>
      <c r="S197" s="8">
        <f>[1]节奏总纲!AE197</f>
        <v>78.139439149396253</v>
      </c>
      <c r="T197" s="8">
        <f>[1]节奏总纲!AF197</f>
        <v>81.096762731680187</v>
      </c>
      <c r="U197" s="8">
        <f>[1]节奏总纲!AG197</f>
        <v>85.609678520388172</v>
      </c>
      <c r="V197" s="8">
        <f>[1]节奏总纲!AH197</f>
        <v>95.082429458741387</v>
      </c>
      <c r="AN197" s="8">
        <v>194</v>
      </c>
      <c r="AO197" s="8">
        <f>[1]节奏总纲!BA197</f>
        <v>42.479563531781146</v>
      </c>
      <c r="AP197" s="8">
        <f>[1]节奏总纲!BB197</f>
        <v>44.003272544984547</v>
      </c>
      <c r="AQ197" s="8">
        <f>[1]节奏总纲!BC197</f>
        <v>45.94363221224129</v>
      </c>
      <c r="AR197" s="8">
        <f>[1]节奏总纲!BD197</f>
        <v>48.67620274791048</v>
      </c>
      <c r="AS197" s="8">
        <f>[1]节奏总纲!BE197</f>
        <v>53.378105328064649</v>
      </c>
    </row>
    <row r="198" spans="17:45" x14ac:dyDescent="0.15">
      <c r="Q198" s="8">
        <v>195</v>
      </c>
      <c r="R198" s="8">
        <f>[1]节奏总纲!AD198</f>
        <v>76.142785979989682</v>
      </c>
      <c r="S198" s="8">
        <f>[1]节奏总纲!AE198</f>
        <v>78.210684562266223</v>
      </c>
      <c r="T198" s="8">
        <f>[1]节奏总纲!AF198</f>
        <v>81.169736118594443</v>
      </c>
      <c r="U198" s="8">
        <f>[1]节奏总纲!AG198</f>
        <v>85.682034282190017</v>
      </c>
      <c r="V198" s="8">
        <f>[1]节奏总纲!AH198</f>
        <v>95.153780129545481</v>
      </c>
      <c r="AN198" s="8">
        <v>195</v>
      </c>
      <c r="AO198" s="8">
        <f>[1]节奏总纲!BA198</f>
        <v>42.51427628670821</v>
      </c>
      <c r="AP198" s="8">
        <f>[1]节奏总纲!BB198</f>
        <v>44.035591852864428</v>
      </c>
      <c r="AQ198" s="8">
        <f>[1]节奏总纲!BC198</f>
        <v>45.98082701761146</v>
      </c>
      <c r="AR198" s="8">
        <f>[1]节奏总纲!BD198</f>
        <v>48.712095747729713</v>
      </c>
      <c r="AS198" s="8">
        <f>[1]节奏总纲!BE198</f>
        <v>53.412569601098134</v>
      </c>
    </row>
    <row r="199" spans="17:45" x14ac:dyDescent="0.15">
      <c r="Q199" s="8">
        <v>196</v>
      </c>
      <c r="R199" s="8">
        <f>[1]节奏总纲!AD199</f>
        <v>76.214599817504492</v>
      </c>
      <c r="S199" s="8">
        <f>[1]节奏总纲!AE199</f>
        <v>78.281929975136208</v>
      </c>
      <c r="T199" s="8">
        <f>[1]节奏总纲!AF199</f>
        <v>81.242709505508685</v>
      </c>
      <c r="U199" s="8">
        <f>[1]节奏总纲!AG199</f>
        <v>85.754390043991862</v>
      </c>
      <c r="V199" s="8">
        <f>[1]节奏总纲!AH199</f>
        <v>95.225130800349589</v>
      </c>
      <c r="AN199" s="8">
        <v>196</v>
      </c>
      <c r="AO199" s="8">
        <f>[1]节奏总纲!BA199</f>
        <v>42.548989041635274</v>
      </c>
      <c r="AP199" s="8">
        <f>[1]节奏总纲!BB199</f>
        <v>44.067911160744309</v>
      </c>
      <c r="AQ199" s="8">
        <f>[1]节奏总纲!BC199</f>
        <v>46.01555652579863</v>
      </c>
      <c r="AR199" s="8">
        <f>[1]节奏总纲!BD199</f>
        <v>48.747988747548945</v>
      </c>
      <c r="AS199" s="8">
        <f>[1]节奏总纲!BE199</f>
        <v>53.447033874131627</v>
      </c>
    </row>
    <row r="200" spans="17:45" x14ac:dyDescent="0.15">
      <c r="Q200" s="8">
        <v>197</v>
      </c>
      <c r="R200" s="8">
        <f>[1]节奏总纲!AD200</f>
        <v>76.286413655019302</v>
      </c>
      <c r="S200" s="8">
        <f>[1]节奏总纲!AE200</f>
        <v>78.353175388006179</v>
      </c>
      <c r="T200" s="8">
        <f>[1]节奏总纲!AF200</f>
        <v>81.315682892422942</v>
      </c>
      <c r="U200" s="8">
        <f>[1]节奏总纲!AG200</f>
        <v>85.82674580579372</v>
      </c>
      <c r="V200" s="8">
        <f>[1]节奏总纲!AH200</f>
        <v>95.296481471153683</v>
      </c>
      <c r="AN200" s="8">
        <v>197</v>
      </c>
      <c r="AO200" s="8">
        <f>[1]节奏总纲!BA200</f>
        <v>42.583701796562345</v>
      </c>
      <c r="AP200" s="8">
        <f>[1]节奏总纲!BB200</f>
        <v>44.100230468624183</v>
      </c>
      <c r="AQ200" s="8">
        <f>[1]节奏总纲!BC200</f>
        <v>46.047663263829847</v>
      </c>
      <c r="AR200" s="8">
        <f>[1]节奏总纲!BD200</f>
        <v>48.783881747368184</v>
      </c>
      <c r="AS200" s="8">
        <f>[1]节奏总纲!BE200</f>
        <v>53.481498147165112</v>
      </c>
    </row>
    <row r="201" spans="17:45" x14ac:dyDescent="0.15">
      <c r="Q201" s="8">
        <v>198</v>
      </c>
      <c r="R201" s="8">
        <f>[1]节奏总纲!AD201</f>
        <v>76.358227492534112</v>
      </c>
      <c r="S201" s="8">
        <f>[1]节奏总纲!AE201</f>
        <v>78.424420800876163</v>
      </c>
      <c r="T201" s="8">
        <f>[1]节奏总纲!AF201</f>
        <v>81.388656279337198</v>
      </c>
      <c r="U201" s="8">
        <f>[1]节奏总纲!AG201</f>
        <v>85.899101567595565</v>
      </c>
      <c r="V201" s="8">
        <f>[1]节奏总纲!AH201</f>
        <v>95.367832141957777</v>
      </c>
      <c r="AN201" s="8">
        <v>198</v>
      </c>
      <c r="AO201" s="8">
        <f>[1]节奏总纲!BA201</f>
        <v>42.618414551489408</v>
      </c>
      <c r="AP201" s="8">
        <f>[1]节奏总纲!BB201</f>
        <v>44.132549776504064</v>
      </c>
      <c r="AQ201" s="8">
        <f>[1]节奏总纲!BC201</f>
        <v>46.079770001861057</v>
      </c>
      <c r="AR201" s="8">
        <f>[1]节奏总纲!BD201</f>
        <v>48.819774747187417</v>
      </c>
      <c r="AS201" s="8">
        <f>[1]节奏总纲!BE201</f>
        <v>53.515962420198605</v>
      </c>
    </row>
    <row r="202" spans="17:45" x14ac:dyDescent="0.15">
      <c r="Q202" s="8">
        <v>199</v>
      </c>
      <c r="R202" s="8">
        <f>[1]节奏总纲!AD202</f>
        <v>76.430041330048923</v>
      </c>
      <c r="S202" s="8">
        <f>[1]节奏总纲!AE202</f>
        <v>78.495666213746148</v>
      </c>
      <c r="T202" s="8">
        <f>[1]节奏总纲!AF202</f>
        <v>81.461629666251454</v>
      </c>
      <c r="U202" s="8">
        <f>[1]节奏总纲!AG202</f>
        <v>85.97145732939741</v>
      </c>
      <c r="V202" s="8">
        <f>[1]节奏总纲!AH202</f>
        <v>95.439182812761885</v>
      </c>
      <c r="AN202" s="8">
        <v>199</v>
      </c>
      <c r="AO202" s="8">
        <f>[1]节奏总纲!BA202</f>
        <v>42.653127306416472</v>
      </c>
      <c r="AP202" s="8">
        <f>[1]节奏总纲!BB202</f>
        <v>44.164869084383938</v>
      </c>
      <c r="AQ202" s="8">
        <f>[1]节奏总纲!BC202</f>
        <v>46.111876739892267</v>
      </c>
      <c r="AR202" s="8">
        <f>[1]节奏总纲!BD202</f>
        <v>48.855667747006656</v>
      </c>
      <c r="AS202" s="8">
        <f>[1]节奏总纲!BE202</f>
        <v>53.55042669323209</v>
      </c>
    </row>
    <row r="203" spans="17:45" x14ac:dyDescent="0.15">
      <c r="Q203" s="8">
        <v>200</v>
      </c>
      <c r="R203" s="8">
        <f>[1]节奏总纲!AD203</f>
        <v>76.501855167563733</v>
      </c>
      <c r="S203" s="8">
        <f>[1]节奏总纲!AE203</f>
        <v>78.566911626616118</v>
      </c>
      <c r="T203" s="8">
        <f>[1]节奏总纲!AF203</f>
        <v>81.534603053165696</v>
      </c>
      <c r="U203" s="8">
        <f>[1]节奏总纲!AG203</f>
        <v>86.045919706798657</v>
      </c>
      <c r="V203" s="8">
        <f>[1]节奏总纲!AH203</f>
        <v>95.510533483565979</v>
      </c>
      <c r="AN203" s="8">
        <v>200</v>
      </c>
      <c r="AO203" s="8">
        <f>[1]节奏总纲!BA203</f>
        <v>42.687840061343536</v>
      </c>
      <c r="AP203" s="8">
        <f>[1]节奏总纲!BB203</f>
        <v>44.197188392263818</v>
      </c>
      <c r="AQ203" s="8">
        <f>[1]节奏总纲!BC203</f>
        <v>46.143983477923484</v>
      </c>
      <c r="AR203" s="8">
        <f>[1]节奏总纲!BD203</f>
        <v>48.891560746825888</v>
      </c>
      <c r="AS203" s="8">
        <f>[1]节奏总纲!BE203</f>
        <v>53.584890966265583</v>
      </c>
    </row>
    <row r="204" spans="17:45" x14ac:dyDescent="0.15">
      <c r="Q204" s="8">
        <v>201</v>
      </c>
      <c r="R204" s="8">
        <f>[1]节奏总纲!AD204</f>
        <v>76.573669005078543</v>
      </c>
      <c r="S204" s="8">
        <f>[1]节奏总纲!AE204</f>
        <v>78.638157039486103</v>
      </c>
      <c r="T204" s="8">
        <f>[1]节奏总纲!AF204</f>
        <v>81.607576440079953</v>
      </c>
      <c r="U204" s="8">
        <f>[1]节奏总纲!AG204</f>
        <v>86.121754469336281</v>
      </c>
      <c r="V204" s="8">
        <f>[1]节奏总纲!AH204</f>
        <v>95.581884154370087</v>
      </c>
      <c r="AN204" s="8">
        <v>201</v>
      </c>
      <c r="AO204" s="8">
        <f>[1]节奏总纲!BA204</f>
        <v>42.7225528162706</v>
      </c>
      <c r="AP204" s="8">
        <f>[1]节奏总纲!BB204</f>
        <v>44.229507700143699</v>
      </c>
      <c r="AQ204" s="8">
        <f>[1]节奏总纲!BC204</f>
        <v>46.176090215954694</v>
      </c>
      <c r="AR204" s="8">
        <f>[1]节奏总纲!BD204</f>
        <v>48.927453746645128</v>
      </c>
      <c r="AS204" s="8">
        <f>[1]节奏总纲!BE204</f>
        <v>53.619355239299068</v>
      </c>
    </row>
    <row r="205" spans="17:45" x14ac:dyDescent="0.15">
      <c r="Q205" s="8">
        <v>202</v>
      </c>
      <c r="R205" s="8">
        <f>[1]节奏总纲!AD205</f>
        <v>76.645482842593353</v>
      </c>
      <c r="S205" s="8">
        <f>[1]节奏总纲!AE205</f>
        <v>78.709402452356088</v>
      </c>
      <c r="T205" s="8">
        <f>[1]节奏总纲!AF205</f>
        <v>81.680549826994209</v>
      </c>
      <c r="U205" s="8">
        <f>[1]节奏总纲!AG205</f>
        <v>86.197589231873891</v>
      </c>
      <c r="V205" s="8">
        <f>[1]节奏总纲!AH205</f>
        <v>95.653234825174181</v>
      </c>
      <c r="AN205" s="8">
        <v>202</v>
      </c>
      <c r="AO205" s="8">
        <f>[1]节奏总纲!BA205</f>
        <v>42.757265571197664</v>
      </c>
      <c r="AP205" s="8">
        <f>[1]节奏总纲!BB205</f>
        <v>44.261827008023573</v>
      </c>
      <c r="AQ205" s="8">
        <f>[1]节奏总纲!BC205</f>
        <v>46.208196953985905</v>
      </c>
      <c r="AR205" s="8">
        <f>[1]节奏总纲!BD205</f>
        <v>48.96334674646436</v>
      </c>
      <c r="AS205" s="8">
        <f>[1]节奏总纲!BE205</f>
        <v>53.653819512332554</v>
      </c>
    </row>
    <row r="206" spans="17:45" x14ac:dyDescent="0.15">
      <c r="Q206" s="8">
        <v>203</v>
      </c>
      <c r="R206" s="8">
        <f>[1]节奏总纲!AD206</f>
        <v>76.717296680108163</v>
      </c>
      <c r="S206" s="8">
        <f>[1]节奏总纲!AE206</f>
        <v>78.780647865226058</v>
      </c>
      <c r="T206" s="8">
        <f>[1]节奏总纲!AF206</f>
        <v>81.753523213908451</v>
      </c>
      <c r="U206" s="8">
        <f>[1]节奏总纲!AG206</f>
        <v>86.273423994411502</v>
      </c>
      <c r="V206" s="8">
        <f>[1]节奏总纲!AH206</f>
        <v>95.724585495978289</v>
      </c>
      <c r="AN206" s="8">
        <v>203</v>
      </c>
      <c r="AO206" s="8">
        <f>[1]节奏总纲!BA206</f>
        <v>42.791978326124728</v>
      </c>
      <c r="AP206" s="8">
        <f>[1]节奏总纲!BB206</f>
        <v>44.294146315903454</v>
      </c>
      <c r="AQ206" s="8">
        <f>[1]节奏总纲!BC206</f>
        <v>46.240303692017122</v>
      </c>
      <c r="AR206" s="8">
        <f>[1]节奏总纲!BD206</f>
        <v>48.9992397462836</v>
      </c>
      <c r="AS206" s="8">
        <f>[1]节奏总纲!BE206</f>
        <v>53.688283785366046</v>
      </c>
    </row>
    <row r="207" spans="17:45" x14ac:dyDescent="0.15">
      <c r="Q207" s="8">
        <v>204</v>
      </c>
      <c r="R207" s="8">
        <f>[1]节奏总纲!AD207</f>
        <v>76.789110517622973</v>
      </c>
      <c r="S207" s="8">
        <f>[1]节奏总纲!AE207</f>
        <v>78.851893278096043</v>
      </c>
      <c r="T207" s="8">
        <f>[1]节奏总纲!AF207</f>
        <v>81.826496600822708</v>
      </c>
      <c r="U207" s="8">
        <f>[1]节奏总纲!AG207</f>
        <v>86.349258756949112</v>
      </c>
      <c r="V207" s="8">
        <f>[1]节奏总纲!AH207</f>
        <v>95.795936166782383</v>
      </c>
      <c r="AN207" s="8">
        <v>204</v>
      </c>
      <c r="AO207" s="8">
        <f>[1]节奏总纲!BA207</f>
        <v>42.826691081051791</v>
      </c>
      <c r="AP207" s="8">
        <f>[1]节奏总纲!BB207</f>
        <v>44.326465623783335</v>
      </c>
      <c r="AQ207" s="8">
        <f>[1]节奏总纲!BC207</f>
        <v>46.272410430048332</v>
      </c>
      <c r="AR207" s="8">
        <f>[1]节奏总纲!BD207</f>
        <v>49.030333272797542</v>
      </c>
      <c r="AS207" s="8">
        <f>[1]节奏总纲!BE207</f>
        <v>53.722748058399532</v>
      </c>
    </row>
    <row r="208" spans="17:45" x14ac:dyDescent="0.15">
      <c r="Q208" s="8">
        <v>205</v>
      </c>
      <c r="R208" s="8">
        <f>[1]节奏总纲!AD208</f>
        <v>76.860924355137783</v>
      </c>
      <c r="S208" s="8">
        <f>[1]节奏总纲!AE208</f>
        <v>78.923138690966013</v>
      </c>
      <c r="T208" s="8">
        <f>[1]节奏总纲!AF208</f>
        <v>81.899469987736964</v>
      </c>
      <c r="U208" s="8">
        <f>[1]节奏总纲!AG208</f>
        <v>86.425093519486722</v>
      </c>
      <c r="V208" s="8">
        <f>[1]节奏总纲!AH208</f>
        <v>95.867286837586477</v>
      </c>
      <c r="AN208" s="8">
        <v>205</v>
      </c>
      <c r="AO208" s="8">
        <f>[1]节奏总纲!BA208</f>
        <v>42.861403835978855</v>
      </c>
      <c r="AP208" s="8">
        <f>[1]节奏总纲!BB208</f>
        <v>44.358784931663209</v>
      </c>
      <c r="AQ208" s="8">
        <f>[1]节奏总纲!BC208</f>
        <v>46.304517168079542</v>
      </c>
      <c r="AR208" s="8">
        <f>[1]节奏总纲!BD208</f>
        <v>49.061322941292346</v>
      </c>
      <c r="AS208" s="8">
        <f>[1]节奏总纲!BE208</f>
        <v>53.757212331433024</v>
      </c>
    </row>
    <row r="209" spans="17:45" x14ac:dyDescent="0.15">
      <c r="Q209" s="8">
        <v>206</v>
      </c>
      <c r="R209" s="8">
        <f>[1]节奏总纲!AD209</f>
        <v>76.932738192652593</v>
      </c>
      <c r="S209" s="8">
        <f>[1]节奏总纲!AE209</f>
        <v>78.994384103835998</v>
      </c>
      <c r="T209" s="8">
        <f>[1]节奏总纲!AF209</f>
        <v>81.972443374651206</v>
      </c>
      <c r="U209" s="8">
        <f>[1]节奏总纲!AG209</f>
        <v>86.500928282024347</v>
      </c>
      <c r="V209" s="8">
        <f>[1]节奏总纲!AH209</f>
        <v>95.938637508390585</v>
      </c>
      <c r="AN209" s="8">
        <v>206</v>
      </c>
      <c r="AO209" s="8">
        <f>[1]节奏总纲!BA209</f>
        <v>42.896116590905919</v>
      </c>
      <c r="AP209" s="8">
        <f>[1]节奏总纲!BB209</f>
        <v>44.39110423954309</v>
      </c>
      <c r="AQ209" s="8">
        <f>[1]节奏总纲!BC209</f>
        <v>46.336623906110759</v>
      </c>
      <c r="AR209" s="8">
        <f>[1]节奏总纲!BD209</f>
        <v>49.09231260978715</v>
      </c>
      <c r="AS209" s="8">
        <f>[1]节奏总纲!BE209</f>
        <v>53.79167660446651</v>
      </c>
    </row>
    <row r="210" spans="17:45" x14ac:dyDescent="0.15">
      <c r="Q210" s="8">
        <v>207</v>
      </c>
      <c r="R210" s="8">
        <f>[1]节奏总纲!AD210</f>
        <v>77.004247194324648</v>
      </c>
      <c r="S210" s="8">
        <f>[1]节奏总纲!AE210</f>
        <v>79.061386416569832</v>
      </c>
      <c r="T210" s="8">
        <f>[1]节奏总纲!AF210</f>
        <v>82.041007317281839</v>
      </c>
      <c r="U210" s="8">
        <f>[1]节奏总纲!AG210</f>
        <v>86.576763044561957</v>
      </c>
      <c r="V210" s="8">
        <f>[1]节奏总纲!AH210</f>
        <v>96.008512635801992</v>
      </c>
      <c r="AN210" s="8">
        <v>207</v>
      </c>
      <c r="AO210" s="8">
        <f>[1]节奏总纲!BA210</f>
        <v>42.930829345832983</v>
      </c>
      <c r="AP210" s="8">
        <f>[1]节奏总纲!BB210</f>
        <v>44.423423547422971</v>
      </c>
      <c r="AQ210" s="8">
        <f>[1]节奏总纲!BC210</f>
        <v>46.368730644141969</v>
      </c>
      <c r="AR210" s="8">
        <f>[1]节奏总纲!BD210</f>
        <v>49.123302278281955</v>
      </c>
      <c r="AS210" s="8">
        <f>[1]节奏总纲!BE210</f>
        <v>53.826140877499995</v>
      </c>
    </row>
    <row r="211" spans="17:45" x14ac:dyDescent="0.15">
      <c r="Q211" s="8">
        <v>208</v>
      </c>
      <c r="R211" s="8">
        <f>[1]节奏总纲!AD211</f>
        <v>77.07125187397483</v>
      </c>
      <c r="S211" s="8">
        <f>[1]节奏总纲!AE211</f>
        <v>79.128025648620252</v>
      </c>
      <c r="T211" s="8">
        <f>[1]节奏总纲!AF211</f>
        <v>82.106895829081836</v>
      </c>
      <c r="U211" s="8">
        <f>[1]节奏总纲!AG211</f>
        <v>86.652597807099568</v>
      </c>
      <c r="V211" s="8">
        <f>[1]节奏总纲!AH211</f>
        <v>96.069322745727362</v>
      </c>
      <c r="AN211" s="8">
        <v>208</v>
      </c>
      <c r="AO211" s="8">
        <f>[1]节奏总纲!BA211</f>
        <v>42.965542100760054</v>
      </c>
      <c r="AP211" s="8">
        <f>[1]节奏总纲!BB211</f>
        <v>44.455742855302844</v>
      </c>
      <c r="AQ211" s="8">
        <f>[1]节奏总纲!BC211</f>
        <v>46.400837382173179</v>
      </c>
      <c r="AR211" s="8">
        <f>[1]节奏总纲!BD211</f>
        <v>49.154291946776759</v>
      </c>
      <c r="AS211" s="8">
        <f>[1]节奏总纲!BE211</f>
        <v>53.860605150533488</v>
      </c>
    </row>
    <row r="212" spans="17:45" x14ac:dyDescent="0.15">
      <c r="Q212" s="8">
        <v>209</v>
      </c>
      <c r="R212" s="8">
        <f>[1]节奏总纲!AD212</f>
        <v>77.138256553625013</v>
      </c>
      <c r="S212" s="8">
        <f>[1]节奏总纲!AE212</f>
        <v>79.194664880670672</v>
      </c>
      <c r="T212" s="8">
        <f>[1]节奏总纲!AF212</f>
        <v>82.172784340881819</v>
      </c>
      <c r="U212" s="8">
        <f>[1]节奏总纲!AG212</f>
        <v>86.728432569637178</v>
      </c>
      <c r="V212" s="8">
        <f>[1]节奏总纲!AH212</f>
        <v>96.130132855652732</v>
      </c>
      <c r="AN212" s="8">
        <v>209</v>
      </c>
      <c r="AO212" s="8">
        <f>[1]节奏总纲!BA212</f>
        <v>43.000219942361319</v>
      </c>
      <c r="AP212" s="8">
        <f>[1]节奏总纲!BB212</f>
        <v>44.488062163182725</v>
      </c>
      <c r="AQ212" s="8">
        <f>[1]节奏总纲!BC212</f>
        <v>46.432944120204397</v>
      </c>
      <c r="AR212" s="8">
        <f>[1]节奏总纲!BD212</f>
        <v>49.18528161527157</v>
      </c>
      <c r="AS212" s="8">
        <f>[1]节奏总纲!BE212</f>
        <v>53.895069423566973</v>
      </c>
    </row>
    <row r="213" spans="17:45" x14ac:dyDescent="0.15">
      <c r="Q213" s="8">
        <v>210</v>
      </c>
      <c r="R213" s="8">
        <f>[1]节奏总纲!AD213</f>
        <v>77.205261233275195</v>
      </c>
      <c r="S213" s="8">
        <f>[1]节奏总纲!AE213</f>
        <v>79.261304112721092</v>
      </c>
      <c r="T213" s="8">
        <f>[1]节奏总纲!AF213</f>
        <v>82.238672852681816</v>
      </c>
      <c r="U213" s="8">
        <f>[1]节奏总纲!AG213</f>
        <v>86.804267332174788</v>
      </c>
      <c r="V213" s="8">
        <f>[1]节奏总纲!AH213</f>
        <v>96.190942965578103</v>
      </c>
      <c r="AN213" s="8">
        <v>210</v>
      </c>
      <c r="AO213" s="8">
        <f>[1]节奏总纲!BA213</f>
        <v>43.030177309109042</v>
      </c>
      <c r="AP213" s="8">
        <f>[1]节奏总纲!BB213</f>
        <v>44.520381471062606</v>
      </c>
      <c r="AQ213" s="8">
        <f>[1]节奏总纲!BC213</f>
        <v>46.465050858235607</v>
      </c>
      <c r="AR213" s="8">
        <f>[1]节奏总纲!BD213</f>
        <v>49.216271283766375</v>
      </c>
      <c r="AS213" s="8">
        <f>[1]节奏总纲!BE213</f>
        <v>53.929533696600465</v>
      </c>
    </row>
    <row r="214" spans="17:45" x14ac:dyDescent="0.15">
      <c r="Q214" s="8">
        <v>211</v>
      </c>
      <c r="R214" s="8">
        <f>[1]节奏总纲!AD214</f>
        <v>77.272265912925377</v>
      </c>
      <c r="S214" s="8">
        <f>[1]节奏总纲!AE214</f>
        <v>79.327943344771512</v>
      </c>
      <c r="T214" s="8">
        <f>[1]节奏总纲!AF214</f>
        <v>82.304561364481813</v>
      </c>
      <c r="U214" s="8">
        <f>[1]节奏总纲!AG214</f>
        <v>86.880102094712413</v>
      </c>
      <c r="V214" s="8">
        <f>[1]节奏总纲!AH214</f>
        <v>96.251753075503458</v>
      </c>
      <c r="AN214" s="8">
        <v>211</v>
      </c>
      <c r="AO214" s="8">
        <f>[1]节奏总纲!BA214</f>
        <v>43.060134675856759</v>
      </c>
      <c r="AP214" s="8">
        <f>[1]节奏总纲!BB214</f>
        <v>44.55270077894248</v>
      </c>
      <c r="AQ214" s="8">
        <f>[1]节奏总纲!BC214</f>
        <v>46.497157596266817</v>
      </c>
      <c r="AR214" s="8">
        <f>[1]节奏总纲!BD214</f>
        <v>49.247260952261179</v>
      </c>
      <c r="AS214" s="8">
        <f>[1]节奏总纲!BE214</f>
        <v>53.963997969633951</v>
      </c>
    </row>
    <row r="215" spans="17:45" x14ac:dyDescent="0.15">
      <c r="Q215" s="8">
        <v>212</v>
      </c>
      <c r="R215" s="8">
        <f>[1]节奏总纲!AD215</f>
        <v>77.339270592575559</v>
      </c>
      <c r="S215" s="8">
        <f>[1]节奏总纲!AE215</f>
        <v>79.394582576821932</v>
      </c>
      <c r="T215" s="8">
        <f>[1]节奏总纲!AF215</f>
        <v>82.370449876281796</v>
      </c>
      <c r="U215" s="8">
        <f>[1]节奏总纲!AG215</f>
        <v>86.955936857250023</v>
      </c>
      <c r="V215" s="8">
        <f>[1]节奏总纲!AH215</f>
        <v>96.312563185428829</v>
      </c>
      <c r="AN215" s="8">
        <v>212</v>
      </c>
      <c r="AO215" s="8">
        <f>[1]节奏总纲!BA215</f>
        <v>43.090092042604475</v>
      </c>
      <c r="AP215" s="8">
        <f>[1]节奏总纲!BB215</f>
        <v>44.585020086822361</v>
      </c>
      <c r="AQ215" s="8">
        <f>[1]节奏总纲!BC215</f>
        <v>46.529264334298034</v>
      </c>
      <c r="AR215" s="8">
        <f>[1]节奏总纲!BD215</f>
        <v>49.278250620755983</v>
      </c>
      <c r="AS215" s="8">
        <f>[1]节奏总纲!BE215</f>
        <v>53.998462242667436</v>
      </c>
    </row>
    <row r="216" spans="17:45" x14ac:dyDescent="0.15">
      <c r="Q216" s="8">
        <v>213</v>
      </c>
      <c r="R216" s="8">
        <f>[1]节奏总纲!AD216</f>
        <v>77.406275272225741</v>
      </c>
      <c r="S216" s="8">
        <f>[1]节奏总纲!AE216</f>
        <v>79.461221808872352</v>
      </c>
      <c r="T216" s="8">
        <f>[1]节奏总纲!AF216</f>
        <v>82.436338388081793</v>
      </c>
      <c r="U216" s="8">
        <f>[1]节奏总纲!AG216</f>
        <v>87.031203567981635</v>
      </c>
      <c r="V216" s="8">
        <f>[1]节奏总纲!AH216</f>
        <v>96.373373295354199</v>
      </c>
      <c r="AN216" s="8">
        <v>213</v>
      </c>
      <c r="AO216" s="8">
        <f>[1]节奏总纲!BA216</f>
        <v>43.120049409352191</v>
      </c>
      <c r="AP216" s="8">
        <f>[1]节奏总纲!BB216</f>
        <v>44.617339394702242</v>
      </c>
      <c r="AQ216" s="8">
        <f>[1]节奏总纲!BC216</f>
        <v>46.561371072329244</v>
      </c>
      <c r="AR216" s="8">
        <f>[1]节奏总纲!BD216</f>
        <v>49.309240289250788</v>
      </c>
      <c r="AS216" s="8">
        <f>[1]节奏总纲!BE216</f>
        <v>54.028437871105552</v>
      </c>
    </row>
    <row r="217" spans="17:45" x14ac:dyDescent="0.15">
      <c r="Q217" s="8">
        <v>214</v>
      </c>
      <c r="R217" s="8">
        <f>[1]节奏总纲!AD217</f>
        <v>77.473279951875909</v>
      </c>
      <c r="S217" s="8">
        <f>[1]节奏总纲!AE217</f>
        <v>79.527861040922772</v>
      </c>
      <c r="T217" s="8">
        <f>[1]节奏总纲!AF217</f>
        <v>82.502226899881776</v>
      </c>
      <c r="U217" s="8">
        <f>[1]节奏总纲!AG217</f>
        <v>87.10568246405397</v>
      </c>
      <c r="V217" s="8">
        <f>[1]节奏总纲!AH217</f>
        <v>96.434183405279569</v>
      </c>
      <c r="AN217" s="8">
        <v>214</v>
      </c>
      <c r="AO217" s="8">
        <f>[1]节奏总纲!BA217</f>
        <v>43.150006776099914</v>
      </c>
      <c r="AP217" s="8">
        <f>[1]节奏总纲!BB217</f>
        <v>44.649658702582116</v>
      </c>
      <c r="AQ217" s="8">
        <f>[1]节奏总纲!BC217</f>
        <v>46.593477810360454</v>
      </c>
      <c r="AR217" s="8">
        <f>[1]节奏总纲!BD217</f>
        <v>49.340229957745592</v>
      </c>
      <c r="AS217" s="8">
        <f>[1]节奏总纲!BE217</f>
        <v>54.058203867701586</v>
      </c>
    </row>
    <row r="218" spans="17:45" x14ac:dyDescent="0.15">
      <c r="Q218" s="8">
        <v>215</v>
      </c>
      <c r="R218" s="8">
        <f>[1]节奏总纲!AD218</f>
        <v>77.540284631526092</v>
      </c>
      <c r="S218" s="8">
        <f>[1]节奏总纲!AE218</f>
        <v>79.594500272973193</v>
      </c>
      <c r="T218" s="8">
        <f>[1]节奏总纲!AF218</f>
        <v>82.568115411681774</v>
      </c>
      <c r="U218" s="8">
        <f>[1]节奏总纲!AG218</f>
        <v>87.180161360126306</v>
      </c>
      <c r="V218" s="8">
        <f>[1]节奏总纲!AH218</f>
        <v>96.494993515204939</v>
      </c>
      <c r="AN218" s="8">
        <v>215</v>
      </c>
      <c r="AO218" s="8">
        <f>[1]节奏总纲!BA218</f>
        <v>43.179964142847631</v>
      </c>
      <c r="AP218" s="8">
        <f>[1]节奏总纲!BB218</f>
        <v>44.681978010461997</v>
      </c>
      <c r="AQ218" s="8">
        <f>[1]节奏总纲!BC218</f>
        <v>46.625584548391664</v>
      </c>
      <c r="AR218" s="8">
        <f>[1]节奏总纲!BD218</f>
        <v>49.371219626240396</v>
      </c>
      <c r="AS218" s="8">
        <f>[1]节奏总纲!BE218</f>
        <v>54.087969864297619</v>
      </c>
    </row>
    <row r="219" spans="17:45" x14ac:dyDescent="0.15">
      <c r="Q219" s="8">
        <v>216</v>
      </c>
      <c r="R219" s="8">
        <f>[1]节奏总纲!AD219</f>
        <v>77.607289311176274</v>
      </c>
      <c r="S219" s="8">
        <f>[1]节奏总纲!AE219</f>
        <v>79.661139505023613</v>
      </c>
      <c r="T219" s="8">
        <f>[1]节奏总纲!AF219</f>
        <v>82.634003923481771</v>
      </c>
      <c r="U219" s="8">
        <f>[1]节奏总纲!AG219</f>
        <v>87.254640256198641</v>
      </c>
      <c r="V219" s="8">
        <f>[1]节奏总纲!AH219</f>
        <v>96.555803625130309</v>
      </c>
      <c r="AN219" s="8">
        <v>216</v>
      </c>
      <c r="AO219" s="8">
        <f>[1]节奏总纲!BA219</f>
        <v>43.209921509595347</v>
      </c>
      <c r="AP219" s="8">
        <f>[1]节奏总纲!BB219</f>
        <v>44.71429731834187</v>
      </c>
      <c r="AQ219" s="8">
        <f>[1]节奏总纲!BC219</f>
        <v>46.657691286422882</v>
      </c>
      <c r="AR219" s="8">
        <f>[1]节奏总纲!BD219</f>
        <v>49.402209294735208</v>
      </c>
      <c r="AS219" s="8">
        <f>[1]节奏总纲!BE219</f>
        <v>54.117735860893646</v>
      </c>
    </row>
    <row r="220" spans="17:45" x14ac:dyDescent="0.15">
      <c r="Q220" s="8">
        <v>217</v>
      </c>
      <c r="R220" s="8">
        <f>[1]节奏总纲!AD220</f>
        <v>77.674293990826456</v>
      </c>
      <c r="S220" s="8">
        <f>[1]节奏总纲!AE220</f>
        <v>79.727778737074033</v>
      </c>
      <c r="T220" s="8">
        <f>[1]节奏总纲!AF220</f>
        <v>82.699892435281754</v>
      </c>
      <c r="U220" s="8">
        <f>[1]节奏总纲!AG220</f>
        <v>87.329119152270991</v>
      </c>
      <c r="V220" s="8">
        <f>[1]节奏总纲!AH220</f>
        <v>96.61661373505568</v>
      </c>
      <c r="AN220" s="8">
        <v>217</v>
      </c>
      <c r="AO220" s="8">
        <f>[1]节奏总纲!BA220</f>
        <v>43.239878876343063</v>
      </c>
      <c r="AP220" s="8">
        <f>[1]节奏总纲!BB220</f>
        <v>44.746616626221751</v>
      </c>
      <c r="AQ220" s="8">
        <f>[1]节奏总纲!BC220</f>
        <v>46.689798024454092</v>
      </c>
      <c r="AR220" s="8">
        <f>[1]节奏总纲!BD220</f>
        <v>49.433198963230012</v>
      </c>
      <c r="AS220" s="8">
        <f>[1]节奏总纲!BE220</f>
        <v>54.147501857489679</v>
      </c>
    </row>
    <row r="221" spans="17:45" x14ac:dyDescent="0.15">
      <c r="Q221" s="8">
        <v>218</v>
      </c>
      <c r="R221" s="8">
        <f>[1]节奏总纲!AD221</f>
        <v>77.741298670476638</v>
      </c>
      <c r="S221" s="8">
        <f>[1]节奏总纲!AE221</f>
        <v>79.794417969124453</v>
      </c>
      <c r="T221" s="8">
        <f>[1]节奏总纲!AF221</f>
        <v>82.765780947081751</v>
      </c>
      <c r="U221" s="8">
        <f>[1]节奏总纲!AG221</f>
        <v>87.403598048343326</v>
      </c>
      <c r="V221" s="8">
        <f>[1]节奏总纲!AH221</f>
        <v>96.67742384498105</v>
      </c>
      <c r="AN221" s="8">
        <v>218</v>
      </c>
      <c r="AO221" s="8">
        <f>[1]节奏总纲!BA221</f>
        <v>43.269836243090786</v>
      </c>
      <c r="AP221" s="8">
        <f>[1]节奏总纲!BB221</f>
        <v>44.778935934101632</v>
      </c>
      <c r="AQ221" s="8">
        <f>[1]节奏总纲!BC221</f>
        <v>46.721904762485302</v>
      </c>
      <c r="AR221" s="8">
        <f>[1]节奏总纲!BD221</f>
        <v>49.464188631724817</v>
      </c>
      <c r="AS221" s="8">
        <f>[1]节奏总纲!BE221</f>
        <v>54.177267854085706</v>
      </c>
    </row>
    <row r="222" spans="17:45" x14ac:dyDescent="0.15">
      <c r="Q222" s="8">
        <v>219</v>
      </c>
      <c r="R222" s="8">
        <f>[1]节奏总纲!AD222</f>
        <v>77.80830335012682</v>
      </c>
      <c r="S222" s="8">
        <f>[1]节奏总纲!AE222</f>
        <v>79.861057201174873</v>
      </c>
      <c r="T222" s="8">
        <f>[1]节奏总纲!AF222</f>
        <v>82.831669458881734</v>
      </c>
      <c r="U222" s="8">
        <f>[1]节奏总纲!AG222</f>
        <v>87.478076944415662</v>
      </c>
      <c r="V222" s="8">
        <f>[1]节奏总纲!AH222</f>
        <v>96.73823395490642</v>
      </c>
      <c r="AN222" s="8">
        <v>219</v>
      </c>
      <c r="AO222" s="8">
        <f>[1]节奏总纲!BA222</f>
        <v>43.299793609838503</v>
      </c>
      <c r="AP222" s="8">
        <f>[1]节奏总纲!BB222</f>
        <v>44.811255241981506</v>
      </c>
      <c r="AQ222" s="8">
        <f>[1]节奏总纲!BC222</f>
        <v>46.754011500516519</v>
      </c>
      <c r="AR222" s="8">
        <f>[1]节奏总纲!BD222</f>
        <v>49.495178300219621</v>
      </c>
      <c r="AS222" s="8">
        <f>[1]节奏总纲!BE222</f>
        <v>54.207033850681739</v>
      </c>
    </row>
    <row r="223" spans="17:45" x14ac:dyDescent="0.15">
      <c r="Q223" s="8">
        <v>220</v>
      </c>
      <c r="R223" s="8">
        <f>[1]节奏总纲!AD223</f>
        <v>77.875308029777003</v>
      </c>
      <c r="S223" s="8">
        <f>[1]节奏总纲!AE223</f>
        <v>79.927696433225293</v>
      </c>
      <c r="T223" s="8">
        <f>[1]节奏总纲!AF223</f>
        <v>82.897557970681731</v>
      </c>
      <c r="U223" s="8">
        <f>[1]节奏总纲!AG223</f>
        <v>87.552555840488012</v>
      </c>
      <c r="V223" s="8">
        <f>[1]节奏总纲!AH223</f>
        <v>96.79904406483179</v>
      </c>
      <c r="AN223" s="8">
        <v>220</v>
      </c>
      <c r="AO223" s="8">
        <f>[1]节奏总纲!BA223</f>
        <v>43.329750976586219</v>
      </c>
      <c r="AP223" s="8">
        <f>[1]节奏总纲!BB223</f>
        <v>44.843574549861387</v>
      </c>
      <c r="AQ223" s="8">
        <f>[1]节奏总纲!BC223</f>
        <v>46.786118238547729</v>
      </c>
      <c r="AR223" s="8">
        <f>[1]节奏总纲!BD223</f>
        <v>49.526167968714425</v>
      </c>
      <c r="AS223" s="8">
        <f>[1]节奏总纲!BE223</f>
        <v>54.236799847277773</v>
      </c>
    </row>
    <row r="224" spans="17:45" x14ac:dyDescent="0.15">
      <c r="Q224" s="8">
        <v>221</v>
      </c>
      <c r="R224" s="8">
        <f>[1]节奏总纲!AD224</f>
        <v>77.942312709427185</v>
      </c>
      <c r="S224" s="8">
        <f>[1]节奏总纲!AE224</f>
        <v>79.994335665275713</v>
      </c>
      <c r="T224" s="8">
        <f>[1]节奏总纲!AF224</f>
        <v>82.963446482481729</v>
      </c>
      <c r="U224" s="8">
        <f>[1]节奏总纲!AG224</f>
        <v>87.627034736560347</v>
      </c>
      <c r="V224" s="8">
        <f>[1]节奏总纲!AH224</f>
        <v>96.85985417475716</v>
      </c>
      <c r="AN224" s="8">
        <v>221</v>
      </c>
      <c r="AO224" s="8">
        <f>[1]节奏总纲!BA224</f>
        <v>43.359708343333942</v>
      </c>
      <c r="AP224" s="8">
        <f>[1]节奏总纲!BB224</f>
        <v>44.875893857741268</v>
      </c>
      <c r="AQ224" s="8">
        <f>[1]节奏总纲!BC224</f>
        <v>46.818224976578939</v>
      </c>
      <c r="AR224" s="8">
        <f>[1]节奏总纲!BD224</f>
        <v>49.55715763720923</v>
      </c>
      <c r="AS224" s="8">
        <f>[1]节奏总纲!BE224</f>
        <v>54.266565843873799</v>
      </c>
    </row>
    <row r="225" spans="17:45" x14ac:dyDescent="0.15">
      <c r="Q225" s="8">
        <v>222</v>
      </c>
      <c r="R225" s="8">
        <f>[1]节奏总纲!AD225</f>
        <v>78.008693431404168</v>
      </c>
      <c r="S225" s="8">
        <f>[1]节奏总纲!AE225</f>
        <v>80.05990507131493</v>
      </c>
      <c r="T225" s="8">
        <f>[1]节奏总纲!AF225</f>
        <v>83.028328094754301</v>
      </c>
      <c r="U225" s="8">
        <f>[1]节奏总纲!AG225</f>
        <v>87.701513632632683</v>
      </c>
      <c r="V225" s="8">
        <f>[1]节奏总纲!AH225</f>
        <v>96.920664284682516</v>
      </c>
      <c r="AN225" s="8">
        <v>222</v>
      </c>
      <c r="AO225" s="8">
        <f>[1]节奏总纲!BA225</f>
        <v>43.389665710081658</v>
      </c>
      <c r="AP225" s="8">
        <f>[1]节奏总纲!BB225</f>
        <v>44.908213165621142</v>
      </c>
      <c r="AQ225" s="8">
        <f>[1]节奏总纲!BC225</f>
        <v>46.850331714610157</v>
      </c>
      <c r="AR225" s="8">
        <f>[1]节奏总纲!BD225</f>
        <v>49.588147305704041</v>
      </c>
      <c r="AS225" s="8">
        <f>[1]节奏总纲!BE225</f>
        <v>54.296331840469833</v>
      </c>
    </row>
    <row r="226" spans="17:45" x14ac:dyDescent="0.15">
      <c r="Q226" s="8">
        <v>223</v>
      </c>
      <c r="R226" s="8">
        <f>[1]节奏总纲!AD226</f>
        <v>78.071211008105138</v>
      </c>
      <c r="S226" s="8">
        <f>[1]节奏总纲!AE226</f>
        <v>80.125375094609936</v>
      </c>
      <c r="T226" s="8">
        <f>[1]节奏总纲!AF226</f>
        <v>83.091955037632331</v>
      </c>
      <c r="U226" s="8">
        <f>[1]节奏总纲!AG226</f>
        <v>87.775992528705018</v>
      </c>
      <c r="V226" s="8">
        <f>[1]节奏总纲!AH226</f>
        <v>96.981474394607886</v>
      </c>
      <c r="AN226" s="8">
        <v>223</v>
      </c>
      <c r="AO226" s="8">
        <f>[1]节奏总纲!BA226</f>
        <v>43.419623076829374</v>
      </c>
      <c r="AP226" s="8">
        <f>[1]节奏总纲!BB226</f>
        <v>44.940532473501023</v>
      </c>
      <c r="AQ226" s="8">
        <f>[1]节奏总纲!BC226</f>
        <v>46.882438452641367</v>
      </c>
      <c r="AR226" s="8">
        <f>[1]节奏总纲!BD226</f>
        <v>49.619136974198845</v>
      </c>
      <c r="AS226" s="8">
        <f>[1]节奏总纲!BE226</f>
        <v>54.326097837065859</v>
      </c>
    </row>
    <row r="227" spans="17:45" x14ac:dyDescent="0.15">
      <c r="Q227" s="8">
        <v>224</v>
      </c>
      <c r="R227" s="8">
        <f>[1]节奏总纲!AD227</f>
        <v>78.133728584806107</v>
      </c>
      <c r="S227" s="8">
        <f>[1]节奏总纲!AE227</f>
        <v>80.190845117904942</v>
      </c>
      <c r="T227" s="8">
        <f>[1]节奏总纲!AF227</f>
        <v>83.155581980510348</v>
      </c>
      <c r="U227" s="8">
        <f>[1]节奏总纲!AG227</f>
        <v>87.850471424777368</v>
      </c>
      <c r="V227" s="8">
        <f>[1]节奏总纲!AH227</f>
        <v>97.03979962522213</v>
      </c>
      <c r="AN227" s="8">
        <v>224</v>
      </c>
      <c r="AO227" s="8">
        <f>[1]节奏总纲!BA227</f>
        <v>43.449580443577091</v>
      </c>
      <c r="AP227" s="8">
        <f>[1]节奏总纲!BB227</f>
        <v>44.972851781380903</v>
      </c>
      <c r="AQ227" s="8">
        <f>[1]节奏总纲!BC227</f>
        <v>46.914545190672577</v>
      </c>
      <c r="AR227" s="8">
        <f>[1]节奏总纲!BD227</f>
        <v>49.65012664269365</v>
      </c>
      <c r="AS227" s="8">
        <f>[1]节奏总纲!BE227</f>
        <v>54.355863833661893</v>
      </c>
    </row>
    <row r="228" spans="17:45" x14ac:dyDescent="0.15">
      <c r="Q228" s="8">
        <v>225</v>
      </c>
      <c r="R228" s="8">
        <f>[1]节奏总纲!AD228</f>
        <v>78.196246161507091</v>
      </c>
      <c r="S228" s="8">
        <f>[1]节奏总纲!AE228</f>
        <v>80.256315141199948</v>
      </c>
      <c r="T228" s="8">
        <f>[1]节奏总纲!AF228</f>
        <v>83.219208923388379</v>
      </c>
      <c r="U228" s="8">
        <f>[1]节奏总纲!AG228</f>
        <v>87.924950320849703</v>
      </c>
      <c r="V228" s="8">
        <f>[1]节奏总纲!AH228</f>
        <v>97.097036185315744</v>
      </c>
      <c r="AN228" s="8">
        <v>225</v>
      </c>
      <c r="AO228" s="8">
        <f>[1]节奏总纲!BA228</f>
        <v>43.479537810324814</v>
      </c>
      <c r="AP228" s="8">
        <f>[1]节奏总纲!BB228</f>
        <v>45.004463376644416</v>
      </c>
      <c r="AQ228" s="8">
        <f>[1]节奏总纲!BC228</f>
        <v>46.946651928703794</v>
      </c>
      <c r="AR228" s="8">
        <f>[1]节奏总纲!BD228</f>
        <v>49.681116311188454</v>
      </c>
      <c r="AS228" s="8">
        <f>[1]节奏总纲!BE228</f>
        <v>54.385629830257926</v>
      </c>
    </row>
    <row r="229" spans="17:45" x14ac:dyDescent="0.15">
      <c r="Q229" s="8">
        <v>226</v>
      </c>
      <c r="R229" s="8">
        <f>[1]节奏总纲!AD229</f>
        <v>78.25876373820806</v>
      </c>
      <c r="S229" s="8">
        <f>[1]节奏总纲!AE229</f>
        <v>80.321785164494941</v>
      </c>
      <c r="T229" s="8">
        <f>[1]节奏总纲!AF229</f>
        <v>83.282835866266396</v>
      </c>
      <c r="U229" s="8">
        <f>[1]节奏总纲!AG229</f>
        <v>87.999429216922039</v>
      </c>
      <c r="V229" s="8">
        <f>[1]节奏总纲!AH229</f>
        <v>97.154272745409358</v>
      </c>
      <c r="AN229" s="8">
        <v>226</v>
      </c>
      <c r="AO229" s="8">
        <f>[1]节奏总纲!BA229</f>
        <v>43.50949517707253</v>
      </c>
      <c r="AP229" s="8">
        <f>[1]节奏总纲!BB229</f>
        <v>45.032359480672049</v>
      </c>
      <c r="AQ229" s="8">
        <f>[1]节奏总纲!BC229</f>
        <v>46.978758666735004</v>
      </c>
      <c r="AR229" s="8">
        <f>[1]节奏总纲!BD229</f>
        <v>49.712105979683258</v>
      </c>
      <c r="AS229" s="8">
        <f>[1]节奏总纲!BE229</f>
        <v>54.415395826853953</v>
      </c>
    </row>
    <row r="230" spans="17:45" x14ac:dyDescent="0.15">
      <c r="Q230" s="8">
        <v>227</v>
      </c>
      <c r="R230" s="8">
        <f>[1]节奏总纲!AD230</f>
        <v>78.321281314909029</v>
      </c>
      <c r="S230" s="8">
        <f>[1]节奏总纲!AE230</f>
        <v>80.387255187789947</v>
      </c>
      <c r="T230" s="8">
        <f>[1]节奏总纲!AF230</f>
        <v>83.346462809144427</v>
      </c>
      <c r="U230" s="8">
        <f>[1]节奏总纲!AG230</f>
        <v>88.069378113045531</v>
      </c>
      <c r="V230" s="8">
        <f>[1]节奏总纲!AH230</f>
        <v>97.211509305502972</v>
      </c>
      <c r="AN230" s="8">
        <v>227</v>
      </c>
      <c r="AO230" s="8">
        <f>[1]节奏总纲!BA230</f>
        <v>43.539452543820246</v>
      </c>
      <c r="AP230" s="8">
        <f>[1]节奏总纲!BB230</f>
        <v>45.060255584699682</v>
      </c>
      <c r="AQ230" s="8">
        <f>[1]节奏总纲!BC230</f>
        <v>47.009379755645142</v>
      </c>
      <c r="AR230" s="8">
        <f>[1]节奏总纲!BD230</f>
        <v>49.743095648178063</v>
      </c>
      <c r="AS230" s="8">
        <f>[1]节奏总纲!BE230</f>
        <v>54.445161823449986</v>
      </c>
    </row>
    <row r="231" spans="17:45" x14ac:dyDescent="0.15">
      <c r="Q231" s="8">
        <v>228</v>
      </c>
      <c r="R231" s="8">
        <f>[1]节奏总纲!AD231</f>
        <v>78.383798891610013</v>
      </c>
      <c r="S231" s="8">
        <f>[1]节奏总纲!AE231</f>
        <v>80.452725211084953</v>
      </c>
      <c r="T231" s="8">
        <f>[1]节奏总纲!AF231</f>
        <v>83.410089752022458</v>
      </c>
      <c r="U231" s="8">
        <f>[1]节奏总纲!AG231</f>
        <v>88.139292024548126</v>
      </c>
      <c r="V231" s="8">
        <f>[1]节奏总纲!AH231</f>
        <v>97.268745865596571</v>
      </c>
      <c r="AN231" s="8">
        <v>228</v>
      </c>
      <c r="AO231" s="8">
        <f>[1]节奏总纲!BA231</f>
        <v>43.569409910567963</v>
      </c>
      <c r="AP231" s="8">
        <f>[1]节奏总纲!BB231</f>
        <v>45.088151688727308</v>
      </c>
      <c r="AQ231" s="8">
        <f>[1]节奏总纲!BC231</f>
        <v>47.037096473409001</v>
      </c>
      <c r="AR231" s="8">
        <f>[1]节奏总纲!BD231</f>
        <v>49.774085316672867</v>
      </c>
      <c r="AS231" s="8">
        <f>[1]节奏总纲!BE231</f>
        <v>54.47492782004602</v>
      </c>
    </row>
    <row r="232" spans="17:45" x14ac:dyDescent="0.15">
      <c r="Q232" s="8">
        <v>229</v>
      </c>
      <c r="R232" s="8">
        <f>[1]节奏总纲!AD232</f>
        <v>78.446316468310982</v>
      </c>
      <c r="S232" s="8">
        <f>[1]节奏总纲!AE232</f>
        <v>80.518195234379959</v>
      </c>
      <c r="T232" s="8">
        <f>[1]节奏总纲!AF232</f>
        <v>83.473716694900475</v>
      </c>
      <c r="U232" s="8">
        <f>[1]节奏总纲!AG232</f>
        <v>88.209205936050708</v>
      </c>
      <c r="V232" s="8">
        <f>[1]节奏总纲!AH232</f>
        <v>97.325982425690185</v>
      </c>
      <c r="AN232" s="8">
        <v>229</v>
      </c>
      <c r="AO232" s="8">
        <f>[1]节奏总纲!BA232</f>
        <v>43.599367277315686</v>
      </c>
      <c r="AP232" s="8">
        <f>[1]节奏总纲!BB232</f>
        <v>45.116047792754941</v>
      </c>
      <c r="AQ232" s="8">
        <f>[1]节奏总纲!BC232</f>
        <v>47.06481319117286</v>
      </c>
      <c r="AR232" s="8">
        <f>[1]节奏总纲!BD232</f>
        <v>49.805074985167678</v>
      </c>
      <c r="AS232" s="8">
        <f>[1]节奏总纲!BE232</f>
        <v>54.504693816642046</v>
      </c>
    </row>
    <row r="233" spans="17:45" x14ac:dyDescent="0.15">
      <c r="Q233" s="8">
        <v>230</v>
      </c>
      <c r="R233" s="8">
        <f>[1]节奏总纲!AD233</f>
        <v>78.508834045011952</v>
      </c>
      <c r="S233" s="8">
        <f>[1]节奏总纲!AE233</f>
        <v>80.583665257674966</v>
      </c>
      <c r="T233" s="8">
        <f>[1]节奏总纲!AF233</f>
        <v>83.537343637778505</v>
      </c>
      <c r="U233" s="8">
        <f>[1]节奏总纲!AG233</f>
        <v>88.279119847553304</v>
      </c>
      <c r="V233" s="8">
        <f>[1]节奏总纲!AH233</f>
        <v>97.383218985783799</v>
      </c>
      <c r="AN233" s="8">
        <v>230</v>
      </c>
      <c r="AO233" s="8">
        <f>[1]节奏总纲!BA233</f>
        <v>43.629324644063402</v>
      </c>
      <c r="AP233" s="8">
        <f>[1]节奏总纲!BB233</f>
        <v>45.143943896782567</v>
      </c>
      <c r="AQ233" s="8">
        <f>[1]节奏总纲!BC233</f>
        <v>47.092529908936719</v>
      </c>
      <c r="AR233" s="8">
        <f>[1]节奏总纲!BD233</f>
        <v>49.836064653662483</v>
      </c>
      <c r="AS233" s="8">
        <f>[1]节奏总纲!BE233</f>
        <v>54.53445981323808</v>
      </c>
    </row>
    <row r="234" spans="17:45" x14ac:dyDescent="0.15">
      <c r="Q234" s="8">
        <v>231</v>
      </c>
      <c r="R234" s="8">
        <f>[1]节奏总纲!AD234</f>
        <v>78.571351621712921</v>
      </c>
      <c r="S234" s="8">
        <f>[1]节奏总纲!AE234</f>
        <v>80.649135280969972</v>
      </c>
      <c r="T234" s="8">
        <f>[1]节奏总纲!AF234</f>
        <v>83.600970580656536</v>
      </c>
      <c r="U234" s="8">
        <f>[1]节奏总纲!AG234</f>
        <v>88.349033759055899</v>
      </c>
      <c r="V234" s="8">
        <f>[1]节奏总纲!AH234</f>
        <v>97.440455545877413</v>
      </c>
      <c r="AN234" s="8">
        <v>231</v>
      </c>
      <c r="AO234" s="8">
        <f>[1]节奏总纲!BA234</f>
        <v>43.659282010811118</v>
      </c>
      <c r="AP234" s="8">
        <f>[1]节奏总纲!BB234</f>
        <v>45.171840000810199</v>
      </c>
      <c r="AQ234" s="8">
        <f>[1]节奏总纲!BC234</f>
        <v>47.120246626700578</v>
      </c>
      <c r="AR234" s="8">
        <f>[1]节奏总纲!BD234</f>
        <v>49.867054322157287</v>
      </c>
      <c r="AS234" s="8">
        <f>[1]节奏总纲!BE234</f>
        <v>54.564225809834106</v>
      </c>
    </row>
    <row r="235" spans="17:45" x14ac:dyDescent="0.15">
      <c r="Q235" s="8">
        <v>232</v>
      </c>
      <c r="R235" s="8">
        <f>[1]节奏总纲!AD235</f>
        <v>78.633869198413905</v>
      </c>
      <c r="S235" s="8">
        <f>[1]节奏总纲!AE235</f>
        <v>80.714605304264978</v>
      </c>
      <c r="T235" s="8">
        <f>[1]节奏总纲!AF235</f>
        <v>83.664597523534553</v>
      </c>
      <c r="U235" s="8">
        <f>[1]节奏总纲!AG235</f>
        <v>88.418947670558495</v>
      </c>
      <c r="V235" s="8">
        <f>[1]节奏总纲!AH235</f>
        <v>97.497692105971026</v>
      </c>
      <c r="AN235" s="8">
        <v>232</v>
      </c>
      <c r="AO235" s="8">
        <f>[1]节奏总纲!BA235</f>
        <v>43.689239377558835</v>
      </c>
      <c r="AP235" s="8">
        <f>[1]节奏总纲!BB235</f>
        <v>45.199736104837825</v>
      </c>
      <c r="AQ235" s="8">
        <f>[1]节奏总纲!BC235</f>
        <v>47.147963344464429</v>
      </c>
      <c r="AR235" s="8">
        <f>[1]节奏总纲!BD235</f>
        <v>49.898043990652091</v>
      </c>
      <c r="AS235" s="8">
        <f>[1]节奏总纲!BE235</f>
        <v>54.593991806430139</v>
      </c>
    </row>
    <row r="236" spans="17:45" x14ac:dyDescent="0.15">
      <c r="Q236" s="8">
        <v>233</v>
      </c>
      <c r="R236" s="8">
        <f>[1]节奏总纲!AD236</f>
        <v>78.696386775114874</v>
      </c>
      <c r="S236" s="8">
        <f>[1]节奏总纲!AE236</f>
        <v>80.78007532755997</v>
      </c>
      <c r="T236" s="8">
        <f>[1]节奏总纲!AF236</f>
        <v>83.728224466412584</v>
      </c>
      <c r="U236" s="8">
        <f>[1]节奏总纲!AG236</f>
        <v>88.488861582061077</v>
      </c>
      <c r="V236" s="8">
        <f>[1]节奏总纲!AH236</f>
        <v>97.554928666064626</v>
      </c>
      <c r="AN236" s="8">
        <v>233</v>
      </c>
      <c r="AO236" s="8">
        <f>[1]节奏总纲!BA236</f>
        <v>43.719196744306558</v>
      </c>
      <c r="AP236" s="8">
        <f>[1]节奏总纲!BB236</f>
        <v>45.227632208865458</v>
      </c>
      <c r="AQ236" s="8">
        <f>[1]节奏总纲!BC236</f>
        <v>47.175680062228288</v>
      </c>
      <c r="AR236" s="8">
        <f>[1]节奏总纲!BD236</f>
        <v>49.929033659146896</v>
      </c>
      <c r="AS236" s="8">
        <f>[1]节奏总纲!BE236</f>
        <v>54.623757803026173</v>
      </c>
    </row>
    <row r="237" spans="17:45" x14ac:dyDescent="0.15">
      <c r="Q237" s="8">
        <v>234</v>
      </c>
      <c r="R237" s="8">
        <f>[1]节奏总纲!AD237</f>
        <v>78.758904351815843</v>
      </c>
      <c r="S237" s="8">
        <f>[1]节奏总纲!AE237</f>
        <v>80.845545350854977</v>
      </c>
      <c r="T237" s="8">
        <f>[1]节奏总纲!AF237</f>
        <v>83.791851409290615</v>
      </c>
      <c r="U237" s="8">
        <f>[1]节奏总纲!AG237</f>
        <v>88.558775493563672</v>
      </c>
      <c r="V237" s="8">
        <f>[1]节奏总纲!AH237</f>
        <v>97.61216522615824</v>
      </c>
      <c r="AN237" s="8">
        <v>234</v>
      </c>
      <c r="AO237" s="8">
        <f>[1]节奏总纲!BA237</f>
        <v>43.749154111054274</v>
      </c>
      <c r="AP237" s="8">
        <f>[1]节奏总纲!BB237</f>
        <v>45.255528312893091</v>
      </c>
      <c r="AQ237" s="8">
        <f>[1]节奏总纲!BC237</f>
        <v>47.203396779992147</v>
      </c>
      <c r="AR237" s="8">
        <f>[1]节奏总纲!BD237</f>
        <v>49.9600233276417</v>
      </c>
      <c r="AS237" s="8">
        <f>[1]节奏总纲!BE237</f>
        <v>54.653523799622199</v>
      </c>
    </row>
    <row r="238" spans="17:45" x14ac:dyDescent="0.15">
      <c r="Q238" s="8">
        <v>235</v>
      </c>
      <c r="R238" s="8">
        <f>[1]节奏总纲!AD238</f>
        <v>78.821421928516827</v>
      </c>
      <c r="S238" s="8">
        <f>[1]节奏总纲!AE238</f>
        <v>80.911015374149983</v>
      </c>
      <c r="T238" s="8">
        <f>[1]节奏总纲!AF238</f>
        <v>83.855478352168632</v>
      </c>
      <c r="U238" s="8">
        <f>[1]节奏总纲!AG238</f>
        <v>88.628689405066268</v>
      </c>
      <c r="V238" s="8">
        <f>[1]节奏总纲!AH238</f>
        <v>97.669401786251854</v>
      </c>
      <c r="AN238" s="8">
        <v>235</v>
      </c>
      <c r="AO238" s="8">
        <f>[1]节奏总纲!BA238</f>
        <v>43.77911147780199</v>
      </c>
      <c r="AP238" s="8">
        <f>[1]节奏总纲!BB238</f>
        <v>45.283424416920717</v>
      </c>
      <c r="AQ238" s="8">
        <f>[1]节奏总纲!BC238</f>
        <v>47.231113497756006</v>
      </c>
      <c r="AR238" s="8">
        <f>[1]节奏总纲!BD238</f>
        <v>49.991012996136504</v>
      </c>
      <c r="AS238" s="8">
        <f>[1]节奏总纲!BE238</f>
        <v>54.683289796218233</v>
      </c>
    </row>
    <row r="239" spans="17:45" x14ac:dyDescent="0.15">
      <c r="Q239" s="8">
        <v>236</v>
      </c>
      <c r="R239" s="8">
        <f>[1]节奏总纲!AD239</f>
        <v>78.883939505217796</v>
      </c>
      <c r="S239" s="8">
        <f>[1]节奏总纲!AE239</f>
        <v>80.976485397444989</v>
      </c>
      <c r="T239" s="8">
        <f>[1]节奏总纲!AF239</f>
        <v>83.919105295046663</v>
      </c>
      <c r="U239" s="8">
        <f>[1]节奏总纲!AG239</f>
        <v>88.698603316568864</v>
      </c>
      <c r="V239" s="8">
        <f>[1]节奏总纲!AH239</f>
        <v>97.726638346345467</v>
      </c>
      <c r="AN239" s="8">
        <v>236</v>
      </c>
      <c r="AO239" s="8">
        <f>[1]节奏总纲!BA239</f>
        <v>43.809068844549707</v>
      </c>
      <c r="AP239" s="8">
        <f>[1]节奏总纲!BB239</f>
        <v>45.31132052094835</v>
      </c>
      <c r="AQ239" s="8">
        <f>[1]节奏总纲!BC239</f>
        <v>47.258830215519865</v>
      </c>
      <c r="AR239" s="8">
        <f>[1]节奏总纲!BD239</f>
        <v>50.018998195299922</v>
      </c>
      <c r="AS239" s="8">
        <f>[1]节奏总纲!BE239</f>
        <v>54.713055792814259</v>
      </c>
    </row>
    <row r="240" spans="17:45" x14ac:dyDescent="0.15">
      <c r="Q240" s="8">
        <v>237</v>
      </c>
      <c r="R240" s="8">
        <f>[1]节奏总纲!AD240</f>
        <v>78.946457081918766</v>
      </c>
      <c r="S240" s="8">
        <f>[1]节奏总纲!AE240</f>
        <v>81.038163244467697</v>
      </c>
      <c r="T240" s="8">
        <f>[1]节奏总纲!AF240</f>
        <v>83.982732237924694</v>
      </c>
      <c r="U240" s="8">
        <f>[1]节奏总纲!AG240</f>
        <v>88.768517228071445</v>
      </c>
      <c r="V240" s="8">
        <f>[1]节奏总纲!AH240</f>
        <v>97.783874906439081</v>
      </c>
      <c r="AN240" s="8">
        <v>237</v>
      </c>
      <c r="AO240" s="8">
        <f>[1]节奏总纲!BA240</f>
        <v>43.83902621129743</v>
      </c>
      <c r="AP240" s="8">
        <f>[1]节奏总纲!BB240</f>
        <v>45.339216624975975</v>
      </c>
      <c r="AQ240" s="8">
        <f>[1]节奏总纲!BC240</f>
        <v>47.286546933283724</v>
      </c>
      <c r="AR240" s="8">
        <f>[1]节奏总纲!BD240</f>
        <v>50.045756216849099</v>
      </c>
      <c r="AS240" s="8">
        <f>[1]节奏总纲!BE240</f>
        <v>54.742821789410293</v>
      </c>
    </row>
    <row r="241" spans="17:45" x14ac:dyDescent="0.15">
      <c r="Q241" s="8">
        <v>238</v>
      </c>
      <c r="R241" s="8">
        <f>[1]节奏总纲!AD241</f>
        <v>79.008373652580005</v>
      </c>
      <c r="S241" s="8">
        <f>[1]节奏总纲!AE241</f>
        <v>81.097715704203424</v>
      </c>
      <c r="T241" s="8">
        <f>[1]节奏总纲!AF241</f>
        <v>84.043767921022209</v>
      </c>
      <c r="U241" s="8">
        <f>[1]节奏总纲!AG241</f>
        <v>88.838431139574041</v>
      </c>
      <c r="V241" s="8">
        <f>[1]节奏总纲!AH241</f>
        <v>97.841111466532681</v>
      </c>
      <c r="AN241" s="8">
        <v>238</v>
      </c>
      <c r="AO241" s="8">
        <f>[1]节奏总纲!BA241</f>
        <v>43.868983578045146</v>
      </c>
      <c r="AP241" s="8">
        <f>[1]节奏总纲!BB241</f>
        <v>45.367112729003608</v>
      </c>
      <c r="AQ241" s="8">
        <f>[1]节奏总纲!BC241</f>
        <v>47.314263651047582</v>
      </c>
      <c r="AR241" s="8">
        <f>[1]节奏总纲!BD241</f>
        <v>50.072514238398277</v>
      </c>
      <c r="AS241" s="8">
        <f>[1]节奏总纲!BE241</f>
        <v>54.772587786006326</v>
      </c>
    </row>
    <row r="242" spans="17:45" x14ac:dyDescent="0.15">
      <c r="Q242" s="8">
        <v>239</v>
      </c>
      <c r="R242" s="8">
        <f>[1]节奏总纲!AD242</f>
        <v>79.066704614192943</v>
      </c>
      <c r="S242" s="8">
        <f>[1]节奏总纲!AE242</f>
        <v>81.157268163939136</v>
      </c>
      <c r="T242" s="8">
        <f>[1]节奏总纲!AF242</f>
        <v>84.103838417578672</v>
      </c>
      <c r="U242" s="8">
        <f>[1]节奏总纲!AG242</f>
        <v>88.908345051076637</v>
      </c>
      <c r="V242" s="8">
        <f>[1]节奏总纲!AH242</f>
        <v>97.898348026626294</v>
      </c>
      <c r="AN242" s="8">
        <v>239</v>
      </c>
      <c r="AO242" s="8">
        <f>[1]节奏总纲!BA242</f>
        <v>43.898940944792862</v>
      </c>
      <c r="AP242" s="8">
        <f>[1]节奏总纲!BB242</f>
        <v>45.395008833031234</v>
      </c>
      <c r="AQ242" s="8">
        <f>[1]节奏总纲!BC242</f>
        <v>47.341980368811441</v>
      </c>
      <c r="AR242" s="8">
        <f>[1]节奏总纲!BD242</f>
        <v>50.099272259947462</v>
      </c>
      <c r="AS242" s="8">
        <f>[1]节奏总纲!BE242</f>
        <v>54.802353782602353</v>
      </c>
    </row>
    <row r="243" spans="17:45" x14ac:dyDescent="0.15">
      <c r="Q243" s="8">
        <v>240</v>
      </c>
      <c r="R243" s="8">
        <f>[1]节奏总纲!AD243</f>
        <v>79.125035575805882</v>
      </c>
      <c r="S243" s="8">
        <f>[1]节奏总纲!AE243</f>
        <v>81.216820623674849</v>
      </c>
      <c r="T243" s="8">
        <f>[1]节奏总纲!AF243</f>
        <v>84.163908914135135</v>
      </c>
      <c r="U243" s="8">
        <f>[1]节奏总纲!AG243</f>
        <v>88.978258962579233</v>
      </c>
      <c r="V243" s="8">
        <f>[1]节奏总纲!AH243</f>
        <v>97.955584586719908</v>
      </c>
      <c r="AN243" s="8">
        <v>240</v>
      </c>
      <c r="AO243" s="8">
        <f>[1]节奏总纲!BA243</f>
        <v>43.928898311540586</v>
      </c>
      <c r="AP243" s="8">
        <f>[1]节奏总纲!BB243</f>
        <v>45.422904937058867</v>
      </c>
      <c r="AQ243" s="8">
        <f>[1]节奏总纲!BC243</f>
        <v>47.3696970865753</v>
      </c>
      <c r="AR243" s="8">
        <f>[1]节奏总纲!BD243</f>
        <v>50.126030281496639</v>
      </c>
      <c r="AS243" s="8">
        <f>[1]节奏总纲!BE243</f>
        <v>54.832119779198386</v>
      </c>
    </row>
    <row r="244" spans="17:45" x14ac:dyDescent="0.15">
      <c r="Q244" s="8">
        <v>241</v>
      </c>
      <c r="R244" s="8">
        <f>[1]节奏总纲!AD244</f>
        <v>79.18336653741882</v>
      </c>
      <c r="S244" s="8">
        <f>[1]节奏总纲!AE244</f>
        <v>81.276373083410562</v>
      </c>
      <c r="T244" s="8">
        <f>[1]节奏总纲!AF244</f>
        <v>84.223979410691598</v>
      </c>
      <c r="U244" s="8">
        <f>[1]节奏总纲!AG244</f>
        <v>89.047272179270863</v>
      </c>
      <c r="V244" s="8">
        <f>[1]节奏总纲!AH244</f>
        <v>98.013314854852808</v>
      </c>
      <c r="AN244" s="8">
        <v>241</v>
      </c>
      <c r="AO244" s="8">
        <f>[1]节奏总纲!BA244</f>
        <v>43.958855678288302</v>
      </c>
      <c r="AP244" s="8">
        <f>[1]节奏总纲!BB244</f>
        <v>45.450801041086493</v>
      </c>
      <c r="AQ244" s="8">
        <f>[1]节奏总纲!BC244</f>
        <v>47.397413804339159</v>
      </c>
      <c r="AR244" s="8">
        <f>[1]节奏总纲!BD244</f>
        <v>50.152788303045817</v>
      </c>
      <c r="AS244" s="8">
        <f>[1]节奏总纲!BE244</f>
        <v>54.86188577579442</v>
      </c>
    </row>
    <row r="245" spans="17:45" x14ac:dyDescent="0.15">
      <c r="Q245" s="8">
        <v>242</v>
      </c>
      <c r="R245" s="8">
        <f>[1]节奏总纲!AD245</f>
        <v>79.241697499031773</v>
      </c>
      <c r="S245" s="8">
        <f>[1]节奏总纲!AE245</f>
        <v>81.335925543146274</v>
      </c>
      <c r="T245" s="8">
        <f>[1]节奏总纲!AF245</f>
        <v>84.284049907248061</v>
      </c>
      <c r="U245" s="8">
        <f>[1]节奏总纲!AG245</f>
        <v>89.11587890081428</v>
      </c>
      <c r="V245" s="8">
        <f>[1]节奏总纲!AH245</f>
        <v>98.072755441643167</v>
      </c>
      <c r="AN245" s="8">
        <v>242</v>
      </c>
      <c r="AO245" s="8">
        <f>[1]节奏总纲!BA245</f>
        <v>43.988813045036018</v>
      </c>
      <c r="AP245" s="8">
        <f>[1]节奏总纲!BB245</f>
        <v>45.478697145114126</v>
      </c>
      <c r="AQ245" s="8">
        <f>[1]节奏总纲!BC245</f>
        <v>47.425130522103018</v>
      </c>
      <c r="AR245" s="8">
        <f>[1]节奏总纲!BD245</f>
        <v>50.179546324595002</v>
      </c>
      <c r="AS245" s="8">
        <f>[1]节奏总纲!BE245</f>
        <v>54.891651772390446</v>
      </c>
    </row>
    <row r="246" spans="17:45" x14ac:dyDescent="0.15">
      <c r="Q246" s="8">
        <v>243</v>
      </c>
      <c r="R246" s="8">
        <f>[1]节奏总纲!AD246</f>
        <v>79.300028460644711</v>
      </c>
      <c r="S246" s="8">
        <f>[1]节奏总纲!AE246</f>
        <v>81.395478002882001</v>
      </c>
      <c r="T246" s="8">
        <f>[1]节奏总纲!AF246</f>
        <v>84.344120403804524</v>
      </c>
      <c r="U246" s="8">
        <f>[1]节奏总纲!AG246</f>
        <v>89.184485622357698</v>
      </c>
      <c r="V246" s="8">
        <f>[1]节奏总纲!AH246</f>
        <v>98.132196028433526</v>
      </c>
      <c r="AN246" s="8">
        <v>243</v>
      </c>
      <c r="AO246" s="8">
        <f>[1]节奏总纲!BA246</f>
        <v>44.016200268136501</v>
      </c>
      <c r="AP246" s="8">
        <f>[1]节奏总纲!BB246</f>
        <v>45.506593249141758</v>
      </c>
      <c r="AQ246" s="8">
        <f>[1]节奏总纲!BC246</f>
        <v>47.452847239866877</v>
      </c>
      <c r="AR246" s="8">
        <f>[1]节奏总纲!BD246</f>
        <v>50.206304346144179</v>
      </c>
      <c r="AS246" s="8">
        <f>[1]节奏总纲!BE246</f>
        <v>54.92141776898648</v>
      </c>
    </row>
    <row r="247" spans="17:45" x14ac:dyDescent="0.15">
      <c r="Q247" s="8">
        <v>244</v>
      </c>
      <c r="R247" s="8">
        <f>[1]节奏总纲!AD247</f>
        <v>79.358359422257649</v>
      </c>
      <c r="S247" s="8">
        <f>[1]节奏总纲!AE247</f>
        <v>81.455030462617714</v>
      </c>
      <c r="T247" s="8">
        <f>[1]节奏总纲!AF247</f>
        <v>84.404190900360987</v>
      </c>
      <c r="U247" s="8">
        <f>[1]节奏总纲!AG247</f>
        <v>89.253092343901116</v>
      </c>
      <c r="V247" s="8">
        <f>[1]节奏总纲!AH247</f>
        <v>98.191636615223871</v>
      </c>
      <c r="AN247" s="8">
        <v>244</v>
      </c>
      <c r="AO247" s="8">
        <f>[1]节奏总纲!BA247</f>
        <v>44.042055714440401</v>
      </c>
      <c r="AP247" s="8">
        <f>[1]节奏总纲!BB247</f>
        <v>45.534489353169384</v>
      </c>
      <c r="AQ247" s="8">
        <f>[1]节奏总纲!BC247</f>
        <v>47.480563957630736</v>
      </c>
      <c r="AR247" s="8">
        <f>[1]节奏总纲!BD247</f>
        <v>50.233062367693357</v>
      </c>
      <c r="AS247" s="8">
        <f>[1]节奏总纲!BE247</f>
        <v>54.951183765582506</v>
      </c>
    </row>
    <row r="248" spans="17:45" x14ac:dyDescent="0.15">
      <c r="Q248" s="8">
        <v>245</v>
      </c>
      <c r="R248" s="8">
        <f>[1]节奏总纲!AD248</f>
        <v>79.416690383870588</v>
      </c>
      <c r="S248" s="8">
        <f>[1]节奏总纲!AE248</f>
        <v>81.514582922353426</v>
      </c>
      <c r="T248" s="8">
        <f>[1]节奏总纲!AF248</f>
        <v>84.46426139691745</v>
      </c>
      <c r="U248" s="8">
        <f>[1]节奏总纲!AG248</f>
        <v>89.321699065444534</v>
      </c>
      <c r="V248" s="8">
        <f>[1]节奏总纲!AH248</f>
        <v>98.25107720201423</v>
      </c>
      <c r="AN248" s="8">
        <v>245</v>
      </c>
      <c r="AO248" s="8">
        <f>[1]节奏总纲!BA248</f>
        <v>44.067911160744309</v>
      </c>
      <c r="AP248" s="8">
        <f>[1]节奏总纲!BB248</f>
        <v>45.562385457197017</v>
      </c>
      <c r="AQ248" s="8">
        <f>[1]节奏总纲!BC248</f>
        <v>47.508280675394595</v>
      </c>
      <c r="AR248" s="8">
        <f>[1]节奏总纲!BD248</f>
        <v>50.259820389242542</v>
      </c>
      <c r="AS248" s="8">
        <f>[1]节奏总纲!BE248</f>
        <v>54.98094976217854</v>
      </c>
    </row>
    <row r="249" spans="17:45" x14ac:dyDescent="0.15">
      <c r="Q249" s="8">
        <v>246</v>
      </c>
      <c r="R249" s="8">
        <f>[1]节奏总纲!AD249</f>
        <v>79.475021345483526</v>
      </c>
      <c r="S249" s="8">
        <f>[1]节奏总纲!AE249</f>
        <v>81.574135382089139</v>
      </c>
      <c r="T249" s="8">
        <f>[1]节奏总纲!AF249</f>
        <v>84.524331893473914</v>
      </c>
      <c r="U249" s="8">
        <f>[1]节奏总纲!AG249</f>
        <v>89.390305786987952</v>
      </c>
      <c r="V249" s="8">
        <f>[1]节奏总纲!AH249</f>
        <v>98.310517788804589</v>
      </c>
      <c r="AN249" s="8">
        <v>246</v>
      </c>
      <c r="AO249" s="8">
        <f>[1]节奏总纲!BA249</f>
        <v>44.093766607048209</v>
      </c>
      <c r="AP249" s="8">
        <f>[1]节奏总纲!BB249</f>
        <v>45.590281561224643</v>
      </c>
      <c r="AQ249" s="8">
        <f>[1]节奏总纲!BC249</f>
        <v>47.535997393158453</v>
      </c>
      <c r="AR249" s="8">
        <f>[1]节奏总纲!BD249</f>
        <v>50.286578410791719</v>
      </c>
      <c r="AS249" s="8">
        <f>[1]节奏总纲!BE249</f>
        <v>55.009255535630842</v>
      </c>
    </row>
    <row r="250" spans="17:45" x14ac:dyDescent="0.15">
      <c r="Q250" s="8">
        <v>247</v>
      </c>
      <c r="R250" s="8">
        <f>[1]节奏总纲!AD250</f>
        <v>79.533352307096465</v>
      </c>
      <c r="S250" s="8">
        <f>[1]节奏总纲!AE250</f>
        <v>81.633687841824852</v>
      </c>
      <c r="T250" s="8">
        <f>[1]节奏总纲!AF250</f>
        <v>84.584402390030377</v>
      </c>
      <c r="U250" s="8">
        <f>[1]节奏总纲!AG250</f>
        <v>89.45891250853137</v>
      </c>
      <c r="V250" s="8">
        <f>[1]节奏总纲!AH250</f>
        <v>98.369958375594933</v>
      </c>
      <c r="AN250" s="8">
        <v>247</v>
      </c>
      <c r="AO250" s="8">
        <f>[1]节奏总纲!BA250</f>
        <v>44.11962205335211</v>
      </c>
      <c r="AP250" s="8">
        <f>[1]节奏总纲!BB250</f>
        <v>45.618177665252276</v>
      </c>
      <c r="AQ250" s="8">
        <f>[1]节奏总纲!BC250</f>
        <v>47.563714110922312</v>
      </c>
      <c r="AR250" s="8">
        <f>[1]节奏总纲!BD250</f>
        <v>50.313336432340897</v>
      </c>
      <c r="AS250" s="8">
        <f>[1]节奏总纲!BE250</f>
        <v>55.034965356827627</v>
      </c>
    </row>
    <row r="251" spans="17:45" x14ac:dyDescent="0.15">
      <c r="Q251" s="8">
        <v>248</v>
      </c>
      <c r="R251" s="8">
        <f>[1]节奏总纲!AD251</f>
        <v>79.591683268709417</v>
      </c>
      <c r="S251" s="8">
        <f>[1]节奏总纲!AE251</f>
        <v>81.693240301560579</v>
      </c>
      <c r="T251" s="8">
        <f>[1]节奏总纲!AF251</f>
        <v>84.64447288658684</v>
      </c>
      <c r="U251" s="8">
        <f>[1]节奏总纲!AG251</f>
        <v>89.527519230074788</v>
      </c>
      <c r="V251" s="8">
        <f>[1]节奏总纲!AH251</f>
        <v>98.429398962385292</v>
      </c>
      <c r="AN251" s="8">
        <v>248</v>
      </c>
      <c r="AO251" s="8">
        <f>[1]节奏总纲!BA251</f>
        <v>44.145477499656018</v>
      </c>
      <c r="AP251" s="8">
        <f>[1]节奏总纲!BB251</f>
        <v>45.646073769279901</v>
      </c>
      <c r="AQ251" s="8">
        <f>[1]节奏总纲!BC251</f>
        <v>47.591430828686171</v>
      </c>
      <c r="AR251" s="8">
        <f>[1]节奏总纲!BD251</f>
        <v>50.340094453890082</v>
      </c>
      <c r="AS251" s="8">
        <f>[1]节奏总纲!BE251</f>
        <v>55.060675178024418</v>
      </c>
    </row>
    <row r="252" spans="17:45" x14ac:dyDescent="0.15">
      <c r="Q252" s="8">
        <v>249</v>
      </c>
      <c r="R252" s="8">
        <f>[1]节奏总纲!AD252</f>
        <v>79.650014230322356</v>
      </c>
      <c r="S252" s="8">
        <f>[1]节奏总纲!AE252</f>
        <v>81.752792761296291</v>
      </c>
      <c r="T252" s="8">
        <f>[1]节奏总纲!AF252</f>
        <v>84.704543383143317</v>
      </c>
      <c r="U252" s="8">
        <f>[1]节奏总纲!AG252</f>
        <v>89.596125951618205</v>
      </c>
      <c r="V252" s="8">
        <f>[1]节奏总纲!AH252</f>
        <v>98.488839549175651</v>
      </c>
      <c r="AN252" s="8">
        <v>249</v>
      </c>
      <c r="AO252" s="8">
        <f>[1]节奏总纲!BA252</f>
        <v>44.171332945959918</v>
      </c>
      <c r="AP252" s="8">
        <f>[1]节奏总纲!BB252</f>
        <v>45.673969873307534</v>
      </c>
      <c r="AQ252" s="8">
        <f>[1]节奏总纲!BC252</f>
        <v>47.61914754645003</v>
      </c>
      <c r="AR252" s="8">
        <f>[1]节奏总纲!BD252</f>
        <v>50.366852475439259</v>
      </c>
      <c r="AS252" s="8">
        <f>[1]节奏总纲!BE252</f>
        <v>55.086384999221202</v>
      </c>
    </row>
    <row r="253" spans="17:45" x14ac:dyDescent="0.15">
      <c r="Q253" s="8">
        <v>250</v>
      </c>
      <c r="R253" s="8">
        <f>[1]节奏总纲!AD253</f>
        <v>79.708345191935294</v>
      </c>
      <c r="S253" s="8">
        <f>[1]节奏总纲!AE253</f>
        <v>81.812345221032004</v>
      </c>
      <c r="T253" s="8">
        <f>[1]节奏总纲!AF253</f>
        <v>84.76461387969978</v>
      </c>
      <c r="U253" s="8">
        <f>[1]节奏总纲!AG253</f>
        <v>89.664732673161623</v>
      </c>
      <c r="V253" s="8">
        <f>[1]节奏总纲!AH253</f>
        <v>98.548280135965996</v>
      </c>
      <c r="AN253" s="8">
        <v>250</v>
      </c>
      <c r="AO253" s="8">
        <f>[1]节奏总纲!BA253</f>
        <v>44.197188392263818</v>
      </c>
      <c r="AP253" s="8">
        <f>[1]节奏总纲!BB253</f>
        <v>45.701865977335167</v>
      </c>
      <c r="AQ253" s="8">
        <f>[1]节奏总纲!BC253</f>
        <v>47.646864264213889</v>
      </c>
      <c r="AR253" s="8">
        <f>[1]节奏总纲!BD253</f>
        <v>50.393610496988437</v>
      </c>
      <c r="AS253" s="8">
        <f>[1]节奏总纲!BE253</f>
        <v>55.112094820417994</v>
      </c>
    </row>
    <row r="254" spans="17:45" x14ac:dyDescent="0.15">
      <c r="Q254" s="8">
        <v>251</v>
      </c>
      <c r="R254" s="8">
        <f>[1]节奏总纲!AD254</f>
        <v>79.766676153548232</v>
      </c>
      <c r="S254" s="8">
        <f>[1]节奏总纲!AE254</f>
        <v>81.871897680767717</v>
      </c>
      <c r="T254" s="8">
        <f>[1]节奏总纲!AF254</f>
        <v>84.824684376256243</v>
      </c>
      <c r="U254" s="8">
        <f>[1]节奏总纲!AG254</f>
        <v>89.733339394705041</v>
      </c>
      <c r="V254" s="8">
        <f>[1]节奏总纲!AH254</f>
        <v>98.607720722756355</v>
      </c>
      <c r="AN254" s="8">
        <v>251</v>
      </c>
      <c r="AO254" s="8">
        <f>[1]节奏总纲!BA254</f>
        <v>44.223043838567726</v>
      </c>
      <c r="AP254" s="8">
        <f>[1]节奏总纲!BB254</f>
        <v>45.729762081362793</v>
      </c>
      <c r="AQ254" s="8">
        <f>[1]节奏总纲!BC254</f>
        <v>47.674580981977748</v>
      </c>
      <c r="AR254" s="8">
        <f>[1]节奏总纲!BD254</f>
        <v>50.420368518537622</v>
      </c>
      <c r="AS254" s="8">
        <f>[1]节奏总纲!BE254</f>
        <v>55.137804641614778</v>
      </c>
    </row>
    <row r="255" spans="17:45" x14ac:dyDescent="0.15">
      <c r="Q255" s="8">
        <v>252</v>
      </c>
      <c r="R255" s="8">
        <f>[1]节奏总纲!AD255</f>
        <v>79.825007115161171</v>
      </c>
      <c r="S255" s="8">
        <f>[1]节奏总纲!AE255</f>
        <v>81.931450140503429</v>
      </c>
      <c r="T255" s="8">
        <f>[1]节奏总纲!AF255</f>
        <v>84.884754872812707</v>
      </c>
      <c r="U255" s="8">
        <f>[1]节奏总纲!AG255</f>
        <v>89.801946116248459</v>
      </c>
      <c r="V255" s="8">
        <f>[1]节奏总纲!AH255</f>
        <v>98.667161309546714</v>
      </c>
      <c r="AN255" s="8">
        <v>252</v>
      </c>
      <c r="AO255" s="8">
        <f>[1]节奏总纲!BA255</f>
        <v>44.248899284871626</v>
      </c>
      <c r="AP255" s="8">
        <f>[1]节奏总纲!BB255</f>
        <v>45.757658185390426</v>
      </c>
      <c r="AQ255" s="8">
        <f>[1]节奏总纲!BC255</f>
        <v>47.7022976997416</v>
      </c>
      <c r="AR255" s="8">
        <f>[1]节奏总纲!BD255</f>
        <v>50.447126540086799</v>
      </c>
      <c r="AS255" s="8">
        <f>[1]节奏总纲!BE255</f>
        <v>55.163514462811563</v>
      </c>
    </row>
    <row r="256" spans="17:45" x14ac:dyDescent="0.15">
      <c r="Q256" s="8">
        <v>253</v>
      </c>
      <c r="R256" s="8">
        <f>[1]节奏总纲!AD256</f>
        <v>79.883338076774123</v>
      </c>
      <c r="S256" s="8">
        <f>[1]节奏总纲!AE256</f>
        <v>81.991002600239142</v>
      </c>
      <c r="T256" s="8">
        <f>[1]节奏总纲!AF256</f>
        <v>84.94482536936917</v>
      </c>
      <c r="U256" s="8">
        <f>[1]节奏总纲!AG256</f>
        <v>89.870552837791877</v>
      </c>
      <c r="V256" s="8">
        <f>[1]节奏总纲!AH256</f>
        <v>98.726601896337058</v>
      </c>
      <c r="AN256" s="8">
        <v>253</v>
      </c>
      <c r="AO256" s="8">
        <f>[1]节奏总纲!BA256</f>
        <v>44.274754731175527</v>
      </c>
      <c r="AP256" s="8">
        <f>[1]节奏总纲!BB256</f>
        <v>45.785554289418052</v>
      </c>
      <c r="AQ256" s="8">
        <f>[1]节奏总纲!BC256</f>
        <v>47.730014417505458</v>
      </c>
      <c r="AR256" s="8">
        <f>[1]节奏总纲!BD256</f>
        <v>50.473884561635977</v>
      </c>
      <c r="AS256" s="8">
        <f>[1]节奏总纲!BE256</f>
        <v>55.189224284008354</v>
      </c>
    </row>
    <row r="257" spans="17:45" x14ac:dyDescent="0.15">
      <c r="Q257" s="8">
        <v>254</v>
      </c>
      <c r="R257" s="8">
        <f>[1]节奏总纲!AD257</f>
        <v>79.941669038387062</v>
      </c>
      <c r="S257" s="8">
        <f>[1]节奏总纲!AE257</f>
        <v>82.046165327855846</v>
      </c>
      <c r="T257" s="8">
        <f>[1]节奏总纲!AF257</f>
        <v>85.004450307848032</v>
      </c>
      <c r="U257" s="8">
        <f>[1]节奏总纲!AG257</f>
        <v>89.939159559335295</v>
      </c>
      <c r="V257" s="8">
        <f>[1]节奏总纲!AH257</f>
        <v>98.786042483127417</v>
      </c>
      <c r="AN257" s="8">
        <v>254</v>
      </c>
      <c r="AO257" s="8">
        <f>[1]节奏总纲!BA257</f>
        <v>44.300610177479435</v>
      </c>
      <c r="AP257" s="8">
        <f>[1]节奏总纲!BB257</f>
        <v>45.813450393445684</v>
      </c>
      <c r="AQ257" s="8">
        <f>[1]节奏总纲!BC257</f>
        <v>47.757731135269317</v>
      </c>
      <c r="AR257" s="8">
        <f>[1]节奏总纲!BD257</f>
        <v>50.500642583185162</v>
      </c>
      <c r="AS257" s="8">
        <f>[1]节奏总纲!BE257</f>
        <v>55.214934105205138</v>
      </c>
    </row>
    <row r="258" spans="17:45" x14ac:dyDescent="0.15">
      <c r="Q258" s="8">
        <v>255</v>
      </c>
      <c r="R258" s="8">
        <f>[1]节奏总纲!AD258</f>
        <v>80</v>
      </c>
      <c r="S258" s="8">
        <f>[1]节奏总纲!AE258</f>
        <v>82.100546804797787</v>
      </c>
      <c r="T258" s="8">
        <f>[1]节奏总纲!AF258</f>
        <v>85.059053968634842</v>
      </c>
      <c r="U258" s="8">
        <f>[1]节奏总纲!AG258</f>
        <v>90.006385600230558</v>
      </c>
      <c r="V258" s="8">
        <f>[1]节奏总纲!AH258</f>
        <v>98.845483069917776</v>
      </c>
      <c r="AN258" s="8">
        <v>255</v>
      </c>
      <c r="AO258" s="8">
        <f>[1]节奏总纲!BA258</f>
        <v>44.326465623783335</v>
      </c>
      <c r="AP258" s="8">
        <f>[1]节奏总纲!BB258</f>
        <v>45.84134649747331</v>
      </c>
      <c r="AQ258" s="8">
        <f>[1]节奏总纲!BC258</f>
        <v>47.785447853033176</v>
      </c>
      <c r="AR258" s="8">
        <f>[1]节奏总纲!BD258</f>
        <v>50.527400604734339</v>
      </c>
      <c r="AS258" s="8">
        <f>[1]节奏总纲!BE258</f>
        <v>55.24064392640193</v>
      </c>
    </row>
    <row r="259" spans="17:45" x14ac:dyDescent="0.15">
      <c r="Q259" s="8">
        <v>256</v>
      </c>
      <c r="R259" s="8">
        <f>[1]节奏总纲!AD259</f>
        <v>80.054424711612938</v>
      </c>
      <c r="S259" s="8">
        <f>[1]节奏总纲!AE259</f>
        <v>82.154928281739714</v>
      </c>
      <c r="T259" s="8">
        <f>[1]节奏总纲!AF259</f>
        <v>85.113657629421638</v>
      </c>
      <c r="U259" s="8">
        <f>[1]节奏总纲!AG259</f>
        <v>90.062795496260307</v>
      </c>
      <c r="V259" s="8">
        <f>[1]节奏总纲!AH259</f>
        <v>98.904923656708121</v>
      </c>
      <c r="AN259" s="8">
        <v>256</v>
      </c>
      <c r="AO259" s="8">
        <f>[1]节奏总纲!BA259</f>
        <v>44.352321070087235</v>
      </c>
      <c r="AP259" s="8">
        <f>[1]节奏总纲!BB259</f>
        <v>45.869242601500943</v>
      </c>
      <c r="AQ259" s="8">
        <f>[1]节奏总纲!BC259</f>
        <v>47.813164570797035</v>
      </c>
      <c r="AR259" s="8">
        <f>[1]节奏总纲!BD259</f>
        <v>50.554158626283517</v>
      </c>
      <c r="AS259" s="8">
        <f>[1]节奏总纲!BE259</f>
        <v>55.266353747598714</v>
      </c>
    </row>
    <row r="260" spans="17:45" x14ac:dyDescent="0.15">
      <c r="Q260" s="8">
        <v>257</v>
      </c>
      <c r="R260" s="8">
        <f>[1]节奏总纲!AD260</f>
        <v>80.108849423225877</v>
      </c>
      <c r="S260" s="8">
        <f>[1]节奏总纲!AE260</f>
        <v>82.209309758681655</v>
      </c>
      <c r="T260" s="8">
        <f>[1]节奏总纲!AF260</f>
        <v>85.168261290208434</v>
      </c>
      <c r="U260" s="8">
        <f>[1]节奏总纲!AG260</f>
        <v>90.119205392290041</v>
      </c>
      <c r="V260" s="8">
        <f>[1]节奏总纲!AH260</f>
        <v>98.96436424349848</v>
      </c>
      <c r="AN260" s="8">
        <v>257</v>
      </c>
      <c r="AO260" s="8">
        <f>[1]节奏总纲!BA260</f>
        <v>44.378176516391136</v>
      </c>
      <c r="AP260" s="8">
        <f>[1]节奏总纲!BB260</f>
        <v>45.897138705528576</v>
      </c>
      <c r="AQ260" s="8">
        <f>[1]节奏总纲!BC260</f>
        <v>47.840881288560894</v>
      </c>
      <c r="AR260" s="8">
        <f>[1]节奏总纲!BD260</f>
        <v>50.580916647832701</v>
      </c>
      <c r="AS260" s="8">
        <f>[1]节奏总纲!BE260</f>
        <v>55.292063568795498</v>
      </c>
    </row>
    <row r="261" spans="17:45" x14ac:dyDescent="0.15">
      <c r="Q261" s="8">
        <v>258</v>
      </c>
      <c r="R261" s="8">
        <f>[1]节奏总纲!AD261</f>
        <v>80.163274134838829</v>
      </c>
      <c r="S261" s="8">
        <f>[1]节奏总纲!AE261</f>
        <v>82.263691235623583</v>
      </c>
      <c r="T261" s="8">
        <f>[1]节奏总纲!AF261</f>
        <v>85.222864950995231</v>
      </c>
      <c r="U261" s="8">
        <f>[1]节奏总纲!AG261</f>
        <v>90.175615288319776</v>
      </c>
      <c r="V261" s="8">
        <f>[1]节奏总纲!AH261</f>
        <v>99.023313221876677</v>
      </c>
      <c r="AN261" s="8">
        <v>258</v>
      </c>
      <c r="AO261" s="8">
        <f>[1]节奏总纲!BA261</f>
        <v>44.404031962695043</v>
      </c>
      <c r="AP261" s="8">
        <f>[1]节奏总纲!BB261</f>
        <v>45.925034809556202</v>
      </c>
      <c r="AQ261" s="8">
        <f>[1]节奏总纲!BC261</f>
        <v>47.868598006324753</v>
      </c>
      <c r="AR261" s="8">
        <f>[1]节奏总纲!BD261</f>
        <v>50.607674669381879</v>
      </c>
      <c r="AS261" s="8">
        <f>[1]节奏总纲!BE261</f>
        <v>55.31777338999229</v>
      </c>
    </row>
    <row r="262" spans="17:45" x14ac:dyDescent="0.15">
      <c r="Q262" s="8">
        <v>259</v>
      </c>
      <c r="R262" s="8">
        <f>[1]节奏总纲!AD262</f>
        <v>80.217698846451768</v>
      </c>
      <c r="S262" s="8">
        <f>[1]节奏总纲!AE262</f>
        <v>82.318072712565524</v>
      </c>
      <c r="T262" s="8">
        <f>[1]节奏总纲!AF262</f>
        <v>85.277468611782027</v>
      </c>
      <c r="U262" s="8">
        <f>[1]节奏总纲!AG262</f>
        <v>90.23202518434951</v>
      </c>
      <c r="V262" s="8">
        <f>[1]节奏总纲!AH262</f>
        <v>99.081526263999208</v>
      </c>
      <c r="AN262" s="8">
        <v>259</v>
      </c>
      <c r="AO262" s="8">
        <f>[1]节奏总纲!BA262</f>
        <v>44.429887408998944</v>
      </c>
      <c r="AP262" s="8">
        <f>[1]节奏总纲!BB262</f>
        <v>45.952930913583835</v>
      </c>
      <c r="AQ262" s="8">
        <f>[1]节奏总纲!BC262</f>
        <v>47.896314724088612</v>
      </c>
      <c r="AR262" s="8">
        <f>[1]节奏总纲!BD262</f>
        <v>50.634432690931064</v>
      </c>
      <c r="AS262" s="8">
        <f>[1]节奏总纲!BE262</f>
        <v>55.343483211189074</v>
      </c>
    </row>
    <row r="263" spans="17:45" x14ac:dyDescent="0.15">
      <c r="Q263" s="8">
        <v>260</v>
      </c>
      <c r="R263" s="8">
        <f>[1]节奏总纲!AD263</f>
        <v>80.272123558064706</v>
      </c>
      <c r="S263" s="8">
        <f>[1]节奏总纲!AE263</f>
        <v>82.372454189507465</v>
      </c>
      <c r="T263" s="8">
        <f>[1]节奏总纲!AF263</f>
        <v>85.332072272568837</v>
      </c>
      <c r="U263" s="8">
        <f>[1]节奏总纲!AG263</f>
        <v>90.288435080379244</v>
      </c>
      <c r="V263" s="8">
        <f>[1]节奏总纲!AH263</f>
        <v>99.139739306121726</v>
      </c>
      <c r="AN263" s="8">
        <v>260</v>
      </c>
      <c r="AO263" s="8">
        <f>[1]节奏总纲!BA263</f>
        <v>44.455742855302844</v>
      </c>
      <c r="AP263" s="8">
        <f>[1]节奏总纲!BB263</f>
        <v>45.98082701761146</v>
      </c>
      <c r="AQ263" s="8">
        <f>[1]节奏总纲!BC263</f>
        <v>47.92403144185247</v>
      </c>
      <c r="AR263" s="8">
        <f>[1]节奏总纲!BD263</f>
        <v>50.661190712480241</v>
      </c>
      <c r="AS263" s="8">
        <f>[1]节奏总纲!BE263</f>
        <v>55.369193032385866</v>
      </c>
    </row>
    <row r="264" spans="17:45" x14ac:dyDescent="0.15">
      <c r="Q264" s="8">
        <v>261</v>
      </c>
      <c r="R264" s="8">
        <f>[1]节奏总纲!AD264</f>
        <v>80.326548269677644</v>
      </c>
      <c r="S264" s="8">
        <f>[1]节奏总纲!AE264</f>
        <v>82.426835666449392</v>
      </c>
      <c r="T264" s="8">
        <f>[1]节奏总纲!AF264</f>
        <v>85.386675933355633</v>
      </c>
      <c r="U264" s="8">
        <f>[1]节奏总纲!AG264</f>
        <v>90.344844976408993</v>
      </c>
      <c r="V264" s="8">
        <f>[1]节奏总纲!AH264</f>
        <v>99.197952348244257</v>
      </c>
      <c r="AN264" s="8">
        <v>261</v>
      </c>
      <c r="AO264" s="8">
        <f>[1]节奏总纲!BA264</f>
        <v>44.481598301606752</v>
      </c>
      <c r="AP264" s="8">
        <f>[1]节奏总纲!BB264</f>
        <v>46.007529841290832</v>
      </c>
      <c r="AQ264" s="8">
        <f>[1]节奏总纲!BC264</f>
        <v>47.951748159616329</v>
      </c>
      <c r="AR264" s="8">
        <f>[1]节奏总纲!BD264</f>
        <v>50.687948734029419</v>
      </c>
      <c r="AS264" s="8">
        <f>[1]节奏总纲!BE264</f>
        <v>55.39490285358265</v>
      </c>
    </row>
    <row r="265" spans="17:45" x14ac:dyDescent="0.15">
      <c r="Q265" s="8">
        <v>262</v>
      </c>
      <c r="R265" s="8">
        <f>[1]节奏总纲!AD265</f>
        <v>80.380972981290597</v>
      </c>
      <c r="S265" s="8">
        <f>[1]节奏总纲!AE265</f>
        <v>82.481217143391333</v>
      </c>
      <c r="T265" s="8">
        <f>[1]节奏总纲!AF265</f>
        <v>85.441279594142429</v>
      </c>
      <c r="U265" s="8">
        <f>[1]节奏总纲!AG265</f>
        <v>90.401254872438727</v>
      </c>
      <c r="V265" s="8">
        <f>[1]节奏总纲!AH265</f>
        <v>99.256165390366789</v>
      </c>
      <c r="AN265" s="8">
        <v>262</v>
      </c>
      <c r="AO265" s="8">
        <f>[1]节奏总纲!BA265</f>
        <v>44.507453747910652</v>
      </c>
      <c r="AP265" s="8">
        <f>[1]节奏总纲!BB265</f>
        <v>46.031609894814238</v>
      </c>
      <c r="AQ265" s="8">
        <f>[1]节奏总纲!BC265</f>
        <v>47.979464877380188</v>
      </c>
      <c r="AR265" s="8">
        <f>[1]节奏总纲!BD265</f>
        <v>50.714706755578604</v>
      </c>
      <c r="AS265" s="8">
        <f>[1]节奏总纲!BE265</f>
        <v>55.420612674779434</v>
      </c>
    </row>
    <row r="266" spans="17:45" x14ac:dyDescent="0.15">
      <c r="Q266" s="8">
        <v>263</v>
      </c>
      <c r="R266" s="8">
        <f>[1]节奏总纲!AD266</f>
        <v>80.435397692903535</v>
      </c>
      <c r="S266" s="8">
        <f>[1]节奏总纲!AE266</f>
        <v>82.535598620333275</v>
      </c>
      <c r="T266" s="8">
        <f>[1]节奏总纲!AF266</f>
        <v>85.495883254929225</v>
      </c>
      <c r="U266" s="8">
        <f>[1]节奏总纲!AG266</f>
        <v>90.457664768468462</v>
      </c>
      <c r="V266" s="8">
        <f>[1]节奏总纲!AH266</f>
        <v>99.314378432489306</v>
      </c>
      <c r="AN266" s="8">
        <v>263</v>
      </c>
      <c r="AO266" s="8">
        <f>[1]节奏总纲!BA266</f>
        <v>44.533309194214553</v>
      </c>
      <c r="AP266" s="8">
        <f>[1]节奏总纲!BB266</f>
        <v>46.055689948337651</v>
      </c>
      <c r="AQ266" s="8">
        <f>[1]节奏总纲!BC266</f>
        <v>48.006200084618079</v>
      </c>
      <c r="AR266" s="8">
        <f>[1]节奏总纲!BD266</f>
        <v>50.741464777127781</v>
      </c>
      <c r="AS266" s="8">
        <f>[1]节奏总纲!BE266</f>
        <v>55.446322495976226</v>
      </c>
    </row>
    <row r="267" spans="17:45" x14ac:dyDescent="0.15">
      <c r="Q267" s="8">
        <v>264</v>
      </c>
      <c r="R267" s="8">
        <f>[1]节奏总纲!AD267</f>
        <v>80.489822404516474</v>
      </c>
      <c r="S267" s="8">
        <f>[1]节奏总纲!AE267</f>
        <v>82.589980097275202</v>
      </c>
      <c r="T267" s="8">
        <f>[1]节奏总纲!AF267</f>
        <v>85.550486915716021</v>
      </c>
      <c r="U267" s="8">
        <f>[1]节奏总纲!AG267</f>
        <v>90.514074664498196</v>
      </c>
      <c r="V267" s="8">
        <f>[1]节奏总纲!AH267</f>
        <v>99.372591474611838</v>
      </c>
      <c r="AN267" s="8">
        <v>264</v>
      </c>
      <c r="AO267" s="8">
        <f>[1]节奏总纲!BA267</f>
        <v>44.55916464051846</v>
      </c>
      <c r="AP267" s="8">
        <f>[1]节奏总纲!BB267</f>
        <v>46.079770001861057</v>
      </c>
      <c r="AQ267" s="8">
        <f>[1]节奏总纲!BC267</f>
        <v>48.030128751164241</v>
      </c>
      <c r="AR267" s="8">
        <f>[1]节奏总纲!BD267</f>
        <v>50.768222798676959</v>
      </c>
      <c r="AS267" s="8">
        <f>[1]节奏总纲!BE267</f>
        <v>55.47203231717301</v>
      </c>
    </row>
    <row r="268" spans="17:45" x14ac:dyDescent="0.15">
      <c r="Q268" s="8">
        <v>265</v>
      </c>
      <c r="R268" s="8">
        <f>[1]节奏总纲!AD268</f>
        <v>80.544247116129412</v>
      </c>
      <c r="S268" s="8">
        <f>[1]节奏总纲!AE268</f>
        <v>82.644361574217143</v>
      </c>
      <c r="T268" s="8">
        <f>[1]节奏总纲!AF268</f>
        <v>85.605090576502832</v>
      </c>
      <c r="U268" s="8">
        <f>[1]节奏总纲!AG268</f>
        <v>90.57048456052793</v>
      </c>
      <c r="V268" s="8">
        <f>[1]节奏总纲!AH268</f>
        <v>99.430804516734369</v>
      </c>
      <c r="AN268" s="8">
        <v>265</v>
      </c>
      <c r="AO268" s="8">
        <f>[1]节奏总纲!BA268</f>
        <v>44.585020086822361</v>
      </c>
      <c r="AP268" s="8">
        <f>[1]节奏总纲!BB268</f>
        <v>46.10385005538447</v>
      </c>
      <c r="AQ268" s="8">
        <f>[1]节奏总纲!BC268</f>
        <v>48.054057417710396</v>
      </c>
      <c r="AR268" s="8">
        <f>[1]节奏总纲!BD268</f>
        <v>50.794980820226144</v>
      </c>
      <c r="AS268" s="8">
        <f>[1]节奏总纲!BE268</f>
        <v>55.497742138369794</v>
      </c>
    </row>
    <row r="269" spans="17:45" x14ac:dyDescent="0.15">
      <c r="Q269" s="8">
        <v>266</v>
      </c>
      <c r="R269" s="8">
        <f>[1]节奏总纲!AD269</f>
        <v>80.598671827742351</v>
      </c>
      <c r="S269" s="8">
        <f>[1]节奏总纲!AE269</f>
        <v>82.698743051159084</v>
      </c>
      <c r="T269" s="8">
        <f>[1]节奏总纲!AF269</f>
        <v>85.659694237289628</v>
      </c>
      <c r="U269" s="8">
        <f>[1]节奏总纲!AG269</f>
        <v>90.626894456557665</v>
      </c>
      <c r="V269" s="8">
        <f>[1]节奏总纲!AH269</f>
        <v>99.489017558856887</v>
      </c>
      <c r="AN269" s="8">
        <v>266</v>
      </c>
      <c r="AO269" s="8">
        <f>[1]节奏总纲!BA269</f>
        <v>44.610875533126261</v>
      </c>
      <c r="AP269" s="8">
        <f>[1]节奏总纲!BB269</f>
        <v>46.127930108907876</v>
      </c>
      <c r="AQ269" s="8">
        <f>[1]节奏总纲!BC269</f>
        <v>48.077986084256551</v>
      </c>
      <c r="AR269" s="8">
        <f>[1]节奏总纲!BD269</f>
        <v>50.821738841775321</v>
      </c>
      <c r="AS269" s="8">
        <f>[1]节奏总纲!BE269</f>
        <v>55.523451959566586</v>
      </c>
    </row>
    <row r="270" spans="17:45" x14ac:dyDescent="0.15">
      <c r="Q270" s="8">
        <v>267</v>
      </c>
      <c r="R270" s="8">
        <f>[1]节奏总纲!AD270</f>
        <v>80.653096539355303</v>
      </c>
      <c r="S270" s="8">
        <f>[1]节奏总纲!AE270</f>
        <v>82.753124528101011</v>
      </c>
      <c r="T270" s="8">
        <f>[1]节奏总纲!AF270</f>
        <v>85.714297898076424</v>
      </c>
      <c r="U270" s="8">
        <f>[1]节奏总纲!AG270</f>
        <v>90.683304352587413</v>
      </c>
      <c r="V270" s="8">
        <f>[1]节奏总纲!AH270</f>
        <v>99.547230600979418</v>
      </c>
      <c r="AN270" s="8">
        <v>267</v>
      </c>
      <c r="AO270" s="8">
        <f>[1]节奏总纲!BA270</f>
        <v>44.636730979430169</v>
      </c>
      <c r="AP270" s="8">
        <f>[1]节奏总纲!BB270</f>
        <v>46.152010162431289</v>
      </c>
      <c r="AQ270" s="8">
        <f>[1]节奏总纲!BC270</f>
        <v>48.101914750802706</v>
      </c>
      <c r="AR270" s="8">
        <f>[1]节奏总纲!BD270</f>
        <v>50.848496863324499</v>
      </c>
      <c r="AS270" s="8">
        <f>[1]节奏总纲!BE270</f>
        <v>55.54916178076337</v>
      </c>
    </row>
    <row r="271" spans="17:45" x14ac:dyDescent="0.15">
      <c r="Q271" s="8">
        <v>268</v>
      </c>
      <c r="R271" s="8">
        <f>[1]节奏总纲!AD271</f>
        <v>80.707521250968242</v>
      </c>
      <c r="S271" s="8">
        <f>[1]节奏总纲!AE271</f>
        <v>82.807506005042953</v>
      </c>
      <c r="T271" s="8">
        <f>[1]节奏总纲!AF271</f>
        <v>85.76890155886322</v>
      </c>
      <c r="U271" s="8">
        <f>[1]节奏总纲!AG271</f>
        <v>90.739714248617148</v>
      </c>
      <c r="V271" s="8">
        <f>[1]节奏总纲!AH271</f>
        <v>99.605443643101935</v>
      </c>
      <c r="AN271" s="8">
        <v>268</v>
      </c>
      <c r="AO271" s="8">
        <f>[1]节奏总纲!BA271</f>
        <v>44.662586425734069</v>
      </c>
      <c r="AP271" s="8">
        <f>[1]节奏总纲!BB271</f>
        <v>46.176090215954694</v>
      </c>
      <c r="AQ271" s="8">
        <f>[1]节奏总纲!BC271</f>
        <v>48.125843417348868</v>
      </c>
      <c r="AR271" s="8">
        <f>[1]节奏总纲!BD271</f>
        <v>50.875254884873684</v>
      </c>
      <c r="AS271" s="8">
        <f>[1]节奏总纲!BE271</f>
        <v>55.574871601960162</v>
      </c>
    </row>
    <row r="272" spans="17:45" x14ac:dyDescent="0.15">
      <c r="Q272" s="8">
        <v>269</v>
      </c>
      <c r="R272" s="8">
        <f>[1]节奏总纲!AD272</f>
        <v>80.76194596258118</v>
      </c>
      <c r="S272" s="8">
        <f>[1]节奏总纲!AE272</f>
        <v>82.861887481984894</v>
      </c>
      <c r="T272" s="8">
        <f>[1]节奏总纲!AF272</f>
        <v>85.823505219650016</v>
      </c>
      <c r="U272" s="8">
        <f>[1]节奏总纲!AG272</f>
        <v>90.796124144646882</v>
      </c>
      <c r="V272" s="8">
        <f>[1]节奏总纲!AH272</f>
        <v>99.663656685224467</v>
      </c>
      <c r="AN272" s="8">
        <v>269</v>
      </c>
      <c r="AO272" s="8">
        <f>[1]节奏总纲!BA272</f>
        <v>44.68844187203797</v>
      </c>
      <c r="AP272" s="8">
        <f>[1]节奏总纲!BB272</f>
        <v>46.200170269478107</v>
      </c>
      <c r="AQ272" s="8">
        <f>[1]节奏总纲!BC272</f>
        <v>48.149772083895023</v>
      </c>
      <c r="AR272" s="8">
        <f>[1]节奏总纲!BD272</f>
        <v>50.902012906422861</v>
      </c>
      <c r="AS272" s="8">
        <f>[1]节奏总纲!BE272</f>
        <v>55.600581423156946</v>
      </c>
    </row>
    <row r="273" spans="17:45" x14ac:dyDescent="0.15">
      <c r="Q273" s="8">
        <v>270</v>
      </c>
      <c r="R273" s="8">
        <f>[1]节奏总纲!AD273</f>
        <v>80.816370674194118</v>
      </c>
      <c r="S273" s="8">
        <f>[1]节奏总纲!AE273</f>
        <v>82.916268958926821</v>
      </c>
      <c r="T273" s="8">
        <f>[1]节奏总纲!AF273</f>
        <v>85.878108880436827</v>
      </c>
      <c r="U273" s="8">
        <f>[1]节奏总纲!AG273</f>
        <v>90.852534040676616</v>
      </c>
      <c r="V273" s="8">
        <f>[1]节奏总纲!AH273</f>
        <v>99.721869727346999</v>
      </c>
      <c r="AN273" s="8">
        <v>270</v>
      </c>
      <c r="AO273" s="8">
        <f>[1]节奏总纲!BA273</f>
        <v>44.714297318341877</v>
      </c>
      <c r="AP273" s="8">
        <f>[1]节奏总纲!BB273</f>
        <v>46.224250323001513</v>
      </c>
      <c r="AQ273" s="8">
        <f>[1]节奏总纲!BC273</f>
        <v>48.173700750441178</v>
      </c>
      <c r="AR273" s="8">
        <f>[1]节奏总纲!BD273</f>
        <v>50.928770927972039</v>
      </c>
      <c r="AS273" s="8">
        <f>[1]节奏总纲!BE273</f>
        <v>55.62629124435373</v>
      </c>
    </row>
    <row r="274" spans="17:45" x14ac:dyDescent="0.15">
      <c r="Q274" s="8">
        <v>271</v>
      </c>
      <c r="R274" s="8">
        <f>[1]节奏总纲!AD274</f>
        <v>80.870795385807057</v>
      </c>
      <c r="S274" s="8">
        <f>[1]节奏总纲!AE274</f>
        <v>82.970650435868762</v>
      </c>
      <c r="T274" s="8">
        <f>[1]节奏总纲!AF274</f>
        <v>85.932712541223623</v>
      </c>
      <c r="U274" s="8">
        <f>[1]节奏总纲!AG274</f>
        <v>90.908943936706351</v>
      </c>
      <c r="V274" s="8">
        <f>[1]节奏总纲!AH274</f>
        <v>99.780082769469516</v>
      </c>
      <c r="AN274" s="8">
        <v>271</v>
      </c>
      <c r="AO274" s="8">
        <f>[1]节奏总纲!BA274</f>
        <v>44.740152764645778</v>
      </c>
      <c r="AP274" s="8">
        <f>[1]节奏总纲!BB274</f>
        <v>46.248330376524919</v>
      </c>
      <c r="AQ274" s="8">
        <f>[1]节奏总纲!BC274</f>
        <v>48.19762941698734</v>
      </c>
      <c r="AR274" s="8">
        <f>[1]节奏总纲!BD274</f>
        <v>50.955528949521224</v>
      </c>
      <c r="AS274" s="8">
        <f>[1]节奏总纲!BE274</f>
        <v>55.652001065550522</v>
      </c>
    </row>
    <row r="275" spans="17:45" x14ac:dyDescent="0.15">
      <c r="Q275" s="8">
        <v>272</v>
      </c>
      <c r="R275" s="8">
        <f>[1]节奏总纲!AD275</f>
        <v>80.925220097420009</v>
      </c>
      <c r="S275" s="8">
        <f>[1]节奏总纲!AE275</f>
        <v>83.023342162088809</v>
      </c>
      <c r="T275" s="8">
        <f>[1]节奏总纲!AF275</f>
        <v>85.987316202010419</v>
      </c>
      <c r="U275" s="8">
        <f>[1]节奏总纲!AG275</f>
        <v>90.965353832736099</v>
      </c>
      <c r="V275" s="8">
        <f>[1]节奏总纲!AH275</f>
        <v>99.838295811592047</v>
      </c>
      <c r="AN275" s="8">
        <v>272</v>
      </c>
      <c r="AO275" s="8">
        <f>[1]节奏总纲!BA275</f>
        <v>44.766008210949678</v>
      </c>
      <c r="AP275" s="8">
        <f>[1]节奏总纲!BB275</f>
        <v>46.272410430048332</v>
      </c>
      <c r="AQ275" s="8">
        <f>[1]节奏总纲!BC275</f>
        <v>48.221558083533495</v>
      </c>
      <c r="AR275" s="8">
        <f>[1]节奏总纲!BD275</f>
        <v>50.982286971070401</v>
      </c>
      <c r="AS275" s="8">
        <f>[1]节奏总纲!BE275</f>
        <v>55.677710886747306</v>
      </c>
    </row>
    <row r="276" spans="17:45" x14ac:dyDescent="0.15">
      <c r="Q276" s="8">
        <v>273</v>
      </c>
      <c r="R276" s="8">
        <f>[1]节奏总纲!AD276</f>
        <v>80.979644809032948</v>
      </c>
      <c r="S276" s="8">
        <f>[1]节奏总纲!AE276</f>
        <v>83.07405267945947</v>
      </c>
      <c r="T276" s="8">
        <f>[1]节奏总纲!AF276</f>
        <v>86.038061368689995</v>
      </c>
      <c r="U276" s="8">
        <f>[1]节奏总纲!AG276</f>
        <v>91.020352770869948</v>
      </c>
      <c r="V276" s="8">
        <f>[1]节奏总纲!AH276</f>
        <v>99.896508853714579</v>
      </c>
      <c r="AN276" s="8">
        <v>273</v>
      </c>
      <c r="AO276" s="8">
        <f>[1]节奏总纲!BA276</f>
        <v>44.791863657253586</v>
      </c>
      <c r="AP276" s="8">
        <f>[1]节奏总纲!BB276</f>
        <v>46.296490483571738</v>
      </c>
      <c r="AQ276" s="8">
        <f>[1]节奏总纲!BC276</f>
        <v>48.24548675007965</v>
      </c>
      <c r="AR276" s="8">
        <f>[1]节奏总纲!BD276</f>
        <v>51.007810424246486</v>
      </c>
      <c r="AS276" s="8">
        <f>[1]节奏总纲!BE276</f>
        <v>55.703420707944098</v>
      </c>
    </row>
    <row r="277" spans="17:45" x14ac:dyDescent="0.15">
      <c r="Q277" s="8">
        <v>274</v>
      </c>
      <c r="R277" s="8">
        <f>[1]节奏总纲!AD277</f>
        <v>81.031787986768464</v>
      </c>
      <c r="S277" s="8">
        <f>[1]节奏总纲!AE277</f>
        <v>83.124763196830131</v>
      </c>
      <c r="T277" s="8">
        <f>[1]节奏总纲!AF277</f>
        <v>86.087639061133402</v>
      </c>
      <c r="U277" s="8">
        <f>[1]节奏总纲!AG277</f>
        <v>91.073105573528181</v>
      </c>
      <c r="V277" s="8">
        <f>[1]节奏总纲!AH277</f>
        <v>99.954721895837096</v>
      </c>
      <c r="AN277" s="8">
        <v>274</v>
      </c>
      <c r="AO277" s="8">
        <f>[1]节奏总纲!BA277</f>
        <v>44.817719103557486</v>
      </c>
      <c r="AP277" s="8">
        <f>[1]节奏总纲!BB277</f>
        <v>46.320570537095151</v>
      </c>
      <c r="AQ277" s="8">
        <f>[1]节奏总纲!BC277</f>
        <v>48.269415416625804</v>
      </c>
      <c r="AR277" s="8">
        <f>[1]节奏总纲!BD277</f>
        <v>51.030916192165336</v>
      </c>
      <c r="AS277" s="8">
        <f>[1]节奏总纲!BE277</f>
        <v>55.729130529140882</v>
      </c>
    </row>
    <row r="278" spans="17:45" x14ac:dyDescent="0.15">
      <c r="Q278" s="8">
        <v>275</v>
      </c>
      <c r="R278" s="8">
        <f>[1]节奏总纲!AD278</f>
        <v>81.082568038258216</v>
      </c>
      <c r="S278" s="8">
        <f>[1]节奏总纲!AE278</f>
        <v>83.175473714200777</v>
      </c>
      <c r="T278" s="8">
        <f>[1]节奏总纲!AF278</f>
        <v>86.137216753576809</v>
      </c>
      <c r="U278" s="8">
        <f>[1]节奏总纲!AG278</f>
        <v>91.125858376186414</v>
      </c>
      <c r="V278" s="8">
        <f>[1]节奏总纲!AH278</f>
        <v>100.01191770041967</v>
      </c>
      <c r="AN278" s="8">
        <v>275</v>
      </c>
      <c r="AO278" s="8">
        <f>[1]节奏总纲!BA278</f>
        <v>44.843574549861387</v>
      </c>
      <c r="AP278" s="8">
        <f>[1]节奏总纲!BB278</f>
        <v>46.344650590618556</v>
      </c>
      <c r="AQ278" s="8">
        <f>[1]节奏总纲!BC278</f>
        <v>48.293344083171966</v>
      </c>
      <c r="AR278" s="8">
        <f>[1]节奏总纲!BD278</f>
        <v>51.054021960084178</v>
      </c>
      <c r="AS278" s="8">
        <f>[1]节奏总纲!BE278</f>
        <v>55.754840350337666</v>
      </c>
    </row>
    <row r="279" spans="17:45" x14ac:dyDescent="0.15">
      <c r="Q279" s="8">
        <v>276</v>
      </c>
      <c r="R279" s="8">
        <f>[1]节奏总纲!AD279</f>
        <v>81.133348089747955</v>
      </c>
      <c r="S279" s="8">
        <f>[1]节奏总纲!AE279</f>
        <v>83.226184231571438</v>
      </c>
      <c r="T279" s="8">
        <f>[1]节奏总纲!AF279</f>
        <v>86.186794446020215</v>
      </c>
      <c r="U279" s="8">
        <f>[1]节奏总纲!AG279</f>
        <v>91.178611178844633</v>
      </c>
      <c r="V279" s="8">
        <f>[1]节奏总纲!AH279</f>
        <v>100.06555271580974</v>
      </c>
      <c r="AN279" s="8">
        <v>276</v>
      </c>
      <c r="AO279" s="8">
        <f>[1]节奏总纲!BA279</f>
        <v>44.869429996165294</v>
      </c>
      <c r="AP279" s="8">
        <f>[1]节奏总纲!BB279</f>
        <v>46.368730644141969</v>
      </c>
      <c r="AQ279" s="8">
        <f>[1]节奏总纲!BC279</f>
        <v>48.317272749718121</v>
      </c>
      <c r="AR279" s="8">
        <f>[1]节奏总纲!BD279</f>
        <v>51.077127728003028</v>
      </c>
      <c r="AS279" s="8">
        <f>[1]节奏总纲!BE279</f>
        <v>55.780550171534458</v>
      </c>
    </row>
    <row r="280" spans="17:45" x14ac:dyDescent="0.15">
      <c r="Q280" s="8">
        <v>277</v>
      </c>
      <c r="R280" s="8">
        <f>[1]节奏总纲!AD280</f>
        <v>81.184128141237707</v>
      </c>
      <c r="S280" s="8">
        <f>[1]节奏总纲!AE280</f>
        <v>83.276894748942098</v>
      </c>
      <c r="T280" s="8">
        <f>[1]节奏总纲!AF280</f>
        <v>86.236372138463622</v>
      </c>
      <c r="U280" s="8">
        <f>[1]节奏总纲!AG280</f>
        <v>91.231363981502867</v>
      </c>
      <c r="V280" s="8">
        <f>[1]节奏总纲!AH280</f>
        <v>100.11918773119983</v>
      </c>
      <c r="AN280" s="8">
        <v>277</v>
      </c>
      <c r="AO280" s="8">
        <f>[1]节奏总纲!BA280</f>
        <v>44.895285442469195</v>
      </c>
      <c r="AP280" s="8">
        <f>[1]节奏总纲!BB280</f>
        <v>46.392810697665375</v>
      </c>
      <c r="AQ280" s="8">
        <f>[1]节奏总纲!BC280</f>
        <v>48.341201416264276</v>
      </c>
      <c r="AR280" s="8">
        <f>[1]节奏总纲!BD280</f>
        <v>51.10023349592187</v>
      </c>
      <c r="AS280" s="8">
        <f>[1]节奏总纲!BE280</f>
        <v>55.806259992731242</v>
      </c>
    </row>
    <row r="281" spans="17:45" x14ac:dyDescent="0.15">
      <c r="Q281" s="8">
        <v>278</v>
      </c>
      <c r="R281" s="8">
        <f>[1]节奏总纲!AD281</f>
        <v>81.23490819272746</v>
      </c>
      <c r="S281" s="8">
        <f>[1]节奏总纲!AE281</f>
        <v>83.327605266312744</v>
      </c>
      <c r="T281" s="8">
        <f>[1]节奏总纲!AF281</f>
        <v>86.285949830907029</v>
      </c>
      <c r="U281" s="8">
        <f>[1]节奏总纲!AG281</f>
        <v>91.2841167841611</v>
      </c>
      <c r="V281" s="8">
        <f>[1]节奏总纲!AH281</f>
        <v>100.1728227465899</v>
      </c>
      <c r="AN281" s="8">
        <v>278</v>
      </c>
      <c r="AO281" s="8">
        <f>[1]节奏总纲!BA281</f>
        <v>44.921140888773095</v>
      </c>
      <c r="AP281" s="8">
        <f>[1]节奏总纲!BB281</f>
        <v>46.416890751188788</v>
      </c>
      <c r="AQ281" s="8">
        <f>[1]节奏总纲!BC281</f>
        <v>48.365130082810438</v>
      </c>
      <c r="AR281" s="8">
        <f>[1]节奏总纲!BD281</f>
        <v>51.12333926384072</v>
      </c>
      <c r="AS281" s="8">
        <f>[1]节奏总纲!BE281</f>
        <v>55.831969813928033</v>
      </c>
    </row>
    <row r="282" spans="17:45" x14ac:dyDescent="0.15">
      <c r="Q282" s="8">
        <v>279</v>
      </c>
      <c r="R282" s="8">
        <f>[1]节奏总纲!AD282</f>
        <v>81.285688244217212</v>
      </c>
      <c r="S282" s="8">
        <f>[1]节奏总纲!AE282</f>
        <v>83.378315783683405</v>
      </c>
      <c r="T282" s="8">
        <f>[1]节奏总纲!AF282</f>
        <v>86.335527523350422</v>
      </c>
      <c r="U282" s="8">
        <f>[1]节奏总纲!AG282</f>
        <v>91.336869586819319</v>
      </c>
      <c r="V282" s="8">
        <f>[1]节奏总纲!AH282</f>
        <v>100.22645776197997</v>
      </c>
      <c r="AN282" s="8">
        <v>279</v>
      </c>
      <c r="AO282" s="8">
        <f>[1]节奏总纲!BA282</f>
        <v>44.946996335076996</v>
      </c>
      <c r="AP282" s="8">
        <f>[1]节奏总纲!BB282</f>
        <v>46.440970804712194</v>
      </c>
      <c r="AQ282" s="8">
        <f>[1]节奏总纲!BC282</f>
        <v>48.389058749356593</v>
      </c>
      <c r="AR282" s="8">
        <f>[1]节奏总纲!BD282</f>
        <v>51.146445031759569</v>
      </c>
      <c r="AS282" s="8">
        <f>[1]节奏总纲!BE282</f>
        <v>55.857679635124818</v>
      </c>
    </row>
    <row r="283" spans="17:45" x14ac:dyDescent="0.15">
      <c r="Q283" s="8">
        <v>280</v>
      </c>
      <c r="R283" s="8">
        <f>[1]节奏总纲!AD283</f>
        <v>81.336468295706965</v>
      </c>
      <c r="S283" s="8">
        <f>[1]节奏总纲!AE283</f>
        <v>83.429026301054066</v>
      </c>
      <c r="T283" s="8">
        <f>[1]节奏总纲!AF283</f>
        <v>86.385105215793828</v>
      </c>
      <c r="U283" s="8">
        <f>[1]节奏总纲!AG283</f>
        <v>91.389622389477552</v>
      </c>
      <c r="V283" s="8">
        <f>[1]节奏总纲!AH283</f>
        <v>100.28009277737006</v>
      </c>
      <c r="AN283" s="8">
        <v>280</v>
      </c>
      <c r="AO283" s="8">
        <f>[1]节奏总纲!BA283</f>
        <v>44.972851781380903</v>
      </c>
      <c r="AP283" s="8">
        <f>[1]节奏总纲!BB283</f>
        <v>46.465050858235607</v>
      </c>
      <c r="AQ283" s="8">
        <f>[1]节奏总纲!BC283</f>
        <v>48.412987415902748</v>
      </c>
      <c r="AR283" s="8">
        <f>[1]节奏总纲!BD283</f>
        <v>51.169550799678412</v>
      </c>
      <c r="AS283" s="8">
        <f>[1]节奏总纲!BE283</f>
        <v>55.883389456321602</v>
      </c>
    </row>
    <row r="284" spans="17:45" x14ac:dyDescent="0.15">
      <c r="Q284" s="8">
        <v>281</v>
      </c>
      <c r="R284" s="8">
        <f>[1]节奏总纲!AD284</f>
        <v>81.387248347196717</v>
      </c>
      <c r="S284" s="8">
        <f>[1]节奏总纲!AE284</f>
        <v>83.479736818424712</v>
      </c>
      <c r="T284" s="8">
        <f>[1]节奏总纲!AF284</f>
        <v>86.434682908237235</v>
      </c>
      <c r="U284" s="8">
        <f>[1]节奏总纲!AG284</f>
        <v>91.442375192135771</v>
      </c>
      <c r="V284" s="8">
        <f>[1]节奏总纲!AH284</f>
        <v>100.33372779276013</v>
      </c>
      <c r="AN284" s="8">
        <v>281</v>
      </c>
      <c r="AO284" s="8">
        <f>[1]节奏总纲!BA284</f>
        <v>44.998707227684804</v>
      </c>
      <c r="AP284" s="8">
        <f>[1]节奏总纲!BB284</f>
        <v>46.489130911759013</v>
      </c>
      <c r="AQ284" s="8">
        <f>[1]节奏总纲!BC284</f>
        <v>48.43691608244891</v>
      </c>
      <c r="AR284" s="8">
        <f>[1]节奏总纲!BD284</f>
        <v>51.192656567597261</v>
      </c>
      <c r="AS284" s="8">
        <f>[1]节奏总纲!BE284</f>
        <v>55.909099277518393</v>
      </c>
    </row>
    <row r="285" spans="17:45" x14ac:dyDescent="0.15">
      <c r="Q285" s="8">
        <v>282</v>
      </c>
      <c r="R285" s="8">
        <f>[1]节奏总纲!AD285</f>
        <v>81.43802839868647</v>
      </c>
      <c r="S285" s="8">
        <f>[1]节奏总纲!AE285</f>
        <v>83.530447335795373</v>
      </c>
      <c r="T285" s="8">
        <f>[1]节奏总纲!AF285</f>
        <v>86.484260600680642</v>
      </c>
      <c r="U285" s="8">
        <f>[1]节奏总纲!AG285</f>
        <v>91.495127994794004</v>
      </c>
      <c r="V285" s="8">
        <f>[1]节奏总纲!AH285</f>
        <v>100.3873628081502</v>
      </c>
      <c r="AN285" s="8">
        <v>282</v>
      </c>
      <c r="AO285" s="8">
        <f>[1]节奏总纲!BA285</f>
        <v>45.021201039060998</v>
      </c>
      <c r="AP285" s="8">
        <f>[1]节奏总纲!BB285</f>
        <v>46.513210965282425</v>
      </c>
      <c r="AQ285" s="8">
        <f>[1]节奏总纲!BC285</f>
        <v>48.460844748995065</v>
      </c>
      <c r="AR285" s="8">
        <f>[1]节奏总纲!BD285</f>
        <v>51.215762335516104</v>
      </c>
      <c r="AS285" s="8">
        <f>[1]节奏总纲!BE285</f>
        <v>55.934809098715178</v>
      </c>
    </row>
    <row r="286" spans="17:45" x14ac:dyDescent="0.15">
      <c r="Q286" s="8">
        <v>283</v>
      </c>
      <c r="R286" s="8">
        <f>[1]节奏总纲!AD286</f>
        <v>81.488808450176222</v>
      </c>
      <c r="S286" s="8">
        <f>[1]节奏总纲!AE286</f>
        <v>83.581157853166033</v>
      </c>
      <c r="T286" s="8">
        <f>[1]节奏总纲!AF286</f>
        <v>86.533838293124049</v>
      </c>
      <c r="U286" s="8">
        <f>[1]节奏总纲!AG286</f>
        <v>91.547880797452237</v>
      </c>
      <c r="V286" s="8">
        <f>[1]节奏总纲!AH286</f>
        <v>100.44099782354027</v>
      </c>
      <c r="AN286" s="8">
        <v>283</v>
      </c>
      <c r="AO286" s="8">
        <f>[1]节奏总纲!BA286</f>
        <v>45.043517922283101</v>
      </c>
      <c r="AP286" s="8">
        <f>[1]节奏总纲!BB286</f>
        <v>46.537291018805831</v>
      </c>
      <c r="AQ286" s="8">
        <f>[1]节奏总纲!BC286</f>
        <v>48.48477341554122</v>
      </c>
      <c r="AR286" s="8">
        <f>[1]节奏总纲!BD286</f>
        <v>51.238868103434953</v>
      </c>
      <c r="AS286" s="8">
        <f>[1]节奏总纲!BE286</f>
        <v>55.960518919911962</v>
      </c>
    </row>
    <row r="287" spans="17:45" x14ac:dyDescent="0.15">
      <c r="Q287" s="8">
        <v>284</v>
      </c>
      <c r="R287" s="8">
        <f>[1]节奏总纲!AD287</f>
        <v>81.539588501665975</v>
      </c>
      <c r="S287" s="8">
        <f>[1]节奏总纲!AE287</f>
        <v>83.631868370536679</v>
      </c>
      <c r="T287" s="8">
        <f>[1]节奏总纲!AF287</f>
        <v>86.583415985567456</v>
      </c>
      <c r="U287" s="8">
        <f>[1]节奏总纲!AG287</f>
        <v>91.600633600110456</v>
      </c>
      <c r="V287" s="8">
        <f>[1]节奏总纲!AH287</f>
        <v>100.49463283893036</v>
      </c>
      <c r="AN287" s="8">
        <v>284</v>
      </c>
      <c r="AO287" s="8">
        <f>[1]节奏总纲!BA287</f>
        <v>45.065834805505204</v>
      </c>
      <c r="AP287" s="8">
        <f>[1]节奏总纲!BB287</f>
        <v>46.561371072329244</v>
      </c>
      <c r="AQ287" s="8">
        <f>[1]节奏总纲!BC287</f>
        <v>48.508702082087382</v>
      </c>
      <c r="AR287" s="8">
        <f>[1]节奏总纲!BD287</f>
        <v>51.261973871353796</v>
      </c>
      <c r="AS287" s="8">
        <f>[1]节奏总纲!BE287</f>
        <v>55.986228741108754</v>
      </c>
    </row>
    <row r="288" spans="17:45" x14ac:dyDescent="0.15">
      <c r="Q288" s="8">
        <v>285</v>
      </c>
      <c r="R288" s="8">
        <f>[1]节奏总纲!AD288</f>
        <v>81.590368553155727</v>
      </c>
      <c r="S288" s="8">
        <f>[1]节奏总纲!AE288</f>
        <v>83.68257888790734</v>
      </c>
      <c r="T288" s="8">
        <f>[1]节奏总纲!AF288</f>
        <v>86.632993678010848</v>
      </c>
      <c r="U288" s="8">
        <f>[1]节奏总纲!AG288</f>
        <v>91.653386402768689</v>
      </c>
      <c r="V288" s="8">
        <f>[1]节奏总纲!AH288</f>
        <v>100.54826785432043</v>
      </c>
      <c r="AN288" s="8">
        <v>285</v>
      </c>
      <c r="AO288" s="8">
        <f>[1]节奏总纲!BA288</f>
        <v>45.088151688727308</v>
      </c>
      <c r="AP288" s="8">
        <f>[1]节奏总纲!BB288</f>
        <v>46.58545112585265</v>
      </c>
      <c r="AQ288" s="8">
        <f>[1]节奏总纲!BC288</f>
        <v>48.532630748633537</v>
      </c>
      <c r="AR288" s="8">
        <f>[1]节奏总纲!BD288</f>
        <v>51.285079639272645</v>
      </c>
      <c r="AS288" s="8">
        <f>[1]节奏总纲!BE288</f>
        <v>56.010312347085055</v>
      </c>
    </row>
    <row r="289" spans="17:45" x14ac:dyDescent="0.15">
      <c r="Q289" s="8">
        <v>286</v>
      </c>
      <c r="R289" s="8">
        <f>[1]节奏总纲!AD289</f>
        <v>81.64114860464548</v>
      </c>
      <c r="S289" s="8">
        <f>[1]节奏总纲!AE289</f>
        <v>83.733289405278001</v>
      </c>
      <c r="T289" s="8">
        <f>[1]节奏总纲!AF289</f>
        <v>86.682571370454255</v>
      </c>
      <c r="U289" s="8">
        <f>[1]节奏总纲!AG289</f>
        <v>91.706139205426922</v>
      </c>
      <c r="V289" s="8">
        <f>[1]节奏总纲!AH289</f>
        <v>100.6019028697105</v>
      </c>
      <c r="AN289" s="8">
        <v>286</v>
      </c>
      <c r="AO289" s="8">
        <f>[1]节奏总纲!BA289</f>
        <v>45.110468571949411</v>
      </c>
      <c r="AP289" s="8">
        <f>[1]节奏总纲!BB289</f>
        <v>46.609531179376063</v>
      </c>
      <c r="AQ289" s="8">
        <f>[1]节奏总纲!BC289</f>
        <v>48.556559415179692</v>
      </c>
      <c r="AR289" s="8">
        <f>[1]节奏总纲!BD289</f>
        <v>51.308185407191495</v>
      </c>
      <c r="AS289" s="8">
        <f>[1]节奏总纲!BE289</f>
        <v>56.032520096468168</v>
      </c>
    </row>
    <row r="290" spans="17:45" x14ac:dyDescent="0.15">
      <c r="Q290" s="8">
        <v>287</v>
      </c>
      <c r="R290" s="8">
        <f>[1]节奏总纲!AD290</f>
        <v>81.691928656135218</v>
      </c>
      <c r="S290" s="8">
        <f>[1]节奏总纲!AE290</f>
        <v>83.783999922648647</v>
      </c>
      <c r="T290" s="8">
        <f>[1]节奏总纲!AF290</f>
        <v>86.732149062897662</v>
      </c>
      <c r="U290" s="8">
        <f>[1]节奏总纲!AG290</f>
        <v>91.758892008085141</v>
      </c>
      <c r="V290" s="8">
        <f>[1]节奏总纲!AH290</f>
        <v>100.65553788510059</v>
      </c>
      <c r="AN290" s="8">
        <v>287</v>
      </c>
      <c r="AO290" s="8">
        <f>[1]节奏总纲!BA290</f>
        <v>45.132785455171515</v>
      </c>
      <c r="AP290" s="8">
        <f>[1]节奏总纲!BB290</f>
        <v>46.633611232899469</v>
      </c>
      <c r="AQ290" s="8">
        <f>[1]节奏总纲!BC290</f>
        <v>48.580488081725846</v>
      </c>
      <c r="AR290" s="8">
        <f>[1]节奏总纲!BD290</f>
        <v>51.331291175110337</v>
      </c>
      <c r="AS290" s="8">
        <f>[1]节奏总纲!BE290</f>
        <v>56.054727845851275</v>
      </c>
    </row>
    <row r="291" spans="17:45" x14ac:dyDescent="0.15">
      <c r="Q291" s="8">
        <v>288</v>
      </c>
      <c r="R291" s="8">
        <f>[1]节奏总纲!AD291</f>
        <v>81.742708707624971</v>
      </c>
      <c r="S291" s="8">
        <f>[1]节奏总纲!AE291</f>
        <v>83.834710440019307</v>
      </c>
      <c r="T291" s="8">
        <f>[1]节奏总纲!AF291</f>
        <v>86.781726755341069</v>
      </c>
      <c r="U291" s="8">
        <f>[1]节奏总纲!AG291</f>
        <v>91.811644810743374</v>
      </c>
      <c r="V291" s="8">
        <f>[1]节奏总纲!AH291</f>
        <v>100.70917290049066</v>
      </c>
      <c r="AN291" s="8">
        <v>288</v>
      </c>
      <c r="AO291" s="8">
        <f>[1]节奏总纲!BA291</f>
        <v>45.155102338393618</v>
      </c>
      <c r="AP291" s="8">
        <f>[1]节奏总纲!BB291</f>
        <v>46.657691286422882</v>
      </c>
      <c r="AQ291" s="8">
        <f>[1]节奏总纲!BC291</f>
        <v>48.604416748272008</v>
      </c>
      <c r="AR291" s="8">
        <f>[1]节奏总纲!BD291</f>
        <v>51.354396943029187</v>
      </c>
      <c r="AS291" s="8">
        <f>[1]节奏总纲!BE291</f>
        <v>56.076935595234382</v>
      </c>
    </row>
    <row r="292" spans="17:45" x14ac:dyDescent="0.15">
      <c r="Q292" s="8">
        <v>289</v>
      </c>
      <c r="R292" s="8">
        <f>[1]节奏总纲!AD292</f>
        <v>81.793488759114723</v>
      </c>
      <c r="S292" s="8">
        <f>[1]节奏总纲!AE292</f>
        <v>83.885420957389968</v>
      </c>
      <c r="T292" s="8">
        <f>[1]节奏总纲!AF292</f>
        <v>86.831304447784476</v>
      </c>
      <c r="U292" s="8">
        <f>[1]节奏总纲!AG292</f>
        <v>91.864397613401607</v>
      </c>
      <c r="V292" s="8">
        <f>[1]节奏总纲!AH292</f>
        <v>100.76280791588073</v>
      </c>
      <c r="AN292" s="8">
        <v>289</v>
      </c>
      <c r="AO292" s="8">
        <f>[1]节奏总纲!BA292</f>
        <v>45.177419221615722</v>
      </c>
      <c r="AP292" s="8">
        <f>[1]节奏总纲!BB292</f>
        <v>46.681771339946287</v>
      </c>
      <c r="AQ292" s="8">
        <f>[1]节奏总纲!BC292</f>
        <v>48.628345414818163</v>
      </c>
      <c r="AR292" s="8">
        <f>[1]节奏总纲!BD292</f>
        <v>51.377502710948029</v>
      </c>
      <c r="AS292" s="8">
        <f>[1]节奏总纲!BE292</f>
        <v>56.099143344617488</v>
      </c>
    </row>
    <row r="293" spans="17:45" x14ac:dyDescent="0.15">
      <c r="Q293" s="8">
        <v>290</v>
      </c>
      <c r="R293" s="8">
        <f>[1]节奏总纲!AD293</f>
        <v>81.844268810604476</v>
      </c>
      <c r="S293" s="8">
        <f>[1]节奏总纲!AE293</f>
        <v>83.936131474760614</v>
      </c>
      <c r="T293" s="8">
        <f>[1]节奏总纲!AF293</f>
        <v>86.880882140227882</v>
      </c>
      <c r="U293" s="8">
        <f>[1]节奏总纲!AG293</f>
        <v>91.917150416059826</v>
      </c>
      <c r="V293" s="8">
        <f>[1]节奏总纲!AH293</f>
        <v>100.8164429312708</v>
      </c>
      <c r="AN293" s="8">
        <v>290</v>
      </c>
      <c r="AO293" s="8">
        <f>[1]节奏总纲!BA293</f>
        <v>45.199736104837825</v>
      </c>
      <c r="AP293" s="8">
        <f>[1]节奏总纲!BB293</f>
        <v>46.7058513934697</v>
      </c>
      <c r="AQ293" s="8">
        <f>[1]节奏总纲!BC293</f>
        <v>48.652274081364318</v>
      </c>
      <c r="AR293" s="8">
        <f>[1]节奏总纲!BD293</f>
        <v>51.400608478866879</v>
      </c>
      <c r="AS293" s="8">
        <f>[1]节奏总纲!BE293</f>
        <v>56.121351094000602</v>
      </c>
    </row>
    <row r="294" spans="17:45" x14ac:dyDescent="0.15">
      <c r="Q294" s="8">
        <v>291</v>
      </c>
      <c r="R294" s="8">
        <f>[1]节奏总纲!AD294</f>
        <v>81.895048862094228</v>
      </c>
      <c r="S294" s="8">
        <f>[1]节奏总纲!AE294</f>
        <v>83.986841992131275</v>
      </c>
      <c r="T294" s="8">
        <f>[1]节奏总纲!AF294</f>
        <v>86.930459832671289</v>
      </c>
      <c r="U294" s="8">
        <f>[1]节奏总纲!AG294</f>
        <v>91.969903218718059</v>
      </c>
      <c r="V294" s="8">
        <f>[1]节奏总纲!AH294</f>
        <v>100.87007794666089</v>
      </c>
      <c r="AN294" s="8">
        <v>291</v>
      </c>
      <c r="AO294" s="8">
        <f>[1]节奏总纲!BA294</f>
        <v>45.222052988059936</v>
      </c>
      <c r="AP294" s="8">
        <f>[1]节奏总纲!BB294</f>
        <v>46.729931446993106</v>
      </c>
      <c r="AQ294" s="8">
        <f>[1]节奏总纲!BC294</f>
        <v>48.67620274791048</v>
      </c>
      <c r="AR294" s="8">
        <f>[1]节奏总纲!BD294</f>
        <v>51.423714246785721</v>
      </c>
      <c r="AS294" s="8">
        <f>[1]节奏总纲!BE294</f>
        <v>56.143558843383708</v>
      </c>
    </row>
    <row r="295" spans="17:45" x14ac:dyDescent="0.15">
      <c r="Q295" s="8">
        <v>292</v>
      </c>
      <c r="R295" s="8">
        <f>[1]节奏总纲!AD295</f>
        <v>81.945828913583981</v>
      </c>
      <c r="S295" s="8">
        <f>[1]节奏总纲!AE295</f>
        <v>84.036191564035917</v>
      </c>
      <c r="T295" s="8">
        <f>[1]节奏总纲!AF295</f>
        <v>86.980037525114682</v>
      </c>
      <c r="U295" s="8">
        <f>[1]节奏总纲!AG295</f>
        <v>92.021521414287719</v>
      </c>
      <c r="V295" s="8">
        <f>[1]节奏总纲!AH295</f>
        <v>100.92371296205096</v>
      </c>
      <c r="AN295" s="8">
        <v>292</v>
      </c>
      <c r="AO295" s="8">
        <f>[1]节奏总纲!BA295</f>
        <v>45.244369871282039</v>
      </c>
      <c r="AP295" s="8">
        <f>[1]节奏总纲!BB295</f>
        <v>46.754011500516519</v>
      </c>
      <c r="AQ295" s="8">
        <f>[1]节奏总纲!BC295</f>
        <v>48.700131414456635</v>
      </c>
      <c r="AR295" s="8">
        <f>[1]节奏总纲!BD295</f>
        <v>51.446820014704571</v>
      </c>
      <c r="AS295" s="8">
        <f>[1]节奏总纲!BE295</f>
        <v>56.165766592766815</v>
      </c>
    </row>
    <row r="296" spans="17:45" x14ac:dyDescent="0.15">
      <c r="Q296" s="8">
        <v>293</v>
      </c>
      <c r="R296" s="8">
        <f>[1]节奏总纲!AD296</f>
        <v>81.996608965073733</v>
      </c>
      <c r="S296" s="8">
        <f>[1]节奏总纲!AE296</f>
        <v>84.085064274836242</v>
      </c>
      <c r="T296" s="8">
        <f>[1]节奏总纲!AF296</f>
        <v>87.029133791498197</v>
      </c>
      <c r="U296" s="8">
        <f>[1]节奏总纲!AG296</f>
        <v>92.071632371634976</v>
      </c>
      <c r="V296" s="8">
        <f>[1]节奏总纲!AH296</f>
        <v>100.97734797744103</v>
      </c>
      <c r="AN296" s="8">
        <v>293</v>
      </c>
      <c r="AO296" s="8">
        <f>[1]节奏总纲!BA296</f>
        <v>45.266686754504143</v>
      </c>
      <c r="AP296" s="8">
        <f>[1]节奏总纲!BB296</f>
        <v>46.778091554039925</v>
      </c>
      <c r="AQ296" s="8">
        <f>[1]节奏总纲!BC296</f>
        <v>48.72406008100279</v>
      </c>
      <c r="AR296" s="8">
        <f>[1]节奏总纲!BD296</f>
        <v>51.46992578262342</v>
      </c>
      <c r="AS296" s="8">
        <f>[1]节奏总纲!BE296</f>
        <v>56.187974342149921</v>
      </c>
    </row>
    <row r="297" spans="17:45" x14ac:dyDescent="0.15">
      <c r="Q297" s="8">
        <v>294</v>
      </c>
      <c r="R297" s="8">
        <f>[1]节奏总纲!AD297</f>
        <v>82.044215515890215</v>
      </c>
      <c r="S297" s="8">
        <f>[1]节奏总纲!AE297</f>
        <v>84.133936985636566</v>
      </c>
      <c r="T297" s="8">
        <f>[1]节奏总纲!AF297</f>
        <v>87.077905547159801</v>
      </c>
      <c r="U297" s="8">
        <f>[1]节奏总纲!AG297</f>
        <v>92.121743328982234</v>
      </c>
      <c r="V297" s="8">
        <f>[1]节奏总纲!AH297</f>
        <v>101.02868392415382</v>
      </c>
      <c r="AN297" s="8">
        <v>294</v>
      </c>
      <c r="AO297" s="8">
        <f>[1]节奏总纲!BA297</f>
        <v>45.289003637726246</v>
      </c>
      <c r="AP297" s="8">
        <f>[1]节奏总纲!BB297</f>
        <v>46.802171607563338</v>
      </c>
      <c r="AQ297" s="8">
        <f>[1]节奏总纲!BC297</f>
        <v>48.747988747548945</v>
      </c>
      <c r="AR297" s="8">
        <f>[1]节奏总纲!BD297</f>
        <v>51.493031550542263</v>
      </c>
      <c r="AS297" s="8">
        <f>[1]节奏总纲!BE297</f>
        <v>56.210182091533035</v>
      </c>
    </row>
    <row r="298" spans="17:45" x14ac:dyDescent="0.15">
      <c r="Q298" s="8">
        <v>295</v>
      </c>
      <c r="R298" s="8">
        <f>[1]节奏总纲!AD298</f>
        <v>82.091594979242089</v>
      </c>
      <c r="S298" s="8">
        <f>[1]节奏总纲!AE298</f>
        <v>84.182809696436891</v>
      </c>
      <c r="T298" s="8">
        <f>[1]节奏总纲!AF298</f>
        <v>87.126677302821392</v>
      </c>
      <c r="U298" s="8">
        <f>[1]节奏总纲!AG298</f>
        <v>92.171854286329506</v>
      </c>
      <c r="V298" s="8">
        <f>[1]节奏总纲!AH298</f>
        <v>101.07833899530283</v>
      </c>
      <c r="AN298" s="8">
        <v>295</v>
      </c>
      <c r="AO298" s="8">
        <f>[1]节奏总纲!BA298</f>
        <v>45.31132052094835</v>
      </c>
      <c r="AP298" s="8">
        <f>[1]节奏总纲!BB298</f>
        <v>46.826251661086744</v>
      </c>
      <c r="AQ298" s="8">
        <f>[1]节奏总纲!BC298</f>
        <v>48.771917414095107</v>
      </c>
      <c r="AR298" s="8">
        <f>[1]节奏总纲!BD298</f>
        <v>51.516137318461112</v>
      </c>
      <c r="AS298" s="8">
        <f>[1]节奏总纲!BE298</f>
        <v>56.232389840916142</v>
      </c>
    </row>
    <row r="299" spans="17:45" x14ac:dyDescent="0.15">
      <c r="Q299" s="8">
        <v>296</v>
      </c>
      <c r="R299" s="8">
        <f>[1]节奏总纲!AD299</f>
        <v>82.138974442593963</v>
      </c>
      <c r="S299" s="8">
        <f>[1]节奏总纲!AE299</f>
        <v>84.23168240723723</v>
      </c>
      <c r="T299" s="8">
        <f>[1]节奏总纲!AF299</f>
        <v>87.175449058482982</v>
      </c>
      <c r="U299" s="8">
        <f>[1]节奏总纲!AG299</f>
        <v>92.221965243676763</v>
      </c>
      <c r="V299" s="8">
        <f>[1]节奏总纲!AH299</f>
        <v>101.12799406645185</v>
      </c>
      <c r="AN299" s="8">
        <v>296</v>
      </c>
      <c r="AO299" s="8">
        <f>[1]节奏总纲!BA299</f>
        <v>45.333637404170453</v>
      </c>
      <c r="AP299" s="8">
        <f>[1]节奏总纲!BB299</f>
        <v>46.850331714610157</v>
      </c>
      <c r="AQ299" s="8">
        <f>[1]节奏总纲!BC299</f>
        <v>48.795846080641262</v>
      </c>
      <c r="AR299" s="8">
        <f>[1]节奏总纲!BD299</f>
        <v>51.539243086379955</v>
      </c>
      <c r="AS299" s="8">
        <f>[1]节奏总纲!BE299</f>
        <v>56.254597590299248</v>
      </c>
    </row>
    <row r="300" spans="17:45" x14ac:dyDescent="0.15">
      <c r="Q300" s="8">
        <v>297</v>
      </c>
      <c r="R300" s="8">
        <f>[1]节奏总纲!AD300</f>
        <v>82.186353905945836</v>
      </c>
      <c r="S300" s="8">
        <f>[1]节奏总纲!AE300</f>
        <v>84.280555118037555</v>
      </c>
      <c r="T300" s="8">
        <f>[1]节奏总纲!AF300</f>
        <v>87.224220814144587</v>
      </c>
      <c r="U300" s="8">
        <f>[1]节奏总纲!AG300</f>
        <v>92.272076201024021</v>
      </c>
      <c r="V300" s="8">
        <f>[1]节奏总纲!AH300</f>
        <v>101.17764913760085</v>
      </c>
      <c r="AN300" s="8">
        <v>297</v>
      </c>
      <c r="AO300" s="8">
        <f>[1]节奏总纲!BA300</f>
        <v>45.355954287392557</v>
      </c>
      <c r="AP300" s="8">
        <f>[1]节奏总纲!BB300</f>
        <v>46.874411768133562</v>
      </c>
      <c r="AQ300" s="8">
        <f>[1]节奏总纲!BC300</f>
        <v>48.819774747187417</v>
      </c>
      <c r="AR300" s="8">
        <f>[1]节奏总纲!BD300</f>
        <v>51.562348854298804</v>
      </c>
      <c r="AS300" s="8">
        <f>[1]节奏总纲!BE300</f>
        <v>56.276805339682355</v>
      </c>
    </row>
    <row r="301" spans="17:45" x14ac:dyDescent="0.15">
      <c r="Q301" s="8">
        <v>298</v>
      </c>
      <c r="R301" s="8">
        <f>[1]节奏总纲!AD301</f>
        <v>82.23373336929771</v>
      </c>
      <c r="S301" s="8">
        <f>[1]节奏总纲!AE301</f>
        <v>84.329427828837879</v>
      </c>
      <c r="T301" s="8">
        <f>[1]节奏总纲!AF301</f>
        <v>87.272992569806178</v>
      </c>
      <c r="U301" s="8">
        <f>[1]节奏总纲!AG301</f>
        <v>92.322187158371293</v>
      </c>
      <c r="V301" s="8">
        <f>[1]节奏总纲!AH301</f>
        <v>101.22730420874987</v>
      </c>
      <c r="AN301" s="8">
        <v>298</v>
      </c>
      <c r="AO301" s="8">
        <f>[1]节奏总纲!BA301</f>
        <v>45.37827117061466</v>
      </c>
      <c r="AP301" s="8">
        <f>[1]节奏总纲!BB301</f>
        <v>46.898491821656968</v>
      </c>
      <c r="AQ301" s="8">
        <f>[1]节奏总纲!BC301</f>
        <v>48.843703413733579</v>
      </c>
      <c r="AR301" s="8">
        <f>[1]节奏总纲!BD301</f>
        <v>51.585454622217647</v>
      </c>
      <c r="AS301" s="8">
        <f>[1]节奏总纲!BE301</f>
        <v>56.299013089065468</v>
      </c>
    </row>
    <row r="302" spans="17:45" x14ac:dyDescent="0.15">
      <c r="Q302" s="8">
        <v>299</v>
      </c>
      <c r="R302" s="8">
        <f>[1]节奏总纲!AD302</f>
        <v>82.281112832649583</v>
      </c>
      <c r="S302" s="8">
        <f>[1]节奏总纲!AE302</f>
        <v>84.378300539638204</v>
      </c>
      <c r="T302" s="8">
        <f>[1]节奏总纲!AF302</f>
        <v>87.321764325467768</v>
      </c>
      <c r="U302" s="8">
        <f>[1]节奏总纲!AG302</f>
        <v>92.37229811571855</v>
      </c>
      <c r="V302" s="8">
        <f>[1]节奏总纲!AH302</f>
        <v>101.27695927989888</v>
      </c>
      <c r="AN302" s="8">
        <v>299</v>
      </c>
      <c r="AO302" s="8">
        <f>[1]节奏总纲!BA302</f>
        <v>45.400588053836763</v>
      </c>
      <c r="AP302" s="8">
        <f>[1]节奏总纲!BB302</f>
        <v>46.922571875180381</v>
      </c>
      <c r="AQ302" s="8">
        <f>[1]节奏总纲!BC302</f>
        <v>48.867632080279733</v>
      </c>
      <c r="AR302" s="8">
        <f>[1]节奏总纲!BD302</f>
        <v>51.608560390136496</v>
      </c>
      <c r="AS302" s="8">
        <f>[1]节奏总纲!BE302</f>
        <v>56.321220838448575</v>
      </c>
    </row>
    <row r="303" spans="17:45" x14ac:dyDescent="0.15">
      <c r="Q303" s="8">
        <v>300</v>
      </c>
      <c r="R303" s="8">
        <f>[1]节奏总纲!AD303</f>
        <v>82.328492296001457</v>
      </c>
      <c r="S303" s="8">
        <f>[1]节奏总纲!AE303</f>
        <v>84.427173250438543</v>
      </c>
      <c r="T303" s="8">
        <f>[1]节奏总纲!AF303</f>
        <v>87.370536081129359</v>
      </c>
      <c r="U303" s="8">
        <f>[1]节奏总纲!AG303</f>
        <v>92.422409073065808</v>
      </c>
      <c r="V303" s="8">
        <f>[1]节奏总纲!AH303</f>
        <v>101.32661435104789</v>
      </c>
      <c r="AN303" s="8">
        <v>300</v>
      </c>
      <c r="AO303" s="8">
        <f>[1]节奏总纲!BA303</f>
        <v>45.422904937058867</v>
      </c>
      <c r="AP303" s="8">
        <f>[1]节奏总纲!BB303</f>
        <v>46.946651928703787</v>
      </c>
      <c r="AQ303" s="8">
        <f>[1]节奏总纲!BC303</f>
        <v>48.891560746825888</v>
      </c>
      <c r="AR303" s="8">
        <f>[1]节奏总纲!BD303</f>
        <v>51.631666158055346</v>
      </c>
      <c r="AS303" s="8">
        <f>[1]节奏总纲!BE303</f>
        <v>56.343428587831681</v>
      </c>
    </row>
    <row r="304" spans="17:45" x14ac:dyDescent="0.15">
      <c r="Q304" s="8">
        <v>301</v>
      </c>
      <c r="R304" s="8">
        <f>[1]节奏总纲!AD304</f>
        <v>82.375871759353331</v>
      </c>
      <c r="S304" s="8">
        <f>[1]节奏总纲!AE304</f>
        <v>84.476045961238867</v>
      </c>
      <c r="T304" s="8">
        <f>[1]节奏总纲!AF304</f>
        <v>87.419307836790964</v>
      </c>
      <c r="U304" s="8">
        <f>[1]节奏总纲!AG304</f>
        <v>92.472520030413079</v>
      </c>
      <c r="V304" s="8">
        <f>[1]节奏总纲!AH304</f>
        <v>101.3762694221969</v>
      </c>
      <c r="AN304" s="8">
        <v>301</v>
      </c>
      <c r="AO304" s="8">
        <f>[1]节奏总纲!BA304</f>
        <v>45.44522182028097</v>
      </c>
      <c r="AP304" s="8">
        <f>[1]节奏总纲!BB304</f>
        <v>46.9707319822272</v>
      </c>
      <c r="AQ304" s="8">
        <f>[1]节奏总纲!BC304</f>
        <v>48.91548941337205</v>
      </c>
      <c r="AR304" s="8">
        <f>[1]节奏总纲!BD304</f>
        <v>51.654771925974188</v>
      </c>
      <c r="AS304" s="8">
        <f>[1]节奏总纲!BE304</f>
        <v>56.365636337214795</v>
      </c>
    </row>
    <row r="305" spans="17:45" x14ac:dyDescent="0.15">
      <c r="Q305" s="8">
        <v>302</v>
      </c>
      <c r="R305" s="8">
        <f>[1]节奏总纲!AD305</f>
        <v>82.423251222705204</v>
      </c>
      <c r="S305" s="8">
        <f>[1]节奏总纲!AE305</f>
        <v>84.524918672039192</v>
      </c>
      <c r="T305" s="8">
        <f>[1]节奏总纲!AF305</f>
        <v>87.468079592452554</v>
      </c>
      <c r="U305" s="8">
        <f>[1]节奏总纲!AG305</f>
        <v>92.522630987760337</v>
      </c>
      <c r="V305" s="8">
        <f>[1]节奏总纲!AH305</f>
        <v>101.42592449334592</v>
      </c>
      <c r="AN305" s="8">
        <v>302</v>
      </c>
      <c r="AO305" s="8">
        <f>[1]节奏总纲!BA305</f>
        <v>45.467538703503074</v>
      </c>
      <c r="AP305" s="8">
        <f>[1]节奏总纲!BB305</f>
        <v>46.994812035750606</v>
      </c>
      <c r="AQ305" s="8">
        <f>[1]节奏总纲!BC305</f>
        <v>48.939418079918205</v>
      </c>
      <c r="AR305" s="8">
        <f>[1]节奏总纲!BD305</f>
        <v>51.677877693893038</v>
      </c>
      <c r="AS305" s="8">
        <f>[1]节奏总纲!BE305</f>
        <v>56.387844086597902</v>
      </c>
    </row>
    <row r="306" spans="17:45" x14ac:dyDescent="0.15">
      <c r="Q306" s="8">
        <v>303</v>
      </c>
      <c r="R306" s="8">
        <f>[1]节奏总纲!AD306</f>
        <v>82.470630686057078</v>
      </c>
      <c r="S306" s="8">
        <f>[1]节奏总纲!AE306</f>
        <v>84.573791382839516</v>
      </c>
      <c r="T306" s="8">
        <f>[1]节奏总纲!AF306</f>
        <v>87.516851348114145</v>
      </c>
      <c r="U306" s="8">
        <f>[1]节奏总纲!AG306</f>
        <v>92.572741945107595</v>
      </c>
      <c r="V306" s="8">
        <f>[1]节奏总纲!AH306</f>
        <v>101.47557956449492</v>
      </c>
      <c r="AN306" s="8">
        <v>303</v>
      </c>
      <c r="AO306" s="8">
        <f>[1]节奏总纲!BA306</f>
        <v>45.489855586725177</v>
      </c>
      <c r="AP306" s="8">
        <f>[1]节奏总纲!BB306</f>
        <v>47.016308935086101</v>
      </c>
      <c r="AQ306" s="8">
        <f>[1]节奏总纲!BC306</f>
        <v>48.96334674646436</v>
      </c>
      <c r="AR306" s="8">
        <f>[1]节奏总纲!BD306</f>
        <v>51.70098346181188</v>
      </c>
      <c r="AS306" s="8">
        <f>[1]节奏总纲!BE306</f>
        <v>56.410051835981008</v>
      </c>
    </row>
    <row r="307" spans="17:45" x14ac:dyDescent="0.15">
      <c r="Q307" s="8">
        <v>304</v>
      </c>
      <c r="R307" s="8">
        <f>[1]节奏总纲!AD307</f>
        <v>82.518010149408951</v>
      </c>
      <c r="S307" s="8">
        <f>[1]节奏总纲!AE307</f>
        <v>84.622664093639855</v>
      </c>
      <c r="T307" s="8">
        <f>[1]节奏总纲!AF307</f>
        <v>87.565623103775735</v>
      </c>
      <c r="U307" s="8">
        <f>[1]节奏总纲!AG307</f>
        <v>92.622852902454852</v>
      </c>
      <c r="V307" s="8">
        <f>[1]节奏总纲!AH307</f>
        <v>101.52523463564394</v>
      </c>
      <c r="AN307" s="8">
        <v>304</v>
      </c>
      <c r="AO307" s="8">
        <f>[1]节奏总纲!BA307</f>
        <v>45.512172469947281</v>
      </c>
      <c r="AP307" s="8">
        <f>[1]节奏总纲!BB307</f>
        <v>47.037096473408994</v>
      </c>
      <c r="AQ307" s="8">
        <f>[1]节奏总纲!BC307</f>
        <v>48.987275413010522</v>
      </c>
      <c r="AR307" s="8">
        <f>[1]节奏总纲!BD307</f>
        <v>51.72408922973073</v>
      </c>
      <c r="AS307" s="8">
        <f>[1]节奏总纲!BE307</f>
        <v>56.432259585364115</v>
      </c>
    </row>
    <row r="308" spans="17:45" x14ac:dyDescent="0.15">
      <c r="Q308" s="8">
        <v>305</v>
      </c>
      <c r="R308" s="8">
        <f>[1]节奏总纲!AD308</f>
        <v>82.565389612760825</v>
      </c>
      <c r="S308" s="8">
        <f>[1]节奏总纲!AE308</f>
        <v>84.67153680444018</v>
      </c>
      <c r="T308" s="8">
        <f>[1]节奏总纲!AF308</f>
        <v>87.61439485943734</v>
      </c>
      <c r="U308" s="8">
        <f>[1]节奏总纲!AG308</f>
        <v>92.672963859802124</v>
      </c>
      <c r="V308" s="8">
        <f>[1]节奏总纲!AH308</f>
        <v>101.57488970679294</v>
      </c>
      <c r="AN308" s="8">
        <v>305</v>
      </c>
      <c r="AO308" s="8">
        <f>[1]节奏总纲!BA308</f>
        <v>45.534489353169384</v>
      </c>
      <c r="AP308" s="8">
        <f>[1]节奏总纲!BB308</f>
        <v>47.057884011731893</v>
      </c>
      <c r="AQ308" s="8">
        <f>[1]节奏总纲!BC308</f>
        <v>49.009673493801003</v>
      </c>
      <c r="AR308" s="8">
        <f>[1]节奏总纲!BD308</f>
        <v>51.747194997649579</v>
      </c>
      <c r="AS308" s="8">
        <f>[1]节奏总纲!BE308</f>
        <v>56.454467334747228</v>
      </c>
    </row>
    <row r="309" spans="17:45" x14ac:dyDescent="0.15">
      <c r="Q309" s="8">
        <v>306</v>
      </c>
      <c r="R309" s="8">
        <f>[1]节奏总纲!AD309</f>
        <v>82.612769076112698</v>
      </c>
      <c r="S309" s="8">
        <f>[1]节奏总纲!AE309</f>
        <v>84.720409515240505</v>
      </c>
      <c r="T309" s="8">
        <f>[1]节奏总纲!AF309</f>
        <v>87.66316661509893</v>
      </c>
      <c r="U309" s="8">
        <f>[1]节奏总纲!AG309</f>
        <v>92.723074817149381</v>
      </c>
      <c r="V309" s="8">
        <f>[1]节奏总纲!AH309</f>
        <v>101.62454477794196</v>
      </c>
      <c r="AN309" s="8">
        <v>306</v>
      </c>
      <c r="AO309" s="8">
        <f>[1]节奏总纲!BA309</f>
        <v>45.556806236391488</v>
      </c>
      <c r="AP309" s="8">
        <f>[1]节奏总纲!BB309</f>
        <v>47.078671550054786</v>
      </c>
      <c r="AQ309" s="8">
        <f>[1]节奏总纲!BC309</f>
        <v>49.030333272797542</v>
      </c>
      <c r="AR309" s="8">
        <f>[1]节奏总纲!BD309</f>
        <v>51.770300765568422</v>
      </c>
      <c r="AS309" s="8">
        <f>[1]节奏总纲!BE309</f>
        <v>56.476675084130335</v>
      </c>
    </row>
    <row r="310" spans="17:45" x14ac:dyDescent="0.15">
      <c r="Q310" s="8">
        <v>307</v>
      </c>
      <c r="R310" s="8">
        <f>[1]节奏总纲!AD310</f>
        <v>82.660148539464572</v>
      </c>
      <c r="S310" s="8">
        <f>[1]节奏总纲!AE310</f>
        <v>84.769282226040829</v>
      </c>
      <c r="T310" s="8">
        <f>[1]节奏总纲!AF310</f>
        <v>87.711938370760521</v>
      </c>
      <c r="U310" s="8">
        <f>[1]节奏总纲!AG310</f>
        <v>92.773185774496639</v>
      </c>
      <c r="V310" s="8">
        <f>[1]节奏总纲!AH310</f>
        <v>101.67419984909097</v>
      </c>
      <c r="AN310" s="8">
        <v>307</v>
      </c>
      <c r="AO310" s="8">
        <f>[1]节奏总纲!BA310</f>
        <v>45.579123119613591</v>
      </c>
      <c r="AP310" s="8">
        <f>[1]节奏总纲!BB310</f>
        <v>47.099459088377678</v>
      </c>
      <c r="AQ310" s="8">
        <f>[1]节奏总纲!BC310</f>
        <v>49.05099305179408</v>
      </c>
      <c r="AR310" s="8">
        <f>[1]节奏总纲!BD310</f>
        <v>51.793406533487271</v>
      </c>
      <c r="AS310" s="8">
        <f>[1]节奏总纲!BE310</f>
        <v>56.498882833513441</v>
      </c>
    </row>
    <row r="311" spans="17:45" x14ac:dyDescent="0.15">
      <c r="Q311" s="8">
        <v>308</v>
      </c>
      <c r="R311" s="8">
        <f>[1]节奏总纲!AD311</f>
        <v>82.707528002816446</v>
      </c>
      <c r="S311" s="8">
        <f>[1]节奏总纲!AE311</f>
        <v>84.818154936841154</v>
      </c>
      <c r="T311" s="8">
        <f>[1]节奏总纲!AF311</f>
        <v>87.760710126422126</v>
      </c>
      <c r="U311" s="8">
        <f>[1]节奏总纲!AG311</f>
        <v>92.823296731843911</v>
      </c>
      <c r="V311" s="8">
        <f>[1]节奏总纲!AH311</f>
        <v>101.72385492023999</v>
      </c>
      <c r="AN311" s="8">
        <v>308</v>
      </c>
      <c r="AO311" s="8">
        <f>[1]节奏总纲!BA311</f>
        <v>45.601440002835695</v>
      </c>
      <c r="AP311" s="8">
        <f>[1]节奏总纲!BB311</f>
        <v>47.12024662670057</v>
      </c>
      <c r="AQ311" s="8">
        <f>[1]节奏总纲!BC311</f>
        <v>49.071652830790612</v>
      </c>
      <c r="AR311" s="8">
        <f>[1]节奏总纲!BD311</f>
        <v>51.816512301406114</v>
      </c>
      <c r="AS311" s="8">
        <f>[1]节奏总纲!BE311</f>
        <v>56.521090582896548</v>
      </c>
    </row>
    <row r="312" spans="17:45" x14ac:dyDescent="0.15">
      <c r="Q312" s="8">
        <v>309</v>
      </c>
      <c r="R312" s="8">
        <f>[1]节奏总纲!AD312</f>
        <v>82.754907466168319</v>
      </c>
      <c r="S312" s="8">
        <f>[1]节奏总纲!AE312</f>
        <v>84.867027647641493</v>
      </c>
      <c r="T312" s="8">
        <f>[1]节奏总纲!AF312</f>
        <v>87.809481882083716</v>
      </c>
      <c r="U312" s="8">
        <f>[1]节奏总纲!AG312</f>
        <v>92.873407689191168</v>
      </c>
      <c r="V312" s="8">
        <f>[1]节奏总纲!AH312</f>
        <v>101.77350999138899</v>
      </c>
      <c r="AN312" s="8">
        <v>309</v>
      </c>
      <c r="AO312" s="8">
        <f>[1]节奏总纲!BA312</f>
        <v>45.623756886057798</v>
      </c>
      <c r="AP312" s="8">
        <f>[1]节奏总纲!BB312</f>
        <v>47.14103416502347</v>
      </c>
      <c r="AQ312" s="8">
        <f>[1]节奏总纲!BC312</f>
        <v>49.09231260978715</v>
      </c>
      <c r="AR312" s="8">
        <f>[1]节奏总纲!BD312</f>
        <v>51.839618069324963</v>
      </c>
      <c r="AS312" s="8">
        <f>[1]节奏总纲!BE312</f>
        <v>56.543298332279662</v>
      </c>
    </row>
    <row r="313" spans="17:45" x14ac:dyDescent="0.15">
      <c r="Q313" s="8">
        <v>310</v>
      </c>
      <c r="R313" s="8">
        <f>[1]节奏总纲!AD313</f>
        <v>82.802286929520193</v>
      </c>
      <c r="S313" s="8">
        <f>[1]节奏总纲!AE313</f>
        <v>84.915900358441817</v>
      </c>
      <c r="T313" s="8">
        <f>[1]节奏总纲!AF313</f>
        <v>87.858253637745307</v>
      </c>
      <c r="U313" s="8">
        <f>[1]节奏总纲!AG313</f>
        <v>92.923518646538426</v>
      </c>
      <c r="V313" s="8">
        <f>[1]节奏总纲!AH313</f>
        <v>101.82316506253801</v>
      </c>
      <c r="AN313" s="8">
        <v>310</v>
      </c>
      <c r="AO313" s="8">
        <f>[1]节奏总纲!BA313</f>
        <v>45.646073769279901</v>
      </c>
      <c r="AP313" s="8">
        <f>[1]节奏总纲!BB313</f>
        <v>47.161821703346362</v>
      </c>
      <c r="AQ313" s="8">
        <f>[1]节奏总纲!BC313</f>
        <v>49.112972388783689</v>
      </c>
      <c r="AR313" s="8">
        <f>[1]节奏总纲!BD313</f>
        <v>51.862723837243806</v>
      </c>
      <c r="AS313" s="8">
        <f>[1]节奏总纲!BE313</f>
        <v>56.565506081662768</v>
      </c>
    </row>
    <row r="314" spans="17:45" x14ac:dyDescent="0.15">
      <c r="Q314" s="8">
        <v>311</v>
      </c>
      <c r="R314" s="8">
        <f>[1]节奏总纲!AD314</f>
        <v>82.849666392872066</v>
      </c>
      <c r="S314" s="8">
        <f>[1]节奏总纲!AE314</f>
        <v>84.964773069242142</v>
      </c>
      <c r="T314" s="8">
        <f>[1]节奏总纲!AF314</f>
        <v>87.907025393406897</v>
      </c>
      <c r="U314" s="8">
        <f>[1]节奏总纲!AG314</f>
        <v>92.973629603885698</v>
      </c>
      <c r="V314" s="8">
        <f>[1]节奏总纲!AH314</f>
        <v>101.87282013368701</v>
      </c>
      <c r="AN314" s="8">
        <v>311</v>
      </c>
      <c r="AO314" s="8">
        <f>[1]节奏总纲!BA314</f>
        <v>45.668390652502012</v>
      </c>
      <c r="AP314" s="8">
        <f>[1]节奏总纲!BB314</f>
        <v>47.182609241669255</v>
      </c>
      <c r="AQ314" s="8">
        <f>[1]节奏总纲!BC314</f>
        <v>49.133632167780227</v>
      </c>
      <c r="AR314" s="8">
        <f>[1]节奏总纲!BD314</f>
        <v>51.885829605162655</v>
      </c>
      <c r="AS314" s="8">
        <f>[1]节奏总纲!BE314</f>
        <v>56.587713831045875</v>
      </c>
    </row>
    <row r="315" spans="17:45" x14ac:dyDescent="0.15">
      <c r="Q315" s="8">
        <v>312</v>
      </c>
      <c r="R315" s="8">
        <f>[1]节奏总纲!AD315</f>
        <v>82.89704585622394</v>
      </c>
      <c r="S315" s="8">
        <f>[1]节奏总纲!AE315</f>
        <v>85.012531647506819</v>
      </c>
      <c r="T315" s="8">
        <f>[1]节奏总纲!AF315</f>
        <v>87.955797149068502</v>
      </c>
      <c r="U315" s="8">
        <f>[1]节奏总纲!AG315</f>
        <v>93.022367647203353</v>
      </c>
      <c r="V315" s="8">
        <f>[1]节奏总纲!AH315</f>
        <v>101.92247520483603</v>
      </c>
      <c r="AN315" s="8">
        <v>312</v>
      </c>
      <c r="AO315" s="8">
        <f>[1]节奏总纲!BA315</f>
        <v>45.690707535724115</v>
      </c>
      <c r="AP315" s="8">
        <f>[1]节奏总纲!BB315</f>
        <v>47.203396779992147</v>
      </c>
      <c r="AQ315" s="8">
        <f>[1]节奏总纲!BC315</f>
        <v>49.154291946776759</v>
      </c>
      <c r="AR315" s="8">
        <f>[1]节奏总纲!BD315</f>
        <v>51.908935373081505</v>
      </c>
      <c r="AS315" s="8">
        <f>[1]节奏总纲!BE315</f>
        <v>56.609921580428981</v>
      </c>
    </row>
    <row r="316" spans="17:45" x14ac:dyDescent="0.15">
      <c r="Q316" s="8">
        <v>313</v>
      </c>
      <c r="R316" s="8">
        <f>[1]节奏总纲!AD316</f>
        <v>82.944425319575814</v>
      </c>
      <c r="S316" s="8">
        <f>[1]节奏总纲!AE316</f>
        <v>85.057414064088832</v>
      </c>
      <c r="T316" s="8">
        <f>[1]节奏总纲!AF316</f>
        <v>88.004756197276762</v>
      </c>
      <c r="U316" s="8">
        <f>[1]节奏总纲!AG316</f>
        <v>93.069580693431178</v>
      </c>
      <c r="V316" s="8">
        <f>[1]节奏总纲!AH316</f>
        <v>101.97213027598504</v>
      </c>
      <c r="AN316" s="8">
        <v>313</v>
      </c>
      <c r="AO316" s="8">
        <f>[1]节奏总纲!BA316</f>
        <v>45.713024418946219</v>
      </c>
      <c r="AP316" s="8">
        <f>[1]节奏总纲!BB316</f>
        <v>47.224184318315039</v>
      </c>
      <c r="AQ316" s="8">
        <f>[1]节奏总纲!BC316</f>
        <v>49.174951725773298</v>
      </c>
      <c r="AR316" s="8">
        <f>[1]节奏总纲!BD316</f>
        <v>51.932041141000347</v>
      </c>
      <c r="AS316" s="8">
        <f>[1]节奏总纲!BE316</f>
        <v>56.632129329812095</v>
      </c>
    </row>
    <row r="317" spans="17:45" x14ac:dyDescent="0.15">
      <c r="Q317" s="8">
        <v>314</v>
      </c>
      <c r="R317" s="8">
        <f>[1]节奏总纲!AD317</f>
        <v>82.991804782927687</v>
      </c>
      <c r="S317" s="8">
        <f>[1]节奏总纲!AE317</f>
        <v>85.10229648067083</v>
      </c>
      <c r="T317" s="8">
        <f>[1]节奏总纲!AF317</f>
        <v>88.05552724748766</v>
      </c>
      <c r="U317" s="8">
        <f>[1]节奏总纲!AG317</f>
        <v>93.116793739659002</v>
      </c>
      <c r="V317" s="8">
        <f>[1]节奏总纲!AH317</f>
        <v>102.01969836502204</v>
      </c>
      <c r="AN317" s="8">
        <v>314</v>
      </c>
      <c r="AO317" s="8">
        <f>[1]节奏总纲!BA317</f>
        <v>45.735341302168322</v>
      </c>
      <c r="AP317" s="8">
        <f>[1]节奏总纲!BB317</f>
        <v>47.244971856637939</v>
      </c>
      <c r="AQ317" s="8">
        <f>[1]节奏总纲!BC317</f>
        <v>49.195611504769836</v>
      </c>
      <c r="AR317" s="8">
        <f>[1]节奏总纲!BD317</f>
        <v>51.955146908919197</v>
      </c>
      <c r="AS317" s="8">
        <f>[1]节奏总纲!BE317</f>
        <v>56.654337079195201</v>
      </c>
    </row>
    <row r="318" spans="17:45" x14ac:dyDescent="0.15">
      <c r="Q318" s="8">
        <v>315</v>
      </c>
      <c r="R318" s="8">
        <f>[1]节奏总纲!AD318</f>
        <v>83.03656019452734</v>
      </c>
      <c r="S318" s="8">
        <f>[1]节奏总纲!AE318</f>
        <v>85.147178897252829</v>
      </c>
      <c r="T318" s="8">
        <f>[1]节奏总纲!AF318</f>
        <v>88.106298297698572</v>
      </c>
      <c r="U318" s="8">
        <f>[1]节奏总纲!AG318</f>
        <v>93.164006785886826</v>
      </c>
      <c r="V318" s="8">
        <f>[1]节奏总纲!AH318</f>
        <v>102.06459660376342</v>
      </c>
      <c r="AN318" s="8">
        <v>315</v>
      </c>
      <c r="AO318" s="8">
        <f>[1]节奏总纲!BA318</f>
        <v>45.757658185390426</v>
      </c>
      <c r="AP318" s="8">
        <f>[1]节奏总纲!BB318</f>
        <v>47.265759394960831</v>
      </c>
      <c r="AQ318" s="8">
        <f>[1]节奏总纲!BC318</f>
        <v>49.216271283766375</v>
      </c>
      <c r="AR318" s="8">
        <f>[1]节奏总纲!BD318</f>
        <v>51.978252676838039</v>
      </c>
      <c r="AS318" s="8">
        <f>[1]节奏总纲!BE318</f>
        <v>56.676544828578308</v>
      </c>
    </row>
    <row r="319" spans="17:45" x14ac:dyDescent="0.15">
      <c r="Q319" s="8">
        <v>316</v>
      </c>
      <c r="R319" s="8">
        <f>[1]节奏总纲!AD319</f>
        <v>83.080766796955942</v>
      </c>
      <c r="S319" s="8">
        <f>[1]节奏总纲!AE319</f>
        <v>85.192061313834827</v>
      </c>
      <c r="T319" s="8">
        <f>[1]节奏总纲!AF319</f>
        <v>88.15706934790947</v>
      </c>
      <c r="U319" s="8">
        <f>[1]节奏总纲!AG319</f>
        <v>93.211219832114651</v>
      </c>
      <c r="V319" s="8">
        <f>[1]节奏总纲!AH319</f>
        <v>102.1094948425048</v>
      </c>
      <c r="AN319" s="8">
        <v>316</v>
      </c>
      <c r="AO319" s="8">
        <f>[1]节奏总纲!BA319</f>
        <v>45.779975068612529</v>
      </c>
      <c r="AP319" s="8">
        <f>[1]节奏总纲!BB319</f>
        <v>47.286546933283724</v>
      </c>
      <c r="AQ319" s="8">
        <f>[1]节奏总纲!BC319</f>
        <v>49.236931062762913</v>
      </c>
      <c r="AR319" s="8">
        <f>[1]节奏总纲!BD319</f>
        <v>52.001173105835825</v>
      </c>
      <c r="AS319" s="8">
        <f>[1]节奏总纲!BE319</f>
        <v>56.698752577961415</v>
      </c>
    </row>
    <row r="320" spans="17:45" x14ac:dyDescent="0.15">
      <c r="Q320" s="8">
        <v>317</v>
      </c>
      <c r="R320" s="8">
        <f>[1]节奏总纲!AD320</f>
        <v>83.124973399384558</v>
      </c>
      <c r="S320" s="8">
        <f>[1]节奏总纲!AE320</f>
        <v>85.236943730416826</v>
      </c>
      <c r="T320" s="8">
        <f>[1]节奏总纲!AF320</f>
        <v>88.207840398120382</v>
      </c>
      <c r="U320" s="8">
        <f>[1]节奏总纲!AG320</f>
        <v>93.258432878342475</v>
      </c>
      <c r="V320" s="8">
        <f>[1]节奏总纲!AH320</f>
        <v>102.15439308124618</v>
      </c>
      <c r="AN320" s="8">
        <v>317</v>
      </c>
      <c r="AO320" s="8">
        <f>[1]节奏总纲!BA320</f>
        <v>45.802291951834633</v>
      </c>
      <c r="AP320" s="8">
        <f>[1]节奏总纲!BB320</f>
        <v>47.307334471606616</v>
      </c>
      <c r="AQ320" s="8">
        <f>[1]节奏总纲!BC320</f>
        <v>49.257590841759445</v>
      </c>
      <c r="AR320" s="8">
        <f>[1]节奏总纲!BD320</f>
        <v>52.021126446631868</v>
      </c>
      <c r="AS320" s="8">
        <f>[1]节奏总纲!BE320</f>
        <v>56.720960327344528</v>
      </c>
    </row>
    <row r="321" spans="17:45" x14ac:dyDescent="0.15">
      <c r="Q321" s="8">
        <v>318</v>
      </c>
      <c r="R321" s="8">
        <f>[1]节奏总纲!AD321</f>
        <v>83.16918000181316</v>
      </c>
      <c r="S321" s="8">
        <f>[1]节奏总纲!AE321</f>
        <v>85.281826146998839</v>
      </c>
      <c r="T321" s="8">
        <f>[1]节奏总纲!AF321</f>
        <v>88.258611448331294</v>
      </c>
      <c r="U321" s="8">
        <f>[1]节奏总纲!AG321</f>
        <v>93.3056459245703</v>
      </c>
      <c r="V321" s="8">
        <f>[1]节奏总纲!AH321</f>
        <v>102.19929131998755</v>
      </c>
      <c r="AN321" s="8">
        <v>318</v>
      </c>
      <c r="AO321" s="8">
        <f>[1]节奏总纲!BA321</f>
        <v>45.824608835056736</v>
      </c>
      <c r="AP321" s="8">
        <f>[1]节奏总纲!BB321</f>
        <v>47.328122009929508</v>
      </c>
      <c r="AQ321" s="8">
        <f>[1]节奏总纲!BC321</f>
        <v>49.278250620755983</v>
      </c>
      <c r="AR321" s="8">
        <f>[1]节奏总纲!BD321</f>
        <v>52.041079787427918</v>
      </c>
      <c r="AS321" s="8">
        <f>[1]节奏总纲!BE321</f>
        <v>56.743168076727635</v>
      </c>
    </row>
    <row r="322" spans="17:45" x14ac:dyDescent="0.15">
      <c r="Q322" s="8">
        <v>319</v>
      </c>
      <c r="R322" s="8">
        <f>[1]节奏总纲!AD322</f>
        <v>83.213386604241776</v>
      </c>
      <c r="S322" s="8">
        <f>[1]节奏总纲!AE322</f>
        <v>85.326708563580837</v>
      </c>
      <c r="T322" s="8">
        <f>[1]节奏总纲!AF322</f>
        <v>88.309382498542192</v>
      </c>
      <c r="U322" s="8">
        <f>[1]节奏总纲!AG322</f>
        <v>93.352858970798124</v>
      </c>
      <c r="V322" s="8">
        <f>[1]节奏总纲!AH322</f>
        <v>102.24418955872893</v>
      </c>
      <c r="AN322" s="8">
        <v>319</v>
      </c>
      <c r="AO322" s="8">
        <f>[1]节奏总纲!BA322</f>
        <v>45.84692571827884</v>
      </c>
      <c r="AP322" s="8">
        <f>[1]节奏总纲!BB322</f>
        <v>47.348909548252408</v>
      </c>
      <c r="AQ322" s="8">
        <f>[1]节奏总纲!BC322</f>
        <v>49.298910399752522</v>
      </c>
      <c r="AR322" s="8">
        <f>[1]节奏总纲!BD322</f>
        <v>52.061033128223968</v>
      </c>
      <c r="AS322" s="8">
        <f>[1]节奏总纲!BE322</f>
        <v>56.765375826110741</v>
      </c>
    </row>
    <row r="323" spans="17:45" x14ac:dyDescent="0.15">
      <c r="Q323" s="8">
        <v>320</v>
      </c>
      <c r="R323" s="8">
        <f>[1]节奏总纲!AD323</f>
        <v>83.257593206670379</v>
      </c>
      <c r="S323" s="8">
        <f>[1]节奏总纲!AE323</f>
        <v>85.371590980162836</v>
      </c>
      <c r="T323" s="8">
        <f>[1]节奏总纲!AF323</f>
        <v>88.360153548753104</v>
      </c>
      <c r="U323" s="8">
        <f>[1]节奏总纲!AG323</f>
        <v>93.400072017025948</v>
      </c>
      <c r="V323" s="8">
        <f>[1]节奏总纲!AH323</f>
        <v>102.28908779747032</v>
      </c>
      <c r="AN323" s="8">
        <v>320</v>
      </c>
      <c r="AO323" s="8">
        <f>[1]节奏总纲!BA323</f>
        <v>45.869242601500943</v>
      </c>
      <c r="AP323" s="8">
        <f>[1]节奏总纲!BB323</f>
        <v>47.3696970865753</v>
      </c>
      <c r="AQ323" s="8">
        <f>[1]节奏总纲!BC323</f>
        <v>49.319570178749061</v>
      </c>
      <c r="AR323" s="8">
        <f>[1]节奏总纲!BD323</f>
        <v>52.080986469020011</v>
      </c>
      <c r="AS323" s="8">
        <f>[1]节奏总纲!BE323</f>
        <v>56.787583575493848</v>
      </c>
    </row>
    <row r="324" spans="17:45" x14ac:dyDescent="0.15">
      <c r="Q324" s="8">
        <v>321</v>
      </c>
      <c r="R324" s="8">
        <f>[1]节奏总纲!AD324</f>
        <v>83.301799809098995</v>
      </c>
      <c r="S324" s="8">
        <f>[1]节奏总纲!AE324</f>
        <v>85.416473396744834</v>
      </c>
      <c r="T324" s="8">
        <f>[1]节奏总纲!AF324</f>
        <v>88.410924598964016</v>
      </c>
      <c r="U324" s="8">
        <f>[1]节奏总纲!AG324</f>
        <v>93.447285063253773</v>
      </c>
      <c r="V324" s="8">
        <f>[1]节奏总纲!AH324</f>
        <v>102.3339860362117</v>
      </c>
      <c r="AN324" s="8">
        <v>321</v>
      </c>
      <c r="AO324" s="8">
        <f>[1]节奏总纲!BA324</f>
        <v>45.891559484723047</v>
      </c>
      <c r="AP324" s="8">
        <f>[1]节奏总纲!BB324</f>
        <v>47.390484624898193</v>
      </c>
      <c r="AQ324" s="8">
        <f>[1]节奏总纲!BC324</f>
        <v>49.340229957745592</v>
      </c>
      <c r="AR324" s="8">
        <f>[1]节奏总纲!BD324</f>
        <v>52.100939809816062</v>
      </c>
      <c r="AS324" s="8">
        <f>[1]节奏总纲!BE324</f>
        <v>56.809791324876961</v>
      </c>
    </row>
    <row r="325" spans="17:45" x14ac:dyDescent="0.15">
      <c r="Q325" s="8">
        <v>322</v>
      </c>
      <c r="R325" s="8">
        <f>[1]节奏总纲!AD325</f>
        <v>83.346006411527597</v>
      </c>
      <c r="S325" s="8">
        <f>[1]节奏总纲!AE325</f>
        <v>85.461355813326847</v>
      </c>
      <c r="T325" s="8">
        <f>[1]节奏总纲!AF325</f>
        <v>88.461695649174914</v>
      </c>
      <c r="U325" s="8">
        <f>[1]节奏总纲!AG325</f>
        <v>93.494498109481597</v>
      </c>
      <c r="V325" s="8">
        <f>[1]节奏总纲!AH325</f>
        <v>102.37888427495307</v>
      </c>
      <c r="AN325" s="8">
        <v>322</v>
      </c>
      <c r="AO325" s="8">
        <f>[1]节奏总纲!BA325</f>
        <v>45.91387636794515</v>
      </c>
      <c r="AP325" s="8">
        <f>[1]节奏总纲!BB325</f>
        <v>47.411272163221085</v>
      </c>
      <c r="AQ325" s="8">
        <f>[1]节奏总纲!BC325</f>
        <v>49.360889736742131</v>
      </c>
      <c r="AR325" s="8">
        <f>[1]节奏总纲!BD325</f>
        <v>52.120893150612112</v>
      </c>
      <c r="AS325" s="8">
        <f>[1]节奏总纲!BE325</f>
        <v>56.831999074260068</v>
      </c>
    </row>
    <row r="326" spans="17:45" x14ac:dyDescent="0.15">
      <c r="Q326" s="8">
        <v>323</v>
      </c>
      <c r="R326" s="8">
        <f>[1]节奏总纲!AD326</f>
        <v>83.390213013956213</v>
      </c>
      <c r="S326" s="8">
        <f>[1]节奏总纲!AE326</f>
        <v>85.506238229908845</v>
      </c>
      <c r="T326" s="8">
        <f>[1]节奏总纲!AF326</f>
        <v>88.512466699385826</v>
      </c>
      <c r="U326" s="8">
        <f>[1]节奏总纲!AG326</f>
        <v>93.541711155709422</v>
      </c>
      <c r="V326" s="8">
        <f>[1]节奏总纲!AH326</f>
        <v>102.42378251369445</v>
      </c>
      <c r="AN326" s="8">
        <v>323</v>
      </c>
      <c r="AO326" s="8">
        <f>[1]节奏总纲!BA326</f>
        <v>45.936193251167253</v>
      </c>
      <c r="AP326" s="8">
        <f>[1]节奏总纲!BB326</f>
        <v>47.432059701543984</v>
      </c>
      <c r="AQ326" s="8">
        <f>[1]节奏总纲!BC326</f>
        <v>49.381549515738669</v>
      </c>
      <c r="AR326" s="8">
        <f>[1]节奏总纲!BD326</f>
        <v>52.140846491408155</v>
      </c>
      <c r="AS326" s="8">
        <f>[1]节奏总纲!BE326</f>
        <v>56.854206823643175</v>
      </c>
    </row>
    <row r="327" spans="17:45" x14ac:dyDescent="0.15">
      <c r="Q327" s="8">
        <v>324</v>
      </c>
      <c r="R327" s="8">
        <f>[1]节奏总纲!AD327</f>
        <v>83.434419616384815</v>
      </c>
      <c r="S327" s="8">
        <f>[1]节奏总纲!AE327</f>
        <v>85.551120646490844</v>
      </c>
      <c r="T327" s="8">
        <f>[1]节奏总纲!AF327</f>
        <v>88.563237749596723</v>
      </c>
      <c r="U327" s="8">
        <f>[1]节奏总纲!AG327</f>
        <v>93.588924201937246</v>
      </c>
      <c r="V327" s="8">
        <f>[1]节奏总纲!AH327</f>
        <v>102.46868075243583</v>
      </c>
      <c r="AN327" s="8">
        <v>324</v>
      </c>
      <c r="AO327" s="8">
        <f>[1]节奏总纲!BA327</f>
        <v>45.958510134389357</v>
      </c>
      <c r="AP327" s="8">
        <f>[1]节奏总纲!BB327</f>
        <v>47.452847239866877</v>
      </c>
      <c r="AQ327" s="8">
        <f>[1]节奏总纲!BC327</f>
        <v>49.402209294735208</v>
      </c>
      <c r="AR327" s="8">
        <f>[1]节奏总纲!BD327</f>
        <v>52.160799832204205</v>
      </c>
      <c r="AS327" s="8">
        <f>[1]节奏总纲!BE327</f>
        <v>56.876414573026281</v>
      </c>
    </row>
    <row r="328" spans="17:45" x14ac:dyDescent="0.15">
      <c r="Q328" s="8">
        <v>325</v>
      </c>
      <c r="R328" s="8">
        <f>[1]节奏总纲!AD328</f>
        <v>83.478626218813432</v>
      </c>
      <c r="S328" s="8">
        <f>[1]节奏总纲!AE328</f>
        <v>85.596003063072843</v>
      </c>
      <c r="T328" s="8">
        <f>[1]节奏总纲!AF328</f>
        <v>88.614008799807635</v>
      </c>
      <c r="U328" s="8">
        <f>[1]节奏总纲!AG328</f>
        <v>93.63613724816507</v>
      </c>
      <c r="V328" s="8">
        <f>[1]节奏总纲!AH328</f>
        <v>102.51357899117721</v>
      </c>
      <c r="AN328" s="8">
        <v>325</v>
      </c>
      <c r="AO328" s="8">
        <f>[1]节奏总纲!BA328</f>
        <v>45.98082701761146</v>
      </c>
      <c r="AP328" s="8">
        <f>[1]节奏总纲!BB328</f>
        <v>47.473634778189769</v>
      </c>
      <c r="AQ328" s="8">
        <f>[1]节奏总纲!BC328</f>
        <v>49.422869073731739</v>
      </c>
      <c r="AR328" s="8">
        <f>[1]节奏总纲!BD328</f>
        <v>52.180753173000248</v>
      </c>
      <c r="AS328" s="8">
        <f>[1]节奏总纲!BE328</f>
        <v>56.898622322409395</v>
      </c>
    </row>
    <row r="329" spans="17:45" x14ac:dyDescent="0.15">
      <c r="Q329" s="8">
        <v>326</v>
      </c>
      <c r="R329" s="8">
        <f>[1]节奏总纲!AD329</f>
        <v>83.522832821242034</v>
      </c>
      <c r="S329" s="8">
        <f>[1]节奏总纲!AE329</f>
        <v>85.640885479654855</v>
      </c>
      <c r="T329" s="8">
        <f>[1]节奏总纲!AF329</f>
        <v>88.664779850018547</v>
      </c>
      <c r="U329" s="8">
        <f>[1]节奏总纲!AG329</f>
        <v>93.683350294392895</v>
      </c>
      <c r="V329" s="8">
        <f>[1]节奏总纲!AH329</f>
        <v>102.55847722991859</v>
      </c>
      <c r="AN329" s="8">
        <v>326</v>
      </c>
      <c r="AO329" s="8">
        <f>[1]节奏总纲!BA329</f>
        <v>46.002713830586146</v>
      </c>
      <c r="AP329" s="8">
        <f>[1]节奏总纲!BB329</f>
        <v>47.494422316512662</v>
      </c>
      <c r="AQ329" s="8">
        <f>[1]节奏总纲!BC329</f>
        <v>49.443528852728278</v>
      </c>
      <c r="AR329" s="8">
        <f>[1]节奏总纲!BD329</f>
        <v>52.200706513796298</v>
      </c>
      <c r="AS329" s="8">
        <f>[1]节奏总纲!BE329</f>
        <v>56.920830071792501</v>
      </c>
    </row>
    <row r="330" spans="17:45" x14ac:dyDescent="0.15">
      <c r="Q330" s="8">
        <v>327</v>
      </c>
      <c r="R330" s="8">
        <f>[1]节奏总纲!AD330</f>
        <v>83.56703942367065</v>
      </c>
      <c r="S330" s="8">
        <f>[1]节奏总纲!AE330</f>
        <v>85.685767896236854</v>
      </c>
      <c r="T330" s="8">
        <f>[1]节奏总纲!AF330</f>
        <v>88.715550900229445</v>
      </c>
      <c r="U330" s="8">
        <f>[1]节奏总纲!AG330</f>
        <v>93.730563340620719</v>
      </c>
      <c r="V330" s="8">
        <f>[1]节奏总纲!AH330</f>
        <v>102.60337546865996</v>
      </c>
      <c r="AN330" s="8">
        <v>327</v>
      </c>
      <c r="AO330" s="8">
        <f>[1]节奏总纲!BA330</f>
        <v>46.021977873404879</v>
      </c>
      <c r="AP330" s="8">
        <f>[1]节奏总纲!BB330</f>
        <v>47.515209854835554</v>
      </c>
      <c r="AQ330" s="8">
        <f>[1]节奏总纲!BC330</f>
        <v>49.464188631724817</v>
      </c>
      <c r="AR330" s="8">
        <f>[1]节奏总纲!BD330</f>
        <v>52.220659854592348</v>
      </c>
      <c r="AS330" s="8">
        <f>[1]节奏总纲!BE330</f>
        <v>56.943037821175608</v>
      </c>
    </row>
    <row r="331" spans="17:45" x14ac:dyDescent="0.15">
      <c r="Q331" s="8">
        <v>328</v>
      </c>
      <c r="R331" s="8">
        <f>[1]节奏总纲!AD331</f>
        <v>83.611246026099252</v>
      </c>
      <c r="S331" s="8">
        <f>[1]节奏总纲!AE331</f>
        <v>85.730650312818852</v>
      </c>
      <c r="T331" s="8">
        <f>[1]节奏总纲!AF331</f>
        <v>88.766321950440357</v>
      </c>
      <c r="U331" s="8">
        <f>[1]节奏总纲!AG331</f>
        <v>93.777776386848544</v>
      </c>
      <c r="V331" s="8">
        <f>[1]节奏总纲!AH331</f>
        <v>102.64827370740134</v>
      </c>
      <c r="AN331" s="8">
        <v>328</v>
      </c>
      <c r="AO331" s="8">
        <f>[1]节奏总纲!BA331</f>
        <v>46.041241916223605</v>
      </c>
      <c r="AP331" s="8">
        <f>[1]节奏总纲!BB331</f>
        <v>47.535997393158453</v>
      </c>
      <c r="AQ331" s="8">
        <f>[1]节奏总纲!BC331</f>
        <v>49.484848410721355</v>
      </c>
      <c r="AR331" s="8">
        <f>[1]节奏总纲!BD331</f>
        <v>52.240613195388391</v>
      </c>
      <c r="AS331" s="8">
        <f>[1]节奏总纲!BE331</f>
        <v>56.965245570558714</v>
      </c>
    </row>
    <row r="332" spans="17:45" x14ac:dyDescent="0.15">
      <c r="Q332" s="8">
        <v>329</v>
      </c>
      <c r="R332" s="8">
        <f>[1]节奏总纲!AD332</f>
        <v>83.655452628527868</v>
      </c>
      <c r="S332" s="8">
        <f>[1]节奏总纲!AE332</f>
        <v>85.775532729400851</v>
      </c>
      <c r="T332" s="8">
        <f>[1]节奏总纲!AF332</f>
        <v>88.817093000651269</v>
      </c>
      <c r="U332" s="8">
        <f>[1]节奏总纲!AG332</f>
        <v>93.824989433076368</v>
      </c>
      <c r="V332" s="8">
        <f>[1]节奏总纲!AH332</f>
        <v>102.69317194614273</v>
      </c>
      <c r="AN332" s="8">
        <v>329</v>
      </c>
      <c r="AO332" s="8">
        <f>[1]节奏总纲!BA332</f>
        <v>46.060505959042331</v>
      </c>
      <c r="AP332" s="8">
        <f>[1]节奏总纲!BB332</f>
        <v>47.556784931481346</v>
      </c>
      <c r="AQ332" s="8">
        <f>[1]节奏总纲!BC332</f>
        <v>49.505508189717887</v>
      </c>
      <c r="AR332" s="8">
        <f>[1]节奏总纲!BD332</f>
        <v>52.260566536184442</v>
      </c>
      <c r="AS332" s="8">
        <f>[1]节奏总纲!BE332</f>
        <v>56.987453319941828</v>
      </c>
    </row>
    <row r="333" spans="17:45" x14ac:dyDescent="0.15">
      <c r="Q333" s="8">
        <v>330</v>
      </c>
      <c r="R333" s="8">
        <f>[1]节奏总纲!AD333</f>
        <v>83.69965923095647</v>
      </c>
      <c r="S333" s="8">
        <f>[1]节奏总纲!AE333</f>
        <v>85.820415145982849</v>
      </c>
      <c r="T333" s="8">
        <f>[1]节奏总纲!AF333</f>
        <v>88.867864050862167</v>
      </c>
      <c r="U333" s="8">
        <f>[1]节奏总纲!AG333</f>
        <v>93.872202479304192</v>
      </c>
      <c r="V333" s="8">
        <f>[1]节奏总纲!AH333</f>
        <v>102.73807018488411</v>
      </c>
      <c r="AN333" s="8">
        <v>330</v>
      </c>
      <c r="AO333" s="8">
        <f>[1]节奏总纲!BA333</f>
        <v>46.079770001861057</v>
      </c>
      <c r="AP333" s="8">
        <f>[1]节奏总纲!BB333</f>
        <v>47.577572469804238</v>
      </c>
      <c r="AQ333" s="8">
        <f>[1]节奏总纲!BC333</f>
        <v>49.526167968714425</v>
      </c>
      <c r="AR333" s="8">
        <f>[1]节奏总纲!BD333</f>
        <v>52.280519876980485</v>
      </c>
      <c r="AS333" s="8">
        <f>[1]节奏总纲!BE333</f>
        <v>57.008345591208631</v>
      </c>
    </row>
    <row r="334" spans="17:45" x14ac:dyDescent="0.15">
      <c r="Q334" s="8">
        <v>331</v>
      </c>
      <c r="R334" s="8">
        <f>[1]节奏总纲!AD334</f>
        <v>83.743865833385087</v>
      </c>
      <c r="S334" s="8">
        <f>[1]节奏总纲!AE334</f>
        <v>85.865297562564862</v>
      </c>
      <c r="T334" s="8">
        <f>[1]节奏总纲!AF334</f>
        <v>88.918635101073079</v>
      </c>
      <c r="U334" s="8">
        <f>[1]节奏总纲!AG334</f>
        <v>93.919415525532017</v>
      </c>
      <c r="V334" s="8">
        <f>[1]节奏总纲!AH334</f>
        <v>102.78296842362549</v>
      </c>
      <c r="AN334" s="8">
        <v>331</v>
      </c>
      <c r="AO334" s="8">
        <f>[1]节奏总纲!BA334</f>
        <v>46.099034044679783</v>
      </c>
      <c r="AP334" s="8">
        <f>[1]节奏总纲!BB334</f>
        <v>47.598360008127131</v>
      </c>
      <c r="AQ334" s="8">
        <f>[1]节奏总纲!BC334</f>
        <v>49.546827747710964</v>
      </c>
      <c r="AR334" s="8">
        <f>[1]节奏总纲!BD334</f>
        <v>52.300473217776535</v>
      </c>
      <c r="AS334" s="8">
        <f>[1]节奏总纲!BE334</f>
        <v>57.027529471561998</v>
      </c>
    </row>
    <row r="335" spans="17:45" x14ac:dyDescent="0.15">
      <c r="Q335" s="8">
        <v>332</v>
      </c>
      <c r="R335" s="8">
        <f>[1]节奏总纲!AD335</f>
        <v>83.788072435813689</v>
      </c>
      <c r="S335" s="8">
        <f>[1]节奏总纲!AE335</f>
        <v>85.910179979146861</v>
      </c>
      <c r="T335" s="8">
        <f>[1]节奏总纲!AF335</f>
        <v>88.969406151283977</v>
      </c>
      <c r="U335" s="8">
        <f>[1]节奏总纲!AG335</f>
        <v>93.966628571759841</v>
      </c>
      <c r="V335" s="8">
        <f>[1]节奏总纲!AH335</f>
        <v>102.82786666236686</v>
      </c>
      <c r="AN335" s="8">
        <v>332</v>
      </c>
      <c r="AO335" s="8">
        <f>[1]节奏总纲!BA335</f>
        <v>46.118298087498509</v>
      </c>
      <c r="AP335" s="8">
        <f>[1]节奏总纲!BB335</f>
        <v>47.619147546450023</v>
      </c>
      <c r="AQ335" s="8">
        <f>[1]节奏总纲!BC335</f>
        <v>49.567487526707502</v>
      </c>
      <c r="AR335" s="8">
        <f>[1]节奏总纲!BD335</f>
        <v>52.320426558572585</v>
      </c>
      <c r="AS335" s="8">
        <f>[1]节奏总纲!BE335</f>
        <v>57.046713351915365</v>
      </c>
    </row>
    <row r="336" spans="17:45" x14ac:dyDescent="0.15">
      <c r="Q336" s="8">
        <v>333</v>
      </c>
      <c r="R336" s="8">
        <f>[1]节奏总纲!AD336</f>
        <v>83.832279038242305</v>
      </c>
      <c r="S336" s="8">
        <f>[1]节奏总纲!AE336</f>
        <v>85.955062395728859</v>
      </c>
      <c r="T336" s="8">
        <f>[1]节奏总纲!AF336</f>
        <v>89.018466905731287</v>
      </c>
      <c r="U336" s="8">
        <f>[1]节奏总纲!AG336</f>
        <v>94.012923283729691</v>
      </c>
      <c r="V336" s="8">
        <f>[1]节奏总纲!AH336</f>
        <v>102.87276490110824</v>
      </c>
      <c r="AN336" s="8">
        <v>333</v>
      </c>
      <c r="AO336" s="8">
        <f>[1]节奏总纲!BA336</f>
        <v>46.137562130317242</v>
      </c>
      <c r="AP336" s="8">
        <f>[1]节奏总纲!BB336</f>
        <v>47.639935084772922</v>
      </c>
      <c r="AQ336" s="8">
        <f>[1]节奏总纲!BC336</f>
        <v>49.588147305704041</v>
      </c>
      <c r="AR336" s="8">
        <f>[1]节奏总纲!BD336</f>
        <v>52.340379899368628</v>
      </c>
      <c r="AS336" s="8">
        <f>[1]节奏总纲!BE336</f>
        <v>57.065897232268732</v>
      </c>
    </row>
    <row r="337" spans="17:45" x14ac:dyDescent="0.15">
      <c r="Q337" s="8">
        <v>334</v>
      </c>
      <c r="R337" s="8">
        <f>[1]节奏总纲!AD337</f>
        <v>83.876485640670907</v>
      </c>
      <c r="S337" s="8">
        <f>[1]节奏总纲!AE337</f>
        <v>85.999944812310858</v>
      </c>
      <c r="T337" s="8">
        <f>[1]节奏总纲!AF337</f>
        <v>89.064934410075779</v>
      </c>
      <c r="U337" s="8">
        <f>[1]节奏总纲!AG337</f>
        <v>94.057003939090123</v>
      </c>
      <c r="V337" s="8">
        <f>[1]节奏总纲!AH337</f>
        <v>102.91766313984962</v>
      </c>
      <c r="AN337" s="8">
        <v>334</v>
      </c>
      <c r="AO337" s="8">
        <f>[1]节奏总纲!BA337</f>
        <v>46.156826173135968</v>
      </c>
      <c r="AP337" s="8">
        <f>[1]节奏总纲!BB337</f>
        <v>47.660722623095815</v>
      </c>
      <c r="AQ337" s="8">
        <f>[1]节奏总纲!BC337</f>
        <v>49.608807084700572</v>
      </c>
      <c r="AR337" s="8">
        <f>[1]节奏总纲!BD337</f>
        <v>52.360333240164678</v>
      </c>
      <c r="AS337" s="8">
        <f>[1]节奏总纲!BE337</f>
        <v>57.085081112622099</v>
      </c>
    </row>
    <row r="338" spans="17:45" x14ac:dyDescent="0.15">
      <c r="Q338" s="8">
        <v>335</v>
      </c>
      <c r="R338" s="8">
        <f>[1]节奏总纲!AD338</f>
        <v>83.920692243099523</v>
      </c>
      <c r="S338" s="8">
        <f>[1]节奏总纲!AE338</f>
        <v>86.041129946887025</v>
      </c>
      <c r="T338" s="8">
        <f>[1]节奏总纲!AF338</f>
        <v>89.11140191442027</v>
      </c>
      <c r="U338" s="8">
        <f>[1]节奏总纲!AG338</f>
        <v>94.101084594450555</v>
      </c>
      <c r="V338" s="8">
        <f>[1]节奏总纲!AH338</f>
        <v>102.962561378591</v>
      </c>
      <c r="AN338" s="8">
        <v>335</v>
      </c>
      <c r="AO338" s="8">
        <f>[1]节奏总纲!BA338</f>
        <v>46.176090215954694</v>
      </c>
      <c r="AP338" s="8">
        <f>[1]节奏总纲!BB338</f>
        <v>47.681510161418707</v>
      </c>
      <c r="AQ338" s="8">
        <f>[1]节奏总纲!BC338</f>
        <v>49.629466863697111</v>
      </c>
      <c r="AR338" s="8">
        <f>[1]节奏总纲!BD338</f>
        <v>52.380286580960728</v>
      </c>
      <c r="AS338" s="8">
        <f>[1]节奏总纲!BE338</f>
        <v>57.104264992975466</v>
      </c>
    </row>
    <row r="339" spans="17:45" x14ac:dyDescent="0.15">
      <c r="Q339" s="8">
        <v>336</v>
      </c>
      <c r="R339" s="8">
        <f>[1]节奏总纲!AD339</f>
        <v>83.964898845528126</v>
      </c>
      <c r="S339" s="8">
        <f>[1]节奏总纲!AE339</f>
        <v>86.082310529666103</v>
      </c>
      <c r="T339" s="8">
        <f>[1]节奏总纲!AF339</f>
        <v>89.157869418764761</v>
      </c>
      <c r="U339" s="8">
        <f>[1]节奏总纲!AG339</f>
        <v>94.145165249810972</v>
      </c>
      <c r="V339" s="8">
        <f>[1]节奏总纲!AH339</f>
        <v>103.00673656424885</v>
      </c>
      <c r="AN339" s="8">
        <v>336</v>
      </c>
      <c r="AO339" s="8">
        <f>[1]节奏总纲!BA339</f>
        <v>46.19535425877342</v>
      </c>
      <c r="AP339" s="8">
        <f>[1]节奏总纲!BB339</f>
        <v>47.7022976997416</v>
      </c>
      <c r="AQ339" s="8">
        <f>[1]节奏总纲!BC339</f>
        <v>49.65012664269365</v>
      </c>
      <c r="AR339" s="8">
        <f>[1]节奏总纲!BD339</f>
        <v>52.400239921756771</v>
      </c>
      <c r="AS339" s="8">
        <f>[1]节奏总纲!BE339</f>
        <v>57.123448873328833</v>
      </c>
    </row>
    <row r="340" spans="17:45" x14ac:dyDescent="0.15">
      <c r="Q340" s="8">
        <v>337</v>
      </c>
      <c r="R340" s="8">
        <f>[1]节奏总纲!AD340</f>
        <v>84.008495683346354</v>
      </c>
      <c r="S340" s="8">
        <f>[1]节奏总纲!AE340</f>
        <v>86.12349111244518</v>
      </c>
      <c r="T340" s="8">
        <f>[1]节奏总纲!AF340</f>
        <v>89.204336923109267</v>
      </c>
      <c r="U340" s="8">
        <f>[1]节奏总纲!AG340</f>
        <v>94.189245905171404</v>
      </c>
      <c r="V340" s="8">
        <f>[1]节奏总纲!AH340</f>
        <v>103.04728286259964</v>
      </c>
      <c r="AN340" s="8">
        <v>337</v>
      </c>
      <c r="AO340" s="8">
        <f>[1]节奏总纲!BA340</f>
        <v>46.214618301592147</v>
      </c>
      <c r="AP340" s="8">
        <f>[1]节奏总纲!BB340</f>
        <v>47.723085238064499</v>
      </c>
      <c r="AQ340" s="8">
        <f>[1]节奏总纲!BC340</f>
        <v>49.670786421690188</v>
      </c>
      <c r="AR340" s="8">
        <f>[1]节奏总纲!BD340</f>
        <v>52.420193262552822</v>
      </c>
      <c r="AS340" s="8">
        <f>[1]节奏总纲!BE340</f>
        <v>57.1426327536822</v>
      </c>
    </row>
    <row r="341" spans="17:45" x14ac:dyDescent="0.15">
      <c r="Q341" s="8">
        <v>338</v>
      </c>
      <c r="R341" s="8">
        <f>[1]节奏总纲!AD341</f>
        <v>84.049741901856009</v>
      </c>
      <c r="S341" s="8">
        <f>[1]节奏总纲!AE341</f>
        <v>86.164671695224243</v>
      </c>
      <c r="T341" s="8">
        <f>[1]节奏总纲!AF341</f>
        <v>89.250804427453758</v>
      </c>
      <c r="U341" s="8">
        <f>[1]节奏总纲!AG341</f>
        <v>94.233326560531836</v>
      </c>
      <c r="V341" s="8">
        <f>[1]节奏总纲!AH341</f>
        <v>103.08782916095045</v>
      </c>
      <c r="AN341" s="8">
        <v>338</v>
      </c>
      <c r="AO341" s="8">
        <f>[1]节奏总纲!BA341</f>
        <v>46.23388234441088</v>
      </c>
      <c r="AP341" s="8">
        <f>[1]节奏总纲!BB341</f>
        <v>47.743872776387391</v>
      </c>
      <c r="AQ341" s="8">
        <f>[1]节奏总纲!BC341</f>
        <v>49.69144620068672</v>
      </c>
      <c r="AR341" s="8">
        <f>[1]节奏总纲!BD341</f>
        <v>52.440146603348865</v>
      </c>
      <c r="AS341" s="8">
        <f>[1]节奏总纲!BE341</f>
        <v>57.161816634035567</v>
      </c>
    </row>
    <row r="342" spans="17:45" x14ac:dyDescent="0.15">
      <c r="Q342" s="8">
        <v>339</v>
      </c>
      <c r="R342" s="8">
        <f>[1]节奏总纲!AD342</f>
        <v>84.090988120365651</v>
      </c>
      <c r="S342" s="8">
        <f>[1]节奏总纲!AE342</f>
        <v>86.20585227800332</v>
      </c>
      <c r="T342" s="8">
        <f>[1]节奏总纲!AF342</f>
        <v>89.29727193179825</v>
      </c>
      <c r="U342" s="8">
        <f>[1]节奏总纲!AG342</f>
        <v>94.277407215892268</v>
      </c>
      <c r="V342" s="8">
        <f>[1]节奏总纲!AH342</f>
        <v>103.12837545930124</v>
      </c>
      <c r="AN342" s="8">
        <v>339</v>
      </c>
      <c r="AO342" s="8">
        <f>[1]节奏总纲!BA342</f>
        <v>46.253146387229606</v>
      </c>
      <c r="AP342" s="8">
        <f>[1]节奏总纲!BB342</f>
        <v>47.764660314710284</v>
      </c>
      <c r="AQ342" s="8">
        <f>[1]节奏总纲!BC342</f>
        <v>49.712105979683258</v>
      </c>
      <c r="AR342" s="8">
        <f>[1]节奏总纲!BD342</f>
        <v>52.460099944144915</v>
      </c>
      <c r="AS342" s="8">
        <f>[1]节奏总纲!BE342</f>
        <v>57.181000514388934</v>
      </c>
    </row>
    <row r="343" spans="17:45" x14ac:dyDescent="0.15">
      <c r="Q343" s="8">
        <v>340</v>
      </c>
      <c r="R343" s="8">
        <f>[1]节奏总纲!AD343</f>
        <v>84.132234338875293</v>
      </c>
      <c r="S343" s="8">
        <f>[1]节奏总纲!AE343</f>
        <v>86.247032860782397</v>
      </c>
      <c r="T343" s="8">
        <f>[1]节奏总纲!AF343</f>
        <v>89.343739436142741</v>
      </c>
      <c r="U343" s="8">
        <f>[1]节奏总纲!AG343</f>
        <v>94.3214878712527</v>
      </c>
      <c r="V343" s="8">
        <f>[1]节奏总纲!AH343</f>
        <v>103.16892175765203</v>
      </c>
      <c r="AN343" s="8">
        <v>340</v>
      </c>
      <c r="AO343" s="8">
        <f>[1]节奏总纲!BA343</f>
        <v>46.272410430048332</v>
      </c>
      <c r="AP343" s="8">
        <f>[1]节奏总纲!BB343</f>
        <v>47.785447853033176</v>
      </c>
      <c r="AQ343" s="8">
        <f>[1]节奏总纲!BC343</f>
        <v>49.732765758679797</v>
      </c>
      <c r="AR343" s="8">
        <f>[1]节奏总纲!BD343</f>
        <v>52.480053284940965</v>
      </c>
      <c r="AS343" s="8">
        <f>[1]节奏总纲!BE343</f>
        <v>57.200184394742301</v>
      </c>
    </row>
    <row r="344" spans="17:45" x14ac:dyDescent="0.15">
      <c r="Q344" s="8">
        <v>341</v>
      </c>
      <c r="R344" s="8">
        <f>[1]节奏总纲!AD344</f>
        <v>84.173480557384934</v>
      </c>
      <c r="S344" s="8">
        <f>[1]节奏总纲!AE344</f>
        <v>86.288213443561474</v>
      </c>
      <c r="T344" s="8">
        <f>[1]节奏总纲!AF344</f>
        <v>89.390206940487232</v>
      </c>
      <c r="U344" s="8">
        <f>[1]节奏总纲!AG344</f>
        <v>94.365568526613131</v>
      </c>
      <c r="V344" s="8">
        <f>[1]节奏总纲!AH344</f>
        <v>103.20946805600283</v>
      </c>
      <c r="AN344" s="8">
        <v>341</v>
      </c>
      <c r="AO344" s="8">
        <f>[1]节奏总纲!BA344</f>
        <v>46.291674472867058</v>
      </c>
      <c r="AP344" s="8">
        <f>[1]节奏总纲!BB344</f>
        <v>47.806235391356068</v>
      </c>
      <c r="AQ344" s="8">
        <f>[1]节奏总纲!BC344</f>
        <v>49.753425537676335</v>
      </c>
      <c r="AR344" s="8">
        <f>[1]节奏总纲!BD344</f>
        <v>52.500006625737008</v>
      </c>
      <c r="AS344" s="8">
        <f>[1]节奏总纲!BE344</f>
        <v>57.219368275095675</v>
      </c>
    </row>
    <row r="345" spans="17:45" x14ac:dyDescent="0.15">
      <c r="Q345" s="8">
        <v>342</v>
      </c>
      <c r="R345" s="8">
        <f>[1]节奏总纲!AD345</f>
        <v>84.214726775894576</v>
      </c>
      <c r="S345" s="8">
        <f>[1]节奏总纲!AE345</f>
        <v>86.329394026340537</v>
      </c>
      <c r="T345" s="8">
        <f>[1]节奏总纲!AF345</f>
        <v>89.436674444831723</v>
      </c>
      <c r="U345" s="8">
        <f>[1]节奏总纲!AG345</f>
        <v>94.409649181973549</v>
      </c>
      <c r="V345" s="8">
        <f>[1]节奏总纲!AH345</f>
        <v>103.25001435435362</v>
      </c>
      <c r="AN345" s="8">
        <v>342</v>
      </c>
      <c r="AO345" s="8">
        <f>[1]节奏总纲!BA345</f>
        <v>46.310938515685784</v>
      </c>
      <c r="AP345" s="8">
        <f>[1]节奏总纲!BB345</f>
        <v>47.827022929678968</v>
      </c>
      <c r="AQ345" s="8">
        <f>[1]节奏总纲!BC345</f>
        <v>49.774085316672867</v>
      </c>
      <c r="AR345" s="8">
        <f>[1]节奏总纲!BD345</f>
        <v>52.519959966533058</v>
      </c>
      <c r="AS345" s="8">
        <f>[1]节奏总纲!BE345</f>
        <v>57.238552155449042</v>
      </c>
    </row>
    <row r="346" spans="17:45" x14ac:dyDescent="0.15">
      <c r="Q346" s="8">
        <v>343</v>
      </c>
      <c r="R346" s="8">
        <f>[1]节奏总纲!AD346</f>
        <v>84.255972994404218</v>
      </c>
      <c r="S346" s="8">
        <f>[1]节奏总纲!AE346</f>
        <v>86.370574609119615</v>
      </c>
      <c r="T346" s="8">
        <f>[1]节奏总纲!AF346</f>
        <v>89.483141949176215</v>
      </c>
      <c r="U346" s="8">
        <f>[1]节奏总纲!AG346</f>
        <v>94.453729837333981</v>
      </c>
      <c r="V346" s="8">
        <f>[1]节奏总纲!AH346</f>
        <v>103.29056065270443</v>
      </c>
      <c r="AN346" s="8">
        <v>343</v>
      </c>
      <c r="AO346" s="8">
        <f>[1]节奏总纲!BA346</f>
        <v>46.330202558504517</v>
      </c>
      <c r="AP346" s="8">
        <f>[1]节奏总纲!BB346</f>
        <v>47.84781046800186</v>
      </c>
      <c r="AQ346" s="8">
        <f>[1]节奏总纲!BC346</f>
        <v>49.794745095669406</v>
      </c>
      <c r="AR346" s="8">
        <f>[1]节奏总纲!BD346</f>
        <v>52.539913307329101</v>
      </c>
      <c r="AS346" s="8">
        <f>[1]节奏总纲!BE346</f>
        <v>57.257736035802409</v>
      </c>
    </row>
    <row r="347" spans="17:45" x14ac:dyDescent="0.15">
      <c r="Q347" s="8">
        <v>344</v>
      </c>
      <c r="R347" s="8">
        <f>[1]节奏总纲!AD347</f>
        <v>84.297219212913859</v>
      </c>
      <c r="S347" s="8">
        <f>[1]节奏总纲!AE347</f>
        <v>86.411755191898692</v>
      </c>
      <c r="T347" s="8">
        <f>[1]节奏总纲!AF347</f>
        <v>89.529609453520706</v>
      </c>
      <c r="U347" s="8">
        <f>[1]节奏总纲!AG347</f>
        <v>94.497810492694413</v>
      </c>
      <c r="V347" s="8">
        <f>[1]节奏总纲!AH347</f>
        <v>103.33110695105522</v>
      </c>
      <c r="AN347" s="8">
        <v>344</v>
      </c>
      <c r="AO347" s="8">
        <f>[1]节奏总纲!BA347</f>
        <v>46.349466601323243</v>
      </c>
      <c r="AP347" s="8">
        <f>[1]节奏总纲!BB347</f>
        <v>47.868598006324753</v>
      </c>
      <c r="AQ347" s="8">
        <f>[1]节奏总纲!BC347</f>
        <v>49.815404874665944</v>
      </c>
      <c r="AR347" s="8">
        <f>[1]节奏总纲!BD347</f>
        <v>52.559866648125151</v>
      </c>
      <c r="AS347" s="8">
        <f>[1]节奏总纲!BE347</f>
        <v>57.276919916155776</v>
      </c>
    </row>
    <row r="348" spans="17:45" x14ac:dyDescent="0.15">
      <c r="Q348" s="8">
        <v>345</v>
      </c>
      <c r="R348" s="8">
        <f>[1]节奏总纲!AD348</f>
        <v>84.338465431423501</v>
      </c>
      <c r="S348" s="8">
        <f>[1]节奏总纲!AE348</f>
        <v>86.452935774677769</v>
      </c>
      <c r="T348" s="8">
        <f>[1]节奏总纲!AF348</f>
        <v>89.576076957865197</v>
      </c>
      <c r="U348" s="8">
        <f>[1]节奏总纲!AG348</f>
        <v>94.541891148054845</v>
      </c>
      <c r="V348" s="8">
        <f>[1]节奏总纲!AH348</f>
        <v>103.37165324940601</v>
      </c>
      <c r="AN348" s="8">
        <v>345</v>
      </c>
      <c r="AO348" s="8">
        <f>[1]节奏总纲!BA348</f>
        <v>46.368730644141969</v>
      </c>
      <c r="AP348" s="8">
        <f>[1]节奏总纲!BB348</f>
        <v>47.889385544647645</v>
      </c>
      <c r="AQ348" s="8">
        <f>[1]节奏总纲!BC348</f>
        <v>49.836064653662483</v>
      </c>
      <c r="AR348" s="8">
        <f>[1]节奏总纲!BD348</f>
        <v>52.579819988921201</v>
      </c>
      <c r="AS348" s="8">
        <f>[1]节奏总纲!BE348</f>
        <v>57.296103796509144</v>
      </c>
    </row>
    <row r="349" spans="17:45" x14ac:dyDescent="0.15">
      <c r="Q349" s="8">
        <v>346</v>
      </c>
      <c r="R349" s="8">
        <f>[1]节奏总纲!AD349</f>
        <v>84.379711649933142</v>
      </c>
      <c r="S349" s="8">
        <f>[1]节奏总纲!AE349</f>
        <v>86.494116357456846</v>
      </c>
      <c r="T349" s="8">
        <f>[1]节奏总纲!AF349</f>
        <v>89.622544462209689</v>
      </c>
      <c r="U349" s="8">
        <f>[1]节奏总纲!AG349</f>
        <v>94.585971803415276</v>
      </c>
      <c r="V349" s="8">
        <f>[1]节奏总纲!AH349</f>
        <v>103.41219954775681</v>
      </c>
      <c r="AN349" s="8">
        <v>346</v>
      </c>
      <c r="AO349" s="8">
        <f>[1]节奏总纲!BA349</f>
        <v>46.387994686960695</v>
      </c>
      <c r="AP349" s="8">
        <f>[1]节奏总纲!BB349</f>
        <v>47.910173082970537</v>
      </c>
      <c r="AQ349" s="8">
        <f>[1]节奏总纲!BC349</f>
        <v>49.856724432659014</v>
      </c>
      <c r="AR349" s="8">
        <f>[1]节奏总纲!BD349</f>
        <v>52.599773329717245</v>
      </c>
      <c r="AS349" s="8">
        <f>[1]节奏总纲!BE349</f>
        <v>57.315287676862511</v>
      </c>
    </row>
    <row r="350" spans="17:45" x14ac:dyDescent="0.15">
      <c r="Q350" s="8">
        <v>347</v>
      </c>
      <c r="R350" s="8">
        <f>[1]节奏总纲!AD350</f>
        <v>84.420957868442784</v>
      </c>
      <c r="S350" s="8">
        <f>[1]节奏总纲!AE350</f>
        <v>86.535296940235909</v>
      </c>
      <c r="T350" s="8">
        <f>[1]节奏总纲!AF350</f>
        <v>89.66901196655418</v>
      </c>
      <c r="U350" s="8">
        <f>[1]节奏总纲!AG350</f>
        <v>94.630052458775694</v>
      </c>
      <c r="V350" s="8">
        <f>[1]节奏总纲!AH350</f>
        <v>103.4527458461076</v>
      </c>
      <c r="AN350" s="8">
        <v>347</v>
      </c>
      <c r="AO350" s="8">
        <f>[1]节奏总纲!BA350</f>
        <v>46.407258729779421</v>
      </c>
      <c r="AP350" s="8">
        <f>[1]节奏总纲!BB350</f>
        <v>47.930960621293437</v>
      </c>
      <c r="AQ350" s="8">
        <f>[1]节奏总纲!BC350</f>
        <v>49.877384211655553</v>
      </c>
      <c r="AR350" s="8">
        <f>[1]节奏总纲!BD350</f>
        <v>52.619726670513295</v>
      </c>
      <c r="AS350" s="8">
        <f>[1]节奏总纲!BE350</f>
        <v>57.334471557215878</v>
      </c>
    </row>
    <row r="351" spans="17:45" x14ac:dyDescent="0.15">
      <c r="Q351" s="8">
        <v>348</v>
      </c>
      <c r="R351" s="8">
        <f>[1]节奏总纲!AD351</f>
        <v>84.462204086952426</v>
      </c>
      <c r="S351" s="8">
        <f>[1]节奏总纲!AE351</f>
        <v>86.576477523014987</v>
      </c>
      <c r="T351" s="8">
        <f>[1]节奏总纲!AF351</f>
        <v>89.715479470898671</v>
      </c>
      <c r="U351" s="8">
        <f>[1]节奏总纲!AG351</f>
        <v>94.674133114136126</v>
      </c>
      <c r="V351" s="8">
        <f>[1]节奏总纲!AH351</f>
        <v>103.49329214445841</v>
      </c>
      <c r="AN351" s="8">
        <v>348</v>
      </c>
      <c r="AO351" s="8">
        <f>[1]节奏总纲!BA351</f>
        <v>46.426522772598148</v>
      </c>
      <c r="AP351" s="8">
        <f>[1]节奏总纲!BB351</f>
        <v>47.951748159616329</v>
      </c>
      <c r="AQ351" s="8">
        <f>[1]节奏总纲!BC351</f>
        <v>49.898043990652091</v>
      </c>
      <c r="AR351" s="8">
        <f>[1]节奏总纲!BD351</f>
        <v>52.639680011309345</v>
      </c>
      <c r="AS351" s="8">
        <f>[1]节奏总纲!BE351</f>
        <v>57.353655437569245</v>
      </c>
    </row>
    <row r="352" spans="17:45" x14ac:dyDescent="0.15">
      <c r="Q352" s="8">
        <v>349</v>
      </c>
      <c r="R352" s="8">
        <f>[1]节奏总纲!AD352</f>
        <v>84.503450305462081</v>
      </c>
      <c r="S352" s="8">
        <f>[1]节奏总纲!AE352</f>
        <v>86.617658105794064</v>
      </c>
      <c r="T352" s="8">
        <f>[1]节奏总纲!AF352</f>
        <v>89.761946975243163</v>
      </c>
      <c r="U352" s="8">
        <f>[1]节奏总纲!AG352</f>
        <v>94.718213769496558</v>
      </c>
      <c r="V352" s="8">
        <f>[1]节奏总纲!AH352</f>
        <v>103.5338384428092</v>
      </c>
      <c r="AN352" s="8">
        <v>349</v>
      </c>
      <c r="AO352" s="8">
        <f>[1]节奏总纲!BA352</f>
        <v>46.445786815416881</v>
      </c>
      <c r="AP352" s="8">
        <f>[1]节奏总纲!BB352</f>
        <v>47.972535697939222</v>
      </c>
      <c r="AQ352" s="8">
        <f>[1]节奏总纲!BC352</f>
        <v>49.91870376964863</v>
      </c>
      <c r="AR352" s="8">
        <f>[1]节奏总纲!BD352</f>
        <v>52.659633352105388</v>
      </c>
      <c r="AS352" s="8">
        <f>[1]节奏总纲!BE352</f>
        <v>57.372839317922612</v>
      </c>
    </row>
    <row r="353" spans="17:45" x14ac:dyDescent="0.15">
      <c r="Q353" s="8">
        <v>350</v>
      </c>
      <c r="R353" s="8">
        <f>[1]节奏总纲!AD353</f>
        <v>84.544696523971723</v>
      </c>
      <c r="S353" s="8">
        <f>[1]节奏总纲!AE353</f>
        <v>86.658838688573141</v>
      </c>
      <c r="T353" s="8">
        <f>[1]节奏总纲!AF353</f>
        <v>89.808414479587654</v>
      </c>
      <c r="U353" s="8">
        <f>[1]节奏总纲!AG353</f>
        <v>94.762294424856989</v>
      </c>
      <c r="V353" s="8">
        <f>[1]节奏总纲!AH353</f>
        <v>103.57438474115999</v>
      </c>
      <c r="AN353" s="8">
        <v>350</v>
      </c>
      <c r="AO353" s="8">
        <f>[1]节奏总纲!BA353</f>
        <v>46.465050858235607</v>
      </c>
      <c r="AP353" s="8">
        <f>[1]节奏总纲!BB353</f>
        <v>47.993323236262114</v>
      </c>
      <c r="AQ353" s="8">
        <f>[1]节奏总纲!BC353</f>
        <v>49.939363548645169</v>
      </c>
      <c r="AR353" s="8">
        <f>[1]节奏总纲!BD353</f>
        <v>52.679586692901438</v>
      </c>
      <c r="AS353" s="8">
        <f>[1]节奏总纲!BE353</f>
        <v>57.392023198275979</v>
      </c>
    </row>
    <row r="354" spans="17:45" x14ac:dyDescent="0.15">
      <c r="Q354" s="8">
        <v>351</v>
      </c>
      <c r="R354" s="8">
        <f>[1]节奏总纲!AD354</f>
        <v>84.585942742481365</v>
      </c>
      <c r="S354" s="8">
        <f>[1]节奏总纲!AE354</f>
        <v>86.700019271352204</v>
      </c>
      <c r="T354" s="8">
        <f>[1]节奏总纲!AF354</f>
        <v>89.854881983932145</v>
      </c>
      <c r="U354" s="8">
        <f>[1]节奏总纲!AG354</f>
        <v>94.806375080217421</v>
      </c>
      <c r="V354" s="8">
        <f>[1]节奏总纲!AH354</f>
        <v>103.61493103951079</v>
      </c>
      <c r="AN354" s="8">
        <v>351</v>
      </c>
      <c r="AO354" s="8">
        <f>[1]节奏总纲!BA354</f>
        <v>46.484314901054333</v>
      </c>
      <c r="AP354" s="8">
        <f>[1]节奏总纲!BB354</f>
        <v>48.012182251254622</v>
      </c>
      <c r="AQ354" s="8">
        <f>[1]节奏总纲!BC354</f>
        <v>49.9600233276417</v>
      </c>
      <c r="AR354" s="8">
        <f>[1]节奏总纲!BD354</f>
        <v>52.699540033697481</v>
      </c>
      <c r="AS354" s="8">
        <f>[1]节奏总纲!BE354</f>
        <v>57.411207078629346</v>
      </c>
    </row>
    <row r="355" spans="17:45" x14ac:dyDescent="0.15">
      <c r="Q355" s="8">
        <v>352</v>
      </c>
      <c r="R355" s="8">
        <f>[1]节奏总纲!AD355</f>
        <v>84.627188960991006</v>
      </c>
      <c r="S355" s="8">
        <f>[1]节奏总纲!AE355</f>
        <v>86.741199854131281</v>
      </c>
      <c r="T355" s="8">
        <f>[1]节奏总纲!AF355</f>
        <v>89.901349488276637</v>
      </c>
      <c r="U355" s="8">
        <f>[1]节奏总纲!AG355</f>
        <v>94.850455735577853</v>
      </c>
      <c r="V355" s="8">
        <f>[1]节奏总纲!AH355</f>
        <v>103.65547733786158</v>
      </c>
      <c r="AN355" s="8">
        <v>352</v>
      </c>
      <c r="AO355" s="8">
        <f>[1]节奏总纲!BA355</f>
        <v>46.503578943873059</v>
      </c>
      <c r="AP355" s="8">
        <f>[1]节奏总纲!BB355</f>
        <v>48.030128751164234</v>
      </c>
      <c r="AQ355" s="8">
        <f>[1]节奏总纲!BC355</f>
        <v>49.980683106638239</v>
      </c>
      <c r="AR355" s="8">
        <f>[1]节奏总纲!BD355</f>
        <v>52.719493374493531</v>
      </c>
      <c r="AS355" s="8">
        <f>[1]节奏总纲!BE355</f>
        <v>57.430390958982713</v>
      </c>
    </row>
    <row r="356" spans="17:45" x14ac:dyDescent="0.15">
      <c r="Q356" s="8">
        <v>353</v>
      </c>
      <c r="R356" s="8">
        <f>[1]节奏总纲!AD356</f>
        <v>84.668435179500648</v>
      </c>
      <c r="S356" s="8">
        <f>[1]节奏总纲!AE356</f>
        <v>86.782380436910358</v>
      </c>
      <c r="T356" s="8">
        <f>[1]节奏总纲!AF356</f>
        <v>89.947816992621142</v>
      </c>
      <c r="U356" s="8">
        <f>[1]节奏总纲!AG356</f>
        <v>94.894536390938271</v>
      </c>
      <c r="V356" s="8">
        <f>[1]节奏总纲!AH356</f>
        <v>103.69602363621237</v>
      </c>
      <c r="AN356" s="8">
        <v>353</v>
      </c>
      <c r="AO356" s="8">
        <f>[1]节奏总纲!BA356</f>
        <v>46.522842986691785</v>
      </c>
      <c r="AP356" s="8">
        <f>[1]节奏总纲!BB356</f>
        <v>48.048075251073854</v>
      </c>
      <c r="AQ356" s="8">
        <f>[1]节奏总纲!BC356</f>
        <v>50.00115951426713</v>
      </c>
      <c r="AR356" s="8">
        <f>[1]节奏总纲!BD356</f>
        <v>52.739446715289581</v>
      </c>
      <c r="AS356" s="8">
        <f>[1]节奏总纲!BE356</f>
        <v>57.44957483933608</v>
      </c>
    </row>
    <row r="357" spans="17:45" x14ac:dyDescent="0.15">
      <c r="Q357" s="8">
        <v>354</v>
      </c>
      <c r="R357" s="8">
        <f>[1]节奏总纲!AD357</f>
        <v>84.709681398010289</v>
      </c>
      <c r="S357" s="8">
        <f>[1]节奏总纲!AE357</f>
        <v>86.823561019689436</v>
      </c>
      <c r="T357" s="8">
        <f>[1]节奏总纲!AF357</f>
        <v>89.994284496965633</v>
      </c>
      <c r="U357" s="8">
        <f>[1]节奏总纲!AG357</f>
        <v>94.938617046298702</v>
      </c>
      <c r="V357" s="8">
        <f>[1]节奏总纲!AH357</f>
        <v>103.73656993456318</v>
      </c>
      <c r="AN357" s="8">
        <v>354</v>
      </c>
      <c r="AO357" s="8">
        <f>[1]节奏总纲!BA357</f>
        <v>46.542107029510518</v>
      </c>
      <c r="AP357" s="8">
        <f>[1]节奏总纲!BB357</f>
        <v>48.066021750983474</v>
      </c>
      <c r="AQ357" s="8">
        <f>[1]节奏总纲!BC357</f>
        <v>50.018998195299922</v>
      </c>
      <c r="AR357" s="8">
        <f>[1]节奏总纲!BD357</f>
        <v>52.759400056085624</v>
      </c>
      <c r="AS357" s="8">
        <f>[1]节奏总纲!BE357</f>
        <v>57.468758719689447</v>
      </c>
    </row>
    <row r="358" spans="17:45" x14ac:dyDescent="0.15">
      <c r="Q358" s="8">
        <v>355</v>
      </c>
      <c r="R358" s="8">
        <f>[1]节奏总纲!AD358</f>
        <v>84.750927616519931</v>
      </c>
      <c r="S358" s="8">
        <f>[1]节奏总纲!AE358</f>
        <v>86.864741602468499</v>
      </c>
      <c r="T358" s="8">
        <f>[1]节奏总纲!AF358</f>
        <v>90.036066635925749</v>
      </c>
      <c r="U358" s="8">
        <f>[1]节奏总纲!AG358</f>
        <v>94.982697701659134</v>
      </c>
      <c r="V358" s="8">
        <f>[1]节奏总纲!AH358</f>
        <v>103.77711623291397</v>
      </c>
      <c r="AN358" s="8">
        <v>355</v>
      </c>
      <c r="AO358" s="8">
        <f>[1]节奏总纲!BA358</f>
        <v>46.561371072329244</v>
      </c>
      <c r="AP358" s="8">
        <f>[1]节奏总纲!BB358</f>
        <v>48.083968250893093</v>
      </c>
      <c r="AQ358" s="8">
        <f>[1]节奏总纲!BC358</f>
        <v>50.036836876332707</v>
      </c>
      <c r="AR358" s="8">
        <f>[1]节奏总纲!BD358</f>
        <v>52.779353396881675</v>
      </c>
      <c r="AS358" s="8">
        <f>[1]节奏总纲!BE358</f>
        <v>57.487942600042821</v>
      </c>
    </row>
    <row r="359" spans="17:45" x14ac:dyDescent="0.15">
      <c r="Q359" s="8">
        <v>356</v>
      </c>
      <c r="R359" s="8">
        <f>[1]节奏总纲!AD359</f>
        <v>84.792173835029573</v>
      </c>
      <c r="S359" s="8">
        <f>[1]节奏总纲!AE359</f>
        <v>86.905922185247576</v>
      </c>
      <c r="T359" s="8">
        <f>[1]节奏总纲!AF359</f>
        <v>90.077191648383845</v>
      </c>
      <c r="U359" s="8">
        <f>[1]节奏总纲!AG359</f>
        <v>95.024001308619916</v>
      </c>
      <c r="V359" s="8">
        <f>[1]节奏总纲!AH359</f>
        <v>103.81766253126477</v>
      </c>
      <c r="AN359" s="8">
        <v>356</v>
      </c>
      <c r="AO359" s="8">
        <f>[1]节奏总纲!BA359</f>
        <v>46.58063511514797</v>
      </c>
      <c r="AP359" s="8">
        <f>[1]节奏总纲!BB359</f>
        <v>48.101914750802706</v>
      </c>
      <c r="AQ359" s="8">
        <f>[1]节奏总纲!BC359</f>
        <v>50.054675557365492</v>
      </c>
      <c r="AR359" s="8">
        <f>[1]节奏总纲!BD359</f>
        <v>52.799306737677718</v>
      </c>
      <c r="AS359" s="8">
        <f>[1]节奏总纲!BE359</f>
        <v>57.507126480396188</v>
      </c>
    </row>
    <row r="360" spans="17:45" x14ac:dyDescent="0.15">
      <c r="Q360" s="8">
        <v>357</v>
      </c>
      <c r="R360" s="8">
        <f>[1]节奏总纲!AD360</f>
        <v>84.833420053539214</v>
      </c>
      <c r="S360" s="8">
        <f>[1]节奏总纲!AE360</f>
        <v>86.947102768026653</v>
      </c>
      <c r="T360" s="8">
        <f>[1]节奏总纲!AF360</f>
        <v>90.118316660841927</v>
      </c>
      <c r="U360" s="8">
        <f>[1]节奏总纲!AG360</f>
        <v>95.063510581451752</v>
      </c>
      <c r="V360" s="8">
        <f>[1]节奏总纲!AH360</f>
        <v>103.85820882961556</v>
      </c>
      <c r="AN360" s="8">
        <v>357</v>
      </c>
      <c r="AO360" s="8">
        <f>[1]节奏总纲!BA360</f>
        <v>46.599899157966696</v>
      </c>
      <c r="AP360" s="8">
        <f>[1]节奏总纲!BB360</f>
        <v>48.119861250712326</v>
      </c>
      <c r="AQ360" s="8">
        <f>[1]节奏总纲!BC360</f>
        <v>50.072514238398277</v>
      </c>
      <c r="AR360" s="8">
        <f>[1]节奏总纲!BD360</f>
        <v>52.819260078473768</v>
      </c>
      <c r="AS360" s="8">
        <f>[1]节奏总纲!BE360</f>
        <v>57.526310360749555</v>
      </c>
    </row>
    <row r="361" spans="17:45" x14ac:dyDescent="0.15">
      <c r="Q361" s="8">
        <v>358</v>
      </c>
      <c r="R361" s="8">
        <f>[1]节奏总纲!AD361</f>
        <v>84.874666272048856</v>
      </c>
      <c r="S361" s="8">
        <f>[1]节奏总纲!AE361</f>
        <v>86.98828335080573</v>
      </c>
      <c r="T361" s="8">
        <f>[1]节奏总纲!AF361</f>
        <v>90.159441673300023</v>
      </c>
      <c r="U361" s="8">
        <f>[1]节奏总纲!AG361</f>
        <v>95.103019854283588</v>
      </c>
      <c r="V361" s="8">
        <f>[1]节奏总纲!AH361</f>
        <v>103.89875512796635</v>
      </c>
      <c r="AN361" s="8">
        <v>358</v>
      </c>
      <c r="AO361" s="8">
        <f>[1]节奏总纲!BA361</f>
        <v>46.619163200785422</v>
      </c>
      <c r="AP361" s="8">
        <f>[1]节奏总纲!BB361</f>
        <v>48.137807750621946</v>
      </c>
      <c r="AQ361" s="8">
        <f>[1]节奏总纲!BC361</f>
        <v>50.090352919431069</v>
      </c>
      <c r="AR361" s="8">
        <f>[1]节奏总纲!BD361</f>
        <v>52.839213419269818</v>
      </c>
      <c r="AS361" s="8">
        <f>[1]节奏总纲!BE361</f>
        <v>57.545494241102922</v>
      </c>
    </row>
    <row r="362" spans="17:45" x14ac:dyDescent="0.15">
      <c r="Q362" s="8">
        <v>359</v>
      </c>
      <c r="R362" s="8">
        <f>[1]节奏总纲!AD362</f>
        <v>84.915912490558497</v>
      </c>
      <c r="S362" s="8">
        <f>[1]节奏总纲!AE362</f>
        <v>87.027010646912942</v>
      </c>
      <c r="T362" s="8">
        <f>[1]节奏总纲!AF362</f>
        <v>90.200566685758119</v>
      </c>
      <c r="U362" s="8">
        <f>[1]节奏总纲!AG362</f>
        <v>95.142529127115409</v>
      </c>
      <c r="V362" s="8">
        <f>[1]节奏总纲!AH362</f>
        <v>103.93930142631716</v>
      </c>
      <c r="AN362" s="8">
        <v>359</v>
      </c>
      <c r="AO362" s="8">
        <f>[1]节奏总纲!BA362</f>
        <v>46.638427243604156</v>
      </c>
      <c r="AP362" s="8">
        <f>[1]节奏总纲!BB362</f>
        <v>48.155754250531558</v>
      </c>
      <c r="AQ362" s="8">
        <f>[1]节奏总纲!BC362</f>
        <v>50.108191600463854</v>
      </c>
      <c r="AR362" s="8">
        <f>[1]节奏总纲!BD362</f>
        <v>52.859166760065861</v>
      </c>
      <c r="AS362" s="8">
        <f>[1]节奏总纲!BE362</f>
        <v>57.564678121456289</v>
      </c>
    </row>
    <row r="363" spans="17:45" x14ac:dyDescent="0.15">
      <c r="Q363" s="8">
        <v>360</v>
      </c>
      <c r="R363" s="8">
        <f>[1]节奏总纲!AD363</f>
        <v>84.957158709068153</v>
      </c>
      <c r="S363" s="8">
        <f>[1]节奏总纲!AE363</f>
        <v>87.064762367263285</v>
      </c>
      <c r="T363" s="8">
        <f>[1]节奏总纲!AF363</f>
        <v>90.241691698216215</v>
      </c>
      <c r="U363" s="8">
        <f>[1]节奏总纲!AG363</f>
        <v>95.182038399947245</v>
      </c>
      <c r="V363" s="8">
        <f>[1]节奏总纲!AH363</f>
        <v>103.97984772466795</v>
      </c>
      <c r="AN363" s="8">
        <v>360</v>
      </c>
      <c r="AO363" s="8">
        <f>[1]节奏总纲!BA363</f>
        <v>46.657691286422882</v>
      </c>
      <c r="AP363" s="8">
        <f>[1]节奏总纲!BB363</f>
        <v>48.173700750441178</v>
      </c>
      <c r="AQ363" s="8">
        <f>[1]节奏总纲!BC363</f>
        <v>50.126030281496639</v>
      </c>
      <c r="AR363" s="8">
        <f>[1]节奏总纲!BD363</f>
        <v>52.879120100861911</v>
      </c>
      <c r="AS363" s="8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F6CD-DC9D-4760-BE66-B83FE66B9949}">
  <sheetPr codeName="Sheet4"/>
  <dimension ref="C1:P163"/>
  <sheetViews>
    <sheetView workbookViewId="0">
      <selection activeCell="M3" sqref="M3"/>
    </sheetView>
  </sheetViews>
  <sheetFormatPr defaultColWidth="6.625" defaultRowHeight="11.25" x14ac:dyDescent="0.15"/>
  <cols>
    <col min="1" max="2" width="6.625" style="1"/>
    <col min="3" max="8" width="6.625" style="16"/>
    <col min="9" max="16384" width="6.625" style="1"/>
  </cols>
  <sheetData>
    <row r="1" spans="3:16" x14ac:dyDescent="0.15">
      <c r="C1" s="42"/>
    </row>
    <row r="2" spans="3:16" x14ac:dyDescent="0.15">
      <c r="C2" s="42"/>
      <c r="D2" s="83" t="s">
        <v>32</v>
      </c>
      <c r="E2" s="83"/>
      <c r="F2" s="83"/>
      <c r="G2" s="83"/>
      <c r="H2" s="83"/>
      <c r="M2" s="82" t="s">
        <v>163</v>
      </c>
      <c r="N2" s="82"/>
      <c r="O2" s="82"/>
      <c r="P2" s="82"/>
    </row>
    <row r="3" spans="3:16" x14ac:dyDescent="0.15">
      <c r="C3" s="16" t="s">
        <v>25</v>
      </c>
      <c r="D3" s="42" t="s">
        <v>0</v>
      </c>
      <c r="E3" s="42" t="s">
        <v>1</v>
      </c>
      <c r="F3" s="42" t="s">
        <v>2</v>
      </c>
      <c r="G3" s="42" t="s">
        <v>3</v>
      </c>
      <c r="H3" s="42" t="s">
        <v>4</v>
      </c>
      <c r="L3" s="52" t="s">
        <v>158</v>
      </c>
      <c r="M3" s="52" t="s">
        <v>159</v>
      </c>
      <c r="N3" s="52" t="s">
        <v>160</v>
      </c>
      <c r="O3" s="52" t="s">
        <v>161</v>
      </c>
      <c r="P3" s="52" t="s">
        <v>162</v>
      </c>
    </row>
    <row r="4" spans="3:16" x14ac:dyDescent="0.15">
      <c r="C4" s="16">
        <v>1</v>
      </c>
      <c r="D4" s="16">
        <f>'[1]功能-实力'!BF5</f>
        <v>22716</v>
      </c>
      <c r="E4" s="16">
        <f>'[1]功能-实力'!BG5</f>
        <v>22782</v>
      </c>
      <c r="F4" s="16">
        <f>'[1]功能-实力'!BH5</f>
        <v>22866</v>
      </c>
      <c r="G4" s="16">
        <f>'[1]功能-实力'!BI5</f>
        <v>22956</v>
      </c>
      <c r="H4" s="16">
        <f>'[1]功能-实力'!BJ5</f>
        <v>23034</v>
      </c>
      <c r="L4" s="52">
        <f>[2]数据引用!AH7</f>
        <v>1</v>
      </c>
      <c r="M4" s="52">
        <f>[2]数据引用!AI7</f>
        <v>8</v>
      </c>
      <c r="N4" s="52">
        <f>[2]数据引用!AJ7</f>
        <v>14</v>
      </c>
      <c r="O4" s="52">
        <f>[2]数据引用!AK7</f>
        <v>14</v>
      </c>
      <c r="P4" s="52">
        <f>[2]数据引用!AL7</f>
        <v>14</v>
      </c>
    </row>
    <row r="5" spans="3:16" x14ac:dyDescent="0.15">
      <c r="C5" s="16">
        <v>2</v>
      </c>
      <c r="D5" s="16">
        <f>'[1]功能-实力'!BF6</f>
        <v>27276</v>
      </c>
      <c r="E5" s="16">
        <f>'[1]功能-实力'!BG6</f>
        <v>27450</v>
      </c>
      <c r="F5" s="16">
        <f>'[1]功能-实力'!BH6</f>
        <v>27714</v>
      </c>
      <c r="G5" s="16">
        <f>'[1]功能-实力'!BI6</f>
        <v>28086</v>
      </c>
      <c r="H5" s="16">
        <f>'[1]功能-实力'!BJ6</f>
        <v>28314</v>
      </c>
      <c r="L5" s="52">
        <f>[2]数据引用!AH8</f>
        <v>3</v>
      </c>
      <c r="M5" s="52">
        <f>[2]数据引用!AI8</f>
        <v>7</v>
      </c>
      <c r="N5" s="52">
        <f>[2]数据引用!AJ8</f>
        <v>12</v>
      </c>
      <c r="O5" s="52">
        <f>[2]数据引用!AK8</f>
        <v>12</v>
      </c>
      <c r="P5" s="52">
        <f>[2]数据引用!AL8</f>
        <v>12</v>
      </c>
    </row>
    <row r="6" spans="3:16" x14ac:dyDescent="0.15">
      <c r="C6" s="16">
        <v>3</v>
      </c>
      <c r="D6" s="16">
        <f>'[1]功能-实力'!BF7</f>
        <v>31857</v>
      </c>
      <c r="E6" s="16">
        <f>'[1]功能-实力'!BG7</f>
        <v>32166</v>
      </c>
      <c r="F6" s="16">
        <f>'[1]功能-实力'!BH7</f>
        <v>32676</v>
      </c>
      <c r="G6" s="16">
        <f>'[1]功能-实力'!BI7</f>
        <v>33426</v>
      </c>
      <c r="H6" s="16">
        <f>'[1]功能-实力'!BJ7</f>
        <v>33876</v>
      </c>
      <c r="L6" s="52">
        <f>[2]数据引用!AH9</f>
        <v>6</v>
      </c>
      <c r="M6" s="52">
        <f>[2]数据引用!AI9</f>
        <v>6</v>
      </c>
      <c r="N6" s="52">
        <f>[2]数据引用!AJ9</f>
        <v>9.5</v>
      </c>
      <c r="O6" s="52">
        <f>[2]数据引用!AK9</f>
        <v>9.5</v>
      </c>
      <c r="P6" s="52">
        <f>[2]数据引用!AL9</f>
        <v>9.5</v>
      </c>
    </row>
    <row r="7" spans="3:16" x14ac:dyDescent="0.15">
      <c r="C7" s="16">
        <v>4</v>
      </c>
      <c r="D7" s="16">
        <f>'[1]功能-实力'!BF8</f>
        <v>42955.5</v>
      </c>
      <c r="E7" s="16">
        <f>'[1]功能-实力'!BG8</f>
        <v>43515.5</v>
      </c>
      <c r="F7" s="16">
        <f>'[1]功能-实力'!BH8</f>
        <v>44464</v>
      </c>
      <c r="G7" s="16">
        <f>'[1]功能-实力'!BI8</f>
        <v>45860.5</v>
      </c>
      <c r="H7" s="16">
        <f>'[1]功能-实力'!BJ8</f>
        <v>46704</v>
      </c>
      <c r="L7" s="52">
        <f>[2]数据引用!AH10</f>
        <v>12</v>
      </c>
      <c r="M7" s="52">
        <f>[2]数据引用!AI10</f>
        <v>5.6</v>
      </c>
      <c r="N7" s="52">
        <f>[2]数据引用!AJ10</f>
        <v>8.9</v>
      </c>
      <c r="O7" s="52">
        <f>[2]数据引用!AK10</f>
        <v>8.9</v>
      </c>
      <c r="P7" s="52">
        <f>[2]数据引用!AL10</f>
        <v>8.9</v>
      </c>
    </row>
    <row r="8" spans="3:16" x14ac:dyDescent="0.15">
      <c r="C8" s="16">
        <v>5</v>
      </c>
      <c r="D8" s="16">
        <f>'[1]功能-实力'!BF9</f>
        <v>56256</v>
      </c>
      <c r="E8" s="16">
        <f>'[1]功能-实力'!BG9</f>
        <v>57168</v>
      </c>
      <c r="F8" s="16">
        <f>'[1]功能-实力'!BH9</f>
        <v>58724</v>
      </c>
      <c r="G8" s="16">
        <f>'[1]功能-实力'!BI9</f>
        <v>61028</v>
      </c>
      <c r="H8" s="16">
        <f>'[1]功能-实力'!BJ9</f>
        <v>62428</v>
      </c>
      <c r="L8" s="52">
        <f>[2]数据引用!AH11</f>
        <v>18</v>
      </c>
      <c r="M8" s="52">
        <f>[2]数据引用!AI11</f>
        <v>5.2</v>
      </c>
      <c r="N8" s="52">
        <f>[2]数据引用!AJ11</f>
        <v>8.25</v>
      </c>
      <c r="O8" s="52">
        <f>[2]数据引用!AK11</f>
        <v>8.25</v>
      </c>
      <c r="P8" s="52">
        <f>[2]数据引用!AL11</f>
        <v>8.25</v>
      </c>
    </row>
    <row r="9" spans="3:16" x14ac:dyDescent="0.15">
      <c r="C9" s="16">
        <v>6</v>
      </c>
      <c r="D9" s="16">
        <f>'[1]功能-实力'!BF10</f>
        <v>63984</v>
      </c>
      <c r="E9" s="16">
        <f>'[1]功能-实力'!BG10</f>
        <v>65212</v>
      </c>
      <c r="F9" s="16">
        <f>'[1]功能-实力'!BH10</f>
        <v>67324</v>
      </c>
      <c r="G9" s="16">
        <f>'[1]功能-实力'!BI10</f>
        <v>70456</v>
      </c>
      <c r="H9" s="16">
        <f>'[1]功能-实力'!BJ10</f>
        <v>72368</v>
      </c>
      <c r="L9" s="52">
        <f>[2]数据引用!AH12</f>
        <v>30</v>
      </c>
      <c r="M9" s="52">
        <f>[2]数据引用!AI12</f>
        <v>4.4000000000000004</v>
      </c>
      <c r="N9" s="52">
        <f>[2]数据引用!AJ12</f>
        <v>7</v>
      </c>
      <c r="O9" s="52">
        <f>[2]数据引用!AK12</f>
        <v>7</v>
      </c>
      <c r="P9" s="52">
        <f>[2]数据引用!AL12</f>
        <v>7</v>
      </c>
    </row>
    <row r="10" spans="3:16" x14ac:dyDescent="0.15">
      <c r="C10" s="16">
        <v>7</v>
      </c>
      <c r="D10" s="16">
        <f>'[1]功能-实力'!BF11</f>
        <v>72304</v>
      </c>
      <c r="E10" s="16">
        <f>'[1]功能-实力'!BG11</f>
        <v>73888</v>
      </c>
      <c r="F10" s="16">
        <f>'[1]功能-实力'!BH11</f>
        <v>76652</v>
      </c>
      <c r="G10" s="16">
        <f>'[1]功能-实力'!BI11</f>
        <v>80644</v>
      </c>
      <c r="H10" s="16">
        <f>'[1]功能-实力'!BJ11</f>
        <v>82920</v>
      </c>
      <c r="L10" s="52">
        <f>[2]数据引用!AH13</f>
        <v>68</v>
      </c>
      <c r="M10" s="52">
        <f>[2]数据引用!AI13</f>
        <v>3.9000000000000004</v>
      </c>
      <c r="N10" s="52">
        <f>[2]数据引用!AJ13</f>
        <v>6.25</v>
      </c>
      <c r="O10" s="52">
        <f>[2]数据引用!AK13</f>
        <v>6.25</v>
      </c>
      <c r="P10" s="52">
        <f>[2]数据引用!AL13</f>
        <v>6.25</v>
      </c>
    </row>
    <row r="11" spans="3:16" x14ac:dyDescent="0.15">
      <c r="C11" s="16">
        <v>8</v>
      </c>
      <c r="D11" s="16">
        <f>'[1]功能-实力'!BF12</f>
        <v>81240</v>
      </c>
      <c r="E11" s="16">
        <f>'[1]功能-实力'!BG12</f>
        <v>83092</v>
      </c>
      <c r="F11" s="16">
        <f>'[1]功能-实力'!BH12</f>
        <v>86368</v>
      </c>
      <c r="G11" s="16">
        <f>'[1]功能-实力'!BI12</f>
        <v>91236</v>
      </c>
      <c r="H11" s="16">
        <f>'[1]功能-实力'!BJ12</f>
        <v>94124</v>
      </c>
      <c r="L11" s="52">
        <f>[2]数据引用!AH14</f>
        <v>98</v>
      </c>
      <c r="M11" s="52">
        <f>[2]数据引用!AI14</f>
        <v>3.4</v>
      </c>
      <c r="N11" s="52">
        <f>[2]数据引用!AJ14</f>
        <v>5.5</v>
      </c>
      <c r="O11" s="52">
        <f>[2]数据引用!AK14</f>
        <v>5.5</v>
      </c>
      <c r="P11" s="52">
        <f>[2]数据引用!AL14</f>
        <v>5.5</v>
      </c>
    </row>
    <row r="12" spans="3:16" x14ac:dyDescent="0.15">
      <c r="C12" s="16">
        <v>9</v>
      </c>
      <c r="D12" s="16">
        <f>'[1]功能-实力'!BF13</f>
        <v>99413.6</v>
      </c>
      <c r="E12" s="16">
        <f>'[1]功能-实力'!BG13</f>
        <v>101864.40000000001</v>
      </c>
      <c r="F12" s="16">
        <f>'[1]功能-实力'!BH13</f>
        <v>106304</v>
      </c>
      <c r="G12" s="16">
        <f>'[1]功能-实力'!BI13</f>
        <v>112882.00000000001</v>
      </c>
      <c r="H12" s="16">
        <f>'[1]功能-实力'!BJ13</f>
        <v>116820</v>
      </c>
      <c r="L12" s="52">
        <f>[2]数据引用!AH15</f>
        <v>128</v>
      </c>
      <c r="M12" s="52">
        <f>[2]数据引用!AI15</f>
        <v>2.9</v>
      </c>
      <c r="N12" s="52">
        <f>[2]数据引用!AJ15</f>
        <v>4.8</v>
      </c>
      <c r="O12" s="52">
        <f>[2]数据引用!AK15</f>
        <v>4.8</v>
      </c>
      <c r="P12" s="52">
        <f>[2]数据引用!AL15</f>
        <v>4.8</v>
      </c>
    </row>
    <row r="13" spans="3:16" x14ac:dyDescent="0.15">
      <c r="C13" s="16">
        <v>10</v>
      </c>
      <c r="D13" s="16">
        <f>'[1]功能-实力'!BF14</f>
        <v>120374.39999999999</v>
      </c>
      <c r="E13" s="16">
        <f>'[1]功能-实力'!BG14</f>
        <v>123321.59999999999</v>
      </c>
      <c r="F13" s="16">
        <f>'[1]功能-实力'!BH14</f>
        <v>129148.79999999999</v>
      </c>
      <c r="G13" s="16">
        <f>'[1]功能-实力'!BI14</f>
        <v>137803.20000000001</v>
      </c>
      <c r="H13" s="16">
        <f>'[1]功能-实力'!BJ14</f>
        <v>143035.20000000001</v>
      </c>
      <c r="L13" s="52">
        <f>[2]数据引用!AH16</f>
        <v>198</v>
      </c>
      <c r="M13" s="52">
        <f>[2]数据引用!AI16</f>
        <v>2.8</v>
      </c>
      <c r="N13" s="52">
        <f>[2]数据引用!AJ16</f>
        <v>4.5</v>
      </c>
      <c r="O13" s="52">
        <f>[2]数据引用!AK16</f>
        <v>4.5</v>
      </c>
      <c r="P13" s="52">
        <f>[2]数据引用!AL16</f>
        <v>4.5</v>
      </c>
    </row>
    <row r="14" spans="3:16" x14ac:dyDescent="0.15">
      <c r="C14" s="16">
        <v>11</v>
      </c>
      <c r="D14" s="16">
        <f>'[1]功能-实力'!BF15</f>
        <v>139575</v>
      </c>
      <c r="E14" s="16">
        <f>'[1]功能-实力'!BG15</f>
        <v>143025</v>
      </c>
      <c r="F14" s="16">
        <f>'[1]功能-实力'!BH15</f>
        <v>149780</v>
      </c>
      <c r="G14" s="16">
        <f>'[1]功能-实力'!BI15</f>
        <v>160330</v>
      </c>
      <c r="H14" s="16">
        <f>'[1]功能-实力'!BJ15</f>
        <v>166520</v>
      </c>
      <c r="L14" s="52">
        <f>[2]数据引用!AH17</f>
        <v>328</v>
      </c>
      <c r="M14" s="52">
        <f>[2]数据引用!AI17</f>
        <v>2.6</v>
      </c>
      <c r="N14" s="52">
        <f>[2]数据引用!AJ17</f>
        <v>4.25</v>
      </c>
      <c r="O14" s="52">
        <f>[2]数据引用!AK17</f>
        <v>4.25</v>
      </c>
      <c r="P14" s="52">
        <f>[2]数据引用!AL17</f>
        <v>4.25</v>
      </c>
    </row>
    <row r="15" spans="3:16" x14ac:dyDescent="0.15">
      <c r="C15" s="16">
        <v>12</v>
      </c>
      <c r="D15" s="16">
        <f>'[1]功能-实力'!BF16</f>
        <v>151335</v>
      </c>
      <c r="E15" s="16">
        <f>'[1]功能-实力'!BG16</f>
        <v>155545</v>
      </c>
      <c r="F15" s="16">
        <f>'[1]功能-实力'!BH16</f>
        <v>162445</v>
      </c>
      <c r="G15" s="16">
        <f>'[1]功能-实力'!BI16</f>
        <v>174130</v>
      </c>
      <c r="H15" s="16">
        <f>'[1]功能-实力'!BJ16</f>
        <v>181420</v>
      </c>
      <c r="L15" s="52">
        <f>[2]数据引用!AH18</f>
        <v>648</v>
      </c>
      <c r="M15" s="52">
        <f>[2]数据引用!AI18</f>
        <v>2.4</v>
      </c>
      <c r="N15" s="52">
        <f>[2]数据引用!AJ18</f>
        <v>4</v>
      </c>
      <c r="O15" s="52">
        <f>[2]数据引用!AK18</f>
        <v>4</v>
      </c>
      <c r="P15" s="52">
        <f>[2]数据引用!AL18</f>
        <v>4</v>
      </c>
    </row>
    <row r="16" spans="3:16" x14ac:dyDescent="0.15">
      <c r="C16" s="16">
        <v>13</v>
      </c>
      <c r="D16" s="16">
        <f>'[1]功能-实力'!BF17</f>
        <v>163705</v>
      </c>
      <c r="E16" s="16">
        <f>'[1]功能-实力'!BG17</f>
        <v>168280</v>
      </c>
      <c r="F16" s="16">
        <f>'[1]功能-实力'!BH17</f>
        <v>176240</v>
      </c>
      <c r="G16" s="16">
        <f>'[1]功能-实力'!BI17</f>
        <v>188405</v>
      </c>
      <c r="H16" s="16">
        <f>'[1]功能-实力'!BJ17</f>
        <v>196955</v>
      </c>
    </row>
    <row r="17" spans="3:8" x14ac:dyDescent="0.15">
      <c r="C17" s="16">
        <v>14</v>
      </c>
      <c r="D17" s="16">
        <f>'[1]功能-实力'!BF18</f>
        <v>176570</v>
      </c>
      <c r="E17" s="16">
        <f>'[1]功能-实力'!BG18</f>
        <v>181520</v>
      </c>
      <c r="F17" s="16">
        <f>'[1]功能-实力'!BH18</f>
        <v>189810</v>
      </c>
      <c r="G17" s="16">
        <f>'[1]功能-实力'!BI18</f>
        <v>203045</v>
      </c>
      <c r="H17" s="16">
        <f>'[1]功能-实力'!BJ18</f>
        <v>212530</v>
      </c>
    </row>
    <row r="18" spans="3:8" x14ac:dyDescent="0.15">
      <c r="C18" s="16">
        <v>15</v>
      </c>
      <c r="D18" s="16">
        <f>'[1]功能-实力'!BF19</f>
        <v>189960</v>
      </c>
      <c r="E18" s="16">
        <f>'[1]功能-实力'!BG19</f>
        <v>195240</v>
      </c>
      <c r="F18" s="16">
        <f>'[1]功能-实力'!BH19</f>
        <v>204085</v>
      </c>
      <c r="G18" s="16">
        <f>'[1]功能-实力'!BI19</f>
        <v>218170</v>
      </c>
      <c r="H18" s="16">
        <f>'[1]功能-实力'!BJ19</f>
        <v>229965</v>
      </c>
    </row>
    <row r="19" spans="3:8" x14ac:dyDescent="0.15">
      <c r="C19" s="16">
        <v>16</v>
      </c>
      <c r="D19" s="16">
        <f>'[1]功能-实力'!BF20</f>
        <v>216112.8</v>
      </c>
      <c r="E19" s="16">
        <f>'[1]功能-实力'!BG20</f>
        <v>222080.59999999998</v>
      </c>
      <c r="F19" s="16">
        <f>'[1]功能-实力'!BH20</f>
        <v>231901.5</v>
      </c>
      <c r="G19" s="16">
        <f>'[1]功能-实力'!BI20</f>
        <v>249656.5</v>
      </c>
      <c r="H19" s="16">
        <f>'[1]功能-实力'!BJ20</f>
        <v>262482.5</v>
      </c>
    </row>
    <row r="20" spans="3:8" x14ac:dyDescent="0.15">
      <c r="C20" s="16">
        <v>17</v>
      </c>
      <c r="D20" s="16">
        <f>'[1]功能-实力'!BF21</f>
        <v>244473.59999999998</v>
      </c>
      <c r="E20" s="16">
        <f>'[1]功能-实力'!BG21</f>
        <v>251126.39999999997</v>
      </c>
      <c r="F20" s="16">
        <f>'[1]功能-实力'!BH21</f>
        <v>263060</v>
      </c>
      <c r="G20" s="16">
        <f>'[1]功能-实力'!BI21</f>
        <v>282436</v>
      </c>
      <c r="H20" s="16">
        <f>'[1]功能-实力'!BJ21</f>
        <v>297242.39999999997</v>
      </c>
    </row>
    <row r="21" spans="3:8" x14ac:dyDescent="0.15">
      <c r="C21" s="16">
        <v>18</v>
      </c>
      <c r="D21" s="16">
        <f>'[1]功能-实力'!BF22</f>
        <v>275299.90000000002</v>
      </c>
      <c r="E21" s="16">
        <f>'[1]功能-实力'!BG22</f>
        <v>283831.30000000005</v>
      </c>
      <c r="F21" s="16">
        <f>'[1]功能-实力'!BH22</f>
        <v>296427.80000000005</v>
      </c>
      <c r="G21" s="16">
        <f>'[1]功能-实力'!BI22</f>
        <v>318216.5</v>
      </c>
      <c r="H21" s="16">
        <f>'[1]功能-实力'!BJ22</f>
        <v>335249.80000000005</v>
      </c>
    </row>
    <row r="22" spans="3:8" x14ac:dyDescent="0.15">
      <c r="C22" s="16">
        <v>19</v>
      </c>
      <c r="D22" s="16">
        <f>'[1]功能-实力'!BF23</f>
        <v>299772</v>
      </c>
      <c r="E22" s="16">
        <f>'[1]功能-实力'!BG23</f>
        <v>308118</v>
      </c>
      <c r="F22" s="16">
        <f>'[1]功能-实力'!BH23</f>
        <v>321666</v>
      </c>
      <c r="G22" s="16">
        <f>'[1]功能-实力'!BI23</f>
        <v>345120</v>
      </c>
      <c r="H22" s="16">
        <f>'[1]功能-实力'!BJ23</f>
        <v>364074</v>
      </c>
    </row>
    <row r="23" spans="3:8" x14ac:dyDescent="0.15">
      <c r="C23" s="16">
        <v>20</v>
      </c>
      <c r="D23" s="16">
        <f>'[1]功能-实力'!BF24</f>
        <v>319686</v>
      </c>
      <c r="E23" s="16">
        <f>'[1]功能-实力'!BG24</f>
        <v>327474</v>
      </c>
      <c r="F23" s="16">
        <f>'[1]功能-实力'!BH24</f>
        <v>341910</v>
      </c>
      <c r="G23" s="16">
        <f>'[1]功能-实力'!BI24</f>
        <v>365976</v>
      </c>
      <c r="H23" s="16">
        <f>'[1]功能-实力'!BJ24</f>
        <v>386118</v>
      </c>
    </row>
    <row r="24" spans="3:8" x14ac:dyDescent="0.15">
      <c r="C24" s="16">
        <v>21</v>
      </c>
      <c r="D24" s="16">
        <f>'[1]功能-实力'!BF25</f>
        <v>339636</v>
      </c>
      <c r="E24" s="16">
        <f>'[1]功能-实力'!BG25</f>
        <v>348258</v>
      </c>
      <c r="F24" s="16">
        <f>'[1]功能-实力'!BH25</f>
        <v>363978</v>
      </c>
      <c r="G24" s="16">
        <f>'[1]功能-实力'!BI25</f>
        <v>389910</v>
      </c>
      <c r="H24" s="16">
        <f>'[1]功能-实力'!BJ25</f>
        <v>411870</v>
      </c>
    </row>
    <row r="25" spans="3:8" x14ac:dyDescent="0.15">
      <c r="C25" s="16">
        <v>22</v>
      </c>
      <c r="D25" s="16">
        <f>'[1]功能-实力'!BF26</f>
        <v>360222</v>
      </c>
      <c r="E25" s="16">
        <f>'[1]功能-实力'!BG26</f>
        <v>369666</v>
      </c>
      <c r="F25" s="16">
        <f>'[1]功能-实力'!BH26</f>
        <v>386538</v>
      </c>
      <c r="G25" s="16">
        <f>'[1]功能-实力'!BI26</f>
        <v>414318</v>
      </c>
      <c r="H25" s="16">
        <f>'[1]功能-实力'!BJ26</f>
        <v>439956</v>
      </c>
    </row>
    <row r="26" spans="3:8" x14ac:dyDescent="0.15">
      <c r="C26" s="16">
        <v>23</v>
      </c>
      <c r="D26" s="16">
        <f>'[1]功能-实力'!BF27</f>
        <v>381264</v>
      </c>
      <c r="E26" s="16">
        <f>'[1]功能-实力'!BG27</f>
        <v>391674</v>
      </c>
      <c r="F26" s="16">
        <f>'[1]功能-实力'!BH27</f>
        <v>409326</v>
      </c>
      <c r="G26" s="16">
        <f>'[1]功能-实力'!BI27</f>
        <v>439428</v>
      </c>
      <c r="H26" s="16">
        <f>'[1]功能-实力'!BJ27</f>
        <v>468192</v>
      </c>
    </row>
    <row r="27" spans="3:8" x14ac:dyDescent="0.15">
      <c r="C27" s="16">
        <v>24</v>
      </c>
      <c r="D27" s="16">
        <f>'[1]功能-实力'!BF28</f>
        <v>402726</v>
      </c>
      <c r="E27" s="16">
        <f>'[1]功能-实力'!BG28</f>
        <v>414024</v>
      </c>
      <c r="F27" s="16">
        <f>'[1]功能-实力'!BH28</f>
        <v>433044</v>
      </c>
      <c r="G27" s="16">
        <f>'[1]功能-实力'!BI28</f>
        <v>466230</v>
      </c>
      <c r="H27" s="16">
        <f>'[1]功能-实力'!BJ28</f>
        <v>497856</v>
      </c>
    </row>
    <row r="28" spans="3:8" x14ac:dyDescent="0.15">
      <c r="C28" s="16">
        <v>25</v>
      </c>
      <c r="D28" s="16">
        <f>'[1]功能-实力'!BF29</f>
        <v>424542</v>
      </c>
      <c r="E28" s="16">
        <f>'[1]功能-实力'!BG29</f>
        <v>436890</v>
      </c>
      <c r="F28" s="16">
        <f>'[1]功能-实力'!BH29</f>
        <v>458004</v>
      </c>
      <c r="G28" s="16">
        <f>'[1]功能-实力'!BI29</f>
        <v>494154</v>
      </c>
      <c r="H28" s="16">
        <f>'[1]功能-实力'!BJ29</f>
        <v>528090</v>
      </c>
    </row>
    <row r="29" spans="3:8" x14ac:dyDescent="0.15">
      <c r="C29" s="16">
        <v>26</v>
      </c>
      <c r="D29" s="16">
        <f>'[1]功能-实力'!BF30</f>
        <v>446916</v>
      </c>
      <c r="E29" s="16">
        <f>'[1]功能-实力'!BG30</f>
        <v>460956</v>
      </c>
      <c r="F29" s="16">
        <f>'[1]功能-实力'!BH30</f>
        <v>484104</v>
      </c>
      <c r="G29" s="16">
        <f>'[1]功能-实力'!BI30</f>
        <v>522564</v>
      </c>
      <c r="H29" s="16">
        <f>'[1]功能-实力'!BJ30</f>
        <v>559548</v>
      </c>
    </row>
    <row r="30" spans="3:8" x14ac:dyDescent="0.15">
      <c r="C30" s="16">
        <v>27</v>
      </c>
      <c r="D30" s="16">
        <f>'[1]功能-实力'!BF31</f>
        <v>470418</v>
      </c>
      <c r="E30" s="16">
        <f>'[1]功能-实力'!BG31</f>
        <v>486222</v>
      </c>
      <c r="F30" s="16">
        <f>'[1]功能-实力'!BH31</f>
        <v>510864</v>
      </c>
      <c r="G30" s="16">
        <f>'[1]功能-实力'!BI31</f>
        <v>552060</v>
      </c>
      <c r="H30" s="16">
        <f>'[1]功能-实力'!BJ31</f>
        <v>591858</v>
      </c>
    </row>
    <row r="31" spans="3:8" x14ac:dyDescent="0.15">
      <c r="C31" s="16">
        <v>28</v>
      </c>
      <c r="D31" s="16">
        <f>'[1]功能-实力'!BF32</f>
        <v>495072</v>
      </c>
      <c r="E31" s="16">
        <f>'[1]功能-实力'!BG32</f>
        <v>513486</v>
      </c>
      <c r="F31" s="16">
        <f>'[1]功能-实力'!BH32</f>
        <v>540870</v>
      </c>
      <c r="G31" s="16">
        <f>'[1]功能-实力'!BI32</f>
        <v>592788</v>
      </c>
      <c r="H31" s="16">
        <f>'[1]功能-实力'!BJ32</f>
        <v>639876</v>
      </c>
    </row>
    <row r="32" spans="3:8" x14ac:dyDescent="0.15">
      <c r="C32" s="16">
        <v>29</v>
      </c>
      <c r="D32" s="16">
        <f>'[1]功能-实力'!BF33</f>
        <v>524136</v>
      </c>
      <c r="E32" s="16">
        <f>'[1]功能-实力'!BG33</f>
        <v>546504</v>
      </c>
      <c r="F32" s="16">
        <f>'[1]功能-实力'!BH33</f>
        <v>580836</v>
      </c>
      <c r="G32" s="16">
        <f>'[1]功能-实力'!BI33</f>
        <v>641064</v>
      </c>
      <c r="H32" s="16">
        <f>'[1]功能-实力'!BJ33</f>
        <v>692844</v>
      </c>
    </row>
    <row r="33" spans="3:8" x14ac:dyDescent="0.15">
      <c r="C33" s="16">
        <v>30</v>
      </c>
      <c r="D33" s="16">
        <f>'[1]功能-实力'!BF34</f>
        <v>554232</v>
      </c>
      <c r="E33" s="16">
        <f>'[1]功能-实力'!BG34</f>
        <v>580752</v>
      </c>
      <c r="F33" s="16">
        <f>'[1]功能-实力'!BH34</f>
        <v>622416</v>
      </c>
      <c r="G33" s="16">
        <f>'[1]功能-实力'!BI34</f>
        <v>691548</v>
      </c>
      <c r="H33" s="16">
        <f>'[1]功能-实力'!BJ34</f>
        <v>748668</v>
      </c>
    </row>
    <row r="34" spans="3:8" x14ac:dyDescent="0.15">
      <c r="C34" s="16">
        <v>31</v>
      </c>
      <c r="D34" s="16">
        <f>'[1]功能-实力'!BF35</f>
        <v>590184</v>
      </c>
      <c r="E34" s="16">
        <f>'[1]功能-实力'!BG35</f>
        <v>621192</v>
      </c>
      <c r="F34" s="16">
        <f>'[1]功能-实力'!BH35</f>
        <v>671202</v>
      </c>
      <c r="G34" s="16">
        <f>'[1]功能-实力'!BI35</f>
        <v>750420</v>
      </c>
      <c r="H34" s="16">
        <f>'[1]功能-实力'!BJ35</f>
        <v>813120</v>
      </c>
    </row>
    <row r="35" spans="3:8" x14ac:dyDescent="0.15">
      <c r="C35" s="16">
        <v>32</v>
      </c>
      <c r="D35" s="16">
        <f>'[1]功能-实力'!BF36</f>
        <v>627360</v>
      </c>
      <c r="E35" s="16">
        <f>'[1]功能-实力'!BG36</f>
        <v>663546</v>
      </c>
      <c r="F35" s="16">
        <f>'[1]功能-实力'!BH36</f>
        <v>722364</v>
      </c>
      <c r="G35" s="16">
        <f>'[1]功能-实力'!BI36</f>
        <v>812550</v>
      </c>
      <c r="H35" s="16">
        <f>'[1]功能-实力'!BJ36</f>
        <v>881466</v>
      </c>
    </row>
    <row r="36" spans="3:8" x14ac:dyDescent="0.15">
      <c r="C36" s="16">
        <v>33</v>
      </c>
      <c r="D36" s="16">
        <f>'[1]功能-实力'!BF37</f>
        <v>666216</v>
      </c>
      <c r="E36" s="16">
        <f>'[1]功能-实力'!BG37</f>
        <v>707448</v>
      </c>
      <c r="F36" s="16">
        <f>'[1]功能-实力'!BH37</f>
        <v>776118</v>
      </c>
      <c r="G36" s="16">
        <f>'[1]功能-实力'!BI37</f>
        <v>878016</v>
      </c>
      <c r="H36" s="16">
        <f>'[1]功能-实力'!BJ37</f>
        <v>952974</v>
      </c>
    </row>
    <row r="37" spans="3:8" x14ac:dyDescent="0.15">
      <c r="C37" s="16">
        <v>34</v>
      </c>
      <c r="D37" s="16">
        <f>'[1]功能-实力'!BF38</f>
        <v>706434</v>
      </c>
      <c r="E37" s="16">
        <f>'[1]功能-实力'!BG38</f>
        <v>753570</v>
      </c>
      <c r="F37" s="16">
        <f>'[1]功能-实力'!BH38</f>
        <v>832476</v>
      </c>
      <c r="G37" s="16">
        <f>'[1]功能-实力'!BI38</f>
        <v>942594</v>
      </c>
      <c r="H37" s="16">
        <f>'[1]功能-实力'!BJ38</f>
        <v>1019580</v>
      </c>
    </row>
    <row r="38" spans="3:8" x14ac:dyDescent="0.15">
      <c r="C38" s="16">
        <v>35</v>
      </c>
      <c r="D38" s="16">
        <f>'[1]功能-实力'!BF39</f>
        <v>752082</v>
      </c>
      <c r="E38" s="16">
        <f>'[1]功能-实力'!BG39</f>
        <v>802908</v>
      </c>
      <c r="F38" s="16">
        <f>'[1]功能-实力'!BH39</f>
        <v>883836</v>
      </c>
      <c r="G38" s="16">
        <f>'[1]功能-实力'!BI39</f>
        <v>1000482</v>
      </c>
      <c r="H38" s="16">
        <f>'[1]功能-实力'!BJ39</f>
        <v>1082262</v>
      </c>
    </row>
    <row r="39" spans="3:8" x14ac:dyDescent="0.15">
      <c r="C39" s="16">
        <v>36</v>
      </c>
      <c r="D39" s="16">
        <f>'[1]功能-实力'!BF40</f>
        <v>804888</v>
      </c>
      <c r="E39" s="16">
        <f>'[1]功能-实力'!BG40</f>
        <v>855180</v>
      </c>
      <c r="F39" s="16">
        <f>'[1]功能-实力'!BH40</f>
        <v>934506</v>
      </c>
      <c r="G39" s="16">
        <f>'[1]功能-实力'!BI40</f>
        <v>1060482</v>
      </c>
      <c r="H39" s="16">
        <f>'[1]功能-实力'!BJ40</f>
        <v>1146834</v>
      </c>
    </row>
    <row r="40" spans="3:8" x14ac:dyDescent="0.15">
      <c r="C40" s="16">
        <v>37</v>
      </c>
      <c r="D40" s="16">
        <f>'[1]功能-实力'!BF41</f>
        <v>860058</v>
      </c>
      <c r="E40" s="16">
        <f>'[1]功能-实力'!BG41</f>
        <v>909258</v>
      </c>
      <c r="F40" s="16">
        <f>'[1]功能-实力'!BH41</f>
        <v>987078</v>
      </c>
      <c r="G40" s="16">
        <f>'[1]功能-实力'!BI41</f>
        <v>1121976</v>
      </c>
      <c r="H40" s="16">
        <f>'[1]功能-实力'!BJ41</f>
        <v>1214364</v>
      </c>
    </row>
    <row r="41" spans="3:8" x14ac:dyDescent="0.15">
      <c r="C41" s="16">
        <v>38</v>
      </c>
      <c r="D41" s="16">
        <f>'[1]功能-实力'!BF42</f>
        <v>917460</v>
      </c>
      <c r="E41" s="16">
        <f>'[1]功能-实力'!BG42</f>
        <v>965472</v>
      </c>
      <c r="F41" s="16">
        <f>'[1]功能-实力'!BH42</f>
        <v>1041144</v>
      </c>
      <c r="G41" s="16">
        <f>'[1]功能-实力'!BI42</f>
        <v>1185966</v>
      </c>
      <c r="H41" s="16">
        <f>'[1]功能-实力'!BJ42</f>
        <v>1284528</v>
      </c>
    </row>
    <row r="42" spans="3:8" x14ac:dyDescent="0.15">
      <c r="C42" s="16">
        <v>39</v>
      </c>
      <c r="D42" s="16">
        <f>'[1]功能-实力'!BF43</f>
        <v>977358</v>
      </c>
      <c r="E42" s="16">
        <f>'[1]功能-实力'!BG43</f>
        <v>1023654</v>
      </c>
      <c r="F42" s="16">
        <f>'[1]功能-实力'!BH43</f>
        <v>1097184</v>
      </c>
      <c r="G42" s="16">
        <f>'[1]功能-实力'!BI43</f>
        <v>1252716</v>
      </c>
      <c r="H42" s="16">
        <f>'[1]功能-实力'!BJ43</f>
        <v>1357716</v>
      </c>
    </row>
    <row r="43" spans="3:8" x14ac:dyDescent="0.15">
      <c r="C43" s="16">
        <v>40</v>
      </c>
      <c r="D43" s="16">
        <f>'[1]功能-实力'!BF44</f>
        <v>1039956</v>
      </c>
      <c r="E43" s="16">
        <f>'[1]功能-实力'!BG44</f>
        <v>1080510</v>
      </c>
      <c r="F43" s="16">
        <f>'[1]功能-实力'!BH44</f>
        <v>1154922</v>
      </c>
      <c r="G43" s="16">
        <f>'[1]功能-实力'!BI44</f>
        <v>1323294</v>
      </c>
      <c r="H43" s="16">
        <f>'[1]功能-实力'!BJ44</f>
        <v>1434768</v>
      </c>
    </row>
    <row r="44" spans="3:8" x14ac:dyDescent="0.15">
      <c r="C44" s="16">
        <v>41</v>
      </c>
      <c r="D44" s="16">
        <f>'[1]功能-实力'!BF45</f>
        <v>1083990</v>
      </c>
      <c r="E44" s="16">
        <f>'[1]功能-实力'!BG45</f>
        <v>1123992</v>
      </c>
      <c r="F44" s="16">
        <f>'[1]功能-实力'!BH45</f>
        <v>1204488</v>
      </c>
      <c r="G44" s="16">
        <f>'[1]功能-实力'!BI45</f>
        <v>1386138</v>
      </c>
      <c r="H44" s="16">
        <f>'[1]功能-实力'!BJ45</f>
        <v>1504656</v>
      </c>
    </row>
    <row r="45" spans="3:8" x14ac:dyDescent="0.15">
      <c r="C45" s="16">
        <v>42</v>
      </c>
      <c r="D45" s="16">
        <f>'[1]功能-实力'!BF46</f>
        <v>1129710</v>
      </c>
      <c r="E45" s="16">
        <f>'[1]功能-实力'!BG46</f>
        <v>1169460</v>
      </c>
      <c r="F45" s="16">
        <f>'[1]功能-实力'!BH46</f>
        <v>1255398</v>
      </c>
      <c r="G45" s="16">
        <f>'[1]功能-实力'!BI46</f>
        <v>1451814</v>
      </c>
      <c r="H45" s="16">
        <f>'[1]功能-实力'!BJ46</f>
        <v>1576116</v>
      </c>
    </row>
    <row r="46" spans="3:8" x14ac:dyDescent="0.15">
      <c r="C46" s="16">
        <v>43</v>
      </c>
      <c r="D46" s="16">
        <f>'[1]功能-实力'!BF47</f>
        <v>1177194</v>
      </c>
      <c r="E46" s="16">
        <f>'[1]功能-实力'!BG47</f>
        <v>1218108</v>
      </c>
      <c r="F46" s="16">
        <f>'[1]功能-实力'!BH47</f>
        <v>1307406</v>
      </c>
      <c r="G46" s="16">
        <f>'[1]功能-实力'!BI47</f>
        <v>1519506</v>
      </c>
      <c r="H46" s="16">
        <f>'[1]功能-实力'!BJ47</f>
        <v>1651386</v>
      </c>
    </row>
    <row r="47" spans="3:8" x14ac:dyDescent="0.15">
      <c r="C47" s="16">
        <v>44</v>
      </c>
      <c r="D47" s="16">
        <f>'[1]功能-实力'!BF48</f>
        <v>1226382</v>
      </c>
      <c r="E47" s="16">
        <f>'[1]功能-实力'!BG48</f>
        <v>1268790</v>
      </c>
      <c r="F47" s="16">
        <f>'[1]功能-实力'!BH48</f>
        <v>1362888</v>
      </c>
      <c r="G47" s="16">
        <f>'[1]功能-实力'!BI48</f>
        <v>1591950</v>
      </c>
      <c r="H47" s="16">
        <f>'[1]功能-实力'!BJ48</f>
        <v>1727340</v>
      </c>
    </row>
    <row r="48" spans="3:8" x14ac:dyDescent="0.15">
      <c r="C48" s="16">
        <v>45</v>
      </c>
      <c r="D48" s="16">
        <f>'[1]功能-实力'!BF49</f>
        <v>1276404</v>
      </c>
      <c r="E48" s="16">
        <f>'[1]功能-实力'!BG49</f>
        <v>1322472</v>
      </c>
      <c r="F48" s="16">
        <f>'[1]功能-实力'!BH49</f>
        <v>1422756</v>
      </c>
      <c r="G48" s="16">
        <f>'[1]功能-实力'!BI49</f>
        <v>1665660</v>
      </c>
      <c r="H48" s="16">
        <f>'[1]功能-实力'!BJ49</f>
        <v>1805226</v>
      </c>
    </row>
    <row r="49" spans="3:8" x14ac:dyDescent="0.15">
      <c r="C49" s="16">
        <v>46</v>
      </c>
      <c r="D49" s="16">
        <f>'[1]功能-实力'!BF50</f>
        <v>1328442</v>
      </c>
      <c r="E49" s="16">
        <f>'[1]功能-实力'!BG50</f>
        <v>1377858</v>
      </c>
      <c r="F49" s="16">
        <f>'[1]功能-实力'!BH50</f>
        <v>1486728</v>
      </c>
      <c r="G49" s="16">
        <f>'[1]功能-实力'!BI50</f>
        <v>1738350</v>
      </c>
      <c r="H49" s="16">
        <f>'[1]功能-实力'!BJ50</f>
        <v>1884918</v>
      </c>
    </row>
    <row r="50" spans="3:8" x14ac:dyDescent="0.15">
      <c r="C50" s="16">
        <v>47</v>
      </c>
      <c r="D50" s="16">
        <f>'[1]功能-实力'!BF51</f>
        <v>1382172</v>
      </c>
      <c r="E50" s="16">
        <f>'[1]功能-实力'!BG51</f>
        <v>1435038</v>
      </c>
      <c r="F50" s="16">
        <f>'[1]功能-实力'!BH51</f>
        <v>1550148</v>
      </c>
      <c r="G50" s="16">
        <f>'[1]功能-实力'!BI51</f>
        <v>1813302</v>
      </c>
      <c r="H50" s="16">
        <f>'[1]功能-实力'!BJ51</f>
        <v>1966938</v>
      </c>
    </row>
    <row r="51" spans="3:8" x14ac:dyDescent="0.15">
      <c r="C51" s="16">
        <v>48</v>
      </c>
      <c r="D51" s="16">
        <f>'[1]功能-实力'!BF52</f>
        <v>1438056</v>
      </c>
      <c r="E51" s="16">
        <f>'[1]功能-实力'!BG52</f>
        <v>1492830</v>
      </c>
      <c r="F51" s="16">
        <f>'[1]功能-实力'!BH52</f>
        <v>1614942</v>
      </c>
      <c r="G51" s="16">
        <f>'[1]功能-实力'!BI52</f>
        <v>1889850</v>
      </c>
      <c r="H51" s="16">
        <f>'[1]功能-实力'!BJ52</f>
        <v>2051340</v>
      </c>
    </row>
    <row r="52" spans="3:8" x14ac:dyDescent="0.15">
      <c r="C52" s="16">
        <v>49</v>
      </c>
      <c r="D52" s="16">
        <f>'[1]功能-实力'!BF53</f>
        <v>1495404</v>
      </c>
      <c r="E52" s="16">
        <f>'[1]功能-实力'!BG53</f>
        <v>1550610</v>
      </c>
      <c r="F52" s="16">
        <f>'[1]功能-实力'!BH53</f>
        <v>1681242</v>
      </c>
      <c r="G52" s="16">
        <f>'[1]功能-实力'!BI53</f>
        <v>1994556</v>
      </c>
      <c r="H52" s="16">
        <f>'[1]功能-实力'!BJ53</f>
        <v>2137476</v>
      </c>
    </row>
    <row r="53" spans="3:8" x14ac:dyDescent="0.15">
      <c r="C53" s="16">
        <v>50</v>
      </c>
      <c r="D53" s="16">
        <f>'[1]功能-实力'!BF54</f>
        <v>1554810</v>
      </c>
      <c r="E53" s="16">
        <f>'[1]功能-实力'!BG54</f>
        <v>1615872</v>
      </c>
      <c r="F53" s="16">
        <f>'[1]功能-实力'!BH54</f>
        <v>1791768</v>
      </c>
      <c r="G53" s="16">
        <f>'[1]功能-实力'!BI54</f>
        <v>2076912</v>
      </c>
      <c r="H53" s="16">
        <f>'[1]功能-实力'!BJ54</f>
        <v>2226168</v>
      </c>
    </row>
    <row r="54" spans="3:8" x14ac:dyDescent="0.15">
      <c r="C54" s="16">
        <v>51</v>
      </c>
      <c r="D54" s="16">
        <f>'[1]功能-实力'!BF55</f>
        <v>1630014</v>
      </c>
      <c r="E54" s="16">
        <f>'[1]功能-实力'!BG55</f>
        <v>1694178</v>
      </c>
      <c r="F54" s="16">
        <f>'[1]功能-实力'!BH55</f>
        <v>1928148</v>
      </c>
      <c r="G54" s="16">
        <f>'[1]功能-实力'!BI55</f>
        <v>2182542</v>
      </c>
      <c r="H54" s="16">
        <f>'[1]功能-实力'!BJ55</f>
        <v>2346540</v>
      </c>
    </row>
    <row r="55" spans="3:8" x14ac:dyDescent="0.15">
      <c r="C55" s="16">
        <v>52</v>
      </c>
      <c r="D55" s="16">
        <f>'[1]功能-实力'!BF56</f>
        <v>1707486</v>
      </c>
      <c r="E55" s="16">
        <f>'[1]功能-实力'!BG56</f>
        <v>1776780</v>
      </c>
      <c r="F55" s="16">
        <f>'[1]功能-实力'!BH56</f>
        <v>2069394</v>
      </c>
      <c r="G55" s="16">
        <f>'[1]功能-实力'!BI56</f>
        <v>2292270</v>
      </c>
      <c r="H55" s="16">
        <f>'[1]功能-实力'!BJ56</f>
        <v>2471412</v>
      </c>
    </row>
    <row r="56" spans="3:8" x14ac:dyDescent="0.15">
      <c r="C56" s="16">
        <v>53</v>
      </c>
      <c r="D56" s="16">
        <f>'[1]功能-实力'!BF57</f>
        <v>1787772</v>
      </c>
      <c r="E56" s="16">
        <f>'[1]功能-实力'!BG57</f>
        <v>1862490</v>
      </c>
      <c r="F56" s="16">
        <f>'[1]功能-实力'!BH57</f>
        <v>2216058</v>
      </c>
      <c r="G56" s="16">
        <f>'[1]功能-实力'!BI57</f>
        <v>2407830</v>
      </c>
      <c r="H56" s="16">
        <f>'[1]功能-实力'!BJ57</f>
        <v>2599458</v>
      </c>
    </row>
    <row r="57" spans="3:8" x14ac:dyDescent="0.15">
      <c r="C57" s="16">
        <v>54</v>
      </c>
      <c r="D57" s="16">
        <f>'[1]功能-实力'!BF58</f>
        <v>1872696</v>
      </c>
      <c r="E57" s="16">
        <f>'[1]功能-实力'!BG58</f>
        <v>1955484</v>
      </c>
      <c r="F57" s="16">
        <f>'[1]功能-实力'!BH58</f>
        <v>2303316</v>
      </c>
      <c r="G57" s="16">
        <f>'[1]功能-实力'!BI58</f>
        <v>2537130</v>
      </c>
      <c r="H57" s="16">
        <f>'[1]功能-实力'!BJ58</f>
        <v>2730582</v>
      </c>
    </row>
    <row r="58" spans="3:8" x14ac:dyDescent="0.15">
      <c r="C58" s="16">
        <v>55</v>
      </c>
      <c r="D58" s="16">
        <f>'[1]功能-实力'!BF59</f>
        <v>1963668</v>
      </c>
      <c r="E58" s="16">
        <f>'[1]功能-实力'!BG59</f>
        <v>2052402</v>
      </c>
      <c r="F58" s="16">
        <f>'[1]功能-实力'!BH59</f>
        <v>2378004</v>
      </c>
      <c r="G58" s="16">
        <f>'[1]功能-实力'!BI59</f>
        <v>2670438</v>
      </c>
      <c r="H58" s="16">
        <f>'[1]功能-实力'!BJ59</f>
        <v>2867016</v>
      </c>
    </row>
    <row r="59" spans="3:8" x14ac:dyDescent="0.15">
      <c r="C59" s="16">
        <v>56</v>
      </c>
      <c r="D59" s="16">
        <f>'[1]功能-实力'!BF60</f>
        <v>2059608</v>
      </c>
      <c r="E59" s="16">
        <f>'[1]功能-实力'!BG60</f>
        <v>2152062</v>
      </c>
      <c r="F59" s="16">
        <f>'[1]功能-实力'!BH60</f>
        <v>2454306</v>
      </c>
      <c r="G59" s="16">
        <f>'[1]功能-实力'!BI60</f>
        <v>2808192</v>
      </c>
      <c r="H59" s="16">
        <f>'[1]功能-实力'!BJ60</f>
        <v>3007662</v>
      </c>
    </row>
    <row r="60" spans="3:8" x14ac:dyDescent="0.15">
      <c r="C60" s="16">
        <v>57</v>
      </c>
      <c r="D60" s="16">
        <f>'[1]功能-实力'!BF61</f>
        <v>2158614</v>
      </c>
      <c r="E60" s="16">
        <f>'[1]功能-实力'!BG61</f>
        <v>2255322</v>
      </c>
      <c r="F60" s="16">
        <f>'[1]功能-实力'!BH61</f>
        <v>2532810</v>
      </c>
      <c r="G60" s="16">
        <f>'[1]功能-实力'!BI61</f>
        <v>2951220</v>
      </c>
      <c r="H60" s="16">
        <f>'[1]功能-实力'!BJ61</f>
        <v>3153324</v>
      </c>
    </row>
    <row r="61" spans="3:8" x14ac:dyDescent="0.15">
      <c r="C61" s="16">
        <v>58</v>
      </c>
      <c r="D61" s="16">
        <f>'[1]功能-实力'!BF62</f>
        <v>2261250</v>
      </c>
      <c r="E61" s="16">
        <f>'[1]功能-实力'!BG62</f>
        <v>2361006</v>
      </c>
      <c r="F61" s="16">
        <f>'[1]功能-实力'!BH62</f>
        <v>2614206</v>
      </c>
      <c r="G61" s="16">
        <f>'[1]功能-实力'!BI62</f>
        <v>3100434</v>
      </c>
      <c r="H61" s="16">
        <f>'[1]功能-实力'!BJ62</f>
        <v>3395928</v>
      </c>
    </row>
    <row r="62" spans="3:8" x14ac:dyDescent="0.15">
      <c r="C62" s="16">
        <v>59</v>
      </c>
      <c r="D62" s="16">
        <f>'[1]功能-实力'!BF63</f>
        <v>2366742</v>
      </c>
      <c r="E62" s="16">
        <f>'[1]功能-实力'!BG63</f>
        <v>2470260</v>
      </c>
      <c r="F62" s="16">
        <f>'[1]功能-实力'!BH63</f>
        <v>2698734</v>
      </c>
      <c r="G62" s="16">
        <f>'[1]功能-实力'!BI63</f>
        <v>3257340</v>
      </c>
      <c r="H62" s="16">
        <f>'[1]功能-实力'!BJ63</f>
        <v>3562044</v>
      </c>
    </row>
    <row r="63" spans="3:8" x14ac:dyDescent="0.15">
      <c r="C63" s="16">
        <v>60</v>
      </c>
      <c r="D63" s="16">
        <f>'[1]功能-实力'!BF64</f>
        <v>2490414</v>
      </c>
      <c r="E63" s="16">
        <f>'[1]功能-实力'!BG64</f>
        <v>2630544</v>
      </c>
      <c r="F63" s="16">
        <f>'[1]功能-实力'!BH64</f>
        <v>2868030</v>
      </c>
      <c r="G63" s="16">
        <f>'[1]功能-实力'!BI64</f>
        <v>3475218</v>
      </c>
      <c r="H63" s="16">
        <f>'[1]功能-实力'!BJ64</f>
        <v>3796824</v>
      </c>
    </row>
    <row r="64" spans="3:8" x14ac:dyDescent="0.15">
      <c r="C64" s="16">
        <v>61</v>
      </c>
      <c r="D64" s="16">
        <f>'[1]功能-实力'!BF65</f>
        <v>2642196</v>
      </c>
      <c r="E64" s="16">
        <f>'[1]功能-实力'!BG65</f>
        <v>2823774</v>
      </c>
      <c r="F64" s="16">
        <f>'[1]功能-实力'!BH65</f>
        <v>3085332</v>
      </c>
      <c r="G64" s="16">
        <f>'[1]功能-实力'!BI65</f>
        <v>3732240</v>
      </c>
      <c r="H64" s="16">
        <f>'[1]功能-实力'!BJ65</f>
        <v>4058118</v>
      </c>
    </row>
    <row r="65" spans="3:8" x14ac:dyDescent="0.15">
      <c r="C65" s="16">
        <v>62</v>
      </c>
      <c r="D65" s="16">
        <f>'[1]功能-实力'!BF66</f>
        <v>2800536</v>
      </c>
      <c r="E65" s="16">
        <f>'[1]功能-实力'!BG66</f>
        <v>3022926</v>
      </c>
      <c r="F65" s="16">
        <f>'[1]功能-实力'!BH66</f>
        <v>3313938</v>
      </c>
      <c r="G65" s="16">
        <f>'[1]功能-实力'!BI66</f>
        <v>4001838</v>
      </c>
      <c r="H65" s="16">
        <f>'[1]功能-实力'!BJ66</f>
        <v>4331904</v>
      </c>
    </row>
    <row r="66" spans="3:8" x14ac:dyDescent="0.15">
      <c r="C66" s="16">
        <v>63</v>
      </c>
      <c r="D66" s="16">
        <f>'[1]功能-实力'!BF67</f>
        <v>2964798</v>
      </c>
      <c r="E66" s="16">
        <f>'[1]功能-实力'!BG67</f>
        <v>3231210</v>
      </c>
      <c r="F66" s="16">
        <f>'[1]功能-实力'!BH67</f>
        <v>3553128</v>
      </c>
      <c r="G66" s="16">
        <f>'[1]功能-实力'!BI67</f>
        <v>4285242</v>
      </c>
      <c r="H66" s="16">
        <f>'[1]功能-实力'!BJ67</f>
        <v>4617648</v>
      </c>
    </row>
    <row r="67" spans="3:8" x14ac:dyDescent="0.15">
      <c r="C67" s="16">
        <v>64</v>
      </c>
      <c r="D67" s="16">
        <f>'[1]功能-实力'!BF68</f>
        <v>3136764</v>
      </c>
      <c r="E67" s="16">
        <f>'[1]功能-实力'!BG68</f>
        <v>3447708</v>
      </c>
      <c r="F67" s="16">
        <f>'[1]功能-实力'!BH68</f>
        <v>3805398</v>
      </c>
      <c r="G67" s="16">
        <f>'[1]功能-实力'!BI68</f>
        <v>4581732</v>
      </c>
      <c r="H67" s="16">
        <f>'[1]功能-实力'!BJ68</f>
        <v>4913484</v>
      </c>
    </row>
    <row r="68" spans="3:8" x14ac:dyDescent="0.15">
      <c r="C68" s="16">
        <v>65</v>
      </c>
      <c r="D68" s="16">
        <f>'[1]功能-实力'!BF69</f>
        <v>3316092</v>
      </c>
      <c r="E68" s="16">
        <f>'[1]功能-实力'!BG69</f>
        <v>3676338</v>
      </c>
      <c r="F68" s="16">
        <f>'[1]功能-实力'!BH69</f>
        <v>4072902</v>
      </c>
      <c r="G68" s="16">
        <f>'[1]功能-实力'!BI69</f>
        <v>4884288</v>
      </c>
      <c r="H68" s="16">
        <f>'[1]功能-实力'!BJ69</f>
        <v>5212716</v>
      </c>
    </row>
    <row r="69" spans="3:8" x14ac:dyDescent="0.15">
      <c r="C69" s="16">
        <v>66</v>
      </c>
      <c r="D69" s="16">
        <f>'[1]功能-实力'!BF70</f>
        <v>3489840</v>
      </c>
      <c r="E69" s="16">
        <f>'[1]功能-实力'!BG70</f>
        <v>3907932</v>
      </c>
      <c r="F69" s="16">
        <f>'[1]功能-实力'!BH70</f>
        <v>4345710</v>
      </c>
      <c r="G69" s="16">
        <f>'[1]功能-实力'!BI70</f>
        <v>5184936</v>
      </c>
      <c r="H69" s="16">
        <f>'[1]功能-实力'!BJ70</f>
        <v>5526288</v>
      </c>
    </row>
    <row r="70" spans="3:8" x14ac:dyDescent="0.15">
      <c r="C70" s="16">
        <v>67</v>
      </c>
      <c r="D70" s="16">
        <f>'[1]功能-实力'!BF71</f>
        <v>3669258</v>
      </c>
      <c r="E70" s="16">
        <f>'[1]功能-实力'!BG71</f>
        <v>4149894</v>
      </c>
      <c r="F70" s="16">
        <f>'[1]功能-实力'!BH71</f>
        <v>4624320</v>
      </c>
      <c r="G70" s="16">
        <f>'[1]功能-实力'!BI71</f>
        <v>5500842</v>
      </c>
      <c r="H70" s="16">
        <f>'[1]功能-实力'!BJ71</f>
        <v>5860674</v>
      </c>
    </row>
    <row r="71" spans="3:8" x14ac:dyDescent="0.15">
      <c r="C71" s="16">
        <v>68</v>
      </c>
      <c r="D71" s="16">
        <f>'[1]功能-实力'!BF72</f>
        <v>3853356</v>
      </c>
      <c r="E71" s="16">
        <f>'[1]功能-实力'!BG72</f>
        <v>4399938</v>
      </c>
      <c r="F71" s="16">
        <f>'[1]功能-实力'!BH72</f>
        <v>4913328</v>
      </c>
      <c r="G71" s="16">
        <f>'[1]功能-实力'!BI72</f>
        <v>5844066</v>
      </c>
      <c r="H71" s="16">
        <f>'[1]功能-实力'!BJ72</f>
        <v>6220290</v>
      </c>
    </row>
    <row r="72" spans="3:8" x14ac:dyDescent="0.15">
      <c r="C72" s="16">
        <v>69</v>
      </c>
      <c r="D72" s="16">
        <f>'[1]功能-实力'!BF73</f>
        <v>4043166</v>
      </c>
      <c r="E72" s="16">
        <f>'[1]功能-实力'!BG73</f>
        <v>4658892</v>
      </c>
      <c r="F72" s="16">
        <f>'[1]功能-实力'!BH73</f>
        <v>5224170</v>
      </c>
      <c r="G72" s="16">
        <f>'[1]功能-实力'!BI73</f>
        <v>6195210</v>
      </c>
      <c r="H72" s="16">
        <f>'[1]功能-实力'!BJ73</f>
        <v>6597648</v>
      </c>
    </row>
    <row r="73" spans="3:8" x14ac:dyDescent="0.15">
      <c r="C73" s="16">
        <v>70</v>
      </c>
      <c r="D73" s="16">
        <f>'[1]功能-实力'!BF74</f>
        <v>4260048</v>
      </c>
      <c r="E73" s="16">
        <f>'[1]功能-实力'!BG74</f>
        <v>4960356</v>
      </c>
      <c r="F73" s="16">
        <f>'[1]功能-实力'!BH74</f>
        <v>5670456</v>
      </c>
      <c r="G73" s="16">
        <f>'[1]功能-实力'!BI74</f>
        <v>6767100</v>
      </c>
      <c r="H73" s="16">
        <f>'[1]功能-实力'!BJ74</f>
        <v>7085184</v>
      </c>
    </row>
    <row r="74" spans="3:8" x14ac:dyDescent="0.15">
      <c r="C74" s="16">
        <v>71</v>
      </c>
      <c r="D74" s="16">
        <f>'[1]功能-实力'!BF75</f>
        <v>4510182</v>
      </c>
      <c r="E74" s="16">
        <f>'[1]功能-实力'!BG75</f>
        <v>5254344</v>
      </c>
      <c r="F74" s="16">
        <f>'[1]功能-实力'!BH75</f>
        <v>5976282</v>
      </c>
      <c r="G74" s="16">
        <f>'[1]功能-实力'!BI75</f>
        <v>7156476</v>
      </c>
      <c r="H74" s="16">
        <f>'[1]功能-实力'!BJ75</f>
        <v>7512150</v>
      </c>
    </row>
    <row r="75" spans="3:8" x14ac:dyDescent="0.15">
      <c r="C75" s="16">
        <v>72</v>
      </c>
      <c r="D75" s="16">
        <f>'[1]功能-实力'!BF76</f>
        <v>4781742</v>
      </c>
      <c r="E75" s="16">
        <f>'[1]功能-实力'!BG76</f>
        <v>5563848</v>
      </c>
      <c r="F75" s="16">
        <f>'[1]功能-实力'!BH76</f>
        <v>6295554</v>
      </c>
      <c r="G75" s="16">
        <f>'[1]功能-实力'!BI76</f>
        <v>7571568</v>
      </c>
      <c r="H75" s="16">
        <f>'[1]功能-实力'!BJ76</f>
        <v>7977000</v>
      </c>
    </row>
    <row r="76" spans="3:8" x14ac:dyDescent="0.15">
      <c r="C76" s="16">
        <v>73</v>
      </c>
      <c r="D76" s="16">
        <f>'[1]功能-实力'!BF77</f>
        <v>5070846</v>
      </c>
      <c r="E76" s="16">
        <f>'[1]功能-实力'!BG77</f>
        <v>5879160</v>
      </c>
      <c r="F76" s="16">
        <f>'[1]功能-实力'!BH77</f>
        <v>6644778</v>
      </c>
      <c r="G76" s="16">
        <f>'[1]功能-实力'!BI77</f>
        <v>8077662</v>
      </c>
      <c r="H76" s="16">
        <f>'[1]功能-实力'!BJ77</f>
        <v>8507952</v>
      </c>
    </row>
    <row r="77" spans="3:8" x14ac:dyDescent="0.15">
      <c r="C77" s="16">
        <v>74</v>
      </c>
      <c r="D77" s="16">
        <f>'[1]功能-实力'!BF78</f>
        <v>5375628</v>
      </c>
      <c r="E77" s="16">
        <f>'[1]功能-实力'!BG78</f>
        <v>6209016</v>
      </c>
      <c r="F77" s="16">
        <f>'[1]功能-实力'!BH78</f>
        <v>7020798</v>
      </c>
      <c r="G77" s="16">
        <f>'[1]功能-实力'!BI78</f>
        <v>8618682</v>
      </c>
      <c r="H77" s="16">
        <f>'[1]功能-实力'!BJ78</f>
        <v>9108474</v>
      </c>
    </row>
    <row r="78" spans="3:8" x14ac:dyDescent="0.15">
      <c r="C78" s="16">
        <v>75</v>
      </c>
      <c r="D78" s="16">
        <f>'[1]功能-实力'!BF79</f>
        <v>5699256</v>
      </c>
      <c r="E78" s="16">
        <f>'[1]功能-实力'!BG79</f>
        <v>6577158</v>
      </c>
      <c r="F78" s="16">
        <f>'[1]功能-实力'!BH79</f>
        <v>7429542</v>
      </c>
      <c r="G78" s="16">
        <f>'[1]功能-实力'!BI79</f>
        <v>9191712</v>
      </c>
      <c r="H78" s="16">
        <f>'[1]功能-实力'!BJ79</f>
        <v>9743712</v>
      </c>
    </row>
    <row r="79" spans="3:8" x14ac:dyDescent="0.15">
      <c r="C79" s="16">
        <v>76</v>
      </c>
      <c r="D79" s="16">
        <f>'[1]功能-实力'!BF80</f>
        <v>6075402</v>
      </c>
      <c r="E79" s="16">
        <f>'[1]功能-实力'!BG80</f>
        <v>6981126</v>
      </c>
      <c r="F79" s="16">
        <f>'[1]功能-实力'!BH80</f>
        <v>7883688</v>
      </c>
      <c r="G79" s="16">
        <f>'[1]功能-实力'!BI80</f>
        <v>9796842</v>
      </c>
      <c r="H79" s="16">
        <f>'[1]功能-实力'!BJ80</f>
        <v>10449306</v>
      </c>
    </row>
    <row r="80" spans="3:8" x14ac:dyDescent="0.15">
      <c r="C80" s="16">
        <v>77</v>
      </c>
      <c r="D80" s="16">
        <f>'[1]功能-实力'!BF81</f>
        <v>6475530</v>
      </c>
      <c r="E80" s="16">
        <f>'[1]功能-实力'!BG81</f>
        <v>7407126</v>
      </c>
      <c r="F80" s="16">
        <f>'[1]功能-实力'!BH81</f>
        <v>8366514</v>
      </c>
      <c r="G80" s="16">
        <f>'[1]功能-实力'!BI81</f>
        <v>10424136</v>
      </c>
      <c r="H80" s="16">
        <f>'[1]功能-实力'!BJ81</f>
        <v>11183118</v>
      </c>
    </row>
    <row r="81" spans="3:8" x14ac:dyDescent="0.15">
      <c r="C81" s="16">
        <v>78</v>
      </c>
      <c r="D81" s="16">
        <f>'[1]功能-实力'!BF82</f>
        <v>6837246</v>
      </c>
      <c r="E81" s="16">
        <f>'[1]功能-实力'!BG82</f>
        <v>7815510</v>
      </c>
      <c r="F81" s="16">
        <f>'[1]功能-实力'!BH82</f>
        <v>8852100</v>
      </c>
      <c r="G81" s="16">
        <f>'[1]功能-实力'!BI82</f>
        <v>11092050</v>
      </c>
      <c r="H81" s="16">
        <f>'[1]功能-实力'!BJ82</f>
        <v>11898732</v>
      </c>
    </row>
    <row r="82" spans="3:8" x14ac:dyDescent="0.15">
      <c r="C82" s="16">
        <v>79</v>
      </c>
      <c r="D82" s="16">
        <f>'[1]功能-实力'!BF83</f>
        <v>7206294</v>
      </c>
      <c r="E82" s="16">
        <f>'[1]功能-实力'!BG83</f>
        <v>8283150</v>
      </c>
      <c r="F82" s="16">
        <f>'[1]功能-实力'!BH83</f>
        <v>9352434</v>
      </c>
      <c r="G82" s="16">
        <f>'[1]功能-实力'!BI83</f>
        <v>11790144</v>
      </c>
      <c r="H82" s="16">
        <f>'[1]功能-实力'!BJ83</f>
        <v>12651816</v>
      </c>
    </row>
    <row r="83" spans="3:8" x14ac:dyDescent="0.15">
      <c r="C83" s="16">
        <v>80</v>
      </c>
      <c r="D83" s="16">
        <f>'[1]功能-实力'!BF84</f>
        <v>7591818</v>
      </c>
      <c r="E83" s="16">
        <f>'[1]功能-实力'!BG84</f>
        <v>8793300</v>
      </c>
      <c r="F83" s="16">
        <f>'[1]功能-实力'!BH84</f>
        <v>9867750</v>
      </c>
      <c r="G83" s="16">
        <f>'[1]功能-实力'!BI84</f>
        <v>12527832</v>
      </c>
      <c r="H83" s="16">
        <f>'[1]功能-实力'!BJ84</f>
        <v>13460526</v>
      </c>
    </row>
    <row r="84" spans="3:8" x14ac:dyDescent="0.15">
      <c r="C84" s="16">
        <v>81</v>
      </c>
      <c r="D84" s="16">
        <f>'[1]功能-实力'!BF85</f>
        <v>7998912</v>
      </c>
      <c r="E84" s="16">
        <f>'[1]功能-实力'!BG85</f>
        <v>9374640</v>
      </c>
      <c r="F84" s="16">
        <f>'[1]功能-实力'!BH85</f>
        <v>10450206</v>
      </c>
      <c r="G84" s="16">
        <f>'[1]功能-实力'!BI85</f>
        <v>13491456</v>
      </c>
      <c r="H84" s="16">
        <f>'[1]功能-实力'!BJ85</f>
        <v>14500794</v>
      </c>
    </row>
    <row r="85" spans="3:8" x14ac:dyDescent="0.15">
      <c r="C85" s="16">
        <v>82</v>
      </c>
      <c r="D85" s="16">
        <f>'[1]功能-实力'!BF86</f>
        <v>8473962</v>
      </c>
      <c r="E85" s="16">
        <f>'[1]功能-实力'!BG86</f>
        <v>9940014</v>
      </c>
      <c r="F85" s="16">
        <f>'[1]功能-实力'!BH86</f>
        <v>11067426</v>
      </c>
      <c r="G85" s="16">
        <f>'[1]功能-实力'!BI86</f>
        <v>14520438</v>
      </c>
      <c r="H85" s="16">
        <f>'[1]功能-实力'!BJ86</f>
        <v>15569310</v>
      </c>
    </row>
    <row r="86" spans="3:8" x14ac:dyDescent="0.15">
      <c r="C86" s="16">
        <v>83</v>
      </c>
      <c r="D86" s="16">
        <f>'[1]功能-实力'!BF87</f>
        <v>8962314</v>
      </c>
      <c r="E86" s="16">
        <f>'[1]功能-实力'!BG87</f>
        <v>10490964</v>
      </c>
      <c r="F86" s="16">
        <f>'[1]功能-实力'!BH87</f>
        <v>11759286</v>
      </c>
      <c r="G86" s="16">
        <f>'[1]功能-实力'!BI87</f>
        <v>15579732</v>
      </c>
      <c r="H86" s="16">
        <f>'[1]功能-实力'!BJ87</f>
        <v>16522008</v>
      </c>
    </row>
    <row r="87" spans="3:8" x14ac:dyDescent="0.15">
      <c r="C87" s="16">
        <v>84</v>
      </c>
      <c r="D87" s="16">
        <f>'[1]功能-实力'!BF88</f>
        <v>9470388</v>
      </c>
      <c r="E87" s="16">
        <f>'[1]功能-实力'!BG88</f>
        <v>11081778</v>
      </c>
      <c r="F87" s="16">
        <f>'[1]功能-实力'!BH88</f>
        <v>12496626</v>
      </c>
      <c r="G87" s="16">
        <f>'[1]功能-实力'!BI88</f>
        <v>16675014</v>
      </c>
      <c r="H87" s="16">
        <f>'[1]功能-实力'!BJ88</f>
        <v>17589486</v>
      </c>
    </row>
    <row r="88" spans="3:8" x14ac:dyDescent="0.15">
      <c r="C88" s="16">
        <v>85</v>
      </c>
      <c r="D88" s="16">
        <f>'[1]功能-实力'!BF89</f>
        <v>9947994</v>
      </c>
      <c r="E88" s="16">
        <f>'[1]功能-实力'!BG89</f>
        <v>11742942</v>
      </c>
      <c r="F88" s="16">
        <f>'[1]功能-实力'!BH89</f>
        <v>13311852</v>
      </c>
      <c r="G88" s="16">
        <f>'[1]功能-实力'!BI89</f>
        <v>17662194</v>
      </c>
      <c r="H88" s="16">
        <f>'[1]功能-实力'!BJ89</f>
        <v>18698364</v>
      </c>
    </row>
    <row r="89" spans="3:8" x14ac:dyDescent="0.15">
      <c r="C89" s="16">
        <v>86</v>
      </c>
      <c r="D89" s="16">
        <f>'[1]功能-实力'!BF90</f>
        <v>10503738</v>
      </c>
      <c r="E89" s="16">
        <f>'[1]功能-实力'!BG90</f>
        <v>12486912</v>
      </c>
      <c r="F89" s="16">
        <f>'[1]功能-实力'!BH90</f>
        <v>14185926</v>
      </c>
      <c r="G89" s="16">
        <f>'[1]功能-实力'!BI90</f>
        <v>18664938</v>
      </c>
      <c r="H89" s="16">
        <f>'[1]功能-实力'!BJ90</f>
        <v>19665288</v>
      </c>
    </row>
    <row r="90" spans="3:8" x14ac:dyDescent="0.15">
      <c r="C90" s="16">
        <v>87</v>
      </c>
      <c r="D90" s="16">
        <f>'[1]功能-实力'!BF91</f>
        <v>11122080</v>
      </c>
      <c r="E90" s="16">
        <f>'[1]功能-实力'!BG91</f>
        <v>13262310</v>
      </c>
      <c r="F90" s="16">
        <f>'[1]功能-实力'!BH91</f>
        <v>15057924</v>
      </c>
      <c r="G90" s="16">
        <f>'[1]功能-实力'!BI91</f>
        <v>19678122</v>
      </c>
      <c r="H90" s="16">
        <f>'[1]功能-实力'!BJ91</f>
        <v>20700282</v>
      </c>
    </row>
    <row r="91" spans="3:8" x14ac:dyDescent="0.15">
      <c r="C91" s="16">
        <v>88</v>
      </c>
      <c r="D91" s="16">
        <f>'[1]功能-实力'!BF92</f>
        <v>11679168</v>
      </c>
      <c r="E91" s="16">
        <f>'[1]功能-实力'!BG92</f>
        <v>14063940</v>
      </c>
      <c r="F91" s="16">
        <f>'[1]功能-实力'!BH92</f>
        <v>15989436</v>
      </c>
      <c r="G91" s="16">
        <f>'[1]功能-实力'!BI92</f>
        <v>20694960</v>
      </c>
      <c r="H91" s="16">
        <f>'[1]功能-实力'!BJ92</f>
        <v>21716076</v>
      </c>
    </row>
    <row r="92" spans="3:8" x14ac:dyDescent="0.15">
      <c r="C92" s="16">
        <v>89</v>
      </c>
      <c r="D92" s="16">
        <f>'[1]功能-实力'!BF93</f>
        <v>12159522</v>
      </c>
      <c r="E92" s="16">
        <f>'[1]功能-实力'!BG93</f>
        <v>14800722</v>
      </c>
      <c r="F92" s="16">
        <f>'[1]功能-实力'!BH93</f>
        <v>16941942</v>
      </c>
      <c r="G92" s="16">
        <f>'[1]功能-实力'!BI93</f>
        <v>21744762</v>
      </c>
      <c r="H92" s="16">
        <f>'[1]功能-实力'!BJ93</f>
        <v>22696080</v>
      </c>
    </row>
    <row r="93" spans="3:8" x14ac:dyDescent="0.15">
      <c r="C93" s="16">
        <v>90</v>
      </c>
      <c r="D93" s="16">
        <f>'[1]功能-实力'!BF94</f>
        <v>12616074</v>
      </c>
      <c r="E93" s="16">
        <f>'[1]功能-实力'!BG94</f>
        <v>15503874</v>
      </c>
      <c r="F93" s="16">
        <f>'[1]功能-实力'!BH94</f>
        <v>18005070</v>
      </c>
      <c r="G93" s="16">
        <f>'[1]功能-实力'!BI94</f>
        <v>22780392</v>
      </c>
      <c r="H93" s="16">
        <f>'[1]功能-实力'!BJ94</f>
        <v>23732160</v>
      </c>
    </row>
    <row r="94" spans="3:8" x14ac:dyDescent="0.15">
      <c r="C94" s="16">
        <v>91</v>
      </c>
      <c r="D94" s="16">
        <f>'[1]功能-实力'!BF95</f>
        <v>13100052</v>
      </c>
      <c r="E94" s="16">
        <f>'[1]功能-实力'!BG95</f>
        <v>16326048</v>
      </c>
      <c r="F94" s="16">
        <f>'[1]功能-实力'!BH95</f>
        <v>18893484</v>
      </c>
      <c r="G94" s="16">
        <f>'[1]功能-实力'!BI95</f>
        <v>23760276</v>
      </c>
      <c r="H94" s="16">
        <f>'[1]功能-实力'!BJ95</f>
        <v>24821616</v>
      </c>
    </row>
    <row r="95" spans="3:8" x14ac:dyDescent="0.15">
      <c r="C95" s="16">
        <v>92</v>
      </c>
      <c r="D95" s="16">
        <f>'[1]功能-实力'!BF96</f>
        <v>13656246</v>
      </c>
      <c r="E95" s="16">
        <f>'[1]功能-实力'!BG96</f>
        <v>17131674</v>
      </c>
      <c r="F95" s="16">
        <f>'[1]功能-实力'!BH96</f>
        <v>19715808</v>
      </c>
      <c r="G95" s="16">
        <f>'[1]功能-实力'!BI96</f>
        <v>24802782</v>
      </c>
      <c r="H95" s="16">
        <f>'[1]功能-实力'!BJ96</f>
        <v>25859334</v>
      </c>
    </row>
    <row r="96" spans="3:8" x14ac:dyDescent="0.15">
      <c r="C96" s="16">
        <v>93</v>
      </c>
      <c r="D96" s="16">
        <f>'[1]功能-实力'!BF97</f>
        <v>14197410</v>
      </c>
      <c r="E96" s="16">
        <f>'[1]功能-实力'!BG97</f>
        <v>17953662</v>
      </c>
      <c r="F96" s="16">
        <f>'[1]功能-实力'!BH97</f>
        <v>20587878</v>
      </c>
      <c r="G96" s="16">
        <f>'[1]功能-实力'!BI97</f>
        <v>25890600</v>
      </c>
      <c r="H96" s="16">
        <f>'[1]功能-实力'!BJ97</f>
        <v>26910522</v>
      </c>
    </row>
    <row r="97" spans="3:8" x14ac:dyDescent="0.15">
      <c r="C97" s="16">
        <v>94</v>
      </c>
      <c r="D97" s="16">
        <f>'[1]功能-实力'!BF98</f>
        <v>14731860</v>
      </c>
      <c r="E97" s="16">
        <f>'[1]功能-实力'!BG98</f>
        <v>18714858</v>
      </c>
      <c r="F97" s="16">
        <f>'[1]功能-实力'!BH98</f>
        <v>21530886</v>
      </c>
      <c r="G97" s="16">
        <f>'[1]功能-实力'!BI98</f>
        <v>26996544</v>
      </c>
      <c r="H97" s="16">
        <f>'[1]功能-实力'!BJ98</f>
        <v>27983832</v>
      </c>
    </row>
    <row r="98" spans="3:8" x14ac:dyDescent="0.15">
      <c r="C98" s="16">
        <v>95</v>
      </c>
      <c r="D98" s="16">
        <f>'[1]功能-实力'!BF99</f>
        <v>15294642</v>
      </c>
      <c r="E98" s="16">
        <f>'[1]功能-实力'!BG99</f>
        <v>19516122</v>
      </c>
      <c r="F98" s="16">
        <f>'[1]功能-实力'!BH99</f>
        <v>22450212</v>
      </c>
      <c r="G98" s="16">
        <f>'[1]功能-实力'!BI99</f>
        <v>27991794</v>
      </c>
      <c r="H98" s="16">
        <f>'[1]功能-实力'!BJ99</f>
        <v>29108670</v>
      </c>
    </row>
    <row r="99" spans="3:8" x14ac:dyDescent="0.15">
      <c r="C99" s="16">
        <v>96</v>
      </c>
      <c r="D99" s="16">
        <f>'[1]功能-实力'!BF100</f>
        <v>15897222</v>
      </c>
      <c r="E99" s="16">
        <f>'[1]功能-实力'!BG100</f>
        <v>20473518</v>
      </c>
      <c r="F99" s="16">
        <f>'[1]功能-实力'!BH100</f>
        <v>23320272</v>
      </c>
      <c r="G99" s="16">
        <f>'[1]功能-实力'!BI100</f>
        <v>29063004</v>
      </c>
      <c r="H99" s="16">
        <f>'[1]功能-实力'!BJ100</f>
        <v>30279324</v>
      </c>
    </row>
    <row r="100" spans="3:8" x14ac:dyDescent="0.15">
      <c r="C100" s="16">
        <v>97</v>
      </c>
      <c r="D100" s="16">
        <f>'[1]功能-实力'!BF101</f>
        <v>16567974</v>
      </c>
      <c r="E100" s="16">
        <f>'[1]功能-实力'!BG101</f>
        <v>21220404</v>
      </c>
      <c r="F100" s="16">
        <f>'[1]功能-实力'!BH101</f>
        <v>24256206</v>
      </c>
      <c r="G100" s="16">
        <f>'[1]功能-实力'!BI101</f>
        <v>30195174</v>
      </c>
      <c r="H100" s="16">
        <f>'[1]功能-实力'!BJ101</f>
        <v>31511208</v>
      </c>
    </row>
    <row r="101" spans="3:8" x14ac:dyDescent="0.15">
      <c r="C101" s="16">
        <v>98</v>
      </c>
      <c r="D101" s="16">
        <f>'[1]功能-实力'!BF102</f>
        <v>17170146</v>
      </c>
      <c r="E101" s="16">
        <f>'[1]功能-实力'!BG102</f>
        <v>21927630</v>
      </c>
      <c r="F101" s="16">
        <f>'[1]功能-实力'!BH102</f>
        <v>25229964</v>
      </c>
      <c r="G101" s="16">
        <f>'[1]功能-实力'!BI102</f>
        <v>31332024</v>
      </c>
      <c r="H101" s="16">
        <f>'[1]功能-实力'!BJ102</f>
        <v>32779164</v>
      </c>
    </row>
    <row r="102" spans="3:8" x14ac:dyDescent="0.15">
      <c r="C102" s="16">
        <v>99</v>
      </c>
      <c r="D102" s="16">
        <f>'[1]功能-实力'!BF103</f>
        <v>17823042</v>
      </c>
      <c r="E102" s="16">
        <f>'[1]功能-实力'!BG103</f>
        <v>22660758</v>
      </c>
      <c r="F102" s="16">
        <f>'[1]功能-实力'!BH103</f>
        <v>26231892</v>
      </c>
      <c r="G102" s="16">
        <f>'[1]功能-实力'!BI103</f>
        <v>32496552</v>
      </c>
      <c r="H102" s="16">
        <f>'[1]功能-实力'!BJ103</f>
        <v>33886782</v>
      </c>
    </row>
    <row r="103" spans="3:8" x14ac:dyDescent="0.15">
      <c r="C103" s="16">
        <v>100</v>
      </c>
      <c r="D103" s="16">
        <f>'[1]功能-实力'!BF104</f>
        <v>18506772</v>
      </c>
      <c r="E103" s="16">
        <f>'[1]功能-实力'!BG104</f>
        <v>23414310</v>
      </c>
      <c r="F103" s="16">
        <f>'[1]功能-实力'!BH104</f>
        <v>27260196</v>
      </c>
      <c r="G103" s="16">
        <f>'[1]功能-实力'!BI104</f>
        <v>33675408</v>
      </c>
      <c r="H103" s="16">
        <f>'[1]功能-实力'!BJ104</f>
        <v>35022594</v>
      </c>
    </row>
    <row r="104" spans="3:8" x14ac:dyDescent="0.15">
      <c r="C104" s="16">
        <v>101</v>
      </c>
      <c r="D104" s="16">
        <f>'[1]功能-实力'!BF105</f>
        <v>19252938</v>
      </c>
      <c r="E104" s="16">
        <f>'[1]功能-实力'!BG105</f>
        <v>24234468</v>
      </c>
      <c r="F104" s="16">
        <f>'[1]功能-实力'!BH105</f>
        <v>28194312</v>
      </c>
      <c r="G104" s="16">
        <f>'[1]功能-实力'!BI105</f>
        <v>34514820</v>
      </c>
      <c r="H104" s="16">
        <f>'[1]功能-实力'!BJ105</f>
        <v>35839044</v>
      </c>
    </row>
    <row r="105" spans="3:8" x14ac:dyDescent="0.15">
      <c r="C105" s="16">
        <v>102</v>
      </c>
      <c r="D105" s="16">
        <f>'[1]功能-实力'!BF106</f>
        <v>19991094</v>
      </c>
      <c r="E105" s="16">
        <f>'[1]功能-实力'!BG106</f>
        <v>25076274</v>
      </c>
      <c r="F105" s="16">
        <f>'[1]功能-实力'!BH106</f>
        <v>29140740</v>
      </c>
      <c r="G105" s="16">
        <f>'[1]功能-实力'!BI106</f>
        <v>35381760</v>
      </c>
      <c r="H105" s="16">
        <f>'[1]功能-实力'!BJ106</f>
        <v>36679266</v>
      </c>
    </row>
    <row r="106" spans="3:8" x14ac:dyDescent="0.15">
      <c r="C106" s="16">
        <v>103</v>
      </c>
      <c r="D106" s="16">
        <f>'[1]功能-实力'!BF107</f>
        <v>20752038</v>
      </c>
      <c r="E106" s="16">
        <f>'[1]功能-实力'!BG107</f>
        <v>25941888</v>
      </c>
      <c r="F106" s="16">
        <f>'[1]功能-实力'!BH107</f>
        <v>30129378</v>
      </c>
      <c r="G106" s="16">
        <f>'[1]功能-实力'!BI107</f>
        <v>36282246</v>
      </c>
      <c r="H106" s="16">
        <f>'[1]功能-实力'!BJ107</f>
        <v>37557378</v>
      </c>
    </row>
    <row r="107" spans="3:8" x14ac:dyDescent="0.15">
      <c r="C107" s="16">
        <v>104</v>
      </c>
      <c r="D107" s="16">
        <f>'[1]功能-实力'!BF108</f>
        <v>21533604</v>
      </c>
      <c r="E107" s="16">
        <f>'[1]功能-实力'!BG108</f>
        <v>26774538</v>
      </c>
      <c r="F107" s="16">
        <f>'[1]功能-实力'!BH108</f>
        <v>31162236</v>
      </c>
      <c r="G107" s="16">
        <f>'[1]功能-实力'!BI108</f>
        <v>37234152</v>
      </c>
      <c r="H107" s="16">
        <f>'[1]功能-实力'!BJ108</f>
        <v>38464338</v>
      </c>
    </row>
    <row r="108" spans="3:8" x14ac:dyDescent="0.15">
      <c r="C108" s="16">
        <v>105</v>
      </c>
      <c r="D108" s="16">
        <f>'[1]功能-实力'!BF109</f>
        <v>22276314</v>
      </c>
      <c r="E108" s="16">
        <f>'[1]功能-实力'!BG109</f>
        <v>27616176</v>
      </c>
      <c r="F108" s="16">
        <f>'[1]功能-实力'!BH109</f>
        <v>32235042</v>
      </c>
      <c r="G108" s="16">
        <f>'[1]功能-实力'!BI109</f>
        <v>38197164</v>
      </c>
      <c r="H108" s="16">
        <f>'[1]功能-实力'!BJ109</f>
        <v>39410628</v>
      </c>
    </row>
    <row r="109" spans="3:8" x14ac:dyDescent="0.15">
      <c r="C109" s="16">
        <v>106</v>
      </c>
      <c r="D109" s="16">
        <f>'[1]功能-实力'!BF110</f>
        <v>23036070</v>
      </c>
      <c r="E109" s="16">
        <f>'[1]功能-实力'!BG110</f>
        <v>28512012</v>
      </c>
      <c r="F109" s="16">
        <f>'[1]功能-实力'!BH110</f>
        <v>33223680</v>
      </c>
      <c r="G109" s="16">
        <f>'[1]功能-实力'!BI110</f>
        <v>39214986</v>
      </c>
      <c r="H109" s="16">
        <f>'[1]功能-实力'!BJ110</f>
        <v>40279830</v>
      </c>
    </row>
    <row r="110" spans="3:8" x14ac:dyDescent="0.15">
      <c r="C110" s="16">
        <v>107</v>
      </c>
      <c r="D110" s="16">
        <f>'[1]功能-实力'!BF111</f>
        <v>23827356</v>
      </c>
      <c r="E110" s="16">
        <f>'[1]功能-实力'!BG111</f>
        <v>29425776</v>
      </c>
      <c r="F110" s="16">
        <f>'[1]功能-实力'!BH111</f>
        <v>34163082</v>
      </c>
      <c r="G110" s="16">
        <f>'[1]功能-实力'!BI111</f>
        <v>40194282</v>
      </c>
      <c r="H110" s="16">
        <f>'[1]功能-实力'!BJ111</f>
        <v>41139438</v>
      </c>
    </row>
    <row r="111" spans="3:8" x14ac:dyDescent="0.15">
      <c r="C111" s="16">
        <v>108</v>
      </c>
      <c r="D111" s="16">
        <f>'[1]功能-实力'!BF112</f>
        <v>24582768</v>
      </c>
      <c r="E111" s="16">
        <f>'[1]功能-实力'!BG112</f>
        <v>30363228</v>
      </c>
      <c r="F111" s="16">
        <f>'[1]功能-实力'!BH112</f>
        <v>35070582</v>
      </c>
      <c r="G111" s="16">
        <f>'[1]功能-实力'!BI112</f>
        <v>41114910</v>
      </c>
      <c r="H111" s="16">
        <f>'[1]功能-实力'!BJ112</f>
        <v>41999040</v>
      </c>
    </row>
    <row r="112" spans="3:8" x14ac:dyDescent="0.15">
      <c r="C112" s="16">
        <v>109</v>
      </c>
      <c r="D112" s="16">
        <f>'[1]功能-实力'!BF113</f>
        <v>25313802</v>
      </c>
      <c r="E112" s="16">
        <f>'[1]功能-实力'!BG113</f>
        <v>31301478</v>
      </c>
      <c r="F112" s="16">
        <f>'[1]功能-实力'!BH113</f>
        <v>36008808</v>
      </c>
      <c r="G112" s="16">
        <f>'[1]功能-实力'!BI113</f>
        <v>42045108</v>
      </c>
      <c r="H112" s="16">
        <f>'[1]功能-实力'!BJ113</f>
        <v>42882372</v>
      </c>
    </row>
    <row r="113" spans="3:8" x14ac:dyDescent="0.15">
      <c r="C113" s="16">
        <v>110</v>
      </c>
      <c r="D113" s="16">
        <f>'[1]功能-实力'!BF114</f>
        <v>26049816</v>
      </c>
      <c r="E113" s="16">
        <f>'[1]功能-实力'!BG114</f>
        <v>32270460</v>
      </c>
      <c r="F113" s="16">
        <f>'[1]功能-实力'!BH114</f>
        <v>36973272</v>
      </c>
      <c r="G113" s="16">
        <f>'[1]功能-实力'!BI114</f>
        <v>43013550</v>
      </c>
      <c r="H113" s="16">
        <f>'[1]功能-实力'!BJ114</f>
        <v>43850544</v>
      </c>
    </row>
    <row r="114" spans="3:8" x14ac:dyDescent="0.15">
      <c r="C114" s="16">
        <v>111</v>
      </c>
      <c r="D114" s="16">
        <f>'[1]功能-实力'!BF115</f>
        <v>26923824</v>
      </c>
      <c r="E114" s="16">
        <f>'[1]功能-实力'!BG115</f>
        <v>33246702</v>
      </c>
      <c r="F114" s="16">
        <f>'[1]功能-实力'!BH115</f>
        <v>37993992</v>
      </c>
      <c r="G114" s="16">
        <f>'[1]功能-实力'!BI115</f>
        <v>43952730</v>
      </c>
      <c r="H114" s="16">
        <f>'[1]功能-实力'!BJ115</f>
        <v>44833722</v>
      </c>
    </row>
    <row r="115" spans="3:8" x14ac:dyDescent="0.15">
      <c r="C115" s="16">
        <v>112</v>
      </c>
      <c r="D115" s="16">
        <f>'[1]功能-实力'!BF116</f>
        <v>27815082</v>
      </c>
      <c r="E115" s="16">
        <f>'[1]功能-实力'!BG116</f>
        <v>34246032</v>
      </c>
      <c r="F115" s="16">
        <f>'[1]功能-实力'!BH116</f>
        <v>39081354</v>
      </c>
      <c r="G115" s="16">
        <f>'[1]功能-实力'!BI116</f>
        <v>44931522</v>
      </c>
      <c r="H115" s="16">
        <f>'[1]功能-实力'!BJ116</f>
        <v>45808692</v>
      </c>
    </row>
    <row r="116" spans="3:8" x14ac:dyDescent="0.15">
      <c r="C116" s="16">
        <v>113</v>
      </c>
      <c r="D116" s="16">
        <f>'[1]功能-实力'!BF117</f>
        <v>28734972</v>
      </c>
      <c r="E116" s="16">
        <f>'[1]功能-实力'!BG117</f>
        <v>35312970</v>
      </c>
      <c r="F116" s="16">
        <f>'[1]功能-实力'!BH117</f>
        <v>40222434</v>
      </c>
      <c r="G116" s="16">
        <f>'[1]功能-实力'!BI117</f>
        <v>45914280</v>
      </c>
      <c r="H116" s="16">
        <f>'[1]功能-实力'!BJ117</f>
        <v>46805844</v>
      </c>
    </row>
    <row r="117" spans="3:8" x14ac:dyDescent="0.15">
      <c r="C117" s="16">
        <v>114</v>
      </c>
      <c r="D117" s="16">
        <f>'[1]功能-实力'!BF118</f>
        <v>29720820</v>
      </c>
      <c r="E117" s="16">
        <f>'[1]功能-实力'!BG118</f>
        <v>36429468</v>
      </c>
      <c r="F117" s="16">
        <f>'[1]功能-实力'!BH118</f>
        <v>41373456</v>
      </c>
      <c r="G117" s="16">
        <f>'[1]功能-实力'!BI118</f>
        <v>46911804</v>
      </c>
      <c r="H117" s="16">
        <f>'[1]功能-实力'!BJ118</f>
        <v>47819280</v>
      </c>
    </row>
    <row r="118" spans="3:8" x14ac:dyDescent="0.15">
      <c r="C118" s="16">
        <v>115</v>
      </c>
      <c r="D118" s="16">
        <f>'[1]功能-实力'!BF119</f>
        <v>30733320</v>
      </c>
      <c r="E118" s="16">
        <f>'[1]功能-实力'!BG119</f>
        <v>37551636</v>
      </c>
      <c r="F118" s="16">
        <f>'[1]功能-实力'!BH119</f>
        <v>42542544</v>
      </c>
      <c r="G118" s="16">
        <f>'[1]功能-实力'!BI119</f>
        <v>47926926</v>
      </c>
      <c r="H118" s="16">
        <f>'[1]功能-实力'!BJ119</f>
        <v>48856398</v>
      </c>
    </row>
    <row r="119" spans="3:8" x14ac:dyDescent="0.15">
      <c r="C119" s="16">
        <v>116</v>
      </c>
      <c r="D119" s="16">
        <f>'[1]功能-实力'!BF120</f>
        <v>31750446</v>
      </c>
      <c r="E119" s="16">
        <f>'[1]功能-实力'!BG120</f>
        <v>38555172</v>
      </c>
      <c r="F119" s="16">
        <f>'[1]功能-实力'!BH120</f>
        <v>43753650</v>
      </c>
      <c r="G119" s="16">
        <f>'[1]功能-实力'!BI120</f>
        <v>48960150</v>
      </c>
      <c r="H119" s="16">
        <f>'[1]功能-实力'!BJ120</f>
        <v>49905690</v>
      </c>
    </row>
    <row r="120" spans="3:8" x14ac:dyDescent="0.15">
      <c r="C120" s="16">
        <v>117</v>
      </c>
      <c r="D120" s="16">
        <f>'[1]功能-实力'!BF121</f>
        <v>32776254</v>
      </c>
      <c r="E120" s="16">
        <f>'[1]功能-实力'!BG121</f>
        <v>39572286</v>
      </c>
      <c r="F120" s="16">
        <f>'[1]功能-实力'!BH121</f>
        <v>44937444</v>
      </c>
      <c r="G120" s="16">
        <f>'[1]功能-实力'!BI121</f>
        <v>49962888</v>
      </c>
      <c r="H120" s="16">
        <f>'[1]功能-实力'!BJ121</f>
        <v>50936640</v>
      </c>
    </row>
    <row r="121" spans="3:8" x14ac:dyDescent="0.15">
      <c r="C121" s="16">
        <v>118</v>
      </c>
      <c r="D121" s="16">
        <f>'[1]功能-实力'!BF122</f>
        <v>33828222</v>
      </c>
      <c r="E121" s="16">
        <f>'[1]功能-实力'!BG122</f>
        <v>40599006</v>
      </c>
      <c r="F121" s="16">
        <f>'[1]功能-实力'!BH122</f>
        <v>46154676</v>
      </c>
      <c r="G121" s="16">
        <f>'[1]功能-实力'!BI122</f>
        <v>50978514</v>
      </c>
      <c r="H121" s="16">
        <f>'[1]功能-实力'!BJ122</f>
        <v>51970404</v>
      </c>
    </row>
    <row r="122" spans="3:8" x14ac:dyDescent="0.15">
      <c r="C122" s="16">
        <v>119</v>
      </c>
      <c r="D122" s="16">
        <f>'[1]功能-实力'!BF123</f>
        <v>34908366</v>
      </c>
      <c r="E122" s="16">
        <f>'[1]功能-实力'!BG123</f>
        <v>41653224</v>
      </c>
      <c r="F122" s="16">
        <f>'[1]功能-实力'!BH123</f>
        <v>47391414</v>
      </c>
      <c r="G122" s="16">
        <f>'[1]功能-实力'!BI123</f>
        <v>52016652</v>
      </c>
      <c r="H122" s="16">
        <f>'[1]功能-实力'!BJ123</f>
        <v>53002092</v>
      </c>
    </row>
    <row r="123" spans="3:8" x14ac:dyDescent="0.15">
      <c r="C123" s="16">
        <v>120</v>
      </c>
      <c r="D123" s="16">
        <f>'[1]功能-实力'!BF124</f>
        <v>36017922</v>
      </c>
      <c r="E123" s="16">
        <f>'[1]功能-实力'!BG124</f>
        <v>42725610</v>
      </c>
      <c r="F123" s="16">
        <f>'[1]功能-实力'!BH124</f>
        <v>48657816</v>
      </c>
      <c r="G123" s="16">
        <f>'[1]功能-实力'!BI124</f>
        <v>53046354</v>
      </c>
      <c r="H123" s="16">
        <f>'[1]功能-实力'!BJ124</f>
        <v>54060498</v>
      </c>
    </row>
    <row r="124" spans="3:8" x14ac:dyDescent="0.15">
      <c r="C124" s="16">
        <v>121</v>
      </c>
      <c r="D124" s="16">
        <f>'[1]功能-实力'!BF125</f>
        <v>37002204</v>
      </c>
      <c r="E124" s="16">
        <f>'[1]功能-实力'!BG125</f>
        <v>43765122</v>
      </c>
      <c r="F124" s="16">
        <f>'[1]功能-实力'!BH125</f>
        <v>49847604</v>
      </c>
      <c r="G124" s="16">
        <f>'[1]功能-实力'!BI125</f>
        <v>54105162</v>
      </c>
      <c r="H124" s="16">
        <f>'[1]功能-实力'!BJ125</f>
        <v>55130538</v>
      </c>
    </row>
    <row r="125" spans="3:8" x14ac:dyDescent="0.15">
      <c r="C125" s="16">
        <v>122</v>
      </c>
      <c r="D125" s="16">
        <f>'[1]功能-实力'!BF126</f>
        <v>38008968</v>
      </c>
      <c r="E125" s="16">
        <f>'[1]功能-实力'!BG126</f>
        <v>44814594</v>
      </c>
      <c r="F125" s="16">
        <f>'[1]功能-实力'!BH126</f>
        <v>51081696</v>
      </c>
      <c r="G125" s="16">
        <f>'[1]功能-实力'!BI126</f>
        <v>55178130</v>
      </c>
      <c r="H125" s="16">
        <f>'[1]功能-实力'!BJ126</f>
        <v>56215740</v>
      </c>
    </row>
    <row r="126" spans="3:8" x14ac:dyDescent="0.15">
      <c r="C126" s="16">
        <v>123</v>
      </c>
      <c r="D126" s="16">
        <f>'[1]功能-实力'!BF127</f>
        <v>39003354</v>
      </c>
      <c r="E126" s="16">
        <f>'[1]功能-实力'!BG127</f>
        <v>45907158</v>
      </c>
      <c r="F126" s="16">
        <f>'[1]功能-实力'!BH127</f>
        <v>52342254</v>
      </c>
      <c r="G126" s="16">
        <f>'[1]功能-实力'!BI127</f>
        <v>56290146</v>
      </c>
      <c r="H126" s="16">
        <f>'[1]功能-实力'!BJ127</f>
        <v>57299976</v>
      </c>
    </row>
    <row r="127" spans="3:8" x14ac:dyDescent="0.15">
      <c r="C127" s="16">
        <v>124</v>
      </c>
      <c r="D127" s="16">
        <f>'[1]功能-实力'!BF128</f>
        <v>40014336</v>
      </c>
      <c r="E127" s="16">
        <f>'[1]功能-实力'!BG128</f>
        <v>47018916</v>
      </c>
      <c r="F127" s="16">
        <f>'[1]功能-实力'!BH128</f>
        <v>53630706</v>
      </c>
      <c r="G127" s="16">
        <f>'[1]功能-实力'!BI128</f>
        <v>57369606</v>
      </c>
      <c r="H127" s="16">
        <f>'[1]功能-实力'!BJ128</f>
        <v>58393974</v>
      </c>
    </row>
    <row r="128" spans="3:8" x14ac:dyDescent="0.15">
      <c r="C128" s="16">
        <v>125</v>
      </c>
      <c r="D128" s="16">
        <f>'[1]功能-实力'!BF129</f>
        <v>41040822</v>
      </c>
      <c r="E128" s="16">
        <f>'[1]功能-实力'!BG129</f>
        <v>48139596</v>
      </c>
      <c r="F128" s="16">
        <f>'[1]功能-实力'!BH129</f>
        <v>54900438</v>
      </c>
      <c r="G128" s="16">
        <f>'[1]功能-实力'!BI129</f>
        <v>58463418</v>
      </c>
      <c r="H128" s="16">
        <f>'[1]功能-实力'!BJ129</f>
        <v>59462364</v>
      </c>
    </row>
    <row r="129" spans="3:8" x14ac:dyDescent="0.15">
      <c r="C129" s="16">
        <v>126</v>
      </c>
      <c r="D129" s="16">
        <f>'[1]功能-实力'!BF130</f>
        <v>42090096</v>
      </c>
      <c r="E129" s="16">
        <f>'[1]功能-实力'!BG130</f>
        <v>49184340</v>
      </c>
      <c r="F129" s="16">
        <f>'[1]功能-实力'!BH130</f>
        <v>56132442</v>
      </c>
      <c r="G129" s="16">
        <f>'[1]功能-实力'!BI130</f>
        <v>59484066</v>
      </c>
      <c r="H129" s="16">
        <f>'[1]功能-实力'!BJ130</f>
        <v>60499716</v>
      </c>
    </row>
    <row r="130" spans="3:8" x14ac:dyDescent="0.15">
      <c r="C130" s="16">
        <v>127</v>
      </c>
      <c r="D130" s="16">
        <f>'[1]功能-实力'!BF131</f>
        <v>43152864</v>
      </c>
      <c r="E130" s="16">
        <f>'[1]功能-实力'!BG131</f>
        <v>50258622</v>
      </c>
      <c r="F130" s="16">
        <f>'[1]功能-实力'!BH131</f>
        <v>57361332</v>
      </c>
      <c r="G130" s="16">
        <f>'[1]功能-实力'!BI131</f>
        <v>60520260</v>
      </c>
      <c r="H130" s="16">
        <f>'[1]功能-实力'!BJ131</f>
        <v>61552422</v>
      </c>
    </row>
    <row r="131" spans="3:8" x14ac:dyDescent="0.15">
      <c r="C131" s="16">
        <v>128</v>
      </c>
      <c r="D131" s="16">
        <f>'[1]功能-实力'!BF132</f>
        <v>44250168</v>
      </c>
      <c r="E131" s="16">
        <f>'[1]功能-实力'!BG132</f>
        <v>51330948</v>
      </c>
      <c r="F131" s="16">
        <f>'[1]功能-实力'!BH132</f>
        <v>58618800</v>
      </c>
      <c r="G131" s="16">
        <f>'[1]功能-实力'!BI132</f>
        <v>61575516</v>
      </c>
      <c r="H131" s="16">
        <f>'[1]功能-实力'!BJ132</f>
        <v>62631204</v>
      </c>
    </row>
    <row r="132" spans="3:8" x14ac:dyDescent="0.15">
      <c r="C132" s="16">
        <v>129</v>
      </c>
      <c r="D132" s="16">
        <f>'[1]功能-实力'!BF133</f>
        <v>45358890</v>
      </c>
      <c r="E132" s="16">
        <f>'[1]功能-实力'!BG133</f>
        <v>52445892</v>
      </c>
      <c r="F132" s="16">
        <f>'[1]功能-实力'!BH133</f>
        <v>59921280</v>
      </c>
      <c r="G132" s="16">
        <f>'[1]功能-实力'!BI133</f>
        <v>62675856</v>
      </c>
      <c r="H132" s="16">
        <f>'[1]功能-实力'!BJ133</f>
        <v>63747906</v>
      </c>
    </row>
    <row r="133" spans="3:8" x14ac:dyDescent="0.15">
      <c r="C133" s="16">
        <v>130</v>
      </c>
      <c r="D133" s="16">
        <f>'[1]功能-实力'!BF134</f>
        <v>46502736</v>
      </c>
      <c r="E133" s="16">
        <f>'[1]功能-实力'!BG134</f>
        <v>53579772</v>
      </c>
      <c r="F133" s="16">
        <f>'[1]功能-实力'!BH134</f>
        <v>61255326</v>
      </c>
      <c r="G133" s="16">
        <f>'[1]功能-实力'!BI134</f>
        <v>63797202</v>
      </c>
      <c r="H133" s="16">
        <f>'[1]功能-实力'!BJ134</f>
        <v>64883658</v>
      </c>
    </row>
    <row r="134" spans="3:8" x14ac:dyDescent="0.15">
      <c r="C134" s="16">
        <v>131</v>
      </c>
      <c r="D134" s="16">
        <f>'[1]功能-实力'!BF135</f>
        <v>47627226</v>
      </c>
      <c r="E134" s="16">
        <f>'[1]功能-实力'!BG135</f>
        <v>54818400</v>
      </c>
      <c r="F134" s="16">
        <f>'[1]功能-实力'!BH135</f>
        <v>62410368</v>
      </c>
      <c r="G134" s="16">
        <f>'[1]功能-实力'!BI135</f>
        <v>64932024</v>
      </c>
      <c r="H134" s="16">
        <f>'[1]功能-实力'!BJ135</f>
        <v>65975178</v>
      </c>
    </row>
    <row r="135" spans="3:8" x14ac:dyDescent="0.15">
      <c r="C135" s="16">
        <v>132</v>
      </c>
      <c r="D135" s="16">
        <f>'[1]功能-实力'!BF136</f>
        <v>48783966</v>
      </c>
      <c r="E135" s="16">
        <f>'[1]功能-实力'!BG136</f>
        <v>56079516</v>
      </c>
      <c r="F135" s="16">
        <f>'[1]功能-实力'!BH136</f>
        <v>63588834</v>
      </c>
      <c r="G135" s="16">
        <f>'[1]功能-实力'!BI136</f>
        <v>66028164</v>
      </c>
      <c r="H135" s="16">
        <f>'[1]功能-实力'!BJ136</f>
        <v>67000548</v>
      </c>
    </row>
    <row r="136" spans="3:8" x14ac:dyDescent="0.15">
      <c r="C136" s="16">
        <v>133</v>
      </c>
      <c r="D136" s="16">
        <f>'[1]功能-实力'!BF137</f>
        <v>49956942</v>
      </c>
      <c r="E136" s="16">
        <f>'[1]功能-实力'!BG137</f>
        <v>57369486</v>
      </c>
      <c r="F136" s="16">
        <f>'[1]功能-实力'!BH137</f>
        <v>64722318</v>
      </c>
      <c r="G136" s="16">
        <f>'[1]功能-实力'!BI137</f>
        <v>67050018</v>
      </c>
      <c r="H136" s="16">
        <f>'[1]功能-实力'!BJ137</f>
        <v>68042988</v>
      </c>
    </row>
    <row r="137" spans="3:8" x14ac:dyDescent="0.15">
      <c r="C137" s="16">
        <v>134</v>
      </c>
      <c r="D137" s="16">
        <f>'[1]功能-实力'!BF138</f>
        <v>51160452</v>
      </c>
      <c r="E137" s="16">
        <f>'[1]功能-实力'!BG138</f>
        <v>58620756</v>
      </c>
      <c r="F137" s="16">
        <f>'[1]功能-实力'!BH138</f>
        <v>65796990</v>
      </c>
      <c r="G137" s="16">
        <f>'[1]功能-实力'!BI138</f>
        <v>68097480</v>
      </c>
      <c r="H137" s="16">
        <f>'[1]功能-实力'!BJ138</f>
        <v>69092844</v>
      </c>
    </row>
    <row r="138" spans="3:8" x14ac:dyDescent="0.15">
      <c r="C138" s="16">
        <v>135</v>
      </c>
      <c r="D138" s="16">
        <f>'[1]功能-实力'!BF139</f>
        <v>52321428</v>
      </c>
      <c r="E138" s="16">
        <f>'[1]功能-实力'!BG139</f>
        <v>59849754</v>
      </c>
      <c r="F138" s="16">
        <f>'[1]功能-实力'!BH139</f>
        <v>66909720</v>
      </c>
      <c r="G138" s="16">
        <f>'[1]功能-实力'!BI139</f>
        <v>69161376</v>
      </c>
      <c r="H138" s="16">
        <f>'[1]功能-实力'!BJ139</f>
        <v>70185852</v>
      </c>
    </row>
    <row r="139" spans="3:8" x14ac:dyDescent="0.15">
      <c r="C139" s="16">
        <v>136</v>
      </c>
      <c r="D139" s="16">
        <f>'[1]功能-实力'!BF140</f>
        <v>53424132</v>
      </c>
      <c r="E139" s="16">
        <f>'[1]功能-实力'!BG140</f>
        <v>61164660</v>
      </c>
      <c r="F139" s="16">
        <f>'[1]功能-实力'!BH140</f>
        <v>68099028</v>
      </c>
      <c r="G139" s="16">
        <f>'[1]功能-实力'!BI140</f>
        <v>70319790</v>
      </c>
      <c r="H139" s="16">
        <f>'[1]功能-实力'!BJ140</f>
        <v>71338614</v>
      </c>
    </row>
    <row r="140" spans="3:8" x14ac:dyDescent="0.15">
      <c r="C140" s="16">
        <v>137</v>
      </c>
      <c r="D140" s="16">
        <f>'[1]功能-实力'!BF141</f>
        <v>54544188</v>
      </c>
      <c r="E140" s="16">
        <f>'[1]功能-实力'!BG141</f>
        <v>62500152</v>
      </c>
      <c r="F140" s="16">
        <f>'[1]功能-实力'!BH141</f>
        <v>69309144</v>
      </c>
      <c r="G140" s="16">
        <f>'[1]功能-实力'!BI141</f>
        <v>71471448</v>
      </c>
      <c r="H140" s="16">
        <f>'[1]功能-实力'!BJ141</f>
        <v>72510960</v>
      </c>
    </row>
    <row r="141" spans="3:8" x14ac:dyDescent="0.15">
      <c r="C141" s="16">
        <v>138</v>
      </c>
      <c r="D141" s="16">
        <f>'[1]功能-实力'!BF142</f>
        <v>55684854</v>
      </c>
      <c r="E141" s="16">
        <f>'[1]功能-实力'!BG142</f>
        <v>63862974</v>
      </c>
      <c r="F141" s="16">
        <f>'[1]功能-实力'!BH142</f>
        <v>70521954</v>
      </c>
      <c r="G141" s="16">
        <f>'[1]功能-实力'!BI142</f>
        <v>72645078</v>
      </c>
      <c r="H141" s="16">
        <f>'[1]功能-实力'!BJ142</f>
        <v>73660146</v>
      </c>
    </row>
    <row r="142" spans="3:8" x14ac:dyDescent="0.15">
      <c r="C142" s="16">
        <v>139</v>
      </c>
      <c r="D142" s="16">
        <f>'[1]功能-实力'!BF143</f>
        <v>56846382</v>
      </c>
      <c r="E142" s="16">
        <f>'[1]功能-实力'!BG143</f>
        <v>65243964</v>
      </c>
      <c r="F142" s="16">
        <f>'[1]功能-实力'!BH143</f>
        <v>71760234</v>
      </c>
      <c r="G142" s="16">
        <f>'[1]功能-实力'!BI143</f>
        <v>73796994</v>
      </c>
      <c r="H142" s="16">
        <f>'[1]功能-实力'!BJ143</f>
        <v>74845578</v>
      </c>
    </row>
    <row r="143" spans="3:8" x14ac:dyDescent="0.15">
      <c r="C143" s="16">
        <v>140</v>
      </c>
      <c r="D143" s="16">
        <f>'[1]功能-实力'!BF144</f>
        <v>58026048</v>
      </c>
      <c r="E143" s="16">
        <f>'[1]功能-实力'!BG144</f>
        <v>66653022</v>
      </c>
      <c r="F143" s="16">
        <f>'[1]功能-实力'!BH144</f>
        <v>72982314</v>
      </c>
      <c r="G143" s="16">
        <f>'[1]功能-实力'!BI144</f>
        <v>74980842</v>
      </c>
      <c r="H143" s="16">
        <f>'[1]功能-实力'!BJ144</f>
        <v>76106532</v>
      </c>
    </row>
    <row r="144" spans="3:8" x14ac:dyDescent="0.15">
      <c r="C144" s="16">
        <v>141</v>
      </c>
      <c r="D144" s="16">
        <f>'[1]功能-实力'!BF145</f>
        <v>59207712</v>
      </c>
      <c r="E144" s="16">
        <f>'[1]功能-实力'!BG145</f>
        <v>68030802</v>
      </c>
      <c r="F144" s="16">
        <f>'[1]功能-实力'!BH145</f>
        <v>74247138</v>
      </c>
      <c r="G144" s="16">
        <f>'[1]功能-实力'!BI145</f>
        <v>76264980</v>
      </c>
      <c r="H144" s="16">
        <f>'[1]功能-实力'!BJ145</f>
        <v>77425500</v>
      </c>
    </row>
    <row r="145" spans="3:8" x14ac:dyDescent="0.15">
      <c r="C145" s="16">
        <v>142</v>
      </c>
      <c r="D145" s="16">
        <f>'[1]功能-实力'!BF146</f>
        <v>60404046</v>
      </c>
      <c r="E145" s="16">
        <f>'[1]功能-实力'!BG146</f>
        <v>69458388</v>
      </c>
      <c r="F145" s="16">
        <f>'[1]功能-实力'!BH146</f>
        <v>75598494</v>
      </c>
      <c r="G145" s="16">
        <f>'[1]功能-实力'!BI146</f>
        <v>77597262</v>
      </c>
      <c r="H145" s="16">
        <f>'[1]功能-实力'!BJ146</f>
        <v>78777054</v>
      </c>
    </row>
    <row r="146" spans="3:8" x14ac:dyDescent="0.15">
      <c r="C146" s="16">
        <v>143</v>
      </c>
      <c r="D146" s="16">
        <f>'[1]功能-实力'!BF147</f>
        <v>61643514</v>
      </c>
      <c r="E146" s="16">
        <f>'[1]功能-实力'!BG147</f>
        <v>70916670</v>
      </c>
      <c r="F146" s="16">
        <f>'[1]功能-实力'!BH147</f>
        <v>76982052</v>
      </c>
      <c r="G146" s="16">
        <f>'[1]功能-实力'!BI147</f>
        <v>78946452</v>
      </c>
      <c r="H146" s="16">
        <f>'[1]功能-实力'!BJ147</f>
        <v>80161932</v>
      </c>
    </row>
    <row r="147" spans="3:8" x14ac:dyDescent="0.15">
      <c r="C147" s="16">
        <v>144</v>
      </c>
      <c r="D147" s="16">
        <f>'[1]功能-实力'!BF148</f>
        <v>62923578</v>
      </c>
      <c r="E147" s="16">
        <f>'[1]功能-实力'!BG148</f>
        <v>72436602</v>
      </c>
      <c r="F147" s="16">
        <f>'[1]功能-实力'!BH148</f>
        <v>78377814</v>
      </c>
      <c r="G147" s="16">
        <f>'[1]功能-实力'!BI148</f>
        <v>80324262</v>
      </c>
      <c r="H147" s="16">
        <f>'[1]功能-实力'!BJ148</f>
        <v>81537624</v>
      </c>
    </row>
    <row r="148" spans="3:8" x14ac:dyDescent="0.15">
      <c r="C148" s="16">
        <v>145</v>
      </c>
      <c r="D148" s="16">
        <f>'[1]功能-实力'!BF149</f>
        <v>64236936</v>
      </c>
      <c r="E148" s="16">
        <f>'[1]功能-实力'!BG149</f>
        <v>73976298</v>
      </c>
      <c r="F148" s="16">
        <f>'[1]功能-实力'!BH149</f>
        <v>79808718</v>
      </c>
      <c r="G148" s="16">
        <f>'[1]功能-实力'!BI149</f>
        <v>81698334</v>
      </c>
      <c r="H148" s="16">
        <f>'[1]功能-实力'!BJ149</f>
        <v>82926462</v>
      </c>
    </row>
    <row r="149" spans="3:8" x14ac:dyDescent="0.15">
      <c r="C149" s="16">
        <v>146</v>
      </c>
      <c r="D149" s="16">
        <f>'[1]功能-实力'!BF150</f>
        <v>65561028</v>
      </c>
      <c r="E149" s="16">
        <f>'[1]功能-实力'!BG150</f>
        <v>75554136</v>
      </c>
      <c r="F149" s="16">
        <f>'[1]功能-实力'!BH150</f>
        <v>81231456</v>
      </c>
      <c r="G149" s="16">
        <f>'[1]功能-实力'!BI150</f>
        <v>83081244</v>
      </c>
      <c r="H149" s="16">
        <f>'[1]功能-实力'!BJ150</f>
        <v>84332826</v>
      </c>
    </row>
    <row r="150" spans="3:8" x14ac:dyDescent="0.15">
      <c r="C150" s="16">
        <v>147</v>
      </c>
      <c r="D150" s="16">
        <f>'[1]功能-实力'!BF151</f>
        <v>66922524</v>
      </c>
      <c r="E150" s="16">
        <f>'[1]功能-实力'!BG151</f>
        <v>77133216</v>
      </c>
      <c r="F150" s="16">
        <f>'[1]功能-实力'!BH151</f>
        <v>82674714</v>
      </c>
      <c r="G150" s="16">
        <f>'[1]功能-实力'!BI151</f>
        <v>84483024</v>
      </c>
      <c r="H150" s="16">
        <f>'[1]功能-实力'!BJ151</f>
        <v>85766646</v>
      </c>
    </row>
    <row r="151" spans="3:8" x14ac:dyDescent="0.15">
      <c r="C151" s="16">
        <v>148</v>
      </c>
      <c r="D151" s="16">
        <f>'[1]功能-实力'!BF152</f>
        <v>68291448</v>
      </c>
      <c r="E151" s="16">
        <f>'[1]功能-实力'!BG152</f>
        <v>78765414</v>
      </c>
      <c r="F151" s="16">
        <f>'[1]功能-实力'!BH152</f>
        <v>84163860</v>
      </c>
      <c r="G151" s="16">
        <f>'[1]功能-实力'!BI152</f>
        <v>85932822</v>
      </c>
      <c r="H151" s="16">
        <f>'[1]功能-实力'!BJ152</f>
        <v>87224178</v>
      </c>
    </row>
    <row r="152" spans="3:8" x14ac:dyDescent="0.15">
      <c r="C152" s="16">
        <v>149</v>
      </c>
      <c r="D152" s="16">
        <f>'[1]功能-实力'!BF153</f>
        <v>69700770</v>
      </c>
      <c r="E152" s="16">
        <f>'[1]功能-实力'!BG153</f>
        <v>80429268</v>
      </c>
      <c r="F152" s="16">
        <f>'[1]功能-实力'!BH153</f>
        <v>85684278</v>
      </c>
      <c r="G152" s="16">
        <f>'[1]功能-实力'!BI153</f>
        <v>87402738</v>
      </c>
      <c r="H152" s="16">
        <f>'[1]功能-实力'!BJ153</f>
        <v>88743072</v>
      </c>
    </row>
    <row r="153" spans="3:8" x14ac:dyDescent="0.15">
      <c r="C153" s="16">
        <v>150</v>
      </c>
      <c r="D153" s="16">
        <f>'[1]功能-实力'!BF154</f>
        <v>71068494</v>
      </c>
      <c r="E153" s="16">
        <f>'[1]功能-实力'!BG154</f>
        <v>82077498</v>
      </c>
      <c r="F153" s="16">
        <f>'[1]功能-实力'!BH154</f>
        <v>87225186</v>
      </c>
      <c r="G153" s="16">
        <f>'[1]功能-实力'!BI154</f>
        <v>88944828</v>
      </c>
      <c r="H153" s="16">
        <f>'[1]功能-实力'!BJ154</f>
        <v>90510666</v>
      </c>
    </row>
    <row r="154" spans="3:8" x14ac:dyDescent="0.15">
      <c r="C154" s="16">
        <v>151</v>
      </c>
      <c r="D154" s="16">
        <f>'[1]功能-实力'!BF155</f>
        <v>72431904</v>
      </c>
      <c r="E154" s="16">
        <f>'[1]功能-实力'!BG155</f>
        <v>83506566</v>
      </c>
      <c r="F154" s="16">
        <f>'[1]功能-实力'!BH155</f>
        <v>88634460</v>
      </c>
      <c r="G154" s="16">
        <f>'[1]功能-实力'!BI155</f>
        <v>90571038</v>
      </c>
      <c r="H154" s="16">
        <f>'[1]功能-实力'!BJ155</f>
        <v>92272992</v>
      </c>
    </row>
    <row r="155" spans="3:8" x14ac:dyDescent="0.15">
      <c r="C155" s="16">
        <v>152</v>
      </c>
      <c r="D155" s="16">
        <f>'[1]功能-实力'!BF156</f>
        <v>73805280</v>
      </c>
      <c r="E155" s="16">
        <f>'[1]功能-实力'!BG156</f>
        <v>84958302</v>
      </c>
      <c r="F155" s="16">
        <f>'[1]功能-实力'!BH156</f>
        <v>90185028</v>
      </c>
      <c r="G155" s="16">
        <f>'[1]功能-实力'!BI156</f>
        <v>92220450</v>
      </c>
      <c r="H155" s="16">
        <f>'[1]功能-实力'!BJ156</f>
        <v>93141078</v>
      </c>
    </row>
    <row r="156" spans="3:8" x14ac:dyDescent="0.15">
      <c r="C156" s="16">
        <v>153</v>
      </c>
      <c r="D156" s="16">
        <f>'[1]功能-实力'!BF157</f>
        <v>75275982</v>
      </c>
      <c r="E156" s="16">
        <f>'[1]功能-实力'!BG157</f>
        <v>86536560</v>
      </c>
      <c r="F156" s="16">
        <f>'[1]功能-实力'!BH157</f>
        <v>91781490</v>
      </c>
      <c r="G156" s="16">
        <f>'[1]功能-实力'!BI157</f>
        <v>93098634</v>
      </c>
      <c r="H156" s="16">
        <f>'[1]功能-实力'!BJ157</f>
        <v>93739848</v>
      </c>
    </row>
    <row r="157" spans="3:8" x14ac:dyDescent="0.15">
      <c r="C157" s="16">
        <v>154</v>
      </c>
      <c r="D157" s="16">
        <f>'[1]功能-实力'!BF158</f>
        <v>76763100</v>
      </c>
      <c r="E157" s="16">
        <f>'[1]功能-实力'!BG158</f>
        <v>88137198</v>
      </c>
      <c r="F157" s="16">
        <f>'[1]功能-实力'!BH158</f>
        <v>92634120</v>
      </c>
      <c r="G157" s="16">
        <f>'[1]功能-实力'!BI158</f>
        <v>93695208</v>
      </c>
      <c r="H157" s="16">
        <f>'[1]功能-实力'!BJ158</f>
        <v>93862482</v>
      </c>
    </row>
    <row r="158" spans="3:8" x14ac:dyDescent="0.15">
      <c r="C158" s="16">
        <v>155</v>
      </c>
      <c r="D158" s="16">
        <f>'[1]功能-实力'!BF159</f>
        <v>78283638</v>
      </c>
      <c r="E158" s="16">
        <f>'[1]功能-实力'!BG159</f>
        <v>89430822</v>
      </c>
      <c r="F158" s="16">
        <f>'[1]功能-实力'!BH159</f>
        <v>93224682</v>
      </c>
      <c r="G158" s="16">
        <f>'[1]功能-实力'!BI159</f>
        <v>93840378</v>
      </c>
      <c r="H158" s="16">
        <f>'[1]功能-实力'!BJ159</f>
        <v>93943086</v>
      </c>
    </row>
    <row r="159" spans="3:8" x14ac:dyDescent="0.15">
      <c r="C159" s="16">
        <v>156</v>
      </c>
      <c r="D159" s="16">
        <f>'[1]功能-实力'!BF160</f>
        <v>79355910</v>
      </c>
      <c r="E159" s="16">
        <f>'[1]功能-实力'!BG160</f>
        <v>90331476</v>
      </c>
      <c r="F159" s="16">
        <f>'[1]功能-实力'!BH160</f>
        <v>93380550</v>
      </c>
      <c r="G159" s="16">
        <f>'[1]功能-实力'!BI160</f>
        <v>93920352</v>
      </c>
      <c r="H159" s="16">
        <f>'[1]功能-实力'!BJ160</f>
        <v>94023702</v>
      </c>
    </row>
    <row r="160" spans="3:8" x14ac:dyDescent="0.15">
      <c r="C160" s="16">
        <v>157</v>
      </c>
      <c r="D160" s="16">
        <f>'[1]功能-实力'!BF161</f>
        <v>80171352</v>
      </c>
      <c r="E160" s="16">
        <f>'[1]功能-实力'!BG161</f>
        <v>91035978</v>
      </c>
      <c r="F160" s="16">
        <f>'[1]功能-实力'!BH161</f>
        <v>93459918</v>
      </c>
      <c r="G160" s="16">
        <f>'[1]功能-实力'!BI161</f>
        <v>94000338</v>
      </c>
      <c r="H160" s="16">
        <f>'[1]功能-实力'!BJ161</f>
        <v>94104342</v>
      </c>
    </row>
    <row r="161" spans="3:8" x14ac:dyDescent="0.15">
      <c r="C161" s="16">
        <v>158</v>
      </c>
      <c r="D161" s="16">
        <f>'[1]功能-实力'!BF162</f>
        <v>80713668</v>
      </c>
      <c r="E161" s="16">
        <f>'[1]功能-实力'!BG162</f>
        <v>91464654</v>
      </c>
      <c r="F161" s="16">
        <f>'[1]功能-实力'!BH162</f>
        <v>93539298</v>
      </c>
      <c r="G161" s="16">
        <f>'[1]功能-实力'!BI162</f>
        <v>94080354</v>
      </c>
      <c r="H161" s="16">
        <f>'[1]功能-实力'!BJ162</f>
        <v>94184994</v>
      </c>
    </row>
    <row r="162" spans="3:8" x14ac:dyDescent="0.15">
      <c r="C162" s="16">
        <v>159</v>
      </c>
      <c r="D162" s="16">
        <f>'[1]功能-实力'!BF163</f>
        <v>81105744</v>
      </c>
      <c r="E162" s="16">
        <f>'[1]功能-实力'!BG163</f>
        <v>91748052</v>
      </c>
      <c r="F162" s="16">
        <f>'[1]功能-实力'!BH163</f>
        <v>93618702</v>
      </c>
      <c r="G162" s="16">
        <f>'[1]功能-实力'!BI163</f>
        <v>94160388</v>
      </c>
      <c r="H162" s="16">
        <f>'[1]功能-实力'!BJ163</f>
        <v>94265676</v>
      </c>
    </row>
    <row r="163" spans="3:8" x14ac:dyDescent="0.15">
      <c r="C163" s="16">
        <v>160</v>
      </c>
      <c r="D163" s="16">
        <f>'[1]功能-实力'!BF164</f>
        <v>81498114</v>
      </c>
      <c r="E163" s="16">
        <f>'[1]功能-实力'!BG164</f>
        <v>92031654</v>
      </c>
      <c r="F163" s="16">
        <f>'[1]功能-实力'!BH164</f>
        <v>93698106</v>
      </c>
      <c r="G163" s="16">
        <f>'[1]功能-实力'!BI164</f>
        <v>94240416</v>
      </c>
      <c r="H163" s="16">
        <f>'[1]功能-实力'!BJ164</f>
        <v>94346352</v>
      </c>
    </row>
  </sheetData>
  <mergeCells count="2">
    <mergeCell ref="D2:H2"/>
    <mergeCell ref="M2:P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F192B-13B6-464A-95F7-1A49F779CFA9}">
  <sheetPr codeName="Sheet7"/>
  <dimension ref="A1:M45"/>
  <sheetViews>
    <sheetView workbookViewId="0">
      <selection activeCell="F39" sqref="F39"/>
    </sheetView>
  </sheetViews>
  <sheetFormatPr defaultColWidth="9.125" defaultRowHeight="11.25" x14ac:dyDescent="0.15"/>
  <cols>
    <col min="1" max="2" width="9.125" style="16"/>
    <col min="3" max="3" width="13.875" style="16" bestFit="1" customWidth="1"/>
    <col min="4" max="16384" width="9.125" style="16"/>
  </cols>
  <sheetData>
    <row r="1" spans="2:10" x14ac:dyDescent="0.15">
      <c r="B1" s="4" t="s">
        <v>37</v>
      </c>
    </row>
    <row r="2" spans="2:10" x14ac:dyDescent="0.15">
      <c r="B2" s="4" t="s">
        <v>35</v>
      </c>
      <c r="E2" s="16">
        <v>20</v>
      </c>
      <c r="G2" s="10"/>
    </row>
    <row r="3" spans="2:10" x14ac:dyDescent="0.15">
      <c r="B3" s="4" t="s">
        <v>100</v>
      </c>
      <c r="E3" s="16">
        <v>45</v>
      </c>
    </row>
    <row r="4" spans="2:10" x14ac:dyDescent="0.15">
      <c r="B4" s="4"/>
      <c r="G4" s="4"/>
    </row>
    <row r="7" spans="2:10" x14ac:dyDescent="0.15">
      <c r="B7" s="85"/>
      <c r="C7" s="86"/>
      <c r="D7" s="15" t="s">
        <v>26</v>
      </c>
      <c r="E7" s="15" t="s">
        <v>39</v>
      </c>
      <c r="F7" s="15" t="s">
        <v>40</v>
      </c>
      <c r="G7" s="15" t="s">
        <v>41</v>
      </c>
      <c r="H7" s="15" t="s">
        <v>42</v>
      </c>
      <c r="I7" s="15" t="s">
        <v>44</v>
      </c>
      <c r="J7" s="14" t="s">
        <v>45</v>
      </c>
    </row>
    <row r="8" spans="2:10" x14ac:dyDescent="0.15">
      <c r="B8" s="85" t="s">
        <v>46</v>
      </c>
      <c r="C8" s="86"/>
      <c r="D8" s="15">
        <v>9</v>
      </c>
      <c r="E8" s="15">
        <v>9</v>
      </c>
      <c r="F8" s="15">
        <v>27</v>
      </c>
      <c r="G8" s="15">
        <v>27</v>
      </c>
      <c r="H8" s="15">
        <v>60</v>
      </c>
      <c r="I8" s="15">
        <v>60</v>
      </c>
    </row>
    <row r="11" spans="2:10" x14ac:dyDescent="0.15">
      <c r="C11" s="87" t="s">
        <v>48</v>
      </c>
      <c r="D11" s="87"/>
      <c r="E11" s="87"/>
      <c r="F11" s="87"/>
      <c r="G11" s="87"/>
    </row>
    <row r="12" spans="2:10" x14ac:dyDescent="0.15">
      <c r="B12" s="15" t="s">
        <v>36</v>
      </c>
      <c r="C12" s="17" t="s">
        <v>0</v>
      </c>
      <c r="D12" s="50" t="s">
        <v>1</v>
      </c>
      <c r="E12" s="50" t="s">
        <v>199</v>
      </c>
      <c r="F12" s="50" t="s">
        <v>200</v>
      </c>
      <c r="G12" s="50" t="s">
        <v>201</v>
      </c>
    </row>
    <row r="13" spans="2:10" x14ac:dyDescent="0.15">
      <c r="B13" s="15">
        <v>2</v>
      </c>
      <c r="C13" s="6">
        <v>45</v>
      </c>
      <c r="D13" s="6">
        <v>45</v>
      </c>
      <c r="E13" s="6">
        <v>45</v>
      </c>
      <c r="F13" s="6">
        <v>45</v>
      </c>
      <c r="G13" s="6">
        <v>45</v>
      </c>
    </row>
    <row r="14" spans="2:10" x14ac:dyDescent="0.15">
      <c r="B14" s="15">
        <v>4</v>
      </c>
      <c r="C14" s="6">
        <v>50</v>
      </c>
      <c r="D14" s="6">
        <f>C14-1</f>
        <v>49</v>
      </c>
      <c r="E14" s="6">
        <f t="shared" ref="E14:G14" si="0">D14-1</f>
        <v>48</v>
      </c>
      <c r="F14" s="6">
        <f t="shared" si="0"/>
        <v>47</v>
      </c>
      <c r="G14" s="6">
        <f t="shared" si="0"/>
        <v>46</v>
      </c>
      <c r="J14" s="10"/>
    </row>
    <row r="15" spans="2:10" x14ac:dyDescent="0.15">
      <c r="B15" s="15">
        <v>6</v>
      </c>
      <c r="C15" s="6">
        <v>56</v>
      </c>
      <c r="D15" s="6">
        <f t="shared" ref="D15:G22" si="1">C15-1</f>
        <v>55</v>
      </c>
      <c r="E15" s="6">
        <f t="shared" si="1"/>
        <v>54</v>
      </c>
      <c r="F15" s="6">
        <f t="shared" si="1"/>
        <v>53</v>
      </c>
      <c r="G15" s="6">
        <f t="shared" si="1"/>
        <v>52</v>
      </c>
    </row>
    <row r="16" spans="2:10" x14ac:dyDescent="0.15">
      <c r="B16" s="15">
        <v>8</v>
      </c>
      <c r="C16" s="6">
        <v>63</v>
      </c>
      <c r="D16" s="6">
        <f t="shared" si="1"/>
        <v>62</v>
      </c>
      <c r="E16" s="6">
        <f t="shared" si="1"/>
        <v>61</v>
      </c>
      <c r="F16" s="6">
        <f t="shared" si="1"/>
        <v>60</v>
      </c>
      <c r="G16" s="6">
        <f t="shared" si="1"/>
        <v>59</v>
      </c>
    </row>
    <row r="17" spans="1:13" x14ac:dyDescent="0.15">
      <c r="B17" s="15">
        <v>10</v>
      </c>
      <c r="C17" s="6">
        <v>71</v>
      </c>
      <c r="D17" s="6">
        <f t="shared" si="1"/>
        <v>70</v>
      </c>
      <c r="E17" s="6">
        <f t="shared" si="1"/>
        <v>69</v>
      </c>
      <c r="F17" s="6">
        <f t="shared" si="1"/>
        <v>68</v>
      </c>
      <c r="G17" s="6">
        <f t="shared" si="1"/>
        <v>67</v>
      </c>
      <c r="J17" s="10"/>
      <c r="K17" s="10"/>
      <c r="L17" s="10"/>
      <c r="M17" s="10"/>
    </row>
    <row r="18" spans="1:13" x14ac:dyDescent="0.15">
      <c r="B18" s="15">
        <v>12</v>
      </c>
      <c r="C18" s="6">
        <v>80</v>
      </c>
      <c r="D18" s="6">
        <f t="shared" si="1"/>
        <v>79</v>
      </c>
      <c r="E18" s="6">
        <f t="shared" si="1"/>
        <v>78</v>
      </c>
      <c r="F18" s="6">
        <f t="shared" si="1"/>
        <v>77</v>
      </c>
      <c r="G18" s="6">
        <f t="shared" si="1"/>
        <v>76</v>
      </c>
      <c r="J18" s="10"/>
      <c r="K18" s="10"/>
      <c r="L18" s="10"/>
      <c r="M18" s="10"/>
    </row>
    <row r="19" spans="1:13" x14ac:dyDescent="0.15">
      <c r="B19" s="15">
        <v>14</v>
      </c>
      <c r="C19" s="6">
        <v>90</v>
      </c>
      <c r="D19" s="6">
        <f t="shared" si="1"/>
        <v>89</v>
      </c>
      <c r="E19" s="6">
        <f t="shared" si="1"/>
        <v>88</v>
      </c>
      <c r="F19" s="6">
        <f t="shared" si="1"/>
        <v>87</v>
      </c>
      <c r="G19" s="6">
        <f t="shared" si="1"/>
        <v>86</v>
      </c>
      <c r="J19" s="10"/>
      <c r="K19" s="10"/>
      <c r="L19" s="10"/>
      <c r="M19" s="10"/>
    </row>
    <row r="20" spans="1:13" x14ac:dyDescent="0.15">
      <c r="B20" s="15">
        <v>16</v>
      </c>
      <c r="C20" s="6">
        <v>101</v>
      </c>
      <c r="D20" s="6">
        <f t="shared" si="1"/>
        <v>100</v>
      </c>
      <c r="E20" s="6">
        <f t="shared" si="1"/>
        <v>99</v>
      </c>
      <c r="F20" s="6">
        <f t="shared" si="1"/>
        <v>98</v>
      </c>
      <c r="G20" s="6">
        <f t="shared" si="1"/>
        <v>97</v>
      </c>
      <c r="J20" s="10"/>
      <c r="K20" s="10"/>
      <c r="L20" s="10"/>
      <c r="M20" s="10"/>
    </row>
    <row r="21" spans="1:13" x14ac:dyDescent="0.15">
      <c r="B21" s="15">
        <v>18</v>
      </c>
      <c r="C21" s="6">
        <v>113</v>
      </c>
      <c r="D21" s="6">
        <f t="shared" si="1"/>
        <v>112</v>
      </c>
      <c r="E21" s="6">
        <f t="shared" si="1"/>
        <v>111</v>
      </c>
      <c r="F21" s="6">
        <f t="shared" si="1"/>
        <v>110</v>
      </c>
      <c r="G21" s="6">
        <f t="shared" si="1"/>
        <v>109</v>
      </c>
      <c r="J21" s="10"/>
      <c r="K21" s="10"/>
      <c r="L21" s="10"/>
      <c r="M21" s="10"/>
    </row>
    <row r="22" spans="1:13" x14ac:dyDescent="0.15">
      <c r="B22" s="15">
        <v>20</v>
      </c>
      <c r="C22" s="40">
        <v>126</v>
      </c>
      <c r="D22" s="6">
        <f t="shared" si="1"/>
        <v>125</v>
      </c>
      <c r="E22" s="6">
        <f t="shared" si="1"/>
        <v>124</v>
      </c>
      <c r="F22" s="6">
        <f t="shared" si="1"/>
        <v>123</v>
      </c>
      <c r="G22" s="6">
        <f t="shared" si="1"/>
        <v>122</v>
      </c>
    </row>
    <row r="23" spans="1:13" x14ac:dyDescent="0.15">
      <c r="B23" s="38">
        <v>20</v>
      </c>
      <c r="C23" s="39">
        <v>160</v>
      </c>
      <c r="D23" s="39">
        <v>160</v>
      </c>
      <c r="E23" s="39">
        <v>160</v>
      </c>
      <c r="F23" s="39">
        <v>160</v>
      </c>
      <c r="G23" s="39">
        <v>160</v>
      </c>
      <c r="H23" s="51" t="s">
        <v>202</v>
      </c>
    </row>
    <row r="24" spans="1:13" x14ac:dyDescent="0.15">
      <c r="B24" s="7"/>
      <c r="C24" s="33"/>
    </row>
    <row r="25" spans="1:13" x14ac:dyDescent="0.15">
      <c r="B25" s="7"/>
      <c r="C25" s="7"/>
    </row>
    <row r="26" spans="1:13" x14ac:dyDescent="0.15">
      <c r="D26" s="84" t="s">
        <v>50</v>
      </c>
      <c r="E26" s="84"/>
      <c r="F26" s="84"/>
      <c r="G26" s="84"/>
      <c r="H26" s="84"/>
      <c r="I26" s="84"/>
    </row>
    <row r="27" spans="1:13" x14ac:dyDescent="0.15">
      <c r="B27" s="15" t="s">
        <v>49</v>
      </c>
      <c r="C27" s="17" t="s">
        <v>48</v>
      </c>
      <c r="D27" s="15" t="s">
        <v>26</v>
      </c>
      <c r="E27" s="15" t="s">
        <v>39</v>
      </c>
      <c r="F27" s="15" t="s">
        <v>40</v>
      </c>
      <c r="G27" s="15" t="s">
        <v>41</v>
      </c>
      <c r="H27" s="15" t="s">
        <v>42</v>
      </c>
      <c r="I27" s="15" t="s">
        <v>44</v>
      </c>
    </row>
    <row r="28" spans="1:13" x14ac:dyDescent="0.15">
      <c r="B28" s="12" t="s">
        <v>47</v>
      </c>
      <c r="C28" s="17">
        <v>45</v>
      </c>
      <c r="D28" s="34">
        <v>0</v>
      </c>
      <c r="E28" s="34">
        <v>0</v>
      </c>
      <c r="F28" s="34">
        <v>0</v>
      </c>
      <c r="G28" s="34">
        <v>0</v>
      </c>
      <c r="H28" s="34">
        <v>0</v>
      </c>
      <c r="I28" s="34">
        <v>0</v>
      </c>
      <c r="K28" s="16">
        <f>求节点(节奏总纲!$C$4:$C$163,节奏总纲!$D$4:$D$163,前期规划!C28)</f>
        <v>21.627416997969519</v>
      </c>
    </row>
    <row r="29" spans="1:13" x14ac:dyDescent="0.15">
      <c r="A29" s="13"/>
      <c r="B29" s="12" t="s">
        <v>47</v>
      </c>
      <c r="C29" s="6">
        <v>55</v>
      </c>
      <c r="D29" s="24">
        <v>9</v>
      </c>
      <c r="E29" s="24">
        <v>3</v>
      </c>
      <c r="F29" s="24">
        <v>0</v>
      </c>
      <c r="G29" s="24">
        <v>0</v>
      </c>
      <c r="H29" s="24">
        <v>0</v>
      </c>
      <c r="I29" s="24">
        <v>0</v>
      </c>
      <c r="K29" s="70">
        <f>求节点(节奏总纲!$C$4:$C$163,节奏总纲!$D$4:$D$163,前期规划!C29)</f>
        <v>44.254833995939045</v>
      </c>
    </row>
    <row r="30" spans="1:13" x14ac:dyDescent="0.15">
      <c r="A30" s="13"/>
      <c r="B30" s="12" t="s">
        <v>39</v>
      </c>
      <c r="C30" s="6">
        <v>65</v>
      </c>
      <c r="D30" s="24">
        <v>9</v>
      </c>
      <c r="E30" s="24">
        <v>9</v>
      </c>
      <c r="F30" s="24">
        <v>6</v>
      </c>
      <c r="G30" s="24">
        <v>0</v>
      </c>
      <c r="H30" s="24">
        <v>0</v>
      </c>
      <c r="I30" s="24">
        <v>0</v>
      </c>
      <c r="K30" s="70">
        <f>求节点(节奏总纲!$C$4:$C$163,节奏总纲!$D$4:$D$163,前期规划!C30)</f>
        <v>89.509667991878061</v>
      </c>
    </row>
    <row r="31" spans="1:13" x14ac:dyDescent="0.15">
      <c r="A31" s="13"/>
      <c r="B31" s="12" t="s">
        <v>40</v>
      </c>
      <c r="C31" s="6">
        <v>75</v>
      </c>
      <c r="D31" s="24">
        <v>9</v>
      </c>
      <c r="E31" s="24">
        <v>9</v>
      </c>
      <c r="F31" s="24">
        <v>27</v>
      </c>
      <c r="G31" s="24">
        <v>6</v>
      </c>
      <c r="H31" s="24">
        <v>0</v>
      </c>
      <c r="I31" s="24">
        <v>0</v>
      </c>
      <c r="K31" s="70">
        <f>求节点(节奏总纲!$C$4:$C$163,节奏总纲!$D$4:$D$163,前期规划!C31)</f>
        <v>180.01933598375612</v>
      </c>
    </row>
    <row r="32" spans="1:13" x14ac:dyDescent="0.15">
      <c r="A32" s="13"/>
      <c r="B32" s="12" t="s">
        <v>41</v>
      </c>
      <c r="C32" s="6">
        <v>85</v>
      </c>
      <c r="D32" s="24">
        <v>9</v>
      </c>
      <c r="E32" s="24">
        <v>9</v>
      </c>
      <c r="F32" s="24">
        <v>27</v>
      </c>
      <c r="G32" s="24">
        <v>27</v>
      </c>
      <c r="H32" s="24">
        <v>6</v>
      </c>
      <c r="I32" s="24">
        <v>0</v>
      </c>
      <c r="K32" s="70">
        <f>求节点(节奏总纲!$C$4:$C$163,节奏总纲!$D$4:$D$163,前期规划!C32)</f>
        <v>361.0386719675123</v>
      </c>
    </row>
    <row r="33" spans="1:11" x14ac:dyDescent="0.15">
      <c r="A33" s="13"/>
      <c r="B33" s="6" t="s">
        <v>42</v>
      </c>
      <c r="C33" s="6">
        <v>95</v>
      </c>
      <c r="D33" s="24">
        <v>9</v>
      </c>
      <c r="E33" s="24">
        <v>9</v>
      </c>
      <c r="F33" s="24">
        <v>27</v>
      </c>
      <c r="G33" s="24">
        <v>27</v>
      </c>
      <c r="H33" s="24">
        <v>60</v>
      </c>
      <c r="I33" s="24">
        <v>3</v>
      </c>
      <c r="K33" s="70">
        <f>求节点(节奏总纲!$C$4:$C$163,节奏总纲!$D$4:$D$163,前期规划!C33)</f>
        <v>723.0773439350246</v>
      </c>
    </row>
    <row r="34" spans="1:11" x14ac:dyDescent="0.15">
      <c r="A34" s="13"/>
      <c r="B34" s="12" t="s">
        <v>44</v>
      </c>
      <c r="C34" s="6">
        <v>105</v>
      </c>
      <c r="D34" s="24">
        <v>9</v>
      </c>
      <c r="E34" s="24">
        <v>9</v>
      </c>
      <c r="F34" s="24">
        <v>27</v>
      </c>
      <c r="G34" s="24">
        <v>27</v>
      </c>
      <c r="H34" s="24">
        <v>60</v>
      </c>
      <c r="I34" s="24">
        <v>9</v>
      </c>
      <c r="K34" s="70">
        <f>求节点(节奏总纲!$C$4:$C$163,节奏总纲!$D$4:$D$163,前期规划!C34)</f>
        <v>1447.1546878700494</v>
      </c>
    </row>
    <row r="35" spans="1:11" x14ac:dyDescent="0.15">
      <c r="A35" s="13"/>
      <c r="B35" s="49" t="s">
        <v>44</v>
      </c>
      <c r="C35" s="22">
        <v>160</v>
      </c>
      <c r="D35" s="23">
        <v>9</v>
      </c>
      <c r="E35" s="23">
        <v>9</v>
      </c>
      <c r="F35" s="23">
        <v>27</v>
      </c>
      <c r="G35" s="23">
        <v>27</v>
      </c>
      <c r="H35" s="23">
        <v>60</v>
      </c>
      <c r="I35" s="23">
        <v>60</v>
      </c>
      <c r="J35" s="10" t="s">
        <v>97</v>
      </c>
      <c r="K35" s="70">
        <f>求节点(节奏总纲!$C$4:$C$163,节奏总纲!$D$4:$D$163,前期规划!C35)</f>
        <v>65535</v>
      </c>
    </row>
    <row r="45" spans="1:11" x14ac:dyDescent="0.15">
      <c r="A45" s="10"/>
      <c r="B45" s="10"/>
      <c r="C45" s="10"/>
      <c r="D45" s="10"/>
      <c r="E45" s="10"/>
    </row>
  </sheetData>
  <mergeCells count="4">
    <mergeCell ref="D26:I26"/>
    <mergeCell ref="B7:C7"/>
    <mergeCell ref="B8:C8"/>
    <mergeCell ref="C11:G1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CD369-7DA9-474D-97DC-529170AB1B82}">
  <sheetPr codeName="Sheet5"/>
  <dimension ref="B1:AR227"/>
  <sheetViews>
    <sheetView topLeftCell="A67" workbookViewId="0">
      <selection activeCell="C9" sqref="C9:E51"/>
    </sheetView>
  </sheetViews>
  <sheetFormatPr defaultColWidth="6.25" defaultRowHeight="11.25" x14ac:dyDescent="0.15"/>
  <cols>
    <col min="1" max="2" width="6.25" style="31"/>
    <col min="3" max="4" width="7.25" style="31" customWidth="1"/>
    <col min="5" max="5" width="10.375" style="31" bestFit="1" customWidth="1"/>
    <col min="6" max="23" width="6.625" style="67" customWidth="1"/>
    <col min="24" max="29" width="7.25" style="67" customWidth="1"/>
    <col min="30" max="30" width="6.75" style="67" bestFit="1" customWidth="1"/>
    <col min="31" max="35" width="6.25" style="67"/>
    <col min="36" max="36" width="6.25" style="31"/>
    <col min="37" max="44" width="8.625" style="59" customWidth="1"/>
    <col min="45" max="16384" width="6.25" style="31"/>
  </cols>
  <sheetData>
    <row r="1" spans="2:44" s="30" customFormat="1" x14ac:dyDescent="0.15"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K1" s="58"/>
      <c r="AL1" s="58"/>
      <c r="AM1" s="58"/>
      <c r="AN1" s="58"/>
      <c r="AO1" s="58"/>
      <c r="AP1" s="58"/>
      <c r="AQ1" s="58"/>
      <c r="AR1" s="58"/>
    </row>
    <row r="2" spans="2:44" s="30" customFormat="1" x14ac:dyDescent="0.15">
      <c r="B2" s="31"/>
      <c r="F2" s="66"/>
      <c r="G2" s="66"/>
      <c r="H2" s="66"/>
      <c r="I2" s="66"/>
      <c r="J2" s="66"/>
      <c r="K2" s="66"/>
      <c r="L2" s="66"/>
      <c r="M2" s="67"/>
      <c r="N2" s="67"/>
      <c r="O2" s="67"/>
      <c r="P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K2" s="58"/>
      <c r="AL2" s="58"/>
      <c r="AM2" s="58"/>
      <c r="AN2" s="58"/>
      <c r="AO2" s="58"/>
      <c r="AP2" s="58"/>
      <c r="AQ2" s="58"/>
      <c r="AR2" s="58"/>
    </row>
    <row r="3" spans="2:44" s="30" customFormat="1" x14ac:dyDescent="0.15">
      <c r="B3" s="31"/>
      <c r="F3" s="66"/>
      <c r="G3" s="66"/>
      <c r="H3" s="66"/>
      <c r="I3" s="66"/>
      <c r="J3" s="66"/>
      <c r="K3" s="66"/>
      <c r="L3" s="66"/>
      <c r="M3" s="67"/>
      <c r="N3" s="67"/>
      <c r="O3" s="67"/>
      <c r="P3" s="67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K3" s="58"/>
      <c r="AL3" s="58"/>
      <c r="AM3" s="58"/>
      <c r="AN3" s="58"/>
      <c r="AO3" s="58"/>
      <c r="AP3" s="58"/>
      <c r="AQ3" s="58"/>
      <c r="AR3" s="58"/>
    </row>
    <row r="4" spans="2:44" s="30" customFormat="1" x14ac:dyDescent="0.15">
      <c r="B4" s="31"/>
      <c r="F4" s="66"/>
      <c r="G4" s="66"/>
      <c r="H4" s="66"/>
      <c r="I4" s="66"/>
      <c r="J4" s="66"/>
      <c r="K4" s="66"/>
      <c r="L4" s="66"/>
      <c r="M4" s="67"/>
      <c r="N4" s="67"/>
      <c r="O4" s="67"/>
      <c r="P4" s="67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K4" s="58"/>
      <c r="AL4" s="58"/>
      <c r="AM4" s="58"/>
      <c r="AN4" s="58"/>
      <c r="AO4" s="58"/>
      <c r="AP4" s="58"/>
      <c r="AQ4" s="58"/>
      <c r="AR4" s="58"/>
    </row>
    <row r="5" spans="2:44" s="30" customFormat="1" x14ac:dyDescent="0.15">
      <c r="F5" s="68"/>
      <c r="G5" s="66"/>
      <c r="H5" s="66"/>
      <c r="I5" s="66"/>
      <c r="J5" s="66"/>
      <c r="K5" s="66"/>
      <c r="L5" s="66"/>
      <c r="M5" s="67"/>
      <c r="N5" s="67"/>
      <c r="O5" s="67"/>
      <c r="P5" s="67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K5" s="58"/>
      <c r="AL5" s="58"/>
      <c r="AM5" s="58"/>
      <c r="AN5" s="58"/>
      <c r="AO5" s="58"/>
      <c r="AP5" s="58"/>
      <c r="AQ5" s="58"/>
      <c r="AR5" s="58"/>
    </row>
    <row r="6" spans="2:44" s="30" customFormat="1" x14ac:dyDescent="0.15">
      <c r="F6" s="66"/>
      <c r="G6" s="66"/>
      <c r="H6" s="66"/>
      <c r="I6" s="66"/>
      <c r="J6" s="66"/>
      <c r="K6" s="66"/>
      <c r="L6" s="66"/>
      <c r="M6" s="67"/>
      <c r="N6" s="67"/>
      <c r="O6" s="67"/>
      <c r="P6" s="67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K6" s="58"/>
      <c r="AL6" s="58"/>
      <c r="AM6" s="58"/>
      <c r="AN6" s="58"/>
      <c r="AO6" s="58"/>
      <c r="AP6" s="58"/>
      <c r="AQ6" s="58"/>
      <c r="AR6" s="58"/>
    </row>
    <row r="7" spans="2:44" s="30" customFormat="1" x14ac:dyDescent="0.15">
      <c r="F7" s="66"/>
      <c r="G7" s="66"/>
      <c r="H7" s="66"/>
      <c r="I7" s="66"/>
      <c r="J7" s="66"/>
      <c r="K7" s="66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6"/>
      <c r="AE7" s="66"/>
      <c r="AF7" s="66"/>
      <c r="AG7" s="66"/>
      <c r="AH7" s="66"/>
      <c r="AI7" s="66"/>
      <c r="AK7" s="58"/>
      <c r="AL7" s="58"/>
      <c r="AM7" s="58"/>
      <c r="AN7" s="58"/>
      <c r="AO7" s="58"/>
      <c r="AP7" s="58"/>
      <c r="AQ7" s="58"/>
      <c r="AR7" s="58"/>
    </row>
    <row r="8" spans="2:44" s="30" customFormat="1" x14ac:dyDescent="0.15"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6"/>
      <c r="AE8" s="66"/>
      <c r="AF8" s="66"/>
      <c r="AG8" s="66"/>
      <c r="AH8" s="66"/>
      <c r="AI8" s="66"/>
      <c r="AK8" s="58"/>
      <c r="AL8" s="58"/>
      <c r="AM8" s="58"/>
      <c r="AN8" s="58"/>
      <c r="AO8" s="58"/>
      <c r="AP8" s="58"/>
      <c r="AQ8" s="58"/>
      <c r="AR8" s="58"/>
    </row>
    <row r="9" spans="2:44" s="30" customFormat="1" x14ac:dyDescent="0.15">
      <c r="B9" s="31"/>
      <c r="C9" s="32" t="s">
        <v>17</v>
      </c>
      <c r="D9" s="26"/>
      <c r="E9" s="27"/>
      <c r="F9" s="88" t="s">
        <v>51</v>
      </c>
      <c r="G9" s="89"/>
      <c r="H9" s="89"/>
      <c r="I9" s="89"/>
      <c r="J9" s="89"/>
      <c r="K9" s="90"/>
      <c r="L9" s="88" t="s">
        <v>52</v>
      </c>
      <c r="M9" s="89"/>
      <c r="N9" s="89"/>
      <c r="O9" s="89"/>
      <c r="P9" s="89"/>
      <c r="Q9" s="90"/>
      <c r="R9" s="88" t="s">
        <v>122</v>
      </c>
      <c r="S9" s="89"/>
      <c r="T9" s="89"/>
      <c r="U9" s="89"/>
      <c r="V9" s="89"/>
      <c r="W9" s="90"/>
      <c r="X9" s="88" t="s">
        <v>132</v>
      </c>
      <c r="Y9" s="89"/>
      <c r="Z9" s="89"/>
      <c r="AA9" s="89"/>
      <c r="AB9" s="89"/>
      <c r="AC9" s="90"/>
      <c r="AD9" s="88" t="s">
        <v>133</v>
      </c>
      <c r="AE9" s="89"/>
      <c r="AF9" s="89"/>
      <c r="AG9" s="89"/>
      <c r="AH9" s="89"/>
      <c r="AI9" s="90"/>
      <c r="AK9" s="91" t="s">
        <v>187</v>
      </c>
      <c r="AL9" s="91"/>
      <c r="AM9" s="91" t="s">
        <v>188</v>
      </c>
      <c r="AN9" s="91"/>
      <c r="AO9" s="91" t="s">
        <v>191</v>
      </c>
      <c r="AP9" s="91"/>
      <c r="AQ9" s="91" t="s">
        <v>192</v>
      </c>
      <c r="AR9" s="91"/>
    </row>
    <row r="10" spans="2:44" s="30" customFormat="1" x14ac:dyDescent="0.15">
      <c r="B10" s="31"/>
      <c r="C10" s="27" t="s">
        <v>31</v>
      </c>
      <c r="D10" s="27" t="s">
        <v>25</v>
      </c>
      <c r="E10" s="27" t="s">
        <v>30</v>
      </c>
      <c r="F10" s="64" t="s">
        <v>26</v>
      </c>
      <c r="G10" s="64" t="s">
        <v>38</v>
      </c>
      <c r="H10" s="64" t="s">
        <v>27</v>
      </c>
      <c r="I10" s="64" t="s">
        <v>29</v>
      </c>
      <c r="J10" s="64" t="s">
        <v>28</v>
      </c>
      <c r="K10" s="64" t="s">
        <v>43</v>
      </c>
      <c r="L10" s="64" t="s">
        <v>26</v>
      </c>
      <c r="M10" s="64" t="s">
        <v>38</v>
      </c>
      <c r="N10" s="64" t="s">
        <v>27</v>
      </c>
      <c r="O10" s="64" t="s">
        <v>29</v>
      </c>
      <c r="P10" s="64" t="s">
        <v>28</v>
      </c>
      <c r="Q10" s="64" t="s">
        <v>43</v>
      </c>
      <c r="R10" s="64" t="s">
        <v>26</v>
      </c>
      <c r="S10" s="64" t="s">
        <v>38</v>
      </c>
      <c r="T10" s="64" t="s">
        <v>27</v>
      </c>
      <c r="U10" s="64" t="s">
        <v>29</v>
      </c>
      <c r="V10" s="64" t="s">
        <v>28</v>
      </c>
      <c r="W10" s="64" t="s">
        <v>43</v>
      </c>
      <c r="X10" s="64" t="s">
        <v>26</v>
      </c>
      <c r="Y10" s="64" t="s">
        <v>38</v>
      </c>
      <c r="Z10" s="64" t="s">
        <v>27</v>
      </c>
      <c r="AA10" s="64" t="s">
        <v>29</v>
      </c>
      <c r="AB10" s="64" t="s">
        <v>28</v>
      </c>
      <c r="AC10" s="64" t="s">
        <v>43</v>
      </c>
      <c r="AD10" s="64" t="s">
        <v>26</v>
      </c>
      <c r="AE10" s="64" t="s">
        <v>38</v>
      </c>
      <c r="AF10" s="64" t="s">
        <v>27</v>
      </c>
      <c r="AG10" s="64" t="s">
        <v>29</v>
      </c>
      <c r="AH10" s="64" t="s">
        <v>28</v>
      </c>
      <c r="AI10" s="64" t="s">
        <v>43</v>
      </c>
      <c r="AK10" s="60" t="s">
        <v>189</v>
      </c>
      <c r="AL10" s="60" t="s">
        <v>190</v>
      </c>
      <c r="AM10" s="60" t="s">
        <v>189</v>
      </c>
      <c r="AN10" s="60" t="s">
        <v>190</v>
      </c>
      <c r="AO10" s="60" t="s">
        <v>189</v>
      </c>
      <c r="AP10" s="60" t="s">
        <v>190</v>
      </c>
      <c r="AQ10" s="60" t="s">
        <v>189</v>
      </c>
      <c r="AR10" s="60" t="s">
        <v>190</v>
      </c>
    </row>
    <row r="11" spans="2:44" s="30" customFormat="1" x14ac:dyDescent="0.15">
      <c r="B11" s="31"/>
      <c r="C11" s="29">
        <v>15</v>
      </c>
      <c r="D11" s="18">
        <f>求节点(节奏总纲!$D$4:$D$163,节奏总纲!$C$4:$C$163,$C11)</f>
        <v>40</v>
      </c>
      <c r="E11" s="18">
        <f>IFERROR(求节点(前期规划!$C$13:$C$23,前期规划!$B$13:$B$23,D11),0)</f>
        <v>0</v>
      </c>
      <c r="F11" s="63">
        <f>IFERROR(求节点(前期规划!$C$28:$C$35,前期规划!D$28:D$35,$D11),0)</f>
        <v>0</v>
      </c>
      <c r="G11" s="63">
        <f>IFERROR(求节点(前期规划!$C$28:$C$35,前期规划!E$28:E$35,$D11),0)</f>
        <v>0</v>
      </c>
      <c r="H11" s="63">
        <f>IFERROR(求节点(前期规划!$C$28:$C$35,前期规划!F$28:F$35,$D11),0)</f>
        <v>0</v>
      </c>
      <c r="I11" s="63">
        <f>IFERROR(求节点(前期规划!$C$28:$C$35,前期规划!G$28:G$35,$D11),0)</f>
        <v>0</v>
      </c>
      <c r="J11" s="63">
        <f>IFERROR(求节点(前期规划!$C$28:$C$35,前期规划!H$28:H$35,$D11),0)</f>
        <v>0</v>
      </c>
      <c r="K11" s="63">
        <f>IFERROR(求节点(前期规划!$C$28:$C$35,前期规划!I$28:I$35,$D11),0)</f>
        <v>0</v>
      </c>
      <c r="L11" s="63">
        <f>MIN($E11-SUM(M11:$Q11),F11)</f>
        <v>0</v>
      </c>
      <c r="M11" s="63">
        <f>MIN($E11-SUM(N11:$Q11),G11)</f>
        <v>0</v>
      </c>
      <c r="N11" s="63">
        <f>MIN($E11-SUM(O11:$Q11),H11)</f>
        <v>0</v>
      </c>
      <c r="O11" s="63">
        <f>MIN($E11-SUM(P11:$Q11),I11)</f>
        <v>0</v>
      </c>
      <c r="P11" s="63">
        <f>MIN($E11-SUM(Q11:$Q11),J11)</f>
        <v>0</v>
      </c>
      <c r="Q11" s="69">
        <f>MIN($E11,K11)</f>
        <v>0</v>
      </c>
      <c r="R11" s="64">
        <f>活动投放!AC11+付费投放!AA11</f>
        <v>0</v>
      </c>
      <c r="S11" s="64">
        <f>活动投放!AD11+付费投放!AB11</f>
        <v>0</v>
      </c>
      <c r="T11" s="64">
        <f>活动投放!AE11+付费投放!AC11</f>
        <v>0</v>
      </c>
      <c r="U11" s="64">
        <f>活动投放!AF11+付费投放!AD11</f>
        <v>0</v>
      </c>
      <c r="V11" s="64">
        <f>活动投放!AG11+付费投放!AE11</f>
        <v>0</v>
      </c>
      <c r="W11" s="64">
        <f>活动投放!AH11+付费投放!AF11</f>
        <v>0</v>
      </c>
      <c r="X11" s="63">
        <f>MIN(IFERROR(INDEX(真品获取算法!$C$6:$C$66,MATCH(R11,真品获取算法!D$6:D$66,1)),0)+付费投放!AG11,前期规划!D$8)</f>
        <v>0</v>
      </c>
      <c r="Y11" s="63">
        <f>MIN(IFERROR(INDEX(真品获取算法!$C$6:$C$66,MATCH(S11,真品获取算法!E$6:E$66,1)),0)+付费投放!AH11,前期规划!E$8)</f>
        <v>0</v>
      </c>
      <c r="Z11" s="63">
        <f>MIN(IFERROR(INDEX(真品获取算法!$C$6:$C$66,MATCH(T11,真品获取算法!F$6:F$66,1)),0)+付费投放!AI11,前期规划!F$8)</f>
        <v>0</v>
      </c>
      <c r="AA11" s="63">
        <f>MIN(IFERROR(INDEX(真品获取算法!$C$6:$C$66,MATCH(U11,真品获取算法!G$6:G$66,1)),0)+付费投放!AJ11,前期规划!G$8)</f>
        <v>0</v>
      </c>
      <c r="AB11" s="63">
        <f>MIN(IFERROR(INDEX(真品获取算法!$C$6:$C$66,MATCH(V11,真品获取算法!H$6:H$66,1)),0)+付费投放!AK11,前期规划!H$8)</f>
        <v>0</v>
      </c>
      <c r="AC11" s="63">
        <f>MIN(IFERROR(INDEX(真品获取算法!$C$6:$C$66,MATCH(W11,真品获取算法!I$6:I$66,1)),0)+付费投放!AL11,前期规划!I$8)</f>
        <v>0</v>
      </c>
      <c r="AD11" s="63">
        <f>IFERROR(X11/F11,0)</f>
        <v>0</v>
      </c>
      <c r="AE11" s="63">
        <f t="shared" ref="AE11:AI11" si="0">IFERROR(Y11/G11,0)</f>
        <v>0</v>
      </c>
      <c r="AF11" s="63">
        <f t="shared" si="0"/>
        <v>0</v>
      </c>
      <c r="AG11" s="63">
        <f t="shared" si="0"/>
        <v>0</v>
      </c>
      <c r="AH11" s="63">
        <f t="shared" si="0"/>
        <v>0</v>
      </c>
      <c r="AI11" s="63">
        <f t="shared" si="0"/>
        <v>0</v>
      </c>
      <c r="AK11" s="60" t="e">
        <f>活动投放!AF11/U11</f>
        <v>#DIV/0!</v>
      </c>
      <c r="AL11" s="60" t="e">
        <f>付费投放!AD11/U11</f>
        <v>#DIV/0!</v>
      </c>
      <c r="AM11" s="60" t="e">
        <f>活动投放!AH11/W11</f>
        <v>#DIV/0!</v>
      </c>
      <c r="AN11" s="60" t="e">
        <f>付费投放!AF11/W11</f>
        <v>#DIV/0!</v>
      </c>
      <c r="AO11" s="60" t="e">
        <f>IFERROR(INDEX(真品获取算法!$C$6:$C$66,MATCH(U11,真品获取算法!G$6:G$66,1)),0)*AK11/(IFERROR(INDEX(真品获取算法!$C$6:$C$66,MATCH(U11,真品获取算法!G$6:G$66,1)),0)+付费投放!AJ11)</f>
        <v>#DIV/0!</v>
      </c>
      <c r="AP11" s="60" t="e">
        <f>(付费投放!AJ11+IFERROR(INDEX(真品获取算法!$C$6:$C$66,MATCH(U11,真品获取算法!G$6:G$66,1)),0)*AL11)/(IFERROR(INDEX(真品获取算法!$C$6:$C$66,MATCH(U11,真品获取算法!G$6:G$66,1)),0)+付费投放!AJ11)</f>
        <v>#DIV/0!</v>
      </c>
      <c r="AQ11" s="60" t="e">
        <f>IFERROR(INDEX(真品获取算法!$C$6:$C$66,MATCH(W11,真品获取算法!I$6:I$66,1)),0)*AM11/(IFERROR(INDEX(真品获取算法!$C$6:$C$66,MATCH(W11,真品获取算法!I$6:I$66,1)),0)+付费投放!AL11)</f>
        <v>#DIV/0!</v>
      </c>
      <c r="AR11" s="60" t="e">
        <f>(付费投放!AL11+IFERROR(INDEX(真品获取算法!$C$6:$C$66,MATCH(W11,真品获取算法!I$6:I$66,1)),0)*AN11)/(IFERROR(INDEX(真品获取算法!$C$6:$C$66,MATCH(W11,真品获取算法!I$6:I$66,1)),0)+付费投放!AL11)</f>
        <v>#DIV/0!</v>
      </c>
    </row>
    <row r="12" spans="2:44" s="30" customFormat="1" x14ac:dyDescent="0.15">
      <c r="B12" s="31"/>
      <c r="C12" s="29">
        <v>30</v>
      </c>
      <c r="D12" s="18">
        <f>求节点(节奏总纲!$D$4:$D$163,节奏总纲!$C$4:$C$163,$C12)</f>
        <v>49.533352307096472</v>
      </c>
      <c r="E12" s="18">
        <f>IFERROR(求节点(前期规划!$C$13:$C$23,前期规划!$B$13:$B$23,D12),0)</f>
        <v>3.8133409228385888</v>
      </c>
      <c r="F12" s="63">
        <f>IFERROR(求节点(前期规划!$C$28:$C$35,前期规划!D$28:D$35,$D12),0)</f>
        <v>4.0800170763868246</v>
      </c>
      <c r="G12" s="63">
        <f>IFERROR(求节点(前期规划!$C$28:$C$35,前期规划!E$28:E$35,$D12),0)</f>
        <v>1.3600056921289414</v>
      </c>
      <c r="H12" s="63">
        <f>IFERROR(求节点(前期规划!$C$28:$C$35,前期规划!F$28:F$35,$D12),0)</f>
        <v>0</v>
      </c>
      <c r="I12" s="63">
        <f>IFERROR(求节点(前期规划!$C$28:$C$35,前期规划!G$28:G$35,$D12),0)</f>
        <v>0</v>
      </c>
      <c r="J12" s="63">
        <f>IFERROR(求节点(前期规划!$C$28:$C$35,前期规划!H$28:H$35,$D12),0)</f>
        <v>0</v>
      </c>
      <c r="K12" s="63">
        <f>IFERROR(求节点(前期规划!$C$28:$C$35,前期规划!I$28:I$35,$D12),0)</f>
        <v>0</v>
      </c>
      <c r="L12" s="63">
        <f>MIN($E12-SUM(M12:$Q12),F12)</f>
        <v>2.4533352307096474</v>
      </c>
      <c r="M12" s="63">
        <f>MIN($E12-SUM(N12:$Q12),G12)</f>
        <v>1.3600056921289414</v>
      </c>
      <c r="N12" s="63">
        <f>MIN($E12-SUM(O12:$Q12),H12)</f>
        <v>0</v>
      </c>
      <c r="O12" s="63">
        <f>MIN($E12-SUM(P12:$Q12),I12)</f>
        <v>0</v>
      </c>
      <c r="P12" s="63">
        <f>MIN($E12-SUM(Q12:$Q12),J12)</f>
        <v>0</v>
      </c>
      <c r="Q12" s="69">
        <f t="shared" ref="Q12:Q50" si="1">MIN($E12,K12)</f>
        <v>0</v>
      </c>
      <c r="R12" s="64">
        <f>活动投放!AC12+付费投放!AA12</f>
        <v>1</v>
      </c>
      <c r="S12" s="64">
        <f>活动投放!AD12+付费投放!AB12</f>
        <v>1</v>
      </c>
      <c r="T12" s="64">
        <f>活动投放!AE12+付费投放!AC12</f>
        <v>0.27999999999999997</v>
      </c>
      <c r="U12" s="64">
        <f>活动投放!AF12+付费投放!AD12</f>
        <v>0.12</v>
      </c>
      <c r="V12" s="64">
        <f>活动投放!AG12+付费投放!AE12</f>
        <v>0</v>
      </c>
      <c r="W12" s="64">
        <f>活动投放!AH12+付费投放!AF12</f>
        <v>0</v>
      </c>
      <c r="X12" s="63">
        <f>MIN(IFERROR(INDEX(真品获取算法!$C$6:$C$66,MATCH(R12,真品获取算法!D$6:D$66,1)),0)+付费投放!AG12,前期规划!D$8)</f>
        <v>0</v>
      </c>
      <c r="Y12" s="63">
        <f>MIN(IFERROR(INDEX(真品获取算法!$C$6:$C$66,MATCH(S12,真品获取算法!E$6:E$66,1)),0)+付费投放!AH12,前期规划!E$8)</f>
        <v>0</v>
      </c>
      <c r="Z12" s="63">
        <f>MIN(IFERROR(INDEX(真品获取算法!$C$6:$C$66,MATCH(T12,真品获取算法!F$6:F$66,1)),0)+付费投放!AI12,前期规划!F$8)</f>
        <v>0</v>
      </c>
      <c r="AA12" s="63">
        <f>MIN(IFERROR(INDEX(真品获取算法!$C$6:$C$66,MATCH(U12,真品获取算法!G$6:G$66,1)),0)+付费投放!AJ12,前期规划!G$8)</f>
        <v>6.6666666666666671E-3</v>
      </c>
      <c r="AB12" s="63">
        <f>MIN(IFERROR(INDEX(真品获取算法!$C$6:$C$66,MATCH(V12,真品获取算法!H$6:H$66,1)),0)+付费投放!AK12,前期规划!H$8)</f>
        <v>0</v>
      </c>
      <c r="AC12" s="63">
        <f>MIN(IFERROR(INDEX(真品获取算法!$C$6:$C$66,MATCH(W12,真品获取算法!I$6:I$66,1)),0)+付费投放!AL12,前期规划!I$8)</f>
        <v>0</v>
      </c>
      <c r="AD12" s="63">
        <f t="shared" ref="AD12:AD51" si="2">IFERROR(X12/F12,0)</f>
        <v>0</v>
      </c>
      <c r="AE12" s="63">
        <f t="shared" ref="AE12:AE51" si="3">IFERROR(Y12/G12,0)</f>
        <v>0</v>
      </c>
      <c r="AF12" s="63">
        <f t="shared" ref="AF12:AF51" si="4">IFERROR(Z12/H12,0)</f>
        <v>0</v>
      </c>
      <c r="AG12" s="63">
        <f t="shared" ref="AG12:AG51" si="5">IFERROR(AA12/I12,0)</f>
        <v>0</v>
      </c>
      <c r="AH12" s="63">
        <f t="shared" ref="AH12:AH51" si="6">IFERROR(AB12/J12,0)</f>
        <v>0</v>
      </c>
      <c r="AI12" s="63">
        <f t="shared" ref="AI12:AI51" si="7">IFERROR(AC12/K12,0)</f>
        <v>0</v>
      </c>
      <c r="AK12" s="60">
        <f>活动投放!AF12/U12</f>
        <v>0</v>
      </c>
      <c r="AL12" s="60">
        <f>付费投放!AD12/U12</f>
        <v>1</v>
      </c>
      <c r="AM12" s="60" t="e">
        <f>活动投放!AH12/W12</f>
        <v>#DIV/0!</v>
      </c>
      <c r="AN12" s="60" t="e">
        <f>付费投放!AF12/W12</f>
        <v>#DIV/0!</v>
      </c>
      <c r="AO12" s="60">
        <f>IFERROR(INDEX(真品获取算法!$C$6:$C$66,MATCH(U12,真品获取算法!G$6:G$66,1)),0)*AK12/(IFERROR(INDEX(真品获取算法!$C$6:$C$66,MATCH(U12,真品获取算法!G$6:G$66,1)),0)+付费投放!AJ12)</f>
        <v>0</v>
      </c>
      <c r="AP12" s="60">
        <f>(付费投放!AJ12+IFERROR(INDEX(真品获取算法!$C$6:$C$66,MATCH(U12,真品获取算法!G$6:G$66,1)),0)*AL12)/(IFERROR(INDEX(真品获取算法!$C$6:$C$66,MATCH(U12,真品获取算法!G$6:G$66,1)),0)+付费投放!AJ12)</f>
        <v>1</v>
      </c>
      <c r="AQ12" s="60" t="e">
        <f>IFERROR(INDEX(真品获取算法!$C$6:$C$66,MATCH(W12,真品获取算法!I$6:I$66,1)),0)*AM12/(IFERROR(INDEX(真品获取算法!$C$6:$C$66,MATCH(W12,真品获取算法!I$6:I$66,1)),0)+付费投放!AL12)</f>
        <v>#DIV/0!</v>
      </c>
      <c r="AR12" s="60" t="e">
        <f>(付费投放!AL12+IFERROR(INDEX(真品获取算法!$C$6:$C$66,MATCH(W12,真品获取算法!I$6:I$66,1)),0)*AN12)/(IFERROR(INDEX(真品获取算法!$C$6:$C$66,MATCH(W12,真品获取算法!I$6:I$66,1)),0)+付费投放!AL12)</f>
        <v>#DIV/0!</v>
      </c>
    </row>
    <row r="13" spans="2:44" s="30" customFormat="1" x14ac:dyDescent="0.15">
      <c r="B13" s="31"/>
      <c r="C13" s="29">
        <v>45</v>
      </c>
      <c r="D13" s="18">
        <f>求节点(节奏总纲!$D$4:$D$163,节奏总纲!$C$4:$C$163,$C13)</f>
        <v>55.229416240679981</v>
      </c>
      <c r="E13" s="18">
        <f>IFERROR(求节点(前期规划!$C$13:$C$23,前期规划!$B$13:$B$23,D13),0)</f>
        <v>5.7431387468933268</v>
      </c>
      <c r="F13" s="63">
        <f>IFERROR(求节点(前期规划!$C$28:$C$35,前期规划!D$28:D$35,$D13),0)</f>
        <v>9</v>
      </c>
      <c r="G13" s="63">
        <f>IFERROR(求节点(前期规划!$C$28:$C$35,前期规划!E$28:E$35,$D13),0)</f>
        <v>3.1376497444079887</v>
      </c>
      <c r="H13" s="63">
        <f>IFERROR(求节点(前期规划!$C$28:$C$35,前期规划!F$28:F$35,$D13),0)</f>
        <v>0.1376497444079888</v>
      </c>
      <c r="I13" s="63">
        <f>IFERROR(求节点(前期规划!$C$28:$C$35,前期规划!G$28:G$35,$D13),0)</f>
        <v>0</v>
      </c>
      <c r="J13" s="63">
        <f>IFERROR(求节点(前期规划!$C$28:$C$35,前期规划!H$28:H$35,$D13),0)</f>
        <v>0</v>
      </c>
      <c r="K13" s="63">
        <f>IFERROR(求节点(前期规划!$C$28:$C$35,前期规划!I$28:I$35,$D13),0)</f>
        <v>0</v>
      </c>
      <c r="L13" s="63">
        <f>MIN($E13-SUM(M13:$Q13),F13)</f>
        <v>2.4678392580773494</v>
      </c>
      <c r="M13" s="63">
        <f>MIN($E13-SUM(N13:$Q13),G13)</f>
        <v>3.1376497444079887</v>
      </c>
      <c r="N13" s="63">
        <f>MIN($E13-SUM(O13:$Q13),H13)</f>
        <v>0.1376497444079888</v>
      </c>
      <c r="O13" s="63">
        <f>MIN($E13-SUM(P13:$Q13),I13)</f>
        <v>0</v>
      </c>
      <c r="P13" s="63">
        <f>MIN($E13-SUM(Q13:$Q13),J13)</f>
        <v>0</v>
      </c>
      <c r="Q13" s="69">
        <f t="shared" si="1"/>
        <v>0</v>
      </c>
      <c r="R13" s="64">
        <f>活动投放!AC13+付费投放!AA13</f>
        <v>3</v>
      </c>
      <c r="S13" s="64">
        <f>活动投放!AD13+付费投放!AB13</f>
        <v>3</v>
      </c>
      <c r="T13" s="64">
        <f>活动投放!AE13+付费投放!AC13</f>
        <v>0.55999999999999994</v>
      </c>
      <c r="U13" s="64">
        <f>活动投放!AF13+付费投放!AD13</f>
        <v>0.24</v>
      </c>
      <c r="V13" s="64">
        <f>活动投放!AG13+付费投放!AE13</f>
        <v>0</v>
      </c>
      <c r="W13" s="64">
        <f>活动投放!AH13+付费投放!AF13</f>
        <v>0</v>
      </c>
      <c r="X13" s="63">
        <f>MIN(IFERROR(INDEX(真品获取算法!$C$6:$C$66,MATCH(R13,真品获取算法!D$6:D$66,1)),0)+付费投放!AG13,前期规划!D$8)</f>
        <v>1</v>
      </c>
      <c r="Y13" s="63">
        <f>MIN(IFERROR(INDEX(真品获取算法!$C$6:$C$66,MATCH(S13,真品获取算法!E$6:E$66,1)),0)+付费投放!AH13,前期规划!E$8)</f>
        <v>1</v>
      </c>
      <c r="Z13" s="63">
        <f>MIN(IFERROR(INDEX(真品获取算法!$C$6:$C$66,MATCH(T13,真品获取算法!F$6:F$66,1)),0)+付费投放!AI13,前期规划!F$8)</f>
        <v>0</v>
      </c>
      <c r="AA13" s="63">
        <f>MIN(IFERROR(INDEX(真品获取算法!$C$6:$C$66,MATCH(U13,真品获取算法!G$6:G$66,1)),0)+付费投放!AJ13,前期规划!G$8)</f>
        <v>1.3333333333333334E-2</v>
      </c>
      <c r="AB13" s="63">
        <f>MIN(IFERROR(INDEX(真品获取算法!$C$6:$C$66,MATCH(V13,真品获取算法!H$6:H$66,1)),0)+付费投放!AK13,前期规划!H$8)</f>
        <v>0</v>
      </c>
      <c r="AC13" s="63">
        <f>MIN(IFERROR(INDEX(真品获取算法!$C$6:$C$66,MATCH(W13,真品获取算法!I$6:I$66,1)),0)+付费投放!AL13,前期规划!I$8)</f>
        <v>0</v>
      </c>
      <c r="AD13" s="63">
        <f t="shared" si="2"/>
        <v>0.1111111111111111</v>
      </c>
      <c r="AE13" s="63">
        <f t="shared" si="3"/>
        <v>0.31870988843870457</v>
      </c>
      <c r="AF13" s="63">
        <f t="shared" si="4"/>
        <v>0</v>
      </c>
      <c r="AG13" s="63">
        <f t="shared" si="5"/>
        <v>0</v>
      </c>
      <c r="AH13" s="63">
        <f t="shared" si="6"/>
        <v>0</v>
      </c>
      <c r="AI13" s="63">
        <f t="shared" si="7"/>
        <v>0</v>
      </c>
      <c r="AK13" s="60">
        <f>活动投放!AF13/U13</f>
        <v>0</v>
      </c>
      <c r="AL13" s="60">
        <f>付费投放!AD13/U13</f>
        <v>1</v>
      </c>
      <c r="AM13" s="60" t="e">
        <f>活动投放!AH13/W13</f>
        <v>#DIV/0!</v>
      </c>
      <c r="AN13" s="60" t="e">
        <f>付费投放!AF13/W13</f>
        <v>#DIV/0!</v>
      </c>
      <c r="AO13" s="60">
        <f>IFERROR(INDEX(真品获取算法!$C$6:$C$66,MATCH(U13,真品获取算法!G$6:G$66,1)),0)*AK13/(IFERROR(INDEX(真品获取算法!$C$6:$C$66,MATCH(U13,真品获取算法!G$6:G$66,1)),0)+付费投放!AJ13)</f>
        <v>0</v>
      </c>
      <c r="AP13" s="60">
        <f>(付费投放!AJ13+IFERROR(INDEX(真品获取算法!$C$6:$C$66,MATCH(U13,真品获取算法!G$6:G$66,1)),0)*AL13)/(IFERROR(INDEX(真品获取算法!$C$6:$C$66,MATCH(U13,真品获取算法!G$6:G$66,1)),0)+付费投放!AJ13)</f>
        <v>1</v>
      </c>
      <c r="AQ13" s="60" t="e">
        <f>IFERROR(INDEX(真品获取算法!$C$6:$C$66,MATCH(W13,真品获取算法!I$6:I$66,1)),0)*AM13/(IFERROR(INDEX(真品获取算法!$C$6:$C$66,MATCH(W13,真品获取算法!I$6:I$66,1)),0)+付费投放!AL13)</f>
        <v>#DIV/0!</v>
      </c>
      <c r="AR13" s="60" t="e">
        <f>(付费投放!AL13+IFERROR(INDEX(真品获取算法!$C$6:$C$66,MATCH(W13,真品获取算法!I$6:I$66,1)),0)*AN13)/(IFERROR(INDEX(真品获取算法!$C$6:$C$66,MATCH(W13,真品获取算法!I$6:I$66,1)),0)+付费投放!AL13)</f>
        <v>#DIV/0!</v>
      </c>
    </row>
    <row r="14" spans="2:44" s="30" customFormat="1" x14ac:dyDescent="0.15">
      <c r="B14" s="31"/>
      <c r="C14" s="29">
        <v>60</v>
      </c>
      <c r="D14" s="18">
        <f>求节点(节奏总纲!$D$4:$D$163,节奏总纲!$C$4:$C$163,$C14)</f>
        <v>59.300028460644697</v>
      </c>
      <c r="E14" s="18">
        <f>IFERROR(求节点(前期规划!$C$13:$C$23,前期规划!$B$13:$B$23,D14),0)</f>
        <v>6.9428652744699129</v>
      </c>
      <c r="F14" s="63">
        <f>IFERROR(求节点(前期规划!$C$28:$C$35,前期规划!D$28:D$35,$D14),0)</f>
        <v>9</v>
      </c>
      <c r="G14" s="63">
        <f>IFERROR(求节点(前期规划!$C$28:$C$35,前期规划!E$28:E$35,$D14),0)</f>
        <v>5.5800170763868184</v>
      </c>
      <c r="H14" s="63">
        <f>IFERROR(求节点(前期规划!$C$28:$C$35,前期规划!F$28:F$35,$D14),0)</f>
        <v>2.580017076386818</v>
      </c>
      <c r="I14" s="63">
        <f>IFERROR(求节点(前期规划!$C$28:$C$35,前期规划!G$28:G$35,$D14),0)</f>
        <v>0</v>
      </c>
      <c r="J14" s="63">
        <f>IFERROR(求节点(前期规划!$C$28:$C$35,前期规划!H$28:H$35,$D14),0)</f>
        <v>0</v>
      </c>
      <c r="K14" s="63">
        <f>IFERROR(求节点(前期规划!$C$28:$C$35,前期规划!I$28:I$35,$D14),0)</f>
        <v>0</v>
      </c>
      <c r="L14" s="63">
        <f>MIN($E14-SUM(M14:$Q14),F14)</f>
        <v>0</v>
      </c>
      <c r="M14" s="63">
        <f>MIN($E14-SUM(N14:$Q14),G14)</f>
        <v>4.3628481980830944</v>
      </c>
      <c r="N14" s="63">
        <f>MIN($E14-SUM(O14:$Q14),H14)</f>
        <v>2.580017076386818</v>
      </c>
      <c r="O14" s="63">
        <f>MIN($E14-SUM(P14:$Q14),I14)</f>
        <v>0</v>
      </c>
      <c r="P14" s="63">
        <f>MIN($E14-SUM(Q14:$Q14),J14)</f>
        <v>0</v>
      </c>
      <c r="Q14" s="69">
        <f t="shared" si="1"/>
        <v>0</v>
      </c>
      <c r="R14" s="64">
        <f>活动投放!AC14+付费投放!AA14</f>
        <v>5</v>
      </c>
      <c r="S14" s="64">
        <f>活动投放!AD14+付费投放!AB14</f>
        <v>5</v>
      </c>
      <c r="T14" s="64">
        <f>活动投放!AE14+付费投放!AC14</f>
        <v>0.83999999999999986</v>
      </c>
      <c r="U14" s="64">
        <f>活动投放!AF14+付费投放!AD14</f>
        <v>0.36</v>
      </c>
      <c r="V14" s="64">
        <f>活动投放!AG14+付费投放!AE14</f>
        <v>0</v>
      </c>
      <c r="W14" s="64">
        <f>活动投放!AH14+付费投放!AF14</f>
        <v>0</v>
      </c>
      <c r="X14" s="63">
        <f>MIN(IFERROR(INDEX(真品获取算法!$C$6:$C$66,MATCH(R14,真品获取算法!D$6:D$66,1)),0)+付费投放!AG14,前期规划!D$8)</f>
        <v>2</v>
      </c>
      <c r="Y14" s="63">
        <f>MIN(IFERROR(INDEX(真品获取算法!$C$6:$C$66,MATCH(S14,真品获取算法!E$6:E$66,1)),0)+付费投放!AH14,前期规划!E$8)</f>
        <v>2</v>
      </c>
      <c r="Z14" s="63">
        <f>MIN(IFERROR(INDEX(真品获取算法!$C$6:$C$66,MATCH(T14,真品获取算法!F$6:F$66,1)),0)+付费投放!AI14,前期规划!F$8)</f>
        <v>0</v>
      </c>
      <c r="AA14" s="63">
        <f>MIN(IFERROR(INDEX(真品获取算法!$C$6:$C$66,MATCH(U14,真品获取算法!G$6:G$66,1)),0)+付费投放!AJ14,前期规划!G$8)</f>
        <v>0.02</v>
      </c>
      <c r="AB14" s="63">
        <f>MIN(IFERROR(INDEX(真品获取算法!$C$6:$C$66,MATCH(V14,真品获取算法!H$6:H$66,1)),0)+付费投放!AK14,前期规划!H$8)</f>
        <v>0</v>
      </c>
      <c r="AC14" s="63">
        <f>MIN(IFERROR(INDEX(真品获取算法!$C$6:$C$66,MATCH(W14,真品获取算法!I$6:I$66,1)),0)+付费投放!AL14,前期规划!I$8)</f>
        <v>0</v>
      </c>
      <c r="AD14" s="63">
        <f t="shared" si="2"/>
        <v>0.22222222222222221</v>
      </c>
      <c r="AE14" s="63">
        <f t="shared" si="3"/>
        <v>0.35842184219533663</v>
      </c>
      <c r="AF14" s="63">
        <f t="shared" si="4"/>
        <v>0</v>
      </c>
      <c r="AG14" s="63">
        <f t="shared" si="5"/>
        <v>0</v>
      </c>
      <c r="AH14" s="63">
        <f t="shared" si="6"/>
        <v>0</v>
      </c>
      <c r="AI14" s="63">
        <f t="shared" si="7"/>
        <v>0</v>
      </c>
      <c r="AK14" s="60">
        <f>活动投放!AF14/U14</f>
        <v>0</v>
      </c>
      <c r="AL14" s="60">
        <f>付费投放!AD14/U14</f>
        <v>1</v>
      </c>
      <c r="AM14" s="60" t="e">
        <f>活动投放!AH14/W14</f>
        <v>#DIV/0!</v>
      </c>
      <c r="AN14" s="60" t="e">
        <f>付费投放!AF14/W14</f>
        <v>#DIV/0!</v>
      </c>
      <c r="AO14" s="60">
        <f>IFERROR(INDEX(真品获取算法!$C$6:$C$66,MATCH(U14,真品获取算法!G$6:G$66,1)),0)*AK14/(IFERROR(INDEX(真品获取算法!$C$6:$C$66,MATCH(U14,真品获取算法!G$6:G$66,1)),0)+付费投放!AJ14)</f>
        <v>0</v>
      </c>
      <c r="AP14" s="60">
        <f>(付费投放!AJ14+IFERROR(INDEX(真品获取算法!$C$6:$C$66,MATCH(U14,真品获取算法!G$6:G$66,1)),0)*AL14)/(IFERROR(INDEX(真品获取算法!$C$6:$C$66,MATCH(U14,真品获取算法!G$6:G$66,1)),0)+付费投放!AJ14)</f>
        <v>1</v>
      </c>
      <c r="AQ14" s="60" t="e">
        <f>IFERROR(INDEX(真品获取算法!$C$6:$C$66,MATCH(W14,真品获取算法!I$6:I$66,1)),0)*AM14/(IFERROR(INDEX(真品获取算法!$C$6:$C$66,MATCH(W14,真品获取算法!I$6:I$66,1)),0)+付费投放!AL14)</f>
        <v>#DIV/0!</v>
      </c>
      <c r="AR14" s="60" t="e">
        <f>(付费投放!AL14+IFERROR(INDEX(真品获取算法!$C$6:$C$66,MATCH(W14,真品获取算法!I$6:I$66,1)),0)*AN14)/(IFERROR(INDEX(真品获取算法!$C$6:$C$66,MATCH(W14,真品获取算法!I$6:I$66,1)),0)+付费投放!AL14)</f>
        <v>#DIV/0!</v>
      </c>
    </row>
    <row r="15" spans="2:44" s="30" customFormat="1" x14ac:dyDescent="0.15">
      <c r="B15" s="31"/>
      <c r="C15" s="29">
        <v>75</v>
      </c>
      <c r="D15" s="18">
        <f>求节点(节奏总纲!$D$4:$D$163,节奏总纲!$C$4:$C$163,$C15)</f>
        <v>62.470630686057078</v>
      </c>
      <c r="E15" s="18">
        <f>IFERROR(求节点(前期规划!$C$13:$C$23,前期规划!$B$13:$B$23,D15),0)</f>
        <v>7.8487516245877362</v>
      </c>
      <c r="F15" s="63">
        <f>IFERROR(求节点(前期规划!$C$28:$C$35,前期规划!D$28:D$35,$D15),0)</f>
        <v>9</v>
      </c>
      <c r="G15" s="63">
        <f>IFERROR(求节点(前期规划!$C$28:$C$35,前期规划!E$28:E$35,$D15),0)</f>
        <v>7.4823784116342464</v>
      </c>
      <c r="H15" s="63">
        <f>IFERROR(求节点(前期规划!$C$28:$C$35,前期规划!F$28:F$35,$D15),0)</f>
        <v>4.4823784116342464</v>
      </c>
      <c r="I15" s="63">
        <f>IFERROR(求节点(前期规划!$C$28:$C$35,前期规划!G$28:G$35,$D15),0)</f>
        <v>0</v>
      </c>
      <c r="J15" s="63">
        <f>IFERROR(求节点(前期规划!$C$28:$C$35,前期规划!H$28:H$35,$D15),0)</f>
        <v>0</v>
      </c>
      <c r="K15" s="63">
        <f>IFERROR(求节点(前期规划!$C$28:$C$35,前期规划!I$28:I$35,$D15),0)</f>
        <v>0</v>
      </c>
      <c r="L15" s="63">
        <f>MIN($E15-SUM(M15:$Q15),F15)</f>
        <v>0</v>
      </c>
      <c r="M15" s="63">
        <f>MIN($E15-SUM(N15:$Q15),G15)</f>
        <v>3.3663732129534898</v>
      </c>
      <c r="N15" s="63">
        <f>MIN($E15-SUM(O15:$Q15),H15)</f>
        <v>4.4823784116342464</v>
      </c>
      <c r="O15" s="63">
        <f>MIN($E15-SUM(P15:$Q15),I15)</f>
        <v>0</v>
      </c>
      <c r="P15" s="63">
        <f>MIN($E15-SUM(Q15:$Q15),J15)</f>
        <v>0</v>
      </c>
      <c r="Q15" s="69">
        <f t="shared" si="1"/>
        <v>0</v>
      </c>
      <c r="R15" s="64">
        <f>活动投放!AC15+付费投放!AA15</f>
        <v>7</v>
      </c>
      <c r="S15" s="64">
        <f>活动投放!AD15+付费投放!AB15</f>
        <v>7</v>
      </c>
      <c r="T15" s="64">
        <f>活动投放!AE15+付费投放!AC15</f>
        <v>1.8199999999999998</v>
      </c>
      <c r="U15" s="64">
        <f>活动投放!AF15+付费投放!AD15</f>
        <v>0.78</v>
      </c>
      <c r="V15" s="64">
        <f>活动投放!AG15+付费投放!AE15</f>
        <v>0</v>
      </c>
      <c r="W15" s="64">
        <f>活动投放!AH15+付费投放!AF15</f>
        <v>0</v>
      </c>
      <c r="X15" s="63">
        <f>MIN(IFERROR(INDEX(真品获取算法!$C$6:$C$66,MATCH(R15,真品获取算法!D$6:D$66,1)),0)+付费投放!AG15,前期规划!D$8)</f>
        <v>3</v>
      </c>
      <c r="Y15" s="63">
        <f>MIN(IFERROR(INDEX(真品获取算法!$C$6:$C$66,MATCH(S15,真品获取算法!E$6:E$66,1)),0)+付费投放!AH15,前期规划!E$8)</f>
        <v>3</v>
      </c>
      <c r="Z15" s="63">
        <f>MIN(IFERROR(INDEX(真品获取算法!$C$6:$C$66,MATCH(T15,真品获取算法!F$6:F$66,1)),0)+付费投放!AI15,前期规划!F$8)</f>
        <v>1</v>
      </c>
      <c r="AA15" s="63">
        <f>MIN(IFERROR(INDEX(真品获取算法!$C$6:$C$66,MATCH(U15,真品获取算法!G$6:G$66,1)),0)+付费投放!AJ15,前期规划!G$8)</f>
        <v>2.6666666666666668E-2</v>
      </c>
      <c r="AB15" s="63">
        <f>MIN(IFERROR(INDEX(真品获取算法!$C$6:$C$66,MATCH(V15,真品获取算法!H$6:H$66,1)),0)+付费投放!AK15,前期规划!H$8)</f>
        <v>0</v>
      </c>
      <c r="AC15" s="63">
        <f>MIN(IFERROR(INDEX(真品获取算法!$C$6:$C$66,MATCH(W15,真品获取算法!I$6:I$66,1)),0)+付费投放!AL15,前期规划!I$8)</f>
        <v>0</v>
      </c>
      <c r="AD15" s="63">
        <f t="shared" si="2"/>
        <v>0.33333333333333331</v>
      </c>
      <c r="AE15" s="63">
        <f t="shared" si="3"/>
        <v>0.40094203139142781</v>
      </c>
      <c r="AF15" s="63">
        <f t="shared" si="4"/>
        <v>0.22309584514427608</v>
      </c>
      <c r="AG15" s="63">
        <f t="shared" si="5"/>
        <v>0</v>
      </c>
      <c r="AH15" s="63">
        <f t="shared" si="6"/>
        <v>0</v>
      </c>
      <c r="AI15" s="63">
        <f t="shared" si="7"/>
        <v>0</v>
      </c>
      <c r="AK15" s="60">
        <f>活动投放!AF15/U15</f>
        <v>0.38461538461538458</v>
      </c>
      <c r="AL15" s="60">
        <f>付费投放!AD15/U15</f>
        <v>0.61538461538461531</v>
      </c>
      <c r="AM15" s="60" t="e">
        <f>活动投放!AH15/W15</f>
        <v>#DIV/0!</v>
      </c>
      <c r="AN15" s="60" t="e">
        <f>付费投放!AF15/W15</f>
        <v>#DIV/0!</v>
      </c>
      <c r="AO15" s="60">
        <f>IFERROR(INDEX(真品获取算法!$C$6:$C$66,MATCH(U15,真品获取算法!G$6:G$66,1)),0)*AK15/(IFERROR(INDEX(真品获取算法!$C$6:$C$66,MATCH(U15,真品获取算法!G$6:G$66,1)),0)+付费投放!AJ15)</f>
        <v>0</v>
      </c>
      <c r="AP15" s="60">
        <f>(付费投放!AJ15+IFERROR(INDEX(真品获取算法!$C$6:$C$66,MATCH(U15,真品获取算法!G$6:G$66,1)),0)*AL15)/(IFERROR(INDEX(真品获取算法!$C$6:$C$66,MATCH(U15,真品获取算法!G$6:G$66,1)),0)+付费投放!AJ15)</f>
        <v>1</v>
      </c>
      <c r="AQ15" s="60" t="e">
        <f>IFERROR(INDEX(真品获取算法!$C$6:$C$66,MATCH(W15,真品获取算法!I$6:I$66,1)),0)*AM15/(IFERROR(INDEX(真品获取算法!$C$6:$C$66,MATCH(W15,真品获取算法!I$6:I$66,1)),0)+付费投放!AL15)</f>
        <v>#DIV/0!</v>
      </c>
      <c r="AR15" s="60" t="e">
        <f>(付费投放!AL15+IFERROR(INDEX(真品获取算法!$C$6:$C$66,MATCH(W15,真品获取算法!I$6:I$66,1)),0)*AN15)/(IFERROR(INDEX(真品获取算法!$C$6:$C$66,MATCH(W15,真品获取算法!I$6:I$66,1)),0)+付费投放!AL15)</f>
        <v>#DIV/0!</v>
      </c>
    </row>
    <row r="16" spans="2:44" s="30" customFormat="1" x14ac:dyDescent="0.15">
      <c r="B16" s="31"/>
      <c r="C16" s="29">
        <v>90</v>
      </c>
      <c r="D16" s="18">
        <f>求节点(节奏总纲!$D$4:$D$163,节奏总纲!$C$4:$C$163,$C16)</f>
        <v>65.075479910097457</v>
      </c>
      <c r="E16" s="18">
        <f>IFERROR(求节点(前期规划!$C$13:$C$23,前期规划!$B$13:$B$23,D16),0)</f>
        <v>8.5188699775243641</v>
      </c>
      <c r="F16" s="63">
        <f>IFERROR(求节点(前期规划!$C$28:$C$35,前期规划!D$28:D$35,$D16),0)</f>
        <v>9</v>
      </c>
      <c r="G16" s="63">
        <f>IFERROR(求节点(前期规划!$C$28:$C$35,前期规划!E$28:E$35,$D16),0)</f>
        <v>9</v>
      </c>
      <c r="H16" s="63">
        <f>IFERROR(求节点(前期规划!$C$28:$C$35,前期规划!F$28:F$35,$D16),0)</f>
        <v>6.1585078112046592</v>
      </c>
      <c r="I16" s="63">
        <f>IFERROR(求节点(前期规划!$C$28:$C$35,前期规划!G$28:G$35,$D16),0)</f>
        <v>4.528794605847395E-2</v>
      </c>
      <c r="J16" s="63">
        <f>IFERROR(求节点(前期规划!$C$28:$C$35,前期规划!H$28:H$35,$D16),0)</f>
        <v>0</v>
      </c>
      <c r="K16" s="63">
        <f>IFERROR(求节点(前期规划!$C$28:$C$35,前期规划!I$28:I$35,$D16),0)</f>
        <v>0</v>
      </c>
      <c r="L16" s="63">
        <f>MIN($E16-SUM(M16:$Q16),F16)</f>
        <v>0</v>
      </c>
      <c r="M16" s="63">
        <f>MIN($E16-SUM(N16:$Q16),G16)</f>
        <v>2.3150742202612307</v>
      </c>
      <c r="N16" s="63">
        <f>MIN($E16-SUM(O16:$Q16),H16)</f>
        <v>6.1585078112046592</v>
      </c>
      <c r="O16" s="63">
        <f>MIN($E16-SUM(P16:$Q16),I16)</f>
        <v>4.528794605847395E-2</v>
      </c>
      <c r="P16" s="63">
        <f>MIN($E16-SUM(Q16:$Q16),J16)</f>
        <v>0</v>
      </c>
      <c r="Q16" s="69">
        <f t="shared" si="1"/>
        <v>0</v>
      </c>
      <c r="R16" s="64">
        <f>活动投放!AC16+付费投放!AA16</f>
        <v>9</v>
      </c>
      <c r="S16" s="64">
        <f>活动投放!AD16+付费投放!AB16</f>
        <v>9</v>
      </c>
      <c r="T16" s="64">
        <f>活动投放!AE16+付费投放!AC16</f>
        <v>3.9199999999999995</v>
      </c>
      <c r="U16" s="64">
        <f>活动投放!AF16+付费投放!AD16</f>
        <v>1.68</v>
      </c>
      <c r="V16" s="64">
        <f>活动投放!AG16+付费投放!AE16</f>
        <v>0.18000000000000002</v>
      </c>
      <c r="W16" s="64">
        <f>活动投放!AH16+付费投放!AF16</f>
        <v>2.0000000000000004E-2</v>
      </c>
      <c r="X16" s="63">
        <f>MIN(IFERROR(INDEX(真品获取算法!$C$6:$C$66,MATCH(R16,真品获取算法!D$6:D$66,1)),0)+付费投放!AG16,前期规划!D$8)</f>
        <v>3</v>
      </c>
      <c r="Y16" s="63">
        <f>MIN(IFERROR(INDEX(真品获取算法!$C$6:$C$66,MATCH(S16,真品获取算法!E$6:E$66,1)),0)+付费投放!AH16,前期规划!E$8)</f>
        <v>3</v>
      </c>
      <c r="Z16" s="63">
        <f>MIN(IFERROR(INDEX(真品获取算法!$C$6:$C$66,MATCH(T16,真品获取算法!F$6:F$66,1)),0)+付费投放!AI16,前期规划!F$8)</f>
        <v>2</v>
      </c>
      <c r="AA16" s="63">
        <f>MIN(IFERROR(INDEX(真品获取算法!$C$6:$C$66,MATCH(U16,真品获取算法!G$6:G$66,1)),0)+付费投放!AJ16,前期规划!G$8)</f>
        <v>3.3333333333333333E-2</v>
      </c>
      <c r="AB16" s="63">
        <f>MIN(IFERROR(INDEX(真品获取算法!$C$6:$C$66,MATCH(V16,真品获取算法!H$6:H$66,1)),0)+付费投放!AK16,前期规划!H$8)</f>
        <v>0</v>
      </c>
      <c r="AC16" s="63">
        <f>MIN(IFERROR(INDEX(真品获取算法!$C$6:$C$66,MATCH(W16,真品获取算法!I$6:I$66,1)),0)+付费投放!AL16,前期规划!I$8)</f>
        <v>4.0000000000000001E-3</v>
      </c>
      <c r="AD16" s="63">
        <f t="shared" si="2"/>
        <v>0.33333333333333331</v>
      </c>
      <c r="AE16" s="63">
        <f t="shared" si="3"/>
        <v>0.33333333333333331</v>
      </c>
      <c r="AF16" s="63">
        <f t="shared" si="4"/>
        <v>0.32475399257613058</v>
      </c>
      <c r="AG16" s="63">
        <f t="shared" si="5"/>
        <v>0.73603102446497992</v>
      </c>
      <c r="AH16" s="63">
        <f t="shared" si="6"/>
        <v>0</v>
      </c>
      <c r="AI16" s="63">
        <f t="shared" si="7"/>
        <v>0</v>
      </c>
      <c r="AK16" s="60">
        <f>活动投放!AF16/U16</f>
        <v>0.5357142857142857</v>
      </c>
      <c r="AL16" s="60">
        <f>付费投放!AD16/U16</f>
        <v>0.4642857142857143</v>
      </c>
      <c r="AM16" s="60">
        <f>活动投放!AH16/W16</f>
        <v>0</v>
      </c>
      <c r="AN16" s="60">
        <f>付费投放!AF16/W16</f>
        <v>1</v>
      </c>
      <c r="AO16" s="60">
        <f>IFERROR(INDEX(真品获取算法!$C$6:$C$66,MATCH(U16,真品获取算法!G$6:G$66,1)),0)*AK16/(IFERROR(INDEX(真品获取算法!$C$6:$C$66,MATCH(U16,真品获取算法!G$6:G$66,1)),0)+付费投放!AJ16)</f>
        <v>0</v>
      </c>
      <c r="AP16" s="60">
        <f>(付费投放!AJ16+IFERROR(INDEX(真品获取算法!$C$6:$C$66,MATCH(U16,真品获取算法!G$6:G$66,1)),0)*AL16)/(IFERROR(INDEX(真品获取算法!$C$6:$C$66,MATCH(U16,真品获取算法!G$6:G$66,1)),0)+付费投放!AJ16)</f>
        <v>1</v>
      </c>
      <c r="AQ16" s="60">
        <f>IFERROR(INDEX(真品获取算法!$C$6:$C$66,MATCH(W16,真品获取算法!I$6:I$66,1)),0)*AM16/(IFERROR(INDEX(真品获取算法!$C$6:$C$66,MATCH(W16,真品获取算法!I$6:I$66,1)),0)+付费投放!AL16)</f>
        <v>0</v>
      </c>
      <c r="AR16" s="60">
        <f>(付费投放!AL16+IFERROR(INDEX(真品获取算法!$C$6:$C$66,MATCH(W16,真品获取算法!I$6:I$66,1)),0)*AN16)/(IFERROR(INDEX(真品获取算法!$C$6:$C$66,MATCH(W16,真品获取算法!I$6:I$66,1)),0)+付费投放!AL16)</f>
        <v>1</v>
      </c>
    </row>
    <row r="17" spans="2:44" s="30" customFormat="1" x14ac:dyDescent="0.15">
      <c r="B17" s="31"/>
      <c r="C17" s="29">
        <v>105</v>
      </c>
      <c r="D17" s="18">
        <f>求节点(节奏总纲!$D$4:$D$163,节奏总纲!$C$4:$C$163,$C17)</f>
        <v>67.272265912925377</v>
      </c>
      <c r="E17" s="18">
        <f>IFERROR(求节点(前期规划!$C$13:$C$23,前期规划!$B$13:$B$23,D17),0)</f>
        <v>9.0680664782313443</v>
      </c>
      <c r="F17" s="63">
        <f>IFERROR(求节点(前期规划!$C$28:$C$35,前期规划!D$28:D$35,$D17),0)</f>
        <v>9</v>
      </c>
      <c r="G17" s="63">
        <f>IFERROR(求节点(前期规划!$C$28:$C$35,前期规划!E$28:E$35,$D17),0)</f>
        <v>9</v>
      </c>
      <c r="H17" s="63">
        <f>IFERROR(求节点(前期规划!$C$28:$C$35,前期规划!F$28:F$35,$D17),0)</f>
        <v>10.771758417143293</v>
      </c>
      <c r="I17" s="63">
        <f>IFERROR(求节点(前期规划!$C$28:$C$35,前期规划!G$28:G$35,$D17),0)</f>
        <v>1.3633595477552263</v>
      </c>
      <c r="J17" s="63">
        <f>IFERROR(求节点(前期规划!$C$28:$C$35,前期规划!H$28:H$35,$D17),0)</f>
        <v>0</v>
      </c>
      <c r="K17" s="63">
        <f>IFERROR(求节点(前期规划!$C$28:$C$35,前期规划!I$28:I$35,$D17),0)</f>
        <v>0</v>
      </c>
      <c r="L17" s="63">
        <f>MIN($E17-SUM(M17:$Q17),F17)</f>
        <v>0</v>
      </c>
      <c r="M17" s="63">
        <f>MIN($E17-SUM(N17:$Q17),G17)</f>
        <v>0</v>
      </c>
      <c r="N17" s="63">
        <f>MIN($E17-SUM(O17:$Q17),H17)</f>
        <v>7.7047069304761182</v>
      </c>
      <c r="O17" s="63">
        <f>MIN($E17-SUM(P17:$Q17),I17)</f>
        <v>1.3633595477552263</v>
      </c>
      <c r="P17" s="63">
        <f>MIN($E17-SUM(Q17:$Q17),J17)</f>
        <v>0</v>
      </c>
      <c r="Q17" s="69">
        <f t="shared" si="1"/>
        <v>0</v>
      </c>
      <c r="R17" s="64">
        <f>活动投放!AC17+付费投放!AA17</f>
        <v>11</v>
      </c>
      <c r="S17" s="64">
        <f>活动投放!AD17+付费投放!AB17</f>
        <v>11</v>
      </c>
      <c r="T17" s="64">
        <f>活动投放!AE17+付费投放!AC17</f>
        <v>6.02</v>
      </c>
      <c r="U17" s="64">
        <f>活动投放!AF17+付费投放!AD17</f>
        <v>2.58</v>
      </c>
      <c r="V17" s="64">
        <f>活动投放!AG17+付费投放!AE17</f>
        <v>0.36000000000000004</v>
      </c>
      <c r="W17" s="64">
        <f>活动投放!AH17+付费投放!AF17</f>
        <v>4.0000000000000008E-2</v>
      </c>
      <c r="X17" s="63">
        <f>MIN(IFERROR(INDEX(真品获取算法!$C$6:$C$66,MATCH(R17,真品获取算法!D$6:D$66,1)),0)+付费投放!AG17,前期规划!D$8)</f>
        <v>4</v>
      </c>
      <c r="Y17" s="63">
        <f>MIN(IFERROR(INDEX(真品获取算法!$C$6:$C$66,MATCH(S17,真品获取算法!E$6:E$66,1)),0)+付费投放!AH17,前期规划!E$8)</f>
        <v>4</v>
      </c>
      <c r="Z17" s="63">
        <f>MIN(IFERROR(INDEX(真品获取算法!$C$6:$C$66,MATCH(T17,真品获取算法!F$6:F$66,1)),0)+付费投放!AI17,前期规划!F$8)</f>
        <v>3</v>
      </c>
      <c r="AA17" s="63">
        <f>MIN(IFERROR(INDEX(真品获取算法!$C$6:$C$66,MATCH(U17,真品获取算法!G$6:G$66,1)),0)+付费投放!AJ17,前期规划!G$8)</f>
        <v>0.04</v>
      </c>
      <c r="AB17" s="63">
        <f>MIN(IFERROR(INDEX(真品获取算法!$C$6:$C$66,MATCH(V17,真品获取算法!H$6:H$66,1)),0)+付费投放!AK17,前期规划!H$8)</f>
        <v>0</v>
      </c>
      <c r="AC17" s="63">
        <f>MIN(IFERROR(INDEX(真品获取算法!$C$6:$C$66,MATCH(W17,真品获取算法!I$6:I$66,1)),0)+付费投放!AL17,前期规划!I$8)</f>
        <v>8.0000000000000002E-3</v>
      </c>
      <c r="AD17" s="63">
        <f t="shared" si="2"/>
        <v>0.44444444444444442</v>
      </c>
      <c r="AE17" s="63">
        <f t="shared" si="3"/>
        <v>0.44444444444444442</v>
      </c>
      <c r="AF17" s="63">
        <f t="shared" si="4"/>
        <v>0.27850606036851783</v>
      </c>
      <c r="AG17" s="63">
        <f t="shared" si="5"/>
        <v>2.9339289159532468E-2</v>
      </c>
      <c r="AH17" s="63">
        <f t="shared" si="6"/>
        <v>0</v>
      </c>
      <c r="AI17" s="63">
        <f t="shared" si="7"/>
        <v>0</v>
      </c>
      <c r="AK17" s="60">
        <f>活动投放!AF17/U17</f>
        <v>0.58139534883720934</v>
      </c>
      <c r="AL17" s="60">
        <f>付费投放!AD17/U17</f>
        <v>0.41860465116279072</v>
      </c>
      <c r="AM17" s="60">
        <f>活动投放!AH17/W17</f>
        <v>0</v>
      </c>
      <c r="AN17" s="60">
        <f>付费投放!AF17/W17</f>
        <v>1</v>
      </c>
      <c r="AO17" s="60">
        <f>IFERROR(INDEX(真品获取算法!$C$6:$C$66,MATCH(U17,真品获取算法!G$6:G$66,1)),0)*AK17/(IFERROR(INDEX(真品获取算法!$C$6:$C$66,MATCH(U17,真品获取算法!G$6:G$66,1)),0)+付费投放!AJ17)</f>
        <v>0</v>
      </c>
      <c r="AP17" s="60">
        <f>(付费投放!AJ17+IFERROR(INDEX(真品获取算法!$C$6:$C$66,MATCH(U17,真品获取算法!G$6:G$66,1)),0)*AL17)/(IFERROR(INDEX(真品获取算法!$C$6:$C$66,MATCH(U17,真品获取算法!G$6:G$66,1)),0)+付费投放!AJ17)</f>
        <v>1</v>
      </c>
      <c r="AQ17" s="60">
        <f>IFERROR(INDEX(真品获取算法!$C$6:$C$66,MATCH(W17,真品获取算法!I$6:I$66,1)),0)*AM17/(IFERROR(INDEX(真品获取算法!$C$6:$C$66,MATCH(W17,真品获取算法!I$6:I$66,1)),0)+付费投放!AL17)</f>
        <v>0</v>
      </c>
      <c r="AR17" s="60">
        <f>(付费投放!AL17+IFERROR(INDEX(真品获取算法!$C$6:$C$66,MATCH(W17,真品获取算法!I$6:I$66,1)),0)*AN17)/(IFERROR(INDEX(真品获取算法!$C$6:$C$66,MATCH(W17,真品获取算法!I$6:I$66,1)),0)+付费投放!AL17)</f>
        <v>1</v>
      </c>
    </row>
    <row r="18" spans="2:44" s="30" customFormat="1" x14ac:dyDescent="0.15">
      <c r="B18" s="31"/>
      <c r="C18" s="29">
        <v>120</v>
      </c>
      <c r="D18" s="18">
        <f>求节点(节奏总纲!$D$4:$D$163,节奏总纲!$C$4:$C$163,$C18)</f>
        <v>69.18336653741882</v>
      </c>
      <c r="E18" s="18">
        <f>IFERROR(求节点(前期规划!$C$13:$C$23,前期规划!$B$13:$B$23,D18),0)</f>
        <v>9.545841634354705</v>
      </c>
      <c r="F18" s="63">
        <f>IFERROR(求节点(前期规划!$C$28:$C$35,前期规划!D$28:D$35,$D18),0)</f>
        <v>9</v>
      </c>
      <c r="G18" s="63">
        <f>IFERROR(求节点(前期规划!$C$28:$C$35,前期规划!E$28:E$35,$D18),0)</f>
        <v>9</v>
      </c>
      <c r="H18" s="63">
        <f>IFERROR(求节点(前期规划!$C$28:$C$35,前期规划!F$28:F$35,$D18),0)</f>
        <v>14.785069728579522</v>
      </c>
      <c r="I18" s="63">
        <f>IFERROR(求节点(前期规划!$C$28:$C$35,前期规划!G$28:G$35,$D18),0)</f>
        <v>2.510019922451292</v>
      </c>
      <c r="J18" s="63">
        <f>IFERROR(求节点(前期规划!$C$28:$C$35,前期规划!H$28:H$35,$D18),0)</f>
        <v>0</v>
      </c>
      <c r="K18" s="63">
        <f>IFERROR(求节点(前期规划!$C$28:$C$35,前期规划!I$28:I$35,$D18),0)</f>
        <v>0</v>
      </c>
      <c r="L18" s="63">
        <f>MIN($E18-SUM(M18:$Q18),F18)</f>
        <v>0</v>
      </c>
      <c r="M18" s="63">
        <f>MIN($E18-SUM(N18:$Q18),G18)</f>
        <v>0</v>
      </c>
      <c r="N18" s="63">
        <f>MIN($E18-SUM(O18:$Q18),H18)</f>
        <v>7.035821711903413</v>
      </c>
      <c r="O18" s="63">
        <f>MIN($E18-SUM(P18:$Q18),I18)</f>
        <v>2.510019922451292</v>
      </c>
      <c r="P18" s="63">
        <f>MIN($E18-SUM(Q18:$Q18),J18)</f>
        <v>0</v>
      </c>
      <c r="Q18" s="69">
        <f t="shared" si="1"/>
        <v>0</v>
      </c>
      <c r="R18" s="64">
        <f>活动投放!AC18+付费投放!AA18</f>
        <v>13</v>
      </c>
      <c r="S18" s="64">
        <f>活动投放!AD18+付费投放!AB18</f>
        <v>13</v>
      </c>
      <c r="T18" s="64">
        <f>活动投放!AE18+付费投放!AC18</f>
        <v>8.1199999999999992</v>
      </c>
      <c r="U18" s="64">
        <f>活动投放!AF18+付费投放!AD18</f>
        <v>3.4800000000000004</v>
      </c>
      <c r="V18" s="64">
        <f>活动投放!AG18+付费投放!AE18</f>
        <v>0.54</v>
      </c>
      <c r="W18" s="64">
        <f>活动投放!AH18+付费投放!AF18</f>
        <v>6.0000000000000012E-2</v>
      </c>
      <c r="X18" s="63">
        <f>MIN(IFERROR(INDEX(真品获取算法!$C$6:$C$66,MATCH(R18,真品获取算法!D$6:D$66,1)),0)+付费投放!AG18,前期规划!D$8)</f>
        <v>4</v>
      </c>
      <c r="Y18" s="63">
        <f>MIN(IFERROR(INDEX(真品获取算法!$C$6:$C$66,MATCH(S18,真品获取算法!E$6:E$66,1)),0)+付费投放!AH18,前期规划!E$8)</f>
        <v>4</v>
      </c>
      <c r="Z18" s="63">
        <f>MIN(IFERROR(INDEX(真品获取算法!$C$6:$C$66,MATCH(T18,真品获取算法!F$6:F$66,1)),0)+付费投放!AI18,前期规划!F$8)</f>
        <v>5</v>
      </c>
      <c r="AA18" s="63">
        <f>MIN(IFERROR(INDEX(真品获取算法!$C$6:$C$66,MATCH(U18,真品获取算法!G$6:G$66,1)),0)+付费投放!AJ18,前期规划!G$8)</f>
        <v>1.0466666666666666</v>
      </c>
      <c r="AB18" s="63">
        <f>MIN(IFERROR(INDEX(真品获取算法!$C$6:$C$66,MATCH(V18,真品获取算法!H$6:H$66,1)),0)+付费投放!AK18,前期规划!H$8)</f>
        <v>0</v>
      </c>
      <c r="AC18" s="63">
        <f>MIN(IFERROR(INDEX(真品获取算法!$C$6:$C$66,MATCH(W18,真品获取算法!I$6:I$66,1)),0)+付费投放!AL18,前期规划!I$8)</f>
        <v>1.2E-2</v>
      </c>
      <c r="AD18" s="63">
        <f t="shared" si="2"/>
        <v>0.44444444444444442</v>
      </c>
      <c r="AE18" s="63">
        <f t="shared" si="3"/>
        <v>0.44444444444444442</v>
      </c>
      <c r="AF18" s="63">
        <f t="shared" si="4"/>
        <v>0.33817899352446112</v>
      </c>
      <c r="AG18" s="63">
        <f t="shared" si="5"/>
        <v>0.41699536218998978</v>
      </c>
      <c r="AH18" s="63">
        <f t="shared" si="6"/>
        <v>0</v>
      </c>
      <c r="AI18" s="63">
        <f t="shared" si="7"/>
        <v>0</v>
      </c>
      <c r="AK18" s="60">
        <f>活动投放!AF18/U18</f>
        <v>0.60344827586206895</v>
      </c>
      <c r="AL18" s="60">
        <f>付费投放!AD18/U18</f>
        <v>0.39655172413793099</v>
      </c>
      <c r="AM18" s="60">
        <f>活动投放!AH18/W18</f>
        <v>0</v>
      </c>
      <c r="AN18" s="60">
        <f>付费投放!AF18/W18</f>
        <v>1</v>
      </c>
      <c r="AO18" s="60">
        <f>IFERROR(INDEX(真品获取算法!$C$6:$C$66,MATCH(U18,真品获取算法!G$6:G$66,1)),0)*AK18/(IFERROR(INDEX(真品获取算法!$C$6:$C$66,MATCH(U18,真品获取算法!G$6:G$66,1)),0)+付费投放!AJ18)</f>
        <v>0.57654293872172191</v>
      </c>
      <c r="AP18" s="60">
        <f>(付费投放!AJ18+IFERROR(INDEX(真品获取算法!$C$6:$C$66,MATCH(U18,真品获取算法!G$6:G$66,1)),0)*AL18)/(IFERROR(INDEX(真品获取算法!$C$6:$C$66,MATCH(U18,真品获取算法!G$6:G$66,1)),0)+付费投放!AJ18)</f>
        <v>0.42345706127827804</v>
      </c>
      <c r="AQ18" s="60">
        <f>IFERROR(INDEX(真品获取算法!$C$6:$C$66,MATCH(W18,真品获取算法!I$6:I$66,1)),0)*AM18/(IFERROR(INDEX(真品获取算法!$C$6:$C$66,MATCH(W18,真品获取算法!I$6:I$66,1)),0)+付费投放!AL18)</f>
        <v>0</v>
      </c>
      <c r="AR18" s="60">
        <f>(付费投放!AL18+IFERROR(INDEX(真品获取算法!$C$6:$C$66,MATCH(W18,真品获取算法!I$6:I$66,1)),0)*AN18)/(IFERROR(INDEX(真品获取算法!$C$6:$C$66,MATCH(W18,真品获取算法!I$6:I$66,1)),0)+付费投放!AL18)</f>
        <v>1</v>
      </c>
    </row>
    <row r="19" spans="2:44" s="30" customFormat="1" x14ac:dyDescent="0.15">
      <c r="B19" s="31"/>
      <c r="C19" s="29">
        <v>150</v>
      </c>
      <c r="D19" s="18">
        <f>求节点(节奏总纲!$D$4:$D$163,节奏总纲!$C$4:$C$163,$C19)</f>
        <v>72.375871759353331</v>
      </c>
      <c r="E19" s="18">
        <f>IFERROR(求节点(前期规划!$C$13:$C$23,前期规划!$B$13:$B$23,D19),0)</f>
        <v>10.305749279856295</v>
      </c>
      <c r="F19" s="63">
        <f>IFERROR(求节点(前期规划!$C$28:$C$35,前期规划!D$28:D$35,$D19),0)</f>
        <v>9</v>
      </c>
      <c r="G19" s="63">
        <f>IFERROR(求节点(前期规划!$C$28:$C$35,前期规划!E$28:E$35,$D19),0)</f>
        <v>9</v>
      </c>
      <c r="H19" s="63">
        <f>IFERROR(求节点(前期规划!$C$28:$C$35,前期规划!F$28:F$35,$D19),0)</f>
        <v>21.489330694641993</v>
      </c>
      <c r="I19" s="63">
        <f>IFERROR(求节点(前期规划!$C$28:$C$35,前期规划!G$28:G$35,$D19),0)</f>
        <v>4.4255230556119978</v>
      </c>
      <c r="J19" s="63">
        <f>IFERROR(求节点(前期规划!$C$28:$C$35,前期规划!H$28:H$35,$D19),0)</f>
        <v>0</v>
      </c>
      <c r="K19" s="63">
        <f>IFERROR(求节点(前期规划!$C$28:$C$35,前期规划!I$28:I$35,$D19),0)</f>
        <v>0</v>
      </c>
      <c r="L19" s="63">
        <f>MIN($E19-SUM(M19:$Q19),F19)</f>
        <v>0</v>
      </c>
      <c r="M19" s="63">
        <f>MIN($E19-SUM(N19:$Q19),G19)</f>
        <v>0</v>
      </c>
      <c r="N19" s="63">
        <f>MIN($E19-SUM(O19:$Q19),H19)</f>
        <v>5.8802262242442973</v>
      </c>
      <c r="O19" s="63">
        <f>MIN($E19-SUM(P19:$Q19),I19)</f>
        <v>4.4255230556119978</v>
      </c>
      <c r="P19" s="63">
        <f>MIN($E19-SUM(Q19:$Q19),J19)</f>
        <v>0</v>
      </c>
      <c r="Q19" s="69">
        <f t="shared" si="1"/>
        <v>0</v>
      </c>
      <c r="R19" s="64">
        <f>活动投放!AC19+付费投放!AA19</f>
        <v>17</v>
      </c>
      <c r="S19" s="64">
        <f>活动投放!AD19+付费投放!AB19</f>
        <v>17</v>
      </c>
      <c r="T19" s="64">
        <f>活动投放!AE19+付费投放!AC19</f>
        <v>13.719999999999999</v>
      </c>
      <c r="U19" s="64">
        <f>活动投放!AF19+付费投放!AD19</f>
        <v>5.88</v>
      </c>
      <c r="V19" s="64">
        <f>活动投放!AG19+付费投放!AE19</f>
        <v>0.90000000000000013</v>
      </c>
      <c r="W19" s="64">
        <f>活动投放!AH19+付费投放!AF19</f>
        <v>0.10000000000000002</v>
      </c>
      <c r="X19" s="63">
        <f>MIN(IFERROR(INDEX(真品获取算法!$C$6:$C$66,MATCH(R19,真品获取算法!D$6:D$66,1)),0)+付费投放!AG19,前期规划!D$8)</f>
        <v>5</v>
      </c>
      <c r="Y19" s="63">
        <f>MIN(IFERROR(INDEX(真品获取算法!$C$6:$C$66,MATCH(S19,真品获取算法!E$6:E$66,1)),0)+付费投放!AH19,前期规划!E$8)</f>
        <v>5</v>
      </c>
      <c r="Z19" s="63">
        <f>MIN(IFERROR(INDEX(真品获取算法!$C$6:$C$66,MATCH(T19,真品获取算法!F$6:F$66,1)),0)+付费投放!AI19,前期规划!F$8)</f>
        <v>8</v>
      </c>
      <c r="AA19" s="63">
        <f>MIN(IFERROR(INDEX(真品获取算法!$C$6:$C$66,MATCH(U19,真品获取算法!G$6:G$66,1)),0)+付费投放!AJ19,前期规划!G$8)</f>
        <v>1.06</v>
      </c>
      <c r="AB19" s="63">
        <f>MIN(IFERROR(INDEX(真品获取算法!$C$6:$C$66,MATCH(V19,真品获取算法!H$6:H$66,1)),0)+付费投放!AK19,前期规划!H$8)</f>
        <v>0</v>
      </c>
      <c r="AC19" s="63">
        <f>MIN(IFERROR(INDEX(真品获取算法!$C$6:$C$66,MATCH(W19,真品获取算法!I$6:I$66,1)),0)+付费投放!AL19,前期规划!I$8)</f>
        <v>0.02</v>
      </c>
      <c r="AD19" s="63">
        <f t="shared" si="2"/>
        <v>0.55555555555555558</v>
      </c>
      <c r="AE19" s="63">
        <f t="shared" si="3"/>
        <v>0.55555555555555558</v>
      </c>
      <c r="AF19" s="63">
        <f t="shared" si="4"/>
        <v>0.37227776489077286</v>
      </c>
      <c r="AG19" s="63">
        <f t="shared" si="5"/>
        <v>0.23951971025341648</v>
      </c>
      <c r="AH19" s="63">
        <f t="shared" si="6"/>
        <v>0</v>
      </c>
      <c r="AI19" s="63">
        <f t="shared" si="7"/>
        <v>0</v>
      </c>
      <c r="AK19" s="60">
        <f>活动投放!AF19/U19</f>
        <v>0.66326530612244894</v>
      </c>
      <c r="AL19" s="60">
        <f>付费投放!AD19/U19</f>
        <v>0.33673469387755101</v>
      </c>
      <c r="AM19" s="60">
        <f>活动投放!AH19/W19</f>
        <v>0</v>
      </c>
      <c r="AN19" s="60">
        <f>付费投放!AF19/W19</f>
        <v>1</v>
      </c>
      <c r="AO19" s="60">
        <f>IFERROR(INDEX(真品获取算法!$C$6:$C$66,MATCH(U19,真品获取算法!G$6:G$66,1)),0)*AK19/(IFERROR(INDEX(真品获取算法!$C$6:$C$66,MATCH(U19,真品获取算法!G$6:G$66,1)),0)+付费投放!AJ19)</f>
        <v>0.62572198690797065</v>
      </c>
      <c r="AP19" s="60">
        <f>(付费投放!AJ19+IFERROR(INDEX(真品获取算法!$C$6:$C$66,MATCH(U19,真品获取算法!G$6:G$66,1)),0)*AL19)/(IFERROR(INDEX(真品获取算法!$C$6:$C$66,MATCH(U19,真品获取算法!G$6:G$66,1)),0)+付费投放!AJ19)</f>
        <v>0.37427801309202924</v>
      </c>
      <c r="AQ19" s="60">
        <f>IFERROR(INDEX(真品获取算法!$C$6:$C$66,MATCH(W19,真品获取算法!I$6:I$66,1)),0)*AM19/(IFERROR(INDEX(真品获取算法!$C$6:$C$66,MATCH(W19,真品获取算法!I$6:I$66,1)),0)+付费投放!AL19)</f>
        <v>0</v>
      </c>
      <c r="AR19" s="60">
        <f>(付费投放!AL19+IFERROR(INDEX(真品获取算法!$C$6:$C$66,MATCH(W19,真品获取算法!I$6:I$66,1)),0)*AN19)/(IFERROR(INDEX(真品获取算法!$C$6:$C$66,MATCH(W19,真品获取算法!I$6:I$66,1)),0)+付费投放!AL19)</f>
        <v>1</v>
      </c>
    </row>
    <row r="20" spans="2:44" s="30" customFormat="1" x14ac:dyDescent="0.15">
      <c r="B20" s="31"/>
      <c r="C20" s="29">
        <v>180</v>
      </c>
      <c r="D20" s="18">
        <f>求节点(节奏总纲!$D$4:$D$163,节奏总纲!$C$4:$C$163,$C20)</f>
        <v>74.998404927577795</v>
      </c>
      <c r="E20" s="18">
        <f>IFERROR(求节点(前期规划!$C$13:$C$23,前期规划!$B$13:$B$23,D20),0)</f>
        <v>10.888534428350621</v>
      </c>
      <c r="F20" s="63">
        <f>IFERROR(求节点(前期规划!$C$28:$C$35,前期规划!D$28:D$35,$D20),0)</f>
        <v>9</v>
      </c>
      <c r="G20" s="63">
        <f>IFERROR(求节点(前期规划!$C$28:$C$35,前期规划!E$28:E$35,$D20),0)</f>
        <v>9</v>
      </c>
      <c r="H20" s="63">
        <f>IFERROR(求节点(前期规划!$C$28:$C$35,前期规划!F$28:F$35,$D20),0)</f>
        <v>26.99665034791337</v>
      </c>
      <c r="I20" s="63">
        <f>IFERROR(求节点(前期规划!$C$28:$C$35,前期规划!G$28:G$35,$D20),0)</f>
        <v>5.9990429565466767</v>
      </c>
      <c r="J20" s="63">
        <f>IFERROR(求节点(前期规划!$C$28:$C$35,前期规划!H$28:H$35,$D20),0)</f>
        <v>0</v>
      </c>
      <c r="K20" s="63">
        <f>IFERROR(求节点(前期规划!$C$28:$C$35,前期规划!I$28:I$35,$D20),0)</f>
        <v>0</v>
      </c>
      <c r="L20" s="63">
        <f>MIN($E20-SUM(M20:$Q20),F20)</f>
        <v>0</v>
      </c>
      <c r="M20" s="63">
        <f>MIN($E20-SUM(N20:$Q20),G20)</f>
        <v>0</v>
      </c>
      <c r="N20" s="63">
        <f>MIN($E20-SUM(O20:$Q20),H20)</f>
        <v>4.8894914718039439</v>
      </c>
      <c r="O20" s="63">
        <f>MIN($E20-SUM(P20:$Q20),I20)</f>
        <v>5.9990429565466767</v>
      </c>
      <c r="P20" s="63">
        <f>MIN($E20-SUM(Q20:$Q20),J20)</f>
        <v>0</v>
      </c>
      <c r="Q20" s="69">
        <f t="shared" si="1"/>
        <v>0</v>
      </c>
      <c r="R20" s="64">
        <f>活动投放!AC20+付费投放!AA20</f>
        <v>21</v>
      </c>
      <c r="S20" s="64">
        <f>活动投放!AD20+付费投放!AB20</f>
        <v>21</v>
      </c>
      <c r="T20" s="64">
        <f>活动投放!AE20+付费投放!AC20</f>
        <v>20.72</v>
      </c>
      <c r="U20" s="64">
        <f>活动投放!AF20+付费投放!AD20</f>
        <v>8.879999999999999</v>
      </c>
      <c r="V20" s="64">
        <f>活动投放!AG20+付费投放!AE20</f>
        <v>1.2600000000000002</v>
      </c>
      <c r="W20" s="64">
        <f>活动投放!AH20+付费投放!AF20</f>
        <v>0.14000000000000001</v>
      </c>
      <c r="X20" s="63">
        <f>MIN(IFERROR(INDEX(真品获取算法!$C$6:$C$66,MATCH(R20,真品获取算法!D$6:D$66,1)),0)+付费投放!AG20,前期规划!D$8)</f>
        <v>6</v>
      </c>
      <c r="Y20" s="63">
        <f>MIN(IFERROR(INDEX(真品获取算法!$C$6:$C$66,MATCH(S20,真品获取算法!E$6:E$66,1)),0)+付费投放!AH20,前期规划!E$8)</f>
        <v>6</v>
      </c>
      <c r="Z20" s="63">
        <f>MIN(IFERROR(INDEX(真品获取算法!$C$6:$C$66,MATCH(T20,真品获取算法!F$6:F$66,1)),0)+付费投放!AI20,前期规划!F$8)</f>
        <v>11</v>
      </c>
      <c r="AA20" s="63">
        <f>MIN(IFERROR(INDEX(真品获取算法!$C$6:$C$66,MATCH(U20,真品获取算法!G$6:G$66,1)),0)+付费投放!AJ20,前期规划!G$8)</f>
        <v>2.0733333333333333</v>
      </c>
      <c r="AB20" s="63">
        <f>MIN(IFERROR(INDEX(真品获取算法!$C$6:$C$66,MATCH(V20,真品获取算法!H$6:H$66,1)),0)+付费投放!AK20,前期规划!H$8)</f>
        <v>1</v>
      </c>
      <c r="AC20" s="63">
        <f>MIN(IFERROR(INDEX(真品获取算法!$C$6:$C$66,MATCH(W20,真品获取算法!I$6:I$66,1)),0)+付费投放!AL20,前期规划!I$8)</f>
        <v>2.8000000000000001E-2</v>
      </c>
      <c r="AD20" s="63">
        <f t="shared" si="2"/>
        <v>0.66666666666666663</v>
      </c>
      <c r="AE20" s="63">
        <f t="shared" si="3"/>
        <v>0.66666666666666663</v>
      </c>
      <c r="AF20" s="63">
        <f t="shared" si="4"/>
        <v>0.40745795712578892</v>
      </c>
      <c r="AG20" s="63">
        <f t="shared" si="5"/>
        <v>0.34561068296247682</v>
      </c>
      <c r="AH20" s="63">
        <f t="shared" si="6"/>
        <v>0</v>
      </c>
      <c r="AI20" s="63">
        <f t="shared" si="7"/>
        <v>0</v>
      </c>
      <c r="AK20" s="60">
        <f>活动投放!AF20/U20</f>
        <v>0.70945945945945954</v>
      </c>
      <c r="AL20" s="60">
        <f>付费投放!AD20/U20</f>
        <v>0.29054054054054057</v>
      </c>
      <c r="AM20" s="60">
        <f>活动投放!AH20/W20</f>
        <v>0</v>
      </c>
      <c r="AN20" s="60">
        <f>付费投放!AF20/W20</f>
        <v>1</v>
      </c>
      <c r="AO20" s="60">
        <f>IFERROR(INDEX(真品获取算法!$C$6:$C$66,MATCH(U20,真品获取算法!G$6:G$66,1)),0)*AK20/(IFERROR(INDEX(真品获取算法!$C$6:$C$66,MATCH(U20,真品获取算法!G$6:G$66,1)),0)+付费投放!AJ20)</f>
        <v>0.68436603806378737</v>
      </c>
      <c r="AP20" s="60">
        <f>(付费投放!AJ20+IFERROR(INDEX(真品获取算法!$C$6:$C$66,MATCH(U20,真品获取算法!G$6:G$66,1)),0)*AL20)/(IFERROR(INDEX(真品获取算法!$C$6:$C$66,MATCH(U20,真品获取算法!G$6:G$66,1)),0)+付费投放!AJ20)</f>
        <v>0.31563396193621279</v>
      </c>
      <c r="AQ20" s="60">
        <f>IFERROR(INDEX(真品获取算法!$C$6:$C$66,MATCH(W20,真品获取算法!I$6:I$66,1)),0)*AM20/(IFERROR(INDEX(真品获取算法!$C$6:$C$66,MATCH(W20,真品获取算法!I$6:I$66,1)),0)+付费投放!AL20)</f>
        <v>0</v>
      </c>
      <c r="AR20" s="60">
        <f>(付费投放!AL20+IFERROR(INDEX(真品获取算法!$C$6:$C$66,MATCH(W20,真品获取算法!I$6:I$66,1)),0)*AN20)/(IFERROR(INDEX(真品获取算法!$C$6:$C$66,MATCH(W20,真品获取算法!I$6:I$66,1)),0)+付费投放!AL20)</f>
        <v>1</v>
      </c>
    </row>
    <row r="21" spans="2:44" s="30" customFormat="1" x14ac:dyDescent="0.15">
      <c r="B21" s="31"/>
      <c r="C21" s="29">
        <v>210</v>
      </c>
      <c r="D21" s="18">
        <f>求节点(节奏总纲!$D$4:$D$163,节奏总纲!$C$4:$C$163,$C21)</f>
        <v>77.205261233275195</v>
      </c>
      <c r="E21" s="18">
        <f>IFERROR(求节点(前期规划!$C$13:$C$23,前期规划!$B$13:$B$23,D21),0)</f>
        <v>11.378946940727822</v>
      </c>
      <c r="F21" s="63">
        <f>IFERROR(求节点(前期规划!$C$28:$C$35,前期规划!D$28:D$35,$D21),0)</f>
        <v>9</v>
      </c>
      <c r="G21" s="63">
        <f>IFERROR(求节点(前期规划!$C$28:$C$35,前期规划!E$28:E$35,$D21),0)</f>
        <v>9</v>
      </c>
      <c r="H21" s="63">
        <f>IFERROR(求节点(前期规划!$C$28:$C$35,前期规划!F$28:F$35,$D21),0)</f>
        <v>27</v>
      </c>
      <c r="I21" s="63">
        <f>IFERROR(求节点(前期规划!$C$28:$C$35,前期规划!G$28:G$35,$D21),0)</f>
        <v>10.63104858987791</v>
      </c>
      <c r="J21" s="63">
        <f>IFERROR(求节点(前期规划!$C$28:$C$35,前期规划!H$28:H$35,$D21),0)</f>
        <v>1.323156739965117</v>
      </c>
      <c r="K21" s="63">
        <f>IFERROR(求节点(前期规划!$C$28:$C$35,前期规划!I$28:I$35,$D21),0)</f>
        <v>0</v>
      </c>
      <c r="L21" s="63">
        <f>MIN($E21-SUM(M21:$Q21),F21)</f>
        <v>0</v>
      </c>
      <c r="M21" s="63">
        <f>MIN($E21-SUM(N21:$Q21),G21)</f>
        <v>0</v>
      </c>
      <c r="N21" s="63">
        <f>MIN($E21-SUM(O21:$Q21),H21)</f>
        <v>0</v>
      </c>
      <c r="O21" s="63">
        <f>MIN($E21-SUM(P21:$Q21),I21)</f>
        <v>10.055790200762704</v>
      </c>
      <c r="P21" s="63">
        <f>MIN($E21-SUM(Q21:$Q21),J21)</f>
        <v>1.323156739965117</v>
      </c>
      <c r="Q21" s="69">
        <f t="shared" si="1"/>
        <v>0</v>
      </c>
      <c r="R21" s="64">
        <f>活动投放!AC21+付费投放!AA21</f>
        <v>25</v>
      </c>
      <c r="S21" s="64">
        <f>活动投放!AD21+付费投放!AB21</f>
        <v>25</v>
      </c>
      <c r="T21" s="64">
        <f>活动投放!AE21+付费投放!AC21</f>
        <v>27.72</v>
      </c>
      <c r="U21" s="64">
        <f>活动投放!AF21+付费投放!AD21</f>
        <v>11.879999999999999</v>
      </c>
      <c r="V21" s="64">
        <f>活动投放!AG21+付费投放!AE21</f>
        <v>1.6200000000000003</v>
      </c>
      <c r="W21" s="64">
        <f>活动投放!AH21+付费投放!AF21</f>
        <v>0.18000000000000002</v>
      </c>
      <c r="X21" s="63">
        <f>MIN(IFERROR(INDEX(真品获取算法!$C$6:$C$66,MATCH(R21,真品获取算法!D$6:D$66,1)),0)+付费投放!AG21,前期规划!D$8)</f>
        <v>7</v>
      </c>
      <c r="Y21" s="63">
        <f>MIN(IFERROR(INDEX(真品获取算法!$C$6:$C$66,MATCH(S21,真品获取算法!E$6:E$66,1)),0)+付费投放!AH21,前期规划!E$8)</f>
        <v>7</v>
      </c>
      <c r="Z21" s="63">
        <f>MIN(IFERROR(INDEX(真品获取算法!$C$6:$C$66,MATCH(T21,真品获取算法!F$6:F$66,1)),0)+付费投放!AI21,前期规划!F$8)</f>
        <v>14</v>
      </c>
      <c r="AA21" s="63">
        <f>MIN(IFERROR(INDEX(真品获取算法!$C$6:$C$66,MATCH(U21,真品获取算法!G$6:G$66,1)),0)+付费投放!AJ21,前期规划!G$8)</f>
        <v>3.0866666666666669</v>
      </c>
      <c r="AB21" s="63">
        <f>MIN(IFERROR(INDEX(真品获取算法!$C$6:$C$66,MATCH(V21,真品获取算法!H$6:H$66,1)),0)+付费投放!AK21,前期规划!H$8)</f>
        <v>1</v>
      </c>
      <c r="AC21" s="63">
        <f>MIN(IFERROR(INDEX(真品获取算法!$C$6:$C$66,MATCH(W21,真品获取算法!I$6:I$66,1)),0)+付费投放!AL21,前期规划!I$8)</f>
        <v>3.6000000000000004E-2</v>
      </c>
      <c r="AD21" s="63">
        <f t="shared" si="2"/>
        <v>0.77777777777777779</v>
      </c>
      <c r="AE21" s="63">
        <f t="shared" si="3"/>
        <v>0.77777777777777779</v>
      </c>
      <c r="AF21" s="63">
        <f t="shared" si="4"/>
        <v>0.51851851851851849</v>
      </c>
      <c r="AG21" s="63">
        <f t="shared" si="5"/>
        <v>0.29034451687160573</v>
      </c>
      <c r="AH21" s="63">
        <f t="shared" si="6"/>
        <v>0.7557683604637524</v>
      </c>
      <c r="AI21" s="63">
        <f t="shared" si="7"/>
        <v>0</v>
      </c>
      <c r="AK21" s="60">
        <f>活动投放!AF21/U21</f>
        <v>0.73232323232323238</v>
      </c>
      <c r="AL21" s="60">
        <f>付费投放!AD21/U21</f>
        <v>0.26767676767676774</v>
      </c>
      <c r="AM21" s="60">
        <f>活动投放!AH21/W21</f>
        <v>0</v>
      </c>
      <c r="AN21" s="60">
        <f>付费投放!AF21/W21</f>
        <v>1</v>
      </c>
      <c r="AO21" s="60">
        <f>IFERROR(INDEX(真品获取算法!$C$6:$C$66,MATCH(U21,真品获取算法!G$6:G$66,1)),0)*AK21/(IFERROR(INDEX(真品获取算法!$C$6:$C$66,MATCH(U21,真品获取算法!G$6:G$66,1)),0)+付费投放!AJ21)</f>
        <v>0.71176124091890836</v>
      </c>
      <c r="AP21" s="60">
        <f>(付费投放!AJ21+IFERROR(INDEX(真品获取算法!$C$6:$C$66,MATCH(U21,真品获取算法!G$6:G$66,1)),0)*AL21)/(IFERROR(INDEX(真品获取算法!$C$6:$C$66,MATCH(U21,真品获取算法!G$6:G$66,1)),0)+付费投放!AJ21)</f>
        <v>0.28823875908109176</v>
      </c>
      <c r="AQ21" s="60">
        <f>IFERROR(INDEX(真品获取算法!$C$6:$C$66,MATCH(W21,真品获取算法!I$6:I$66,1)),0)*AM21/(IFERROR(INDEX(真品获取算法!$C$6:$C$66,MATCH(W21,真品获取算法!I$6:I$66,1)),0)+付费投放!AL21)</f>
        <v>0</v>
      </c>
      <c r="AR21" s="60">
        <f>(付费投放!AL21+IFERROR(INDEX(真品获取算法!$C$6:$C$66,MATCH(W21,真品获取算法!I$6:I$66,1)),0)*AN21)/(IFERROR(INDEX(真品获取算法!$C$6:$C$66,MATCH(W21,真品获取算法!I$6:I$66,1)),0)+付费投放!AL21)</f>
        <v>1</v>
      </c>
    </row>
    <row r="22" spans="2:44" s="30" customFormat="1" x14ac:dyDescent="0.15">
      <c r="B22" s="31"/>
      <c r="C22" s="29">
        <v>240</v>
      </c>
      <c r="D22" s="18">
        <f>求节点(节奏总纲!$D$4:$D$163,节奏总纲!$C$4:$C$163,$C22)</f>
        <v>79.125035575805882</v>
      </c>
      <c r="E22" s="18">
        <f>IFERROR(求节点(前期规划!$C$13:$C$23,前期规划!$B$13:$B$23,D22),0)</f>
        <v>11.805563461290197</v>
      </c>
      <c r="F22" s="63">
        <f>IFERROR(求节点(前期规划!$C$28:$C$35,前期规划!D$28:D$35,$D22),0)</f>
        <v>9</v>
      </c>
      <c r="G22" s="63">
        <f>IFERROR(求节点(前期规划!$C$28:$C$35,前期规划!E$28:E$35,$D22),0)</f>
        <v>9</v>
      </c>
      <c r="H22" s="63">
        <f>IFERROR(求节点(前期规划!$C$28:$C$35,前期规划!F$28:F$35,$D22),0)</f>
        <v>27</v>
      </c>
      <c r="I22" s="63">
        <f>IFERROR(求节点(前期规划!$C$28:$C$35,前期规划!G$28:G$35,$D22),0)</f>
        <v>14.662574709192352</v>
      </c>
      <c r="J22" s="63">
        <f>IFERROR(求节点(前期规划!$C$28:$C$35,前期规划!H$28:H$35,$D22),0)</f>
        <v>2.4750213454835288</v>
      </c>
      <c r="K22" s="63">
        <f>IFERROR(求节点(前期规划!$C$28:$C$35,前期规划!I$28:I$35,$D22),0)</f>
        <v>0</v>
      </c>
      <c r="L22" s="63">
        <f>MIN($E22-SUM(M22:$Q22),F22)</f>
        <v>-1.7763568394002505E-15</v>
      </c>
      <c r="M22" s="63">
        <f>MIN($E22-SUM(N22:$Q22),G22)</f>
        <v>1.7763568394002505E-15</v>
      </c>
      <c r="N22" s="63">
        <f>MIN($E22-SUM(O22:$Q22),H22)</f>
        <v>-1.7763568394002505E-15</v>
      </c>
      <c r="O22" s="63">
        <f>MIN($E22-SUM(P22:$Q22),I22)</f>
        <v>9.3305421158066686</v>
      </c>
      <c r="P22" s="63">
        <f>MIN($E22-SUM(Q22:$Q22),J22)</f>
        <v>2.4750213454835288</v>
      </c>
      <c r="Q22" s="69">
        <f t="shared" si="1"/>
        <v>0</v>
      </c>
      <c r="R22" s="64">
        <f>活动投放!AC22+付费投放!AA22</f>
        <v>29</v>
      </c>
      <c r="S22" s="64">
        <f>活动投放!AD22+付费投放!AB22</f>
        <v>29</v>
      </c>
      <c r="T22" s="64">
        <f>活动投放!AE22+付费投放!AC22</f>
        <v>36.119999999999997</v>
      </c>
      <c r="U22" s="64">
        <f>活动投放!AF22+付费投放!AD22</f>
        <v>15.48</v>
      </c>
      <c r="V22" s="64">
        <f>活动投放!AG22+付费投放!AE22</f>
        <v>1.9800000000000004</v>
      </c>
      <c r="W22" s="64">
        <f>活动投放!AH22+付费投放!AF22</f>
        <v>0.22000000000000003</v>
      </c>
      <c r="X22" s="63">
        <f>MIN(IFERROR(INDEX(真品获取算法!$C$6:$C$66,MATCH(R22,真品获取算法!D$6:D$66,1)),0)+付费投放!AG22,前期规划!D$8)</f>
        <v>7</v>
      </c>
      <c r="Y22" s="63">
        <f>MIN(IFERROR(INDEX(真品获取算法!$C$6:$C$66,MATCH(S22,真品获取算法!E$6:E$66,1)),0)+付费投放!AH22,前期规划!E$8)</f>
        <v>7</v>
      </c>
      <c r="Z22" s="63">
        <f>MIN(IFERROR(INDEX(真品获取算法!$C$6:$C$66,MATCH(T22,真品获取算法!F$6:F$66,1)),0)+付费投放!AI22,前期规划!F$8)</f>
        <v>16</v>
      </c>
      <c r="AA22" s="63">
        <f>MIN(IFERROR(INDEX(真品获取算法!$C$6:$C$66,MATCH(U22,真品获取算法!G$6:G$66,1)),0)+付费投放!AJ22,前期规划!G$8)</f>
        <v>4.0999999999999996</v>
      </c>
      <c r="AB22" s="63">
        <f>MIN(IFERROR(INDEX(真品获取算法!$C$6:$C$66,MATCH(V22,真品获取算法!H$6:H$66,1)),0)+付费投放!AK22,前期规划!H$8)</f>
        <v>1</v>
      </c>
      <c r="AC22" s="63">
        <f>MIN(IFERROR(INDEX(真品获取算法!$C$6:$C$66,MATCH(W22,真品获取算法!I$6:I$66,1)),0)+付费投放!AL22,前期规划!I$8)</f>
        <v>4.4000000000000004E-2</v>
      </c>
      <c r="AD22" s="63">
        <f t="shared" si="2"/>
        <v>0.77777777777777779</v>
      </c>
      <c r="AE22" s="63">
        <f t="shared" si="3"/>
        <v>0.77777777777777779</v>
      </c>
      <c r="AF22" s="63">
        <f t="shared" si="4"/>
        <v>0.59259259259259256</v>
      </c>
      <c r="AG22" s="63">
        <f t="shared" si="5"/>
        <v>0.27962346868245469</v>
      </c>
      <c r="AH22" s="63">
        <f t="shared" si="6"/>
        <v>0.40403691944912762</v>
      </c>
      <c r="AI22" s="63">
        <f t="shared" si="7"/>
        <v>0</v>
      </c>
      <c r="AK22" s="60">
        <f>活动投放!AF22/U22</f>
        <v>0.75581395348837199</v>
      </c>
      <c r="AL22" s="60">
        <f>付费投放!AD22/U22</f>
        <v>0.24418604651162792</v>
      </c>
      <c r="AM22" s="60">
        <f>活动投放!AH22/W22</f>
        <v>0</v>
      </c>
      <c r="AN22" s="60">
        <f>付费投放!AF22/W22</f>
        <v>1</v>
      </c>
      <c r="AO22" s="60">
        <f>IFERROR(INDEX(真品获取算法!$C$6:$C$66,MATCH(U22,真品获取算法!G$6:G$66,1)),0)*AK22/(IFERROR(INDEX(真品获取算法!$C$6:$C$66,MATCH(U22,真品获取算法!G$6:G$66,1)),0)+付费投放!AJ22)</f>
        <v>0.73737946681792399</v>
      </c>
      <c r="AP22" s="60">
        <f>(付费投放!AJ22+IFERROR(INDEX(真品获取算法!$C$6:$C$66,MATCH(U22,真品获取算法!G$6:G$66,1)),0)*AL22)/(IFERROR(INDEX(真品获取算法!$C$6:$C$66,MATCH(U22,真品获取算法!G$6:G$66,1)),0)+付费投放!AJ22)</f>
        <v>0.26262053318207607</v>
      </c>
      <c r="AQ22" s="60">
        <f>IFERROR(INDEX(真品获取算法!$C$6:$C$66,MATCH(W22,真品获取算法!I$6:I$66,1)),0)*AM22/(IFERROR(INDEX(真品获取算法!$C$6:$C$66,MATCH(W22,真品获取算法!I$6:I$66,1)),0)+付费投放!AL22)</f>
        <v>0</v>
      </c>
      <c r="AR22" s="60">
        <f>(付费投放!AL22+IFERROR(INDEX(真品获取算法!$C$6:$C$66,MATCH(W22,真品获取算法!I$6:I$66,1)),0)*AN22)/(IFERROR(INDEX(真品获取算法!$C$6:$C$66,MATCH(W22,真品获取算法!I$6:I$66,1)),0)+付费投放!AL22)</f>
        <v>1</v>
      </c>
    </row>
    <row r="23" spans="2:44" s="30" customFormat="1" x14ac:dyDescent="0.15">
      <c r="B23" s="31"/>
      <c r="C23" s="29">
        <v>270</v>
      </c>
      <c r="D23" s="18">
        <f>求节点(节奏总纲!$D$4:$D$163,节奏总纲!$C$4:$C$163,$C23)</f>
        <v>80.816370674194118</v>
      </c>
      <c r="E23" s="18">
        <f>IFERROR(求节点(前期规划!$C$13:$C$23,前期规划!$B$13:$B$23,D23),0)</f>
        <v>12.163274134838824</v>
      </c>
      <c r="F23" s="63">
        <f>IFERROR(求节点(前期规划!$C$28:$C$35,前期规划!D$28:D$35,$D23),0)</f>
        <v>9</v>
      </c>
      <c r="G23" s="63">
        <f>IFERROR(求节点(前期规划!$C$28:$C$35,前期规划!E$28:E$35,$D23),0)</f>
        <v>9</v>
      </c>
      <c r="H23" s="63">
        <f>IFERROR(求节点(前期规划!$C$28:$C$35,前期规划!F$28:F$35,$D23),0)</f>
        <v>27</v>
      </c>
      <c r="I23" s="63">
        <f>IFERROR(求节点(前期规划!$C$28:$C$35,前期规划!G$28:G$35,$D23),0)</f>
        <v>18.214378415807651</v>
      </c>
      <c r="J23" s="63">
        <f>IFERROR(求节点(前期规划!$C$28:$C$35,前期规划!H$28:H$35,$D23),0)</f>
        <v>3.4898224045164707</v>
      </c>
      <c r="K23" s="63">
        <f>IFERROR(求节点(前期规划!$C$28:$C$35,前期规划!I$28:I$35,$D23),0)</f>
        <v>0</v>
      </c>
      <c r="L23" s="63">
        <f>MIN($E23-SUM(M23:$Q23),F23)</f>
        <v>0</v>
      </c>
      <c r="M23" s="63">
        <f>MIN($E23-SUM(N23:$Q23),G23)</f>
        <v>0</v>
      </c>
      <c r="N23" s="63">
        <f>MIN($E23-SUM(O23:$Q23),H23)</f>
        <v>0</v>
      </c>
      <c r="O23" s="63">
        <f>MIN($E23-SUM(P23:$Q23),I23)</f>
        <v>8.6734517303223537</v>
      </c>
      <c r="P23" s="63">
        <f>MIN($E23-SUM(Q23:$Q23),J23)</f>
        <v>3.4898224045164707</v>
      </c>
      <c r="Q23" s="69">
        <f t="shared" si="1"/>
        <v>0</v>
      </c>
      <c r="R23" s="64">
        <f>活动投放!AC23+付费投放!AA23</f>
        <v>33</v>
      </c>
      <c r="S23" s="64">
        <f>活动投放!AD23+付费投放!AB23</f>
        <v>33</v>
      </c>
      <c r="T23" s="64">
        <f>活动投放!AE23+付费投放!AC23</f>
        <v>44.519999999999996</v>
      </c>
      <c r="U23" s="64">
        <f>活动投放!AF23+付费投放!AD23</f>
        <v>19.079999999999998</v>
      </c>
      <c r="V23" s="64">
        <f>活动投放!AG23+付费投放!AE23</f>
        <v>2.3400000000000003</v>
      </c>
      <c r="W23" s="64">
        <f>活动投放!AH23+付费投放!AF23</f>
        <v>0.26</v>
      </c>
      <c r="X23" s="63">
        <f>MIN(IFERROR(INDEX(真品获取算法!$C$6:$C$66,MATCH(R23,真品获取算法!D$6:D$66,1)),0)+付费投放!AG23,前期规划!D$8)</f>
        <v>8</v>
      </c>
      <c r="Y23" s="63">
        <f>MIN(IFERROR(INDEX(真品获取算法!$C$6:$C$66,MATCH(S23,真品获取算法!E$6:E$66,1)),0)+付费投放!AH23,前期规划!E$8)</f>
        <v>8</v>
      </c>
      <c r="Z23" s="63">
        <f>MIN(IFERROR(INDEX(真品获取算法!$C$6:$C$66,MATCH(T23,真品获取算法!F$6:F$66,1)),0)+付费投放!AI23,前期规划!F$8)</f>
        <v>18</v>
      </c>
      <c r="AA23" s="63">
        <f>MIN(IFERROR(INDEX(真品获取算法!$C$6:$C$66,MATCH(U23,真品获取算法!G$6:G$66,1)),0)+付费投放!AJ23,前期规划!G$8)</f>
        <v>5.1133333333333333</v>
      </c>
      <c r="AB23" s="63">
        <f>MIN(IFERROR(INDEX(真品获取算法!$C$6:$C$66,MATCH(V23,真品获取算法!H$6:H$66,1)),0)+付费投放!AK23,前期规划!H$8)</f>
        <v>2</v>
      </c>
      <c r="AC23" s="63">
        <f>MIN(IFERROR(INDEX(真品获取算法!$C$6:$C$66,MATCH(W23,真品获取算法!I$6:I$66,1)),0)+付费投放!AL23,前期规划!I$8)</f>
        <v>5.2000000000000005E-2</v>
      </c>
      <c r="AD23" s="63">
        <f t="shared" si="2"/>
        <v>0.88888888888888884</v>
      </c>
      <c r="AE23" s="63">
        <f t="shared" si="3"/>
        <v>0.88888888888888884</v>
      </c>
      <c r="AF23" s="63">
        <f t="shared" si="4"/>
        <v>0.66666666666666663</v>
      </c>
      <c r="AG23" s="63">
        <f t="shared" si="5"/>
        <v>0.28073059736672878</v>
      </c>
      <c r="AH23" s="63">
        <f t="shared" si="6"/>
        <v>0.57309506564334989</v>
      </c>
      <c r="AI23" s="63">
        <f t="shared" si="7"/>
        <v>0</v>
      </c>
      <c r="AK23" s="60">
        <f>活动投放!AF23/U23</f>
        <v>0.77044025157232709</v>
      </c>
      <c r="AL23" s="60">
        <f>付费投放!AD23/U23</f>
        <v>0.22955974842767296</v>
      </c>
      <c r="AM23" s="60">
        <f>活动投放!AH23/W23</f>
        <v>0</v>
      </c>
      <c r="AN23" s="60">
        <f>付费投放!AF23/W23</f>
        <v>1</v>
      </c>
      <c r="AO23" s="60">
        <f>IFERROR(INDEX(真品获取算法!$C$6:$C$66,MATCH(U23,真品获取算法!G$6:G$66,1)),0)*AK23/(IFERROR(INDEX(真品获取算法!$C$6:$C$66,MATCH(U23,真品获取算法!G$6:G$66,1)),0)+付费投放!AJ23)</f>
        <v>0.75336400088558719</v>
      </c>
      <c r="AP23" s="60">
        <f>(付费投放!AJ23+IFERROR(INDEX(真品获取算法!$C$6:$C$66,MATCH(U23,真品获取算法!G$6:G$66,1)),0)*AL23)/(IFERROR(INDEX(真品获取算法!$C$6:$C$66,MATCH(U23,真品获取算法!G$6:G$66,1)),0)+付费投放!AJ23)</f>
        <v>0.24663599911441295</v>
      </c>
      <c r="AQ23" s="60">
        <f>IFERROR(INDEX(真品获取算法!$C$6:$C$66,MATCH(W23,真品获取算法!I$6:I$66,1)),0)*AM23/(IFERROR(INDEX(真品获取算法!$C$6:$C$66,MATCH(W23,真品获取算法!I$6:I$66,1)),0)+付费投放!AL23)</f>
        <v>0</v>
      </c>
      <c r="AR23" s="60">
        <f>(付费投放!AL23+IFERROR(INDEX(真品获取算法!$C$6:$C$66,MATCH(W23,真品获取算法!I$6:I$66,1)),0)*AN23)/(IFERROR(INDEX(真品获取算法!$C$6:$C$66,MATCH(W23,真品获取算法!I$6:I$66,1)),0)+付费投放!AL23)</f>
        <v>1</v>
      </c>
    </row>
    <row r="24" spans="2:44" s="30" customFormat="1" x14ac:dyDescent="0.15">
      <c r="B24" s="31"/>
      <c r="C24" s="29">
        <v>300</v>
      </c>
      <c r="D24" s="18">
        <f>求节点(节奏总纲!$D$4:$D$163,节奏总纲!$C$4:$C$163,$C24)</f>
        <v>82.328492296001457</v>
      </c>
      <c r="E24" s="18">
        <f>IFERROR(求节点(前期规划!$C$13:$C$23,前期规划!$B$13:$B$23,D24),0)</f>
        <v>12.465698459200292</v>
      </c>
      <c r="F24" s="63">
        <f>IFERROR(求节点(前期规划!$C$28:$C$35,前期规划!D$28:D$35,$D24),0)</f>
        <v>9</v>
      </c>
      <c r="G24" s="63">
        <f>IFERROR(求节点(前期规划!$C$28:$C$35,前期规划!E$28:E$35,$D24),0)</f>
        <v>9</v>
      </c>
      <c r="H24" s="63">
        <f>IFERROR(求节点(前期规划!$C$28:$C$35,前期规划!F$28:F$35,$D24),0)</f>
        <v>27</v>
      </c>
      <c r="I24" s="63">
        <f>IFERROR(求节点(前期规划!$C$28:$C$35,前期规划!G$28:G$35,$D24),0)</f>
        <v>21.389833821603062</v>
      </c>
      <c r="J24" s="63">
        <f>IFERROR(求节点(前期规划!$C$28:$C$35,前期规划!H$28:H$35,$D24),0)</f>
        <v>4.3970953776008743</v>
      </c>
      <c r="K24" s="63">
        <f>IFERROR(求节点(前期规划!$C$28:$C$35,前期规划!I$28:I$35,$D24),0)</f>
        <v>0</v>
      </c>
      <c r="L24" s="63">
        <f>MIN($E24-SUM(M24:$Q24),F24)</f>
        <v>1.7763568394002505E-15</v>
      </c>
      <c r="M24" s="63">
        <f>MIN($E24-SUM(N24:$Q24),G24)</f>
        <v>-1.7763568394002505E-15</v>
      </c>
      <c r="N24" s="63">
        <f>MIN($E24-SUM(O24:$Q24),H24)</f>
        <v>1.7763568394002505E-15</v>
      </c>
      <c r="O24" s="63">
        <f>MIN($E24-SUM(P24:$Q24),I24)</f>
        <v>8.0686030815994165</v>
      </c>
      <c r="P24" s="63">
        <f>MIN($E24-SUM(Q24:$Q24),J24)</f>
        <v>4.3970953776008743</v>
      </c>
      <c r="Q24" s="69">
        <f t="shared" si="1"/>
        <v>0</v>
      </c>
      <c r="R24" s="64">
        <f>活动投放!AC24+付费投放!AA24</f>
        <v>37</v>
      </c>
      <c r="S24" s="64">
        <f>活动投放!AD24+付费投放!AB24</f>
        <v>37</v>
      </c>
      <c r="T24" s="64">
        <f>活动投放!AE24+付费投放!AC24</f>
        <v>52.92</v>
      </c>
      <c r="U24" s="64">
        <f>活动投放!AF24+付费投放!AD24</f>
        <v>22.68</v>
      </c>
      <c r="V24" s="64">
        <f>活动投放!AG24+付费投放!AE24</f>
        <v>4.5</v>
      </c>
      <c r="W24" s="64">
        <f>活动投放!AH24+付费投放!AF24</f>
        <v>0.5</v>
      </c>
      <c r="X24" s="63">
        <f>MIN(IFERROR(INDEX(真品获取算法!$C$6:$C$66,MATCH(R24,真品获取算法!D$6:D$66,1)),0)+付费投放!AG24,前期规划!D$8)</f>
        <v>8</v>
      </c>
      <c r="Y24" s="63">
        <f>MIN(IFERROR(INDEX(真品获取算法!$C$6:$C$66,MATCH(S24,真品获取算法!E$6:E$66,1)),0)+付费投放!AH24,前期规划!E$8)</f>
        <v>8</v>
      </c>
      <c r="Z24" s="63">
        <f>MIN(IFERROR(INDEX(真品获取算法!$C$6:$C$66,MATCH(T24,真品获取算法!F$6:F$66,1)),0)+付费投放!AI24,前期规划!F$8)</f>
        <v>20</v>
      </c>
      <c r="AA24" s="63">
        <f>MIN(IFERROR(INDEX(真品获取算法!$C$6:$C$66,MATCH(U24,真品获取算法!G$6:G$66,1)),0)+付费投放!AJ24,前期规划!G$8)</f>
        <v>6.1266666666666669</v>
      </c>
      <c r="AB24" s="63">
        <f>MIN(IFERROR(INDEX(真品获取算法!$C$6:$C$66,MATCH(V24,真品获取算法!H$6:H$66,1)),0)+付费投放!AK24,前期规划!H$8)</f>
        <v>3</v>
      </c>
      <c r="AC24" s="63">
        <f>MIN(IFERROR(INDEX(真品获取算法!$C$6:$C$66,MATCH(W24,真品获取算法!I$6:I$66,1)),0)+付费投放!AL24,前期规划!I$8)</f>
        <v>6.0000000000000005E-2</v>
      </c>
      <c r="AD24" s="63">
        <f t="shared" si="2"/>
        <v>0.88888888888888884</v>
      </c>
      <c r="AE24" s="63">
        <f t="shared" si="3"/>
        <v>0.88888888888888884</v>
      </c>
      <c r="AF24" s="63">
        <f t="shared" si="4"/>
        <v>0.7407407407407407</v>
      </c>
      <c r="AG24" s="63">
        <f t="shared" si="5"/>
        <v>0.28642890439283941</v>
      </c>
      <c r="AH24" s="63">
        <f t="shared" si="6"/>
        <v>0.68226857558792553</v>
      </c>
      <c r="AI24" s="63">
        <f t="shared" si="7"/>
        <v>0</v>
      </c>
      <c r="AK24" s="60">
        <f>活动投放!AF24/U24</f>
        <v>0.78042328042328035</v>
      </c>
      <c r="AL24" s="60">
        <f>付费投放!AD24/U24</f>
        <v>0.21957671957671956</v>
      </c>
      <c r="AM24" s="60">
        <f>活动投放!AH24/W24</f>
        <v>0.4</v>
      </c>
      <c r="AN24" s="60">
        <f>付费投放!AF24/W24</f>
        <v>0.60000000000000009</v>
      </c>
      <c r="AO24" s="60">
        <f>IFERROR(INDEX(真品获取算法!$C$6:$C$66,MATCH(U24,真品获取算法!G$6:G$66,1)),0)*AK24/(IFERROR(INDEX(真品获取算法!$C$6:$C$66,MATCH(U24,真品获取算法!G$6:G$66,1)),0)+付费投放!AJ24)</f>
        <v>0.76428830509352808</v>
      </c>
      <c r="AP24" s="60">
        <f>(付费投放!AJ24+IFERROR(INDEX(真品获取算法!$C$6:$C$66,MATCH(U24,真品获取算法!G$6:G$66,1)),0)*AL24)/(IFERROR(INDEX(真品获取算法!$C$6:$C$66,MATCH(U24,真品获取算法!G$6:G$66,1)),0)+付费投放!AJ24)</f>
        <v>0.23571169490647184</v>
      </c>
      <c r="AQ24" s="60">
        <f>IFERROR(INDEX(真品获取算法!$C$6:$C$66,MATCH(W24,真品获取算法!I$6:I$66,1)),0)*AM24/(IFERROR(INDEX(真品获取算法!$C$6:$C$66,MATCH(W24,真品获取算法!I$6:I$66,1)),0)+付费投放!AL24)</f>
        <v>0</v>
      </c>
      <c r="AR24" s="60">
        <f>(付费投放!AL24+IFERROR(INDEX(真品获取算法!$C$6:$C$66,MATCH(W24,真品获取算法!I$6:I$66,1)),0)*AN24)/(IFERROR(INDEX(真品获取算法!$C$6:$C$66,MATCH(W24,真品获取算法!I$6:I$66,1)),0)+付费投放!AL24)</f>
        <v>1</v>
      </c>
    </row>
    <row r="25" spans="2:44" s="30" customFormat="1" x14ac:dyDescent="0.15">
      <c r="B25" s="31"/>
      <c r="C25" s="29">
        <v>360</v>
      </c>
      <c r="D25" s="18">
        <f>求节点(节奏总纲!$D$4:$D$163,节奏总纲!$C$4:$C$163,$C25)</f>
        <v>84.957158709068153</v>
      </c>
      <c r="E25" s="18">
        <f>IFERROR(求节点(前期规划!$C$13:$C$23,前期规划!$B$13:$B$23,D25),0)</f>
        <v>12.991431741813631</v>
      </c>
      <c r="F25" s="63">
        <f>IFERROR(求节点(前期规划!$C$28:$C$35,前期规划!D$28:D$35,$D25),0)</f>
        <v>9</v>
      </c>
      <c r="G25" s="63">
        <f>IFERROR(求节点(前期规划!$C$28:$C$35,前期规划!E$28:E$35,$D25),0)</f>
        <v>9</v>
      </c>
      <c r="H25" s="63">
        <f>IFERROR(求节点(前期规划!$C$28:$C$35,前期规划!F$28:F$35,$D25),0)</f>
        <v>27</v>
      </c>
      <c r="I25" s="63">
        <f>IFERROR(求节点(前期规划!$C$28:$C$35,前期规划!G$28:G$35,$D25),0)</f>
        <v>26.910033289043124</v>
      </c>
      <c r="J25" s="63">
        <f>IFERROR(求节点(前期规划!$C$28:$C$35,前期规划!H$28:H$35,$D25),0)</f>
        <v>5.9742952254408914</v>
      </c>
      <c r="K25" s="63">
        <f>IFERROR(求节点(前期规划!$C$28:$C$35,前期规划!I$28:I$35,$D25),0)</f>
        <v>0</v>
      </c>
      <c r="L25" s="63">
        <f>MIN($E25-SUM(M25:$Q25),F25)</f>
        <v>0</v>
      </c>
      <c r="M25" s="63">
        <f>MIN($E25-SUM(N25:$Q25),G25)</f>
        <v>0</v>
      </c>
      <c r="N25" s="63">
        <f>MIN($E25-SUM(O25:$Q25),H25)</f>
        <v>0</v>
      </c>
      <c r="O25" s="63">
        <f>MIN($E25-SUM(P25:$Q25),I25)</f>
        <v>7.0171365163727399</v>
      </c>
      <c r="P25" s="63">
        <f>MIN($E25-SUM(Q25:$Q25),J25)</f>
        <v>5.9742952254408914</v>
      </c>
      <c r="Q25" s="69">
        <f t="shared" si="1"/>
        <v>0</v>
      </c>
      <c r="R25" s="64">
        <f>活动投放!AC25+付费投放!AA25</f>
        <v>45</v>
      </c>
      <c r="S25" s="64">
        <f>活动投放!AD25+付费投放!AB25</f>
        <v>45</v>
      </c>
      <c r="T25" s="64">
        <f>活动投放!AE25+付费投放!AC25</f>
        <v>69.72</v>
      </c>
      <c r="U25" s="64">
        <f>活动投放!AF25+付费投放!AD25</f>
        <v>29.88</v>
      </c>
      <c r="V25" s="64">
        <f>活动投放!AG25+付费投放!AE25</f>
        <v>8.82</v>
      </c>
      <c r="W25" s="64">
        <f>活动投放!AH25+付费投放!AF25</f>
        <v>0.9800000000000002</v>
      </c>
      <c r="X25" s="63">
        <f>MIN(IFERROR(INDEX(真品获取算法!$C$6:$C$66,MATCH(R25,真品获取算法!D$6:D$66,1)),0)+付费投放!AG25,前期规划!D$8)</f>
        <v>8</v>
      </c>
      <c r="Y25" s="63">
        <f>MIN(IFERROR(INDEX(真品获取算法!$C$6:$C$66,MATCH(S25,真品获取算法!E$6:E$66,1)),0)+付费投放!AH25,前期规划!E$8)</f>
        <v>8</v>
      </c>
      <c r="Z25" s="63">
        <f>MIN(IFERROR(INDEX(真品获取算法!$C$6:$C$66,MATCH(T25,真品获取算法!F$6:F$66,1)),0)+付费投放!AI25,前期规划!F$8)</f>
        <v>22</v>
      </c>
      <c r="AA25" s="63">
        <f>MIN(IFERROR(INDEX(真品获取算法!$C$6:$C$66,MATCH(U25,真品获取算法!G$6:G$66,1)),0)+付费投放!AJ25,前期规划!G$8)</f>
        <v>7.1533333333333333</v>
      </c>
      <c r="AB25" s="63">
        <f>MIN(IFERROR(INDEX(真品获取算法!$C$6:$C$66,MATCH(V25,真品获取算法!H$6:H$66,1)),0)+付费投放!AK25,前期规划!H$8)</f>
        <v>7</v>
      </c>
      <c r="AC25" s="63">
        <f>MIN(IFERROR(INDEX(真品获取算法!$C$6:$C$66,MATCH(W25,真品获取算法!I$6:I$66,1)),0)+付费投放!AL25,前期规划!I$8)</f>
        <v>7.6000000000000012E-2</v>
      </c>
      <c r="AD25" s="63">
        <f t="shared" si="2"/>
        <v>0.88888888888888884</v>
      </c>
      <c r="AE25" s="63">
        <f t="shared" si="3"/>
        <v>0.88888888888888884</v>
      </c>
      <c r="AF25" s="63">
        <f t="shared" si="4"/>
        <v>0.81481481481481477</v>
      </c>
      <c r="AG25" s="63">
        <f t="shared" si="5"/>
        <v>0.26582402394299282</v>
      </c>
      <c r="AH25" s="63">
        <f t="shared" si="6"/>
        <v>1.1716863221273792</v>
      </c>
      <c r="AI25" s="63">
        <f t="shared" si="7"/>
        <v>0</v>
      </c>
      <c r="AK25" s="60">
        <f>活动投放!AF25/U25</f>
        <v>0.79317269076305219</v>
      </c>
      <c r="AL25" s="60">
        <f>付费投放!AD25/U25</f>
        <v>0.20682730923694778</v>
      </c>
      <c r="AM25" s="60">
        <f>活动投放!AH25/W25</f>
        <v>0.61224489795918369</v>
      </c>
      <c r="AN25" s="60">
        <f>付费投放!AF25/W25</f>
        <v>0.38775510204081631</v>
      </c>
      <c r="AO25" s="60">
        <f>IFERROR(INDEX(真品获取算法!$C$6:$C$66,MATCH(U25,真品获取算法!G$6:G$66,1)),0)*AK25/(IFERROR(INDEX(真品获取算法!$C$6:$C$66,MATCH(U25,真品获取算法!G$6:G$66,1)),0)+付费投放!AJ25)</f>
        <v>0.77617085303001376</v>
      </c>
      <c r="AP25" s="60">
        <f>(付费投放!AJ25+IFERROR(INDEX(真品获取算法!$C$6:$C$66,MATCH(U25,真品获取算法!G$6:G$66,1)),0)*AL25)/(IFERROR(INDEX(真品获取算法!$C$6:$C$66,MATCH(U25,真品获取算法!G$6:G$66,1)),0)+付费投放!AJ25)</f>
        <v>0.22382914696998618</v>
      </c>
      <c r="AQ25" s="60">
        <f>IFERROR(INDEX(真品获取算法!$C$6:$C$66,MATCH(W25,真品获取算法!I$6:I$66,1)),0)*AM25/(IFERROR(INDEX(真品获取算法!$C$6:$C$66,MATCH(W25,真品获取算法!I$6:I$66,1)),0)+付费投放!AL25)</f>
        <v>0</v>
      </c>
      <c r="AR25" s="60">
        <f>(付费投放!AL25+IFERROR(INDEX(真品获取算法!$C$6:$C$66,MATCH(W25,真品获取算法!I$6:I$66,1)),0)*AN25)/(IFERROR(INDEX(真品获取算法!$C$6:$C$66,MATCH(W25,真品获取算法!I$6:I$66,1)),0)+付费投放!AL25)</f>
        <v>1</v>
      </c>
    </row>
    <row r="26" spans="2:44" s="30" customFormat="1" x14ac:dyDescent="0.15">
      <c r="B26" s="31"/>
      <c r="C26" s="29">
        <v>420</v>
      </c>
      <c r="D26" s="18">
        <f>求节点(节奏总纲!$D$4:$D$163,节奏总纲!$C$4:$C$163,$C26)</f>
        <v>87.171758893450118</v>
      </c>
      <c r="E26" s="18">
        <f>IFERROR(求节点(前期规划!$C$13:$C$23,前期规划!$B$13:$B$23,D26),0)</f>
        <v>13.434351778690024</v>
      </c>
      <c r="F26" s="63">
        <f>IFERROR(求节点(前期规划!$C$28:$C$35,前期规划!D$28:D$35,$D26),0)</f>
        <v>9</v>
      </c>
      <c r="G26" s="63">
        <f>IFERROR(求节点(前期规划!$C$28:$C$35,前期规划!E$28:E$35,$D26),0)</f>
        <v>9</v>
      </c>
      <c r="H26" s="63">
        <f>IFERROR(求节点(前期规划!$C$28:$C$35,前期规划!F$28:F$35,$D26),0)</f>
        <v>27</v>
      </c>
      <c r="I26" s="63">
        <f>IFERROR(求节点(前期规划!$C$28:$C$35,前期规划!G$28:G$35,$D26),0)</f>
        <v>27</v>
      </c>
      <c r="J26" s="63">
        <f>IFERROR(求节点(前期规划!$C$28:$C$35,前期规划!H$28:H$35,$D26),0)</f>
        <v>17.727498024630638</v>
      </c>
      <c r="K26" s="63">
        <f>IFERROR(求节点(前期规划!$C$28:$C$35,前期规划!I$28:I$35,$D26),0)</f>
        <v>0.65152766803503537</v>
      </c>
      <c r="L26" s="63">
        <f>MIN($E26-SUM(M26:$Q26),F26)</f>
        <v>0</v>
      </c>
      <c r="M26" s="63">
        <f>MIN($E26-SUM(N26:$Q26),G26)</f>
        <v>0</v>
      </c>
      <c r="N26" s="63">
        <f>MIN($E26-SUM(O26:$Q26),H26)</f>
        <v>0</v>
      </c>
      <c r="O26" s="63">
        <f>MIN($E26-SUM(P26:$Q26),I26)</f>
        <v>0</v>
      </c>
      <c r="P26" s="63">
        <f>MIN($E26-SUM(Q26:$Q26),J26)</f>
        <v>12.782824110654989</v>
      </c>
      <c r="Q26" s="69">
        <f t="shared" si="1"/>
        <v>0.65152766803503537</v>
      </c>
      <c r="R26" s="64">
        <f>活动投放!AC26+付费投放!AA26</f>
        <v>53</v>
      </c>
      <c r="S26" s="64">
        <f>活动投放!AD26+付费投放!AB26</f>
        <v>53</v>
      </c>
      <c r="T26" s="64">
        <f>活动投放!AE26+付费投放!AC26</f>
        <v>86.52</v>
      </c>
      <c r="U26" s="64">
        <f>活动投放!AF26+付费投放!AD26</f>
        <v>37.08</v>
      </c>
      <c r="V26" s="64">
        <f>活动投放!AG26+付费投放!AE26</f>
        <v>16.740000000000002</v>
      </c>
      <c r="W26" s="64">
        <f>活动投放!AH26+付费投放!AF26</f>
        <v>1.8600000000000003</v>
      </c>
      <c r="X26" s="63">
        <f>MIN(IFERROR(INDEX(真品获取算法!$C$6:$C$66,MATCH(R26,真品获取算法!D$6:D$66,1)),0)+付费投放!AG26,前期规划!D$8)</f>
        <v>9</v>
      </c>
      <c r="Y26" s="63">
        <f>MIN(IFERROR(INDEX(真品获取算法!$C$6:$C$66,MATCH(S26,真品获取算法!E$6:E$66,1)),0)+付费投放!AH26,前期规划!E$8)</f>
        <v>9</v>
      </c>
      <c r="Z26" s="63">
        <f>MIN(IFERROR(INDEX(真品获取算法!$C$6:$C$66,MATCH(T26,真品获取算法!F$6:F$66,1)),0)+付费投放!AI26,前期规划!F$8)</f>
        <v>24</v>
      </c>
      <c r="AA26" s="63">
        <f>MIN(IFERROR(INDEX(真品获取算法!$C$6:$C$66,MATCH(U26,真品获取算法!G$6:G$66,1)),0)+付费投放!AJ26,前期规划!G$8)</f>
        <v>9.18</v>
      </c>
      <c r="AB26" s="63">
        <f>MIN(IFERROR(INDEX(真品获取算法!$C$6:$C$66,MATCH(V26,真品获取算法!H$6:H$66,1)),0)+付费投放!AK26,前期规划!H$8)</f>
        <v>13</v>
      </c>
      <c r="AC26" s="63">
        <f>MIN(IFERROR(INDEX(真品获取算法!$C$6:$C$66,MATCH(W26,真品获取算法!I$6:I$66,1)),0)+付费投放!AL26,前期规划!I$8)</f>
        <v>9.2000000000000012E-2</v>
      </c>
      <c r="AD26" s="63">
        <f t="shared" si="2"/>
        <v>1</v>
      </c>
      <c r="AE26" s="63">
        <f t="shared" si="3"/>
        <v>1</v>
      </c>
      <c r="AF26" s="63">
        <f t="shared" si="4"/>
        <v>0.88888888888888884</v>
      </c>
      <c r="AG26" s="63">
        <f t="shared" si="5"/>
        <v>0.33999999999999997</v>
      </c>
      <c r="AH26" s="63">
        <f t="shared" si="6"/>
        <v>0.73332401345851295</v>
      </c>
      <c r="AI26" s="63">
        <f t="shared" si="7"/>
        <v>0.14120658954893806</v>
      </c>
      <c r="AK26" s="60">
        <f>活动投放!AF26/U26</f>
        <v>0.80097087378640774</v>
      </c>
      <c r="AL26" s="60">
        <f>付费投放!AD26/U26</f>
        <v>0.19902912621359223</v>
      </c>
      <c r="AM26" s="60">
        <f>活动投放!AH26/W26</f>
        <v>0.75268817204301075</v>
      </c>
      <c r="AN26" s="60">
        <f>付费投放!AF26/W26</f>
        <v>0.24731182795698925</v>
      </c>
      <c r="AO26" s="60">
        <f>IFERROR(INDEX(真品获取算法!$C$6:$C$66,MATCH(U26,真品获取算法!G$6:G$66,1)),0)*AK26/(IFERROR(INDEX(真品获取算法!$C$6:$C$66,MATCH(U26,真品获取算法!G$6:G$66,1)),0)+付费投放!AJ26)</f>
        <v>0.78526556253569391</v>
      </c>
      <c r="AP26" s="60">
        <f>(付费投放!AJ26+IFERROR(INDEX(真品获取算法!$C$6:$C$66,MATCH(U26,真品获取算法!G$6:G$66,1)),0)*AL26)/(IFERROR(INDEX(真品获取算法!$C$6:$C$66,MATCH(U26,真品获取算法!G$6:G$66,1)),0)+付费投放!AJ26)</f>
        <v>0.21473443746430609</v>
      </c>
      <c r="AQ26" s="60">
        <f>IFERROR(INDEX(真品获取算法!$C$6:$C$66,MATCH(W26,真品获取算法!I$6:I$66,1)),0)*AM26/(IFERROR(INDEX(真品获取算法!$C$6:$C$66,MATCH(W26,真品获取算法!I$6:I$66,1)),0)+付费投放!AL26)</f>
        <v>0</v>
      </c>
      <c r="AR26" s="60">
        <f>(付费投放!AL26+IFERROR(INDEX(真品获取算法!$C$6:$C$66,MATCH(W26,真品获取算法!I$6:I$66,1)),0)*AN26)/(IFERROR(INDEX(真品获取算法!$C$6:$C$66,MATCH(W26,真品获取算法!I$6:I$66,1)),0)+付费投放!AL26)</f>
        <v>1</v>
      </c>
    </row>
    <row r="27" spans="2:44" s="30" customFormat="1" x14ac:dyDescent="0.15">
      <c r="B27" s="31"/>
      <c r="C27" s="29">
        <v>480</v>
      </c>
      <c r="D27" s="18">
        <f>求节点(节奏总纲!$D$4:$D$163,节奏总纲!$C$4:$C$163,$C27)</f>
        <v>89.095870094999412</v>
      </c>
      <c r="E27" s="18">
        <f>IFERROR(求节点(前期规划!$C$13:$C$23,前期规划!$B$13:$B$23,D27),0)</f>
        <v>13.819174018999883</v>
      </c>
      <c r="F27" s="63">
        <f>IFERROR(求节点(前期规划!$C$28:$C$35,前期规划!D$28:D$35,$D27),0)</f>
        <v>9</v>
      </c>
      <c r="G27" s="63">
        <f>IFERROR(求节点(前期规划!$C$28:$C$35,前期规划!E$28:E$35,$D27),0)</f>
        <v>9</v>
      </c>
      <c r="H27" s="63">
        <f>IFERROR(求节点(前期规划!$C$28:$C$35,前期规划!F$28:F$35,$D27),0)</f>
        <v>27</v>
      </c>
      <c r="I27" s="63">
        <f>IFERROR(求节点(前期规划!$C$28:$C$35,前期规划!G$28:G$35,$D27),0)</f>
        <v>27</v>
      </c>
      <c r="J27" s="63">
        <f>IFERROR(求节点(前期规划!$C$28:$C$35,前期规划!H$28:H$35,$D27),0)</f>
        <v>28.117698512996828</v>
      </c>
      <c r="K27" s="63">
        <f>IFERROR(求节点(前期规划!$C$28:$C$35,前期规划!I$28:I$35,$D27),0)</f>
        <v>1.2287610284998236</v>
      </c>
      <c r="L27" s="63">
        <f>MIN($E27-SUM(M27:$Q27),F27)</f>
        <v>0</v>
      </c>
      <c r="M27" s="63">
        <f>MIN($E27-SUM(N27:$Q27),G27)</f>
        <v>0</v>
      </c>
      <c r="N27" s="63">
        <f>MIN($E27-SUM(O27:$Q27),H27)</f>
        <v>0</v>
      </c>
      <c r="O27" s="63">
        <f>MIN($E27-SUM(P27:$Q27),I27)</f>
        <v>0</v>
      </c>
      <c r="P27" s="63">
        <f>MIN($E27-SUM(Q27:$Q27),J27)</f>
        <v>12.590412990500059</v>
      </c>
      <c r="Q27" s="69">
        <f t="shared" si="1"/>
        <v>1.2287610284998236</v>
      </c>
      <c r="R27" s="64">
        <f>活动投放!AC27+付费投放!AA27</f>
        <v>61</v>
      </c>
      <c r="S27" s="64">
        <f>活动投放!AD27+付费投放!AB27</f>
        <v>61</v>
      </c>
      <c r="T27" s="64">
        <f>活动投放!AE27+付费投放!AC27</f>
        <v>103.32</v>
      </c>
      <c r="U27" s="64">
        <f>活动投放!AF27+付费投放!AD27</f>
        <v>44.279999999999994</v>
      </c>
      <c r="V27" s="64">
        <f>活动投放!AG27+付费投放!AE27</f>
        <v>24.66</v>
      </c>
      <c r="W27" s="64">
        <f>活动投放!AH27+付费投放!AF27</f>
        <v>2.74</v>
      </c>
      <c r="X27" s="63">
        <f>MIN(IFERROR(INDEX(真品获取算法!$C$6:$C$66,MATCH(R27,真品获取算法!D$6:D$66,1)),0)+付费投放!AG27,前期规划!D$8)</f>
        <v>9</v>
      </c>
      <c r="Y27" s="63">
        <f>MIN(IFERROR(INDEX(真品获取算法!$C$6:$C$66,MATCH(S27,真品获取算法!E$6:E$66,1)),0)+付费投放!AH27,前期规划!E$8)</f>
        <v>9</v>
      </c>
      <c r="Z27" s="63">
        <f>MIN(IFERROR(INDEX(真品获取算法!$C$6:$C$66,MATCH(T27,真品获取算法!F$6:F$66,1)),0)+付费投放!AI27,前期规划!F$8)</f>
        <v>25</v>
      </c>
      <c r="AA27" s="63">
        <f>MIN(IFERROR(INDEX(真品获取算法!$C$6:$C$66,MATCH(U27,真品获取算法!G$6:G$66,1)),0)+付费投放!AJ27,前期规划!G$8)</f>
        <v>10.206666666666667</v>
      </c>
      <c r="AB27" s="63">
        <f>MIN(IFERROR(INDEX(真品获取算法!$C$6:$C$66,MATCH(V27,真品获取算法!H$6:H$66,1)),0)+付费投放!AK27,前期规划!H$8)</f>
        <v>18</v>
      </c>
      <c r="AC27" s="63">
        <f>MIN(IFERROR(INDEX(真品获取算法!$C$6:$C$66,MATCH(W27,真品获取算法!I$6:I$66,1)),0)+付费投放!AL27,前期规划!I$8)</f>
        <v>0.10800000000000001</v>
      </c>
      <c r="AD27" s="63">
        <f t="shared" si="2"/>
        <v>1</v>
      </c>
      <c r="AE27" s="63">
        <f t="shared" si="3"/>
        <v>1</v>
      </c>
      <c r="AF27" s="63">
        <f t="shared" si="4"/>
        <v>0.92592592592592593</v>
      </c>
      <c r="AG27" s="63">
        <f t="shared" si="5"/>
        <v>0.37802469135802469</v>
      </c>
      <c r="AH27" s="63">
        <f t="shared" si="6"/>
        <v>0.64016619253812224</v>
      </c>
      <c r="AI27" s="63">
        <f t="shared" si="7"/>
        <v>8.7893412547316571E-2</v>
      </c>
      <c r="AK27" s="60">
        <f>活动投放!AF27/U27</f>
        <v>0.80623306233062331</v>
      </c>
      <c r="AL27" s="60">
        <f>付费投放!AD27/U27</f>
        <v>0.19376693766937672</v>
      </c>
      <c r="AM27" s="60">
        <f>活动投放!AH27/W27</f>
        <v>0.8029197080291971</v>
      </c>
      <c r="AN27" s="60">
        <f>付费投放!AF27/W27</f>
        <v>0.19708029197080293</v>
      </c>
      <c r="AO27" s="60">
        <f>IFERROR(INDEX(真品获取算法!$C$6:$C$66,MATCH(U27,真品获取算法!G$6:G$66,1)),0)*AK27/(IFERROR(INDEX(真品获取算法!$C$6:$C$66,MATCH(U27,真品获取算法!G$6:G$66,1)),0)+付费投放!AJ27)</f>
        <v>0.78990829098362825</v>
      </c>
      <c r="AP27" s="60">
        <f>(付费投放!AJ27+IFERROR(INDEX(真品获取算法!$C$6:$C$66,MATCH(U27,真品获取算法!G$6:G$66,1)),0)*AL27)/(IFERROR(INDEX(真品获取算法!$C$6:$C$66,MATCH(U27,真品获取算法!G$6:G$66,1)),0)+付费投放!AJ27)</f>
        <v>0.2100917090163717</v>
      </c>
      <c r="AQ27" s="60">
        <f>IFERROR(INDEX(真品获取算法!$C$6:$C$66,MATCH(W27,真品获取算法!I$6:I$66,1)),0)*AM27/(IFERROR(INDEX(真品获取算法!$C$6:$C$66,MATCH(W27,真品获取算法!I$6:I$66,1)),0)+付费投放!AL27)</f>
        <v>0</v>
      </c>
      <c r="AR27" s="60">
        <f>(付费投放!AL27+IFERROR(INDEX(真品获取算法!$C$6:$C$66,MATCH(W27,真品获取算法!I$6:I$66,1)),0)*AN27)/(IFERROR(INDEX(真品获取算法!$C$6:$C$66,MATCH(W27,真品获取算法!I$6:I$66,1)),0)+付费投放!AL27)</f>
        <v>1</v>
      </c>
    </row>
    <row r="28" spans="2:44" s="30" customFormat="1" x14ac:dyDescent="0.15">
      <c r="B28" s="31"/>
      <c r="C28" s="29">
        <v>540</v>
      </c>
      <c r="D28" s="18">
        <f>求节点(节奏总纲!$D$4:$D$163,节奏总纲!$C$4:$C$163,$C28)</f>
        <v>90.789158318387649</v>
      </c>
      <c r="E28" s="18">
        <f>IFERROR(求节点(前期规划!$C$13:$C$23,前期规划!$B$13:$B$23,D28),0)</f>
        <v>14.143483330615936</v>
      </c>
      <c r="F28" s="63">
        <f>IFERROR(求节点(前期规划!$C$28:$C$35,前期规划!D$28:D$35,$D28),0)</f>
        <v>9</v>
      </c>
      <c r="G28" s="63">
        <f>IFERROR(求节点(前期规划!$C$28:$C$35,前期规划!E$28:E$35,$D28),0)</f>
        <v>9</v>
      </c>
      <c r="H28" s="63">
        <f>IFERROR(求节点(前期规划!$C$28:$C$35,前期规划!F$28:F$35,$D28),0)</f>
        <v>27</v>
      </c>
      <c r="I28" s="63">
        <f>IFERROR(求节点(前期规划!$C$28:$C$35,前期规划!G$28:G$35,$D28),0)</f>
        <v>27</v>
      </c>
      <c r="J28" s="63">
        <f>IFERROR(求节点(前期规划!$C$28:$C$35,前期规划!H$28:H$35,$D28),0)</f>
        <v>37.261454919293307</v>
      </c>
      <c r="K28" s="63">
        <f>IFERROR(求节点(前期规划!$C$28:$C$35,前期规划!I$28:I$35,$D28),0)</f>
        <v>1.7367474955162947</v>
      </c>
      <c r="L28" s="63">
        <f>MIN($E28-SUM(M28:$Q28),F28)</f>
        <v>0</v>
      </c>
      <c r="M28" s="63">
        <f>MIN($E28-SUM(N28:$Q28),G28)</f>
        <v>0</v>
      </c>
      <c r="N28" s="63">
        <f>MIN($E28-SUM(O28:$Q28),H28)</f>
        <v>0</v>
      </c>
      <c r="O28" s="63">
        <f>MIN($E28-SUM(P28:$Q28),I28)</f>
        <v>0</v>
      </c>
      <c r="P28" s="63">
        <f>MIN($E28-SUM(Q28:$Q28),J28)</f>
        <v>12.406735835099642</v>
      </c>
      <c r="Q28" s="69">
        <f t="shared" si="1"/>
        <v>1.7367474955162947</v>
      </c>
      <c r="R28" s="64">
        <f>活动投放!AC28+付费投放!AA28</f>
        <v>69</v>
      </c>
      <c r="S28" s="64">
        <f>活动投放!AD28+付费投放!AB28</f>
        <v>69</v>
      </c>
      <c r="T28" s="64">
        <f>活动投放!AE28+付费投放!AC28</f>
        <v>120.12</v>
      </c>
      <c r="U28" s="64">
        <f>活动投放!AF28+付费投放!AD28</f>
        <v>51.48</v>
      </c>
      <c r="V28" s="64">
        <f>活动投放!AG28+付费投放!AE28</f>
        <v>36.18</v>
      </c>
      <c r="W28" s="64">
        <f>活动投放!AH28+付费投放!AF28</f>
        <v>4.0200000000000005</v>
      </c>
      <c r="X28" s="63">
        <f>MIN(IFERROR(INDEX(真品获取算法!$C$6:$C$66,MATCH(R28,真品获取算法!D$6:D$66,1)),0)+付费投放!AG28,前期规划!D$8)</f>
        <v>9</v>
      </c>
      <c r="Y28" s="63">
        <f>MIN(IFERROR(INDEX(真品获取算法!$C$6:$C$66,MATCH(S28,真品获取算法!E$6:E$66,1)),0)+付费投放!AH28,前期规划!E$8)</f>
        <v>9</v>
      </c>
      <c r="Z28" s="63">
        <f>MIN(IFERROR(INDEX(真品获取算法!$C$6:$C$66,MATCH(T28,真品获取算法!F$6:F$66,1)),0)+付费投放!AI28,前期规划!F$8)</f>
        <v>26</v>
      </c>
      <c r="AA28" s="63">
        <f>MIN(IFERROR(INDEX(真品获取算法!$C$6:$C$66,MATCH(U28,真品获取算法!G$6:G$66,1)),0)+付费投放!AJ28,前期规划!G$8)</f>
        <v>11.233333333333333</v>
      </c>
      <c r="AB28" s="63">
        <f>MIN(IFERROR(INDEX(真品获取算法!$C$6:$C$66,MATCH(V28,真品获取算法!H$6:H$66,1)),0)+付费投放!AK28,前期规划!H$8)</f>
        <v>25</v>
      </c>
      <c r="AC28" s="63">
        <f>MIN(IFERROR(INDEX(真品获取算法!$C$6:$C$66,MATCH(W28,真品获取算法!I$6:I$66,1)),0)+付费投放!AL28,前期规划!I$8)</f>
        <v>0.12400000000000001</v>
      </c>
      <c r="AD28" s="63">
        <f t="shared" si="2"/>
        <v>1</v>
      </c>
      <c r="AE28" s="63">
        <f t="shared" si="3"/>
        <v>1</v>
      </c>
      <c r="AF28" s="63">
        <f t="shared" si="4"/>
        <v>0.96296296296296291</v>
      </c>
      <c r="AG28" s="63">
        <f t="shared" si="5"/>
        <v>0.41604938271604935</v>
      </c>
      <c r="AH28" s="63">
        <f t="shared" si="6"/>
        <v>0.6709346173988352</v>
      </c>
      <c r="AI28" s="63">
        <f t="shared" si="7"/>
        <v>7.1397828596342777E-2</v>
      </c>
      <c r="AK28" s="60">
        <f>活动投放!AF28/U28</f>
        <v>0.81002331002330996</v>
      </c>
      <c r="AL28" s="60">
        <f>付费投放!AD28/U28</f>
        <v>0.18997668997668998</v>
      </c>
      <c r="AM28" s="60">
        <f>活动投放!AH28/W28</f>
        <v>0.845771144278607</v>
      </c>
      <c r="AN28" s="60">
        <f>付费投放!AF28/W28</f>
        <v>0.15422885572139305</v>
      </c>
      <c r="AO28" s="60">
        <f>IFERROR(INDEX(真品获取算法!$C$6:$C$66,MATCH(U28,真品获取算法!G$6:G$66,1)),0)*AK28/(IFERROR(INDEX(真品获取算法!$C$6:$C$66,MATCH(U28,真品获取算法!G$6:G$66,1)),0)+付费投放!AJ28)</f>
        <v>0.79319790002282575</v>
      </c>
      <c r="AP28" s="60">
        <f>(付费投放!AJ28+IFERROR(INDEX(真品获取算法!$C$6:$C$66,MATCH(U28,真品获取算法!G$6:G$66,1)),0)*AL28)/(IFERROR(INDEX(真品获取算法!$C$6:$C$66,MATCH(U28,真品获取算法!G$6:G$66,1)),0)+付费投放!AJ28)</f>
        <v>0.20680209997717419</v>
      </c>
      <c r="AQ28" s="60">
        <f>IFERROR(INDEX(真品获取算法!$C$6:$C$66,MATCH(W28,真品获取算法!I$6:I$66,1)),0)*AM28/(IFERROR(INDEX(真品获取算法!$C$6:$C$66,MATCH(W28,真品获取算法!I$6:I$66,1)),0)+付费投放!AL28)</f>
        <v>0</v>
      </c>
      <c r="AR28" s="60">
        <f>(付费投放!AL28+IFERROR(INDEX(真品获取算法!$C$6:$C$66,MATCH(W28,真品获取算法!I$6:I$66,1)),0)*AN28)/(IFERROR(INDEX(真品获取算法!$C$6:$C$66,MATCH(W28,真品获取算法!I$6:I$66,1)),0)+付费投放!AL28)</f>
        <v>1</v>
      </c>
    </row>
    <row r="29" spans="2:44" s="30" customFormat="1" x14ac:dyDescent="0.15">
      <c r="B29" s="31"/>
      <c r="C29" s="29">
        <v>600</v>
      </c>
      <c r="D29" s="18">
        <f>求节点(节奏总纲!$D$4:$D$163,节奏总纲!$C$4:$C$163,$C29)</f>
        <v>92.304802564325527</v>
      </c>
      <c r="E29" s="18">
        <f>IFERROR(求节点(前期规划!$C$13:$C$23,前期规划!$B$13:$B$23,D29),0)</f>
        <v>14.41905501169555</v>
      </c>
      <c r="F29" s="63">
        <f>IFERROR(求节点(前期规划!$C$28:$C$35,前期规划!D$28:D$35,$D29),0)</f>
        <v>9</v>
      </c>
      <c r="G29" s="63">
        <f>IFERROR(求节点(前期规划!$C$28:$C$35,前期规划!E$28:E$35,$D29),0)</f>
        <v>9</v>
      </c>
      <c r="H29" s="63">
        <f>IFERROR(求节点(前期规划!$C$28:$C$35,前期规划!F$28:F$35,$D29),0)</f>
        <v>27</v>
      </c>
      <c r="I29" s="63">
        <f>IFERROR(求节点(前期规划!$C$28:$C$35,前期规划!G$28:G$35,$D29),0)</f>
        <v>27</v>
      </c>
      <c r="J29" s="63">
        <f>IFERROR(求节点(前期规划!$C$28:$C$35,前期规划!H$28:H$35,$D29),0)</f>
        <v>45.44593384735785</v>
      </c>
      <c r="K29" s="63">
        <f>IFERROR(求节点(前期规划!$C$28:$C$35,前期规划!I$28:I$35,$D29),0)</f>
        <v>2.1914407692976581</v>
      </c>
      <c r="L29" s="63">
        <f>MIN($E29-SUM(M29:$Q29),F29)</f>
        <v>0</v>
      </c>
      <c r="M29" s="63">
        <f>MIN($E29-SUM(N29:$Q29),G29)</f>
        <v>0</v>
      </c>
      <c r="N29" s="63">
        <f>MIN($E29-SUM(O29:$Q29),H29)</f>
        <v>0</v>
      </c>
      <c r="O29" s="63">
        <f>MIN($E29-SUM(P29:$Q29),I29)</f>
        <v>0</v>
      </c>
      <c r="P29" s="63">
        <f>MIN($E29-SUM(Q29:$Q29),J29)</f>
        <v>12.227614242397891</v>
      </c>
      <c r="Q29" s="69">
        <f t="shared" si="1"/>
        <v>2.1914407692976581</v>
      </c>
      <c r="R29" s="64">
        <f>活动投放!AC29+付费投放!AA29</f>
        <v>77</v>
      </c>
      <c r="S29" s="64">
        <f>活动投放!AD29+付费投放!AB29</f>
        <v>77</v>
      </c>
      <c r="T29" s="64">
        <f>活动投放!AE29+付费投放!AC29</f>
        <v>136.92000000000002</v>
      </c>
      <c r="U29" s="64">
        <f>活动投放!AF29+付费投放!AD29</f>
        <v>58.679999999999993</v>
      </c>
      <c r="V29" s="64">
        <f>活动投放!AG29+付费投放!AE29</f>
        <v>47.699999999999996</v>
      </c>
      <c r="W29" s="64">
        <f>活动投放!AH29+付费投放!AF29</f>
        <v>5.3000000000000007</v>
      </c>
      <c r="X29" s="63">
        <f>MIN(IFERROR(INDEX(真品获取算法!$C$6:$C$66,MATCH(R29,真品获取算法!D$6:D$66,1)),0)+付费投放!AG29,前期规划!D$8)</f>
        <v>9</v>
      </c>
      <c r="Y29" s="63">
        <f>MIN(IFERROR(INDEX(真品获取算法!$C$6:$C$66,MATCH(S29,真品获取算法!E$6:E$66,1)),0)+付费投放!AH29,前期规划!E$8)</f>
        <v>9</v>
      </c>
      <c r="Z29" s="63">
        <f>MIN(IFERROR(INDEX(真品获取算法!$C$6:$C$66,MATCH(T29,真品获取算法!F$6:F$66,1)),0)+付费投放!AI29,前期规划!F$8)</f>
        <v>26</v>
      </c>
      <c r="AA29" s="63">
        <f>MIN(IFERROR(INDEX(真品获取算法!$C$6:$C$66,MATCH(U29,真品获取算法!G$6:G$66,1)),0)+付费投放!AJ29,前期规划!G$8)</f>
        <v>13.26</v>
      </c>
      <c r="AB29" s="63">
        <f>MIN(IFERROR(INDEX(真品获取算法!$C$6:$C$66,MATCH(V29,真品获取算法!H$6:H$66,1)),0)+付费投放!AK29,前期规划!H$8)</f>
        <v>30</v>
      </c>
      <c r="AC29" s="63">
        <f>MIN(IFERROR(INDEX(真品获取算法!$C$6:$C$66,MATCH(W29,真品获取算法!I$6:I$66,1)),0)+付费投放!AL29,前期规划!I$8)</f>
        <v>0.14000000000000001</v>
      </c>
      <c r="AD29" s="63">
        <f t="shared" si="2"/>
        <v>1</v>
      </c>
      <c r="AE29" s="63">
        <f t="shared" si="3"/>
        <v>1</v>
      </c>
      <c r="AF29" s="63">
        <f t="shared" si="4"/>
        <v>0.96296296296296291</v>
      </c>
      <c r="AG29" s="63">
        <f t="shared" si="5"/>
        <v>0.49111111111111111</v>
      </c>
      <c r="AH29" s="63">
        <f t="shared" si="6"/>
        <v>0.66012506423045259</v>
      </c>
      <c r="AI29" s="63">
        <f t="shared" si="7"/>
        <v>6.3884911680669815E-2</v>
      </c>
      <c r="AK29" s="60">
        <f>活动投放!AF29/U29</f>
        <v>0.81288343558282217</v>
      </c>
      <c r="AL29" s="60">
        <f>付费投放!AD29/U29</f>
        <v>0.18711656441717792</v>
      </c>
      <c r="AM29" s="60">
        <f>活动投放!AH29/W29</f>
        <v>0.86792452830188682</v>
      </c>
      <c r="AN29" s="60">
        <f>付费投放!AF29/W29</f>
        <v>0.13207547169811323</v>
      </c>
      <c r="AO29" s="60">
        <f>IFERROR(INDEX(真品获取算法!$C$6:$C$66,MATCH(U29,真品获取算法!G$6:G$66,1)),0)*AK29/(IFERROR(INDEX(真品获取算法!$C$6:$C$66,MATCH(U29,真品获取算法!G$6:G$66,1)),0)+付费投放!AJ29)</f>
        <v>0.79694454468904141</v>
      </c>
      <c r="AP29" s="60">
        <f>(付费投放!AJ29+IFERROR(INDEX(真品获取算法!$C$6:$C$66,MATCH(U29,真品获取算法!G$6:G$66,1)),0)*AL29)/(IFERROR(INDEX(真品获取算法!$C$6:$C$66,MATCH(U29,真品获取算法!G$6:G$66,1)),0)+付费投放!AJ29)</f>
        <v>0.20305545531095873</v>
      </c>
      <c r="AQ29" s="60">
        <f>IFERROR(INDEX(真品获取算法!$C$6:$C$66,MATCH(W29,真品获取算法!I$6:I$66,1)),0)*AM29/(IFERROR(INDEX(真品获取算法!$C$6:$C$66,MATCH(W29,真品获取算法!I$6:I$66,1)),0)+付费投放!AL29)</f>
        <v>0</v>
      </c>
      <c r="AR29" s="60">
        <f>(付费投放!AL29+IFERROR(INDEX(真品获取算法!$C$6:$C$66,MATCH(W29,真品获取算法!I$6:I$66,1)),0)*AN29)/(IFERROR(INDEX(真品获取算法!$C$6:$C$66,MATCH(W29,真品获取算法!I$6:I$66,1)),0)+付费投放!AL29)</f>
        <v>1</v>
      </c>
    </row>
    <row r="30" spans="2:44" s="30" customFormat="1" x14ac:dyDescent="0.15">
      <c r="B30" s="31"/>
      <c r="C30" s="29">
        <v>660</v>
      </c>
      <c r="D30" s="18">
        <f>求节点(节奏总纲!$D$4:$D$163,节奏总纲!$C$4:$C$163,$C30)</f>
        <v>93.677555929742169</v>
      </c>
      <c r="E30" s="18">
        <f>IFERROR(求节点(前期规划!$C$13:$C$23,前期规划!$B$13:$B$23,D30),0)</f>
        <v>14.668646532680395</v>
      </c>
      <c r="F30" s="63">
        <f>IFERROR(求节点(前期规划!$C$28:$C$35,前期规划!D$28:D$35,$D30),0)</f>
        <v>9</v>
      </c>
      <c r="G30" s="63">
        <f>IFERROR(求节点(前期规划!$C$28:$C$35,前期规划!E$28:E$35,$D30),0)</f>
        <v>9</v>
      </c>
      <c r="H30" s="63">
        <f>IFERROR(求节点(前期规划!$C$28:$C$35,前期规划!F$28:F$35,$D30),0)</f>
        <v>27</v>
      </c>
      <c r="I30" s="63">
        <f>IFERROR(求节点(前期规划!$C$28:$C$35,前期规划!G$28:G$35,$D30),0)</f>
        <v>27</v>
      </c>
      <c r="J30" s="63">
        <f>IFERROR(求节点(前期规划!$C$28:$C$35,前期规划!H$28:H$35,$D30),0)</f>
        <v>52.858802020607719</v>
      </c>
      <c r="K30" s="63">
        <f>IFERROR(求节点(前期规划!$C$28:$C$35,前期规划!I$28:I$35,$D30),0)</f>
        <v>2.6032667789226509</v>
      </c>
      <c r="L30" s="63">
        <f>MIN($E30-SUM(M30:$Q30),F30)</f>
        <v>0</v>
      </c>
      <c r="M30" s="63">
        <f>MIN($E30-SUM(N30:$Q30),G30)</f>
        <v>0</v>
      </c>
      <c r="N30" s="63">
        <f>MIN($E30-SUM(O30:$Q30),H30)</f>
        <v>0</v>
      </c>
      <c r="O30" s="63">
        <f>MIN($E30-SUM(P30:$Q30),I30)</f>
        <v>0</v>
      </c>
      <c r="P30" s="63">
        <f>MIN($E30-SUM(Q30:$Q30),J30)</f>
        <v>12.065379753757744</v>
      </c>
      <c r="Q30" s="69">
        <f t="shared" si="1"/>
        <v>2.6032667789226509</v>
      </c>
      <c r="R30" s="64">
        <f>活动投放!AC30+付费投放!AA30</f>
        <v>85</v>
      </c>
      <c r="S30" s="64">
        <f>活动投放!AD30+付费投放!AB30</f>
        <v>85</v>
      </c>
      <c r="T30" s="64">
        <f>活动投放!AE30+付费投放!AC30</f>
        <v>153.72</v>
      </c>
      <c r="U30" s="64">
        <f>活动投放!AF30+付费投放!AD30</f>
        <v>65.88</v>
      </c>
      <c r="V30" s="64">
        <f>活动投放!AG30+付费投放!AE30</f>
        <v>62.820000000000007</v>
      </c>
      <c r="W30" s="64">
        <f>活动投放!AH30+付费投放!AF30</f>
        <v>6.98</v>
      </c>
      <c r="X30" s="63">
        <f>MIN(IFERROR(INDEX(真品获取算法!$C$6:$C$66,MATCH(R30,真品获取算法!D$6:D$66,1)),0)+付费投放!AG30,前期规划!D$8)</f>
        <v>9</v>
      </c>
      <c r="Y30" s="63">
        <f>MIN(IFERROR(INDEX(真品获取算法!$C$6:$C$66,MATCH(S30,真品获取算法!E$6:E$66,1)),0)+付费投放!AH30,前期规划!E$8)</f>
        <v>9</v>
      </c>
      <c r="Z30" s="63">
        <f>MIN(IFERROR(INDEX(真品获取算法!$C$6:$C$66,MATCH(T30,真品获取算法!F$6:F$66,1)),0)+付费投放!AI30,前期规划!F$8)</f>
        <v>27</v>
      </c>
      <c r="AA30" s="63">
        <f>MIN(IFERROR(INDEX(真品获取算法!$C$6:$C$66,MATCH(U30,真品获取算法!G$6:G$66,1)),0)+付费投放!AJ30,前期规划!G$8)</f>
        <v>14.286666666666667</v>
      </c>
      <c r="AB30" s="63">
        <f>MIN(IFERROR(INDEX(真品获取算法!$C$6:$C$66,MATCH(V30,真品获取算法!H$6:H$66,1)),0)+付费投放!AK30,前期规划!H$8)</f>
        <v>36</v>
      </c>
      <c r="AC30" s="63">
        <f>MIN(IFERROR(INDEX(真品获取算法!$C$6:$C$66,MATCH(W30,真品获取算法!I$6:I$66,1)),0)+付费投放!AL30,前期规划!I$8)</f>
        <v>0.15600000000000003</v>
      </c>
      <c r="AD30" s="63">
        <f t="shared" si="2"/>
        <v>1</v>
      </c>
      <c r="AE30" s="63">
        <f t="shared" si="3"/>
        <v>1</v>
      </c>
      <c r="AF30" s="63">
        <f t="shared" si="4"/>
        <v>1</v>
      </c>
      <c r="AG30" s="63">
        <f t="shared" si="5"/>
        <v>0.52913580246913583</v>
      </c>
      <c r="AH30" s="63">
        <f t="shared" si="6"/>
        <v>0.68105970290368878</v>
      </c>
      <c r="AI30" s="63">
        <f t="shared" si="7"/>
        <v>5.9924707395743688E-2</v>
      </c>
      <c r="AK30" s="60">
        <f>活动投放!AF30/U30</f>
        <v>0.81511839708561018</v>
      </c>
      <c r="AL30" s="60">
        <f>付费投放!AD30/U30</f>
        <v>0.18488160291438979</v>
      </c>
      <c r="AM30" s="60">
        <f>活动投放!AH30/W30</f>
        <v>0.88825214899713467</v>
      </c>
      <c r="AN30" s="60">
        <f>付费投放!AF30/W30</f>
        <v>0.11174785100286536</v>
      </c>
      <c r="AO30" s="60">
        <f>IFERROR(INDEX(真品获取算法!$C$6:$C$66,MATCH(U30,真品获取算法!G$6:G$66,1)),0)*AK30/(IFERROR(INDEX(真品获取算法!$C$6:$C$66,MATCH(U30,真品获取算法!G$6:G$66,1)),0)+付费投放!AJ30)</f>
        <v>0.79876277829201181</v>
      </c>
      <c r="AP30" s="60">
        <f>(付费投放!AJ30+IFERROR(INDEX(真品获取算法!$C$6:$C$66,MATCH(U30,真品获取算法!G$6:G$66,1)),0)*AL30)/(IFERROR(INDEX(真品获取算法!$C$6:$C$66,MATCH(U30,真品获取算法!G$6:G$66,1)),0)+付费投放!AJ30)</f>
        <v>0.20123722170798811</v>
      </c>
      <c r="AQ30" s="60">
        <f>IFERROR(INDEX(真品获取算法!$C$6:$C$66,MATCH(W30,真品获取算法!I$6:I$66,1)),0)*AM30/(IFERROR(INDEX(真品获取算法!$C$6:$C$66,MATCH(W30,真品获取算法!I$6:I$66,1)),0)+付费投放!AL30)</f>
        <v>0</v>
      </c>
      <c r="AR30" s="60">
        <f>(付费投放!AL30+IFERROR(INDEX(真品获取算法!$C$6:$C$66,MATCH(W30,真品获取算法!I$6:I$66,1)),0)*AN30)/(IFERROR(INDEX(真品获取算法!$C$6:$C$66,MATCH(W30,真品获取算法!I$6:I$66,1)),0)+付费投放!AL30)</f>
        <v>1</v>
      </c>
    </row>
    <row r="31" spans="2:44" s="30" customFormat="1" x14ac:dyDescent="0.15">
      <c r="B31" s="31"/>
      <c r="C31" s="29">
        <v>720</v>
      </c>
      <c r="D31" s="18">
        <f>求节点(节奏总纲!$D$4:$D$163,节奏总纲!$C$4:$C$163,$C31)</f>
        <v>94.936535599813325</v>
      </c>
      <c r="E31" s="18">
        <f>IFERROR(求节点(前期规划!$C$13:$C$23,前期规划!$B$13:$B$23,D31),0)</f>
        <v>14.897551927238787</v>
      </c>
      <c r="F31" s="63">
        <f>IFERROR(求节点(前期规划!$C$28:$C$35,前期规划!D$28:D$35,$D31),0)</f>
        <v>9</v>
      </c>
      <c r="G31" s="63">
        <f>IFERROR(求节点(前期规划!$C$28:$C$35,前期规划!E$28:E$35,$D31),0)</f>
        <v>9</v>
      </c>
      <c r="H31" s="63">
        <f>IFERROR(求节点(前期规划!$C$28:$C$35,前期规划!F$28:F$35,$D31),0)</f>
        <v>27</v>
      </c>
      <c r="I31" s="63">
        <f>IFERROR(求节点(前期规划!$C$28:$C$35,前期规划!G$28:G$35,$D31),0)</f>
        <v>27</v>
      </c>
      <c r="J31" s="63">
        <f>IFERROR(求节点(前期规划!$C$28:$C$35,前期规划!H$28:H$35,$D31),0)</f>
        <v>59.657292238991957</v>
      </c>
      <c r="K31" s="63">
        <f>IFERROR(求节点(前期规划!$C$28:$C$35,前期规划!I$28:I$35,$D31),0)</f>
        <v>2.9809606799439976</v>
      </c>
      <c r="L31" s="63">
        <f>MIN($E31-SUM(M31:$Q31),F31)</f>
        <v>0</v>
      </c>
      <c r="M31" s="63">
        <f>MIN($E31-SUM(N31:$Q31),G31)</f>
        <v>0</v>
      </c>
      <c r="N31" s="63">
        <f>MIN($E31-SUM(O31:$Q31),H31)</f>
        <v>0</v>
      </c>
      <c r="O31" s="63">
        <f>MIN($E31-SUM(P31:$Q31),I31)</f>
        <v>0</v>
      </c>
      <c r="P31" s="63">
        <f>MIN($E31-SUM(Q31:$Q31),J31)</f>
        <v>11.916591247294789</v>
      </c>
      <c r="Q31" s="69">
        <f t="shared" si="1"/>
        <v>2.9809606799439976</v>
      </c>
      <c r="R31" s="64">
        <f>活动投放!AC31+付费投放!AA31</f>
        <v>93</v>
      </c>
      <c r="S31" s="64">
        <f>活动投放!AD31+付费投放!AB31</f>
        <v>93</v>
      </c>
      <c r="T31" s="64">
        <f>活动投放!AE31+付费投放!AC31</f>
        <v>170.51999999999998</v>
      </c>
      <c r="U31" s="64">
        <f>活动投放!AF31+付费投放!AD31</f>
        <v>73.08</v>
      </c>
      <c r="V31" s="64">
        <f>活动投放!AG31+付费投放!AE31</f>
        <v>77.94</v>
      </c>
      <c r="W31" s="64">
        <f>活动投放!AH31+付费投放!AF31</f>
        <v>8.66</v>
      </c>
      <c r="X31" s="63">
        <f>MIN(IFERROR(INDEX(真品获取算法!$C$6:$C$66,MATCH(R31,真品获取算法!D$6:D$66,1)),0)+付费投放!AG31,前期规划!D$8)</f>
        <v>9</v>
      </c>
      <c r="Y31" s="63">
        <f>MIN(IFERROR(INDEX(真品获取算法!$C$6:$C$66,MATCH(S31,真品获取算法!E$6:E$66,1)),0)+付费投放!AH31,前期规划!E$8)</f>
        <v>9</v>
      </c>
      <c r="Z31" s="63">
        <f>MIN(IFERROR(INDEX(真品获取算法!$C$6:$C$66,MATCH(T31,真品获取算法!F$6:F$66,1)),0)+付费投放!AI31,前期规划!F$8)</f>
        <v>27</v>
      </c>
      <c r="AA31" s="63">
        <f>MIN(IFERROR(INDEX(真品获取算法!$C$6:$C$66,MATCH(U31,真品获取算法!G$6:G$66,1)),0)+付费投放!AJ31,前期规划!G$8)</f>
        <v>15.313333333333333</v>
      </c>
      <c r="AB31" s="63">
        <f>MIN(IFERROR(INDEX(真品获取算法!$C$6:$C$66,MATCH(V31,真品获取算法!H$6:H$66,1)),0)+付费投放!AK31,前期规划!H$8)</f>
        <v>41</v>
      </c>
      <c r="AC31" s="63">
        <f>MIN(IFERROR(INDEX(真品获取算法!$C$6:$C$66,MATCH(W31,真品获取算法!I$6:I$66,1)),0)+付费投放!AL31,前期规划!I$8)</f>
        <v>0.17200000000000004</v>
      </c>
      <c r="AD31" s="63">
        <f t="shared" si="2"/>
        <v>1</v>
      </c>
      <c r="AE31" s="63">
        <f t="shared" si="3"/>
        <v>1</v>
      </c>
      <c r="AF31" s="63">
        <f t="shared" si="4"/>
        <v>1</v>
      </c>
      <c r="AG31" s="63">
        <f t="shared" si="5"/>
        <v>0.56716049382716049</v>
      </c>
      <c r="AH31" s="63">
        <f t="shared" si="6"/>
        <v>0.68725881549820722</v>
      </c>
      <c r="AI31" s="63">
        <f t="shared" si="7"/>
        <v>5.769951987532803E-2</v>
      </c>
      <c r="AK31" s="60">
        <f>活动投放!AF31/U31</f>
        <v>0.81691297208538582</v>
      </c>
      <c r="AL31" s="60">
        <f>付费投放!AD31/U31</f>
        <v>0.18308702791461409</v>
      </c>
      <c r="AM31" s="60">
        <f>活动投放!AH31/W31</f>
        <v>0.90069284064665134</v>
      </c>
      <c r="AN31" s="60">
        <f>付费投放!AF31/W31</f>
        <v>9.9307159353348759E-2</v>
      </c>
      <c r="AO31" s="60">
        <f>IFERROR(INDEX(真品获取算法!$C$6:$C$66,MATCH(U31,真品获取算法!G$6:G$66,1)),0)*AK31/(IFERROR(INDEX(真品获取算法!$C$6:$C$66,MATCH(U31,真品获取算法!G$6:G$66,1)),0)+付费投放!AJ31)</f>
        <v>0.80019773060170574</v>
      </c>
      <c r="AP31" s="60">
        <f>(付费投放!AJ31+IFERROR(INDEX(真品获取算法!$C$6:$C$66,MATCH(U31,真品获取算法!G$6:G$66,1)),0)*AL31)/(IFERROR(INDEX(真品获取算法!$C$6:$C$66,MATCH(U31,真品获取算法!G$6:G$66,1)),0)+付费投放!AJ31)</f>
        <v>0.19980226939829418</v>
      </c>
      <c r="AQ31" s="60">
        <f>IFERROR(INDEX(真品获取算法!$C$6:$C$66,MATCH(W31,真品获取算法!I$6:I$66,1)),0)*AM31/(IFERROR(INDEX(真品获取算法!$C$6:$C$66,MATCH(W31,真品获取算法!I$6:I$66,1)),0)+付费投放!AL31)</f>
        <v>0</v>
      </c>
      <c r="AR31" s="60">
        <f>(付费投放!AL31+IFERROR(INDEX(真品获取算法!$C$6:$C$66,MATCH(W31,真品获取算法!I$6:I$66,1)),0)*AN31)/(IFERROR(INDEX(真品获取算法!$C$6:$C$66,MATCH(W31,真品获取算法!I$6:I$66,1)),0)+付费投放!AL31)</f>
        <v>1</v>
      </c>
    </row>
    <row r="32" spans="2:44" s="30" customFormat="1" x14ac:dyDescent="0.15">
      <c r="B32" s="31"/>
      <c r="C32" s="29">
        <v>780</v>
      </c>
      <c r="D32" s="18">
        <f>求节点(节奏总纲!$D$4:$D$163,节奏总纲!$C$4:$C$163,$C32)</f>
        <v>96.088925601853575</v>
      </c>
      <c r="E32" s="18">
        <f>IFERROR(求节点(前期规划!$C$13:$C$23,前期规划!$B$13:$B$23,D32),0)</f>
        <v>15.107077382155195</v>
      </c>
      <c r="F32" s="63">
        <f>IFERROR(求节点(前期规划!$C$28:$C$35,前期规划!D$28:D$35,$D32),0)</f>
        <v>9</v>
      </c>
      <c r="G32" s="63">
        <f>IFERROR(求节点(前期规划!$C$28:$C$35,前期规划!E$28:E$35,$D32),0)</f>
        <v>9</v>
      </c>
      <c r="H32" s="63">
        <f>IFERROR(求节点(前期规划!$C$28:$C$35,前期规划!F$28:F$35,$D32),0)</f>
        <v>27</v>
      </c>
      <c r="I32" s="63">
        <f>IFERROR(求节点(前期规划!$C$28:$C$35,前期规划!G$28:G$35,$D32),0)</f>
        <v>27</v>
      </c>
      <c r="J32" s="63">
        <f>IFERROR(求节点(前期规划!$C$28:$C$35,前期规划!H$28:H$35,$D32),0)</f>
        <v>60</v>
      </c>
      <c r="K32" s="63">
        <f>IFERROR(求节点(前期规划!$C$28:$C$35,前期规划!I$28:I$35,$D32),0)</f>
        <v>3.653355361112145</v>
      </c>
      <c r="L32" s="63">
        <f>MIN($E32-SUM(M32:$Q32),F32)</f>
        <v>-1.7763568394002505E-15</v>
      </c>
      <c r="M32" s="63">
        <f>MIN($E32-SUM(N32:$Q32),G32)</f>
        <v>1.7763568394002505E-15</v>
      </c>
      <c r="N32" s="63">
        <f>MIN($E32-SUM(O32:$Q32),H32)</f>
        <v>-1.7763568394002505E-15</v>
      </c>
      <c r="O32" s="63">
        <f>MIN($E32-SUM(P32:$Q32),I32)</f>
        <v>1.7763568394002505E-15</v>
      </c>
      <c r="P32" s="63">
        <f>MIN($E32-SUM(Q32:$Q32),J32)</f>
        <v>11.453722021043049</v>
      </c>
      <c r="Q32" s="69">
        <f t="shared" si="1"/>
        <v>3.653355361112145</v>
      </c>
      <c r="R32" s="64">
        <f>活动投放!AC32+付费投放!AA32</f>
        <v>101</v>
      </c>
      <c r="S32" s="64">
        <f>活动投放!AD32+付费投放!AB32</f>
        <v>101</v>
      </c>
      <c r="T32" s="64">
        <f>活动投放!AE32+付费投放!AC32</f>
        <v>187.32</v>
      </c>
      <c r="U32" s="64">
        <f>活动投放!AF32+付费投放!AD32</f>
        <v>80.28</v>
      </c>
      <c r="V32" s="64">
        <f>活动投放!AG32+付费投放!AE32</f>
        <v>96.66</v>
      </c>
      <c r="W32" s="64">
        <f>活动投放!AH32+付费投放!AF32</f>
        <v>10.740000000000002</v>
      </c>
      <c r="X32" s="63">
        <f>MIN(IFERROR(INDEX(真品获取算法!$C$6:$C$66,MATCH(R32,真品获取算法!D$6:D$66,1)),0)+付费投放!AG32,前期规划!D$8)</f>
        <v>9</v>
      </c>
      <c r="Y32" s="63">
        <f>MIN(IFERROR(INDEX(真品获取算法!$C$6:$C$66,MATCH(S32,真品获取算法!E$6:E$66,1)),0)+付费投放!AH32,前期规划!E$8)</f>
        <v>9</v>
      </c>
      <c r="Z32" s="63">
        <f>MIN(IFERROR(INDEX(真品获取算法!$C$6:$C$66,MATCH(T32,真品获取算法!F$6:F$66,1)),0)+付费投放!AI32,前期规划!F$8)</f>
        <v>27</v>
      </c>
      <c r="AA32" s="63">
        <f>MIN(IFERROR(INDEX(真品获取算法!$C$6:$C$66,MATCH(U32,真品获取算法!G$6:G$66,1)),0)+付费投放!AJ32,前期规划!G$8)</f>
        <v>16.34</v>
      </c>
      <c r="AB32" s="63">
        <f>MIN(IFERROR(INDEX(真品获取算法!$C$6:$C$66,MATCH(V32,真品获取算法!H$6:H$66,1)),0)+付费投放!AK32,前期规划!H$8)</f>
        <v>46</v>
      </c>
      <c r="AC32" s="63">
        <f>MIN(IFERROR(INDEX(真品获取算法!$C$6:$C$66,MATCH(W32,真品获取算法!I$6:I$66,1)),0)+付费投放!AL32,前期规划!I$8)</f>
        <v>1.1880000000000002</v>
      </c>
      <c r="AD32" s="63">
        <f t="shared" si="2"/>
        <v>1</v>
      </c>
      <c r="AE32" s="63">
        <f t="shared" si="3"/>
        <v>1</v>
      </c>
      <c r="AF32" s="63">
        <f t="shared" si="4"/>
        <v>1</v>
      </c>
      <c r="AG32" s="63">
        <f t="shared" si="5"/>
        <v>0.60518518518518516</v>
      </c>
      <c r="AH32" s="63">
        <f t="shared" si="6"/>
        <v>0.76666666666666672</v>
      </c>
      <c r="AI32" s="63">
        <f t="shared" si="7"/>
        <v>0.32518052107538542</v>
      </c>
      <c r="AK32" s="60">
        <f>活动投放!AF32/U32</f>
        <v>0.81838565022421528</v>
      </c>
      <c r="AL32" s="60">
        <f>付费投放!AD32/U32</f>
        <v>0.18161434977578469</v>
      </c>
      <c r="AM32" s="60">
        <f>活动投放!AH32/W32</f>
        <v>0.91247672253258838</v>
      </c>
      <c r="AN32" s="60">
        <f>付费投放!AF32/W32</f>
        <v>8.7523277467411564E-2</v>
      </c>
      <c r="AO32" s="60">
        <f>IFERROR(INDEX(真品获取算法!$C$6:$C$66,MATCH(U32,真品获取算法!G$6:G$66,1)),0)*AK32/(IFERROR(INDEX(真品获取算法!$C$6:$C$66,MATCH(U32,真品获取算法!G$6:G$66,1)),0)+付费投放!AJ32)</f>
        <v>0.8013568178450089</v>
      </c>
      <c r="AP32" s="60">
        <f>(付费投放!AJ32+IFERROR(INDEX(真品获取算法!$C$6:$C$66,MATCH(U32,真品获取算法!G$6:G$66,1)),0)*AL32)/(IFERROR(INDEX(真品获取算法!$C$6:$C$66,MATCH(U32,真品获取算法!G$6:G$66,1)),0)+付费投放!AJ32)</f>
        <v>0.19864318215499113</v>
      </c>
      <c r="AQ32" s="60">
        <f>IFERROR(INDEX(真品获取算法!$C$6:$C$66,MATCH(W32,真品获取算法!I$6:I$66,1)),0)*AM32/(IFERROR(INDEX(真品获取算法!$C$6:$C$66,MATCH(W32,真品获取算法!I$6:I$66,1)),0)+付费投放!AL32)</f>
        <v>0.76807804926985546</v>
      </c>
      <c r="AR32" s="60">
        <f>(付费投放!AL32+IFERROR(INDEX(真品获取算法!$C$6:$C$66,MATCH(W32,真品获取算法!I$6:I$66,1)),0)*AN32)/(IFERROR(INDEX(真品获取算法!$C$6:$C$66,MATCH(W32,真品获取算法!I$6:I$66,1)),0)+付费投放!AL32)</f>
        <v>0.23192195073014443</v>
      </c>
    </row>
    <row r="33" spans="2:44" s="30" customFormat="1" x14ac:dyDescent="0.15">
      <c r="B33" s="31"/>
      <c r="C33" s="29">
        <v>840</v>
      </c>
      <c r="D33" s="18">
        <f>求节点(节奏总纲!$D$4:$D$163,节奏总纲!$C$4:$C$163,$C33)</f>
        <v>97.155007723537565</v>
      </c>
      <c r="E33" s="18">
        <f>IFERROR(求节点(前期规划!$C$13:$C$23,前期规划!$B$13:$B$23,D33),0)</f>
        <v>15.300910495188649</v>
      </c>
      <c r="F33" s="63">
        <f>IFERROR(求节点(前期规划!$C$28:$C$35,前期规划!D$28:D$35,$D33),0)</f>
        <v>9</v>
      </c>
      <c r="G33" s="63">
        <f>IFERROR(求节点(前期规划!$C$28:$C$35,前期规划!E$28:E$35,$D33),0)</f>
        <v>9</v>
      </c>
      <c r="H33" s="63">
        <f>IFERROR(求节点(前期规划!$C$28:$C$35,前期规划!F$28:F$35,$D33),0)</f>
        <v>27</v>
      </c>
      <c r="I33" s="63">
        <f>IFERROR(求节点(前期规划!$C$28:$C$35,前期规划!G$28:G$35,$D33),0)</f>
        <v>27</v>
      </c>
      <c r="J33" s="63">
        <f>IFERROR(求节点(前期规划!$C$28:$C$35,前期规划!H$28:H$35,$D33),0)</f>
        <v>60</v>
      </c>
      <c r="K33" s="63">
        <f>IFERROR(求节点(前期规划!$C$28:$C$35,前期规划!I$28:I$35,$D33),0)</f>
        <v>4.2930046341225392</v>
      </c>
      <c r="L33" s="63">
        <f>MIN($E33-SUM(M33:$Q33),F33)</f>
        <v>0</v>
      </c>
      <c r="M33" s="63">
        <f>MIN($E33-SUM(N33:$Q33),G33)</f>
        <v>0</v>
      </c>
      <c r="N33" s="63">
        <f>MIN($E33-SUM(O33:$Q33),H33)</f>
        <v>0</v>
      </c>
      <c r="O33" s="63">
        <f>MIN($E33-SUM(P33:$Q33),I33)</f>
        <v>0</v>
      </c>
      <c r="P33" s="63">
        <f>MIN($E33-SUM(Q33:$Q33),J33)</f>
        <v>11.00790586106611</v>
      </c>
      <c r="Q33" s="69">
        <f t="shared" si="1"/>
        <v>4.2930046341225392</v>
      </c>
      <c r="R33" s="64">
        <f>活动投放!AC33+付费投放!AA33</f>
        <v>109</v>
      </c>
      <c r="S33" s="64">
        <f>活动投放!AD33+付费投放!AB33</f>
        <v>109</v>
      </c>
      <c r="T33" s="64">
        <f>活动投放!AE33+付费投放!AC33</f>
        <v>204.11999999999998</v>
      </c>
      <c r="U33" s="64">
        <f>活动投放!AF33+付费投放!AD33</f>
        <v>87.48</v>
      </c>
      <c r="V33" s="64">
        <f>活动投放!AG33+付费投放!AE33</f>
        <v>115.38</v>
      </c>
      <c r="W33" s="64">
        <f>活动投放!AH33+付费投放!AF33</f>
        <v>12.82</v>
      </c>
      <c r="X33" s="63">
        <f>MIN(IFERROR(INDEX(真品获取算法!$C$6:$C$66,MATCH(R33,真品获取算法!D$6:D$66,1)),0)+付费投放!AG33,前期规划!D$8)</f>
        <v>9</v>
      </c>
      <c r="Y33" s="63">
        <f>MIN(IFERROR(INDEX(真品获取算法!$C$6:$C$66,MATCH(S33,真品获取算法!E$6:E$66,1)),0)+付费投放!AH33,前期规划!E$8)</f>
        <v>9</v>
      </c>
      <c r="Z33" s="63">
        <f>MIN(IFERROR(INDEX(真品获取算法!$C$6:$C$66,MATCH(T33,真品获取算法!F$6:F$66,1)),0)+付费投放!AI33,前期规划!F$8)</f>
        <v>27</v>
      </c>
      <c r="AA33" s="63">
        <f>MIN(IFERROR(INDEX(真品获取算法!$C$6:$C$66,MATCH(U33,真品获取算法!G$6:G$66,1)),0)+付费投放!AJ33,前期规划!G$8)</f>
        <v>17.366666666666667</v>
      </c>
      <c r="AB33" s="63">
        <f>MIN(IFERROR(INDEX(真品获取算法!$C$6:$C$66,MATCH(V33,真品获取算法!H$6:H$66,1)),0)+付费投放!AK33,前期规划!H$8)</f>
        <v>49</v>
      </c>
      <c r="AC33" s="63">
        <f>MIN(IFERROR(INDEX(真品获取算法!$C$6:$C$66,MATCH(W33,真品获取算法!I$6:I$66,1)),0)+付费投放!AL33,前期规划!I$8)</f>
        <v>1.2040000000000002</v>
      </c>
      <c r="AD33" s="63">
        <f t="shared" si="2"/>
        <v>1</v>
      </c>
      <c r="AE33" s="63">
        <f t="shared" si="3"/>
        <v>1</v>
      </c>
      <c r="AF33" s="63">
        <f t="shared" si="4"/>
        <v>1</v>
      </c>
      <c r="AG33" s="63">
        <f t="shared" si="5"/>
        <v>0.64320987654320994</v>
      </c>
      <c r="AH33" s="63">
        <f t="shared" si="6"/>
        <v>0.81666666666666665</v>
      </c>
      <c r="AI33" s="63">
        <f t="shared" si="7"/>
        <v>0.28045625444475897</v>
      </c>
      <c r="AK33" s="60">
        <f>活动投放!AF33/U33</f>
        <v>0.81961591220850483</v>
      </c>
      <c r="AL33" s="60">
        <f>付费投放!AD33/U33</f>
        <v>0.18038408779149515</v>
      </c>
      <c r="AM33" s="60">
        <f>活动投放!AH33/W33</f>
        <v>0.9204368174726989</v>
      </c>
      <c r="AN33" s="60">
        <f>付费投放!AF33/W33</f>
        <v>7.9563182527301129E-2</v>
      </c>
      <c r="AO33" s="60">
        <f>IFERROR(INDEX(真品获取算法!$C$6:$C$66,MATCH(U33,真品获取算法!G$6:G$66,1)),0)*AK33/(IFERROR(INDEX(真品获取算法!$C$6:$C$66,MATCH(U33,真品获取算法!G$6:G$66,1)),0)+付费投放!AJ33)</f>
        <v>0.80231116166283578</v>
      </c>
      <c r="AP33" s="60">
        <f>(付费投放!AJ33+IFERROR(INDEX(真品获取算法!$C$6:$C$66,MATCH(U33,真品获取算法!G$6:G$66,1)),0)*AL33)/(IFERROR(INDEX(真品获取算法!$C$6:$C$66,MATCH(U33,真品获取算法!G$6:G$66,1)),0)+付费投放!AJ33)</f>
        <v>0.19768883833716414</v>
      </c>
      <c r="AQ33" s="60">
        <f>IFERROR(INDEX(真品获取算法!$C$6:$C$66,MATCH(W33,真品获取算法!I$6:I$66,1)),0)*AM33/(IFERROR(INDEX(真品获取算法!$C$6:$C$66,MATCH(W33,真品获取算法!I$6:I$66,1)),0)+付费投放!AL33)</f>
        <v>0.7644824065387863</v>
      </c>
      <c r="AR33" s="60">
        <f>(付费投放!AL33+IFERROR(INDEX(真品获取算法!$C$6:$C$66,MATCH(W33,真品获取算法!I$6:I$66,1)),0)*AN33)/(IFERROR(INDEX(真品获取算法!$C$6:$C$66,MATCH(W33,真品获取算法!I$6:I$66,1)),0)+付费投放!AL33)</f>
        <v>0.23551759346121356</v>
      </c>
    </row>
    <row r="34" spans="2:44" s="30" customFormat="1" x14ac:dyDescent="0.15">
      <c r="B34" s="31"/>
      <c r="C34" s="29">
        <v>900</v>
      </c>
      <c r="D34" s="18">
        <f>求节点(节奏总纲!$D$4:$D$163,节奏总纲!$C$4:$C$163,$C34)</f>
        <v>98.149357978981357</v>
      </c>
      <c r="E34" s="18">
        <f>IFERROR(求节点(前期规划!$C$13:$C$23,前期规划!$B$13:$B$23,D34),0)</f>
        <v>15.481701450723882</v>
      </c>
      <c r="F34" s="63">
        <f>IFERROR(求节点(前期规划!$C$28:$C$35,前期规划!D$28:D$35,$D34),0)</f>
        <v>9</v>
      </c>
      <c r="G34" s="63">
        <f>IFERROR(求节点(前期规划!$C$28:$C$35,前期规划!E$28:E$35,$D34),0)</f>
        <v>9</v>
      </c>
      <c r="H34" s="63">
        <f>IFERROR(求节点(前期规划!$C$28:$C$35,前期规划!F$28:F$35,$D34),0)</f>
        <v>27</v>
      </c>
      <c r="I34" s="63">
        <f>IFERROR(求节点(前期规划!$C$28:$C$35,前期规划!G$28:G$35,$D34),0)</f>
        <v>27</v>
      </c>
      <c r="J34" s="63">
        <f>IFERROR(求节点(前期规划!$C$28:$C$35,前期规划!H$28:H$35,$D34),0)</f>
        <v>60</v>
      </c>
      <c r="K34" s="63">
        <f>IFERROR(求节点(前期规划!$C$28:$C$35,前期规划!I$28:I$35,$D34),0)</f>
        <v>4.8896147873888136</v>
      </c>
      <c r="L34" s="63">
        <f>MIN($E34-SUM(M34:$Q34),F34)</f>
        <v>0</v>
      </c>
      <c r="M34" s="63">
        <f>MIN($E34-SUM(N34:$Q34),G34)</f>
        <v>0</v>
      </c>
      <c r="N34" s="63">
        <f>MIN($E34-SUM(O34:$Q34),H34)</f>
        <v>0</v>
      </c>
      <c r="O34" s="63">
        <f>MIN($E34-SUM(P34:$Q34),I34)</f>
        <v>0</v>
      </c>
      <c r="P34" s="63">
        <f>MIN($E34-SUM(Q34:$Q34),J34)</f>
        <v>10.592086663335069</v>
      </c>
      <c r="Q34" s="69">
        <f t="shared" si="1"/>
        <v>4.8896147873888136</v>
      </c>
      <c r="R34" s="64">
        <f>活动投放!AC34+付费投放!AA34</f>
        <v>117</v>
      </c>
      <c r="S34" s="64">
        <f>活动投放!AD34+付费投放!AB34</f>
        <v>117</v>
      </c>
      <c r="T34" s="64">
        <f>活动投放!AE34+付费投放!AC34</f>
        <v>220.92</v>
      </c>
      <c r="U34" s="64">
        <f>活动投放!AF34+付费投放!AD34</f>
        <v>94.68</v>
      </c>
      <c r="V34" s="64">
        <f>活动投放!AG34+付费投放!AE34</f>
        <v>134.1</v>
      </c>
      <c r="W34" s="64">
        <f>活动投放!AH34+付费投放!AF34</f>
        <v>14.900000000000002</v>
      </c>
      <c r="X34" s="63">
        <f>MIN(IFERROR(INDEX(真品获取算法!$C$6:$C$66,MATCH(R34,真品获取算法!D$6:D$66,1)),0)+付费投放!AG34,前期规划!D$8)</f>
        <v>9</v>
      </c>
      <c r="Y34" s="63">
        <f>MIN(IFERROR(INDEX(真品获取算法!$C$6:$C$66,MATCH(S34,真品获取算法!E$6:E$66,1)),0)+付费投放!AH34,前期规划!E$8)</f>
        <v>9</v>
      </c>
      <c r="Z34" s="63">
        <f>MIN(IFERROR(INDEX(真品获取算法!$C$6:$C$66,MATCH(T34,真品获取算法!F$6:F$66,1)),0)+付费投放!AI34,前期规划!F$8)</f>
        <v>27</v>
      </c>
      <c r="AA34" s="63">
        <f>MIN(IFERROR(INDEX(真品获取算法!$C$6:$C$66,MATCH(U34,真品获取算法!G$6:G$66,1)),0)+付费投放!AJ34,前期规划!G$8)</f>
        <v>17.393333333333334</v>
      </c>
      <c r="AB34" s="63">
        <f>MIN(IFERROR(INDEX(真品获取算法!$C$6:$C$66,MATCH(V34,真品获取算法!H$6:H$66,1)),0)+付费投放!AK34,前期规划!H$8)</f>
        <v>52</v>
      </c>
      <c r="AC34" s="63">
        <f>MIN(IFERROR(INDEX(真品获取算法!$C$6:$C$66,MATCH(W34,真品获取算法!I$6:I$66,1)),0)+付费投放!AL34,前期规划!I$8)</f>
        <v>1.2200000000000002</v>
      </c>
      <c r="AD34" s="63">
        <f t="shared" si="2"/>
        <v>1</v>
      </c>
      <c r="AE34" s="63">
        <f t="shared" si="3"/>
        <v>1</v>
      </c>
      <c r="AF34" s="63">
        <f t="shared" si="4"/>
        <v>1</v>
      </c>
      <c r="AG34" s="63">
        <f t="shared" si="5"/>
        <v>0.64419753086419762</v>
      </c>
      <c r="AH34" s="63">
        <f t="shared" si="6"/>
        <v>0.8666666666666667</v>
      </c>
      <c r="AI34" s="63">
        <f t="shared" si="7"/>
        <v>0.24950840772704574</v>
      </c>
      <c r="AK34" s="60">
        <f>活动投放!AF34/U34</f>
        <v>0.82065906210392903</v>
      </c>
      <c r="AL34" s="60">
        <f>付费投放!AD34/U34</f>
        <v>0.17934093789607092</v>
      </c>
      <c r="AM34" s="60">
        <f>活动投放!AH34/W34</f>
        <v>0.92617449664429519</v>
      </c>
      <c r="AN34" s="60">
        <f>付费投放!AF34/W34</f>
        <v>7.3825503355704716E-2</v>
      </c>
      <c r="AO34" s="60">
        <f>IFERROR(INDEX(真品获取算法!$C$6:$C$66,MATCH(U34,真品获取算法!G$6:G$66,1)),0)*AK34/(IFERROR(INDEX(真品获取算法!$C$6:$C$66,MATCH(U34,真品获取算法!G$6:G$66,1)),0)+付费投放!AJ34)</f>
        <v>0.80210065479686421</v>
      </c>
      <c r="AP34" s="60">
        <f>(付费投放!AJ34+IFERROR(INDEX(真品获取算法!$C$6:$C$66,MATCH(U34,真品获取算法!G$6:G$66,1)),0)*AL34)/(IFERROR(INDEX(真品获取算法!$C$6:$C$66,MATCH(U34,真品获取算法!G$6:G$66,1)),0)+付费投放!AJ34)</f>
        <v>0.19789934520313562</v>
      </c>
      <c r="AQ34" s="60">
        <f>IFERROR(INDEX(真品获取算法!$C$6:$C$66,MATCH(W34,真品获取算法!I$6:I$66,1)),0)*AM34/(IFERROR(INDEX(真品获取算法!$C$6:$C$66,MATCH(W34,真品获取算法!I$6:I$66,1)),0)+付费投放!AL34)</f>
        <v>0.7591594234789304</v>
      </c>
      <c r="AR34" s="60">
        <f>(付费投放!AL34+IFERROR(INDEX(真品获取算法!$C$6:$C$66,MATCH(W34,真品获取算法!I$6:I$66,1)),0)*AN34)/(IFERROR(INDEX(真品获取算法!$C$6:$C$66,MATCH(W34,真品获取算法!I$6:I$66,1)),0)+付费投放!AL34)</f>
        <v>0.24084057652106947</v>
      </c>
    </row>
    <row r="35" spans="2:44" s="30" customFormat="1" x14ac:dyDescent="0.15">
      <c r="B35" s="31"/>
      <c r="C35" s="29">
        <v>1020</v>
      </c>
      <c r="D35" s="18">
        <f>求节点(节奏总纲!$D$4:$D$163,节奏总纲!$C$4:$C$163,$C35)</f>
        <v>99.956251778790289</v>
      </c>
      <c r="E35" s="18">
        <f>IFERROR(求节点(前期规划!$C$13:$C$23,前期规划!$B$13:$B$23,D35),0)</f>
        <v>15.810227596143688</v>
      </c>
      <c r="F35" s="63">
        <f>IFERROR(求节点(前期规划!$C$28:$C$35,前期规划!D$28:D$35,$D35),0)</f>
        <v>9</v>
      </c>
      <c r="G35" s="63">
        <f>IFERROR(求节点(前期规划!$C$28:$C$35,前期规划!E$28:E$35,$D35),0)</f>
        <v>9</v>
      </c>
      <c r="H35" s="63">
        <f>IFERROR(求节点(前期规划!$C$28:$C$35,前期规划!F$28:F$35,$D35),0)</f>
        <v>27</v>
      </c>
      <c r="I35" s="63">
        <f>IFERROR(求节点(前期规划!$C$28:$C$35,前期规划!G$28:G$35,$D35),0)</f>
        <v>27</v>
      </c>
      <c r="J35" s="63">
        <f>IFERROR(求节点(前期规划!$C$28:$C$35,前期规划!H$28:H$35,$D35),0)</f>
        <v>60</v>
      </c>
      <c r="K35" s="63">
        <f>IFERROR(求节点(前期规划!$C$28:$C$35,前期规划!I$28:I$35,$D35),0)</f>
        <v>5.9737510672741738</v>
      </c>
      <c r="L35" s="63">
        <f>MIN($E35-SUM(M35:$Q35),F35)</f>
        <v>0</v>
      </c>
      <c r="M35" s="63">
        <f>MIN($E35-SUM(N35:$Q35),G35)</f>
        <v>0</v>
      </c>
      <c r="N35" s="63">
        <f>MIN($E35-SUM(O35:$Q35),H35)</f>
        <v>0</v>
      </c>
      <c r="O35" s="63">
        <f>MIN($E35-SUM(P35:$Q35),I35)</f>
        <v>0</v>
      </c>
      <c r="P35" s="63">
        <f>MIN($E35-SUM(Q35:$Q35),J35)</f>
        <v>9.8364765288695146</v>
      </c>
      <c r="Q35" s="69">
        <f t="shared" si="1"/>
        <v>5.9737510672741738</v>
      </c>
      <c r="R35" s="64">
        <f>活动投放!AC35+付费投放!AA35</f>
        <v>133</v>
      </c>
      <c r="S35" s="64">
        <f>活动投放!AD35+付费投放!AB35</f>
        <v>133</v>
      </c>
      <c r="T35" s="64">
        <f>活动投放!AE35+付费投放!AC35</f>
        <v>254.51999999999998</v>
      </c>
      <c r="U35" s="64">
        <f>活动投放!AF35+付费投放!AD35</f>
        <v>109.08</v>
      </c>
      <c r="V35" s="64">
        <f>活动投放!AG35+付费投放!AE35</f>
        <v>178.74</v>
      </c>
      <c r="W35" s="64">
        <f>活动投放!AH35+付费投放!AF35</f>
        <v>19.860000000000003</v>
      </c>
      <c r="X35" s="63">
        <f>MIN(IFERROR(INDEX(真品获取算法!$C$6:$C$66,MATCH(R35,真品获取算法!D$6:D$66,1)),0)+付费投放!AG35,前期规划!D$8)</f>
        <v>9</v>
      </c>
      <c r="Y35" s="63">
        <f>MIN(IFERROR(INDEX(真品获取算法!$C$6:$C$66,MATCH(S35,真品获取算法!E$6:E$66,1)),0)+付费投放!AH35,前期规划!E$8)</f>
        <v>9</v>
      </c>
      <c r="Z35" s="63">
        <f>MIN(IFERROR(INDEX(真品获取算法!$C$6:$C$66,MATCH(T35,真品获取算法!F$6:F$66,1)),0)+付费投放!AI35,前期规划!F$8)</f>
        <v>27</v>
      </c>
      <c r="AA35" s="63">
        <f>MIN(IFERROR(INDEX(真品获取算法!$C$6:$C$66,MATCH(U35,真品获取算法!G$6:G$66,1)),0)+付费投放!AJ35,前期规划!G$8)</f>
        <v>19.446666666666665</v>
      </c>
      <c r="AB35" s="63">
        <f>MIN(IFERROR(INDEX(真品获取算法!$C$6:$C$66,MATCH(V35,真品获取算法!H$6:H$66,1)),0)+付费投放!AK35,前期规划!H$8)</f>
        <v>56</v>
      </c>
      <c r="AC35" s="63">
        <f>MIN(IFERROR(INDEX(真品获取算法!$C$6:$C$66,MATCH(W35,真品获取算法!I$6:I$66,1)),0)+付费投放!AL35,前期规划!I$8)</f>
        <v>1.2520000000000002</v>
      </c>
      <c r="AD35" s="63">
        <f t="shared" si="2"/>
        <v>1</v>
      </c>
      <c r="AE35" s="63">
        <f t="shared" si="3"/>
        <v>1</v>
      </c>
      <c r="AF35" s="63">
        <f t="shared" si="4"/>
        <v>1</v>
      </c>
      <c r="AG35" s="63">
        <f t="shared" si="5"/>
        <v>0.72024691358024684</v>
      </c>
      <c r="AH35" s="63">
        <f t="shared" si="6"/>
        <v>0.93333333333333335</v>
      </c>
      <c r="AI35" s="63">
        <f t="shared" si="7"/>
        <v>0.20958355744999072</v>
      </c>
      <c r="AK35" s="60">
        <f>活动投放!AF35/U35</f>
        <v>0.82233223322332238</v>
      </c>
      <c r="AL35" s="60">
        <f>付费投放!AD35/U35</f>
        <v>0.17766776677667762</v>
      </c>
      <c r="AM35" s="60">
        <f>活动投放!AH35/W35</f>
        <v>0.93655589123867067</v>
      </c>
      <c r="AN35" s="60">
        <f>付费投放!AF35/W35</f>
        <v>6.3444108761329332E-2</v>
      </c>
      <c r="AO35" s="60">
        <f>IFERROR(INDEX(真品获取算法!$C$6:$C$66,MATCH(U35,真品获取算法!G$6:G$66,1)),0)*AK35/(IFERROR(INDEX(真品获取算法!$C$6:$C$66,MATCH(U35,真品获取算法!G$6:G$66,1)),0)+付费投放!AJ35)</f>
        <v>0.80344424569299577</v>
      </c>
      <c r="AP35" s="60">
        <f>(付费投放!AJ35+IFERROR(INDEX(真品获取算法!$C$6:$C$66,MATCH(U35,真品获取算法!G$6:G$66,1)),0)*AL35)/(IFERROR(INDEX(真品获取算法!$C$6:$C$66,MATCH(U35,真品获取算法!G$6:G$66,1)),0)+付费投放!AJ35)</f>
        <v>0.1965557543070042</v>
      </c>
      <c r="AQ35" s="60">
        <f>IFERROR(INDEX(真品获取算法!$C$6:$C$66,MATCH(W35,真品获取算法!I$6:I$66,1)),0)*AM35/(IFERROR(INDEX(真品获取算法!$C$6:$C$66,MATCH(W35,真品获取算法!I$6:I$66,1)),0)+付费投放!AL35)</f>
        <v>0.74804783645261219</v>
      </c>
      <c r="AR35" s="60">
        <f>(付费投放!AL35+IFERROR(INDEX(真品获取算法!$C$6:$C$66,MATCH(W35,真品获取算法!I$6:I$66,1)),0)*AN35)/(IFERROR(INDEX(真品获取算法!$C$6:$C$66,MATCH(W35,真品获取算法!I$6:I$66,1)),0)+付费投放!AL35)</f>
        <v>0.2519521635473877</v>
      </c>
    </row>
    <row r="36" spans="2:44" s="30" customFormat="1" x14ac:dyDescent="0.15">
      <c r="B36" s="31"/>
      <c r="C36" s="29">
        <v>1140</v>
      </c>
      <c r="D36" s="18">
        <f>求节点(节奏总纲!$D$4:$D$163,节奏总纲!$C$4:$C$163,$C36)</f>
        <v>101.55228351453842</v>
      </c>
      <c r="E36" s="18">
        <f>IFERROR(求节点(前期规划!$C$13:$C$23,前期规划!$B$13:$B$23,D36),0)</f>
        <v>16.092047252423068</v>
      </c>
      <c r="F36" s="63">
        <f>IFERROR(求节点(前期规划!$C$28:$C$35,前期规划!D$28:D$35,$D36),0)</f>
        <v>9</v>
      </c>
      <c r="G36" s="63">
        <f>IFERROR(求节点(前期规划!$C$28:$C$35,前期规划!E$28:E$35,$D36),0)</f>
        <v>9</v>
      </c>
      <c r="H36" s="63">
        <f>IFERROR(求节点(前期规划!$C$28:$C$35,前期规划!F$28:F$35,$D36),0)</f>
        <v>27</v>
      </c>
      <c r="I36" s="63">
        <f>IFERROR(求节点(前期规划!$C$28:$C$35,前期规划!G$28:G$35,$D36),0)</f>
        <v>27</v>
      </c>
      <c r="J36" s="63">
        <f>IFERROR(求节点(前期规划!$C$28:$C$35,前期规划!H$28:H$35,$D36),0)</f>
        <v>60</v>
      </c>
      <c r="K36" s="63">
        <f>IFERROR(求节点(前期规划!$C$28:$C$35,前期规划!I$28:I$35,$D36),0)</f>
        <v>6.9313701087230495</v>
      </c>
      <c r="L36" s="63">
        <f>MIN($E36-SUM(M36:$Q36),F36)</f>
        <v>0</v>
      </c>
      <c r="M36" s="63">
        <f>MIN($E36-SUM(N36:$Q36),G36)</f>
        <v>0</v>
      </c>
      <c r="N36" s="63">
        <f>MIN($E36-SUM(O36:$Q36),H36)</f>
        <v>0</v>
      </c>
      <c r="O36" s="63">
        <f>MIN($E36-SUM(P36:$Q36),I36)</f>
        <v>0</v>
      </c>
      <c r="P36" s="63">
        <f>MIN($E36-SUM(Q36:$Q36),J36)</f>
        <v>9.1606771437000187</v>
      </c>
      <c r="Q36" s="69">
        <f t="shared" si="1"/>
        <v>6.9313701087230495</v>
      </c>
      <c r="R36" s="64">
        <f>活动投放!AC36+付费投放!AA36</f>
        <v>149</v>
      </c>
      <c r="S36" s="64">
        <f>活动投放!AD36+付费投放!AB36</f>
        <v>149</v>
      </c>
      <c r="T36" s="64">
        <f>活动投放!AE36+付费投放!AC36</f>
        <v>288.12</v>
      </c>
      <c r="U36" s="64">
        <f>活动投放!AF36+付费投放!AD36</f>
        <v>123.47999999999999</v>
      </c>
      <c r="V36" s="64">
        <f>活动投放!AG36+付费投放!AE36</f>
        <v>223.38</v>
      </c>
      <c r="W36" s="64">
        <f>活动投放!AH36+付费投放!AF36</f>
        <v>24.820000000000004</v>
      </c>
      <c r="X36" s="63">
        <f>MIN(IFERROR(INDEX(真品获取算法!$C$6:$C$66,MATCH(R36,真品获取算法!D$6:D$66,1)),0)+付费投放!AG36,前期规划!D$8)</f>
        <v>9</v>
      </c>
      <c r="Y36" s="63">
        <f>MIN(IFERROR(INDEX(真品获取算法!$C$6:$C$66,MATCH(S36,真品获取算法!E$6:E$66,1)),0)+付费投放!AH36,前期规划!E$8)</f>
        <v>9</v>
      </c>
      <c r="Z36" s="63">
        <f>MIN(IFERROR(INDEX(真品获取算法!$C$6:$C$66,MATCH(T36,真品获取算法!F$6:F$66,1)),0)+付费投放!AI36,前期规划!F$8)</f>
        <v>27</v>
      </c>
      <c r="AA36" s="63">
        <f>MIN(IFERROR(INDEX(真品获取算法!$C$6:$C$66,MATCH(U36,真品获取算法!G$6:G$66,1)),0)+付费投放!AJ36,前期规划!G$8)</f>
        <v>20.5</v>
      </c>
      <c r="AB36" s="63">
        <f>MIN(IFERROR(INDEX(真品获取算法!$C$6:$C$66,MATCH(V36,真品获取算法!H$6:H$66,1)),0)+付费投放!AK36,前期规划!H$8)</f>
        <v>58</v>
      </c>
      <c r="AC36" s="63">
        <f>MIN(IFERROR(INDEX(真品获取算法!$C$6:$C$66,MATCH(W36,真品获取算法!I$6:I$66,1)),0)+付费投放!AL36,前期规划!I$8)</f>
        <v>2.2840000000000003</v>
      </c>
      <c r="AD36" s="63">
        <f t="shared" si="2"/>
        <v>1</v>
      </c>
      <c r="AE36" s="63">
        <f t="shared" si="3"/>
        <v>1</v>
      </c>
      <c r="AF36" s="63">
        <f t="shared" si="4"/>
        <v>1</v>
      </c>
      <c r="AG36" s="63">
        <f t="shared" si="5"/>
        <v>0.7592592592592593</v>
      </c>
      <c r="AH36" s="63">
        <f t="shared" si="6"/>
        <v>0.96666666666666667</v>
      </c>
      <c r="AI36" s="63">
        <f t="shared" si="7"/>
        <v>0.32951638192362753</v>
      </c>
      <c r="AK36" s="60">
        <f>活动投放!AF36/U36</f>
        <v>0.82361516034985427</v>
      </c>
      <c r="AL36" s="60">
        <f>付费投放!AD36/U36</f>
        <v>0.17638483965014573</v>
      </c>
      <c r="AM36" s="60">
        <f>活动投放!AH36/W36</f>
        <v>0.94278807413376309</v>
      </c>
      <c r="AN36" s="60">
        <f>付费投放!AF36/W36</f>
        <v>5.7211925866236933E-2</v>
      </c>
      <c r="AO36" s="60">
        <f>IFERROR(INDEX(真品获取算法!$C$6:$C$66,MATCH(U36,真品获取算法!G$6:G$66,1)),0)*AK36/(IFERROR(INDEX(真品获取算法!$C$6:$C$66,MATCH(U36,真品获取算法!G$6:G$66,1)),0)+付费投放!AJ36)</f>
        <v>0.80352698570717496</v>
      </c>
      <c r="AP36" s="60">
        <f>(付费投放!AJ36+IFERROR(INDEX(真品获取算法!$C$6:$C$66,MATCH(U36,真品获取算法!G$6:G$66,1)),0)*AL36)/(IFERROR(INDEX(真品获取算法!$C$6:$C$66,MATCH(U36,真品获取算法!G$6:G$66,1)),0)+付费投放!AJ36)</f>
        <v>0.1964730142928251</v>
      </c>
      <c r="AQ36" s="60">
        <f>IFERROR(INDEX(真品获取算法!$C$6:$C$66,MATCH(W36,真品获取算法!I$6:I$66,1)),0)*AM36/(IFERROR(INDEX(真品获取算法!$C$6:$C$66,MATCH(W36,真品获取算法!I$6:I$66,1)),0)+付费投放!AL36)</f>
        <v>0.82555873391748069</v>
      </c>
      <c r="AR36" s="60">
        <f>(付费投放!AL36+IFERROR(INDEX(真品获取算法!$C$6:$C$66,MATCH(W36,真品获取算法!I$6:I$66,1)),0)*AN36)/(IFERROR(INDEX(真品获取算法!$C$6:$C$66,MATCH(W36,真品获取算法!I$6:I$66,1)),0)+付费投放!AL36)</f>
        <v>0.17444126608251925</v>
      </c>
    </row>
    <row r="37" spans="2:44" s="30" customFormat="1" x14ac:dyDescent="0.15">
      <c r="B37" s="31"/>
      <c r="C37" s="29">
        <v>1260</v>
      </c>
      <c r="D37" s="18">
        <f>求节点(节奏总纲!$D$4:$D$163,节奏总纲!$C$4:$C$163,$C37)</f>
        <v>103.0034052427059</v>
      </c>
      <c r="E37" s="18">
        <f>IFERROR(求节点(前期规划!$C$13:$C$23,前期规划!$B$13:$B$23,D37),0)</f>
        <v>16.333900873784316</v>
      </c>
      <c r="F37" s="63">
        <f>IFERROR(求节点(前期规划!$C$28:$C$35,前期规划!D$28:D$35,$D37),0)</f>
        <v>9</v>
      </c>
      <c r="G37" s="63">
        <f>IFERROR(求节点(前期规划!$C$28:$C$35,前期规划!E$28:E$35,$D37),0)</f>
        <v>9</v>
      </c>
      <c r="H37" s="63">
        <f>IFERROR(求节点(前期规划!$C$28:$C$35,前期规划!F$28:F$35,$D37),0)</f>
        <v>27</v>
      </c>
      <c r="I37" s="63">
        <f>IFERROR(求节点(前期规划!$C$28:$C$35,前期规划!G$28:G$35,$D37),0)</f>
        <v>27</v>
      </c>
      <c r="J37" s="63">
        <f>IFERROR(求节点(前期规划!$C$28:$C$35,前期规划!H$28:H$35,$D37),0)</f>
        <v>60</v>
      </c>
      <c r="K37" s="63">
        <f>IFERROR(求节点(前期规划!$C$28:$C$35,前期规划!I$28:I$35,$D37),0)</f>
        <v>7.8020431456235366</v>
      </c>
      <c r="L37" s="63">
        <f>MIN($E37-SUM(M37:$Q37),F37)</f>
        <v>0</v>
      </c>
      <c r="M37" s="63">
        <f>MIN($E37-SUM(N37:$Q37),G37)</f>
        <v>0</v>
      </c>
      <c r="N37" s="63">
        <f>MIN($E37-SUM(O37:$Q37),H37)</f>
        <v>0</v>
      </c>
      <c r="O37" s="63">
        <f>MIN($E37-SUM(P37:$Q37),I37)</f>
        <v>0</v>
      </c>
      <c r="P37" s="63">
        <f>MIN($E37-SUM(Q37:$Q37),J37)</f>
        <v>8.5318577281607801</v>
      </c>
      <c r="Q37" s="69">
        <f t="shared" si="1"/>
        <v>7.8020431456235366</v>
      </c>
      <c r="R37" s="64">
        <f>活动投放!AC37+付费投放!AA37</f>
        <v>165</v>
      </c>
      <c r="S37" s="64">
        <f>活动投放!AD37+付费投放!AB37</f>
        <v>165</v>
      </c>
      <c r="T37" s="64">
        <f>活动投放!AE37+付费投放!AC37</f>
        <v>321.72000000000003</v>
      </c>
      <c r="U37" s="64">
        <f>活动投放!AF37+付费投放!AD37</f>
        <v>137.88</v>
      </c>
      <c r="V37" s="64">
        <f>活动投放!AG37+付费投放!AE37</f>
        <v>275.22000000000003</v>
      </c>
      <c r="W37" s="64">
        <f>活动投放!AH37+付费投放!AF37</f>
        <v>30.580000000000002</v>
      </c>
      <c r="X37" s="63">
        <f>MIN(IFERROR(INDEX(真品获取算法!$C$6:$C$66,MATCH(R37,真品获取算法!D$6:D$66,1)),0)+付费投放!AG37,前期规划!D$8)</f>
        <v>9</v>
      </c>
      <c r="Y37" s="63">
        <f>MIN(IFERROR(INDEX(真品获取算法!$C$6:$C$66,MATCH(S37,真品获取算法!E$6:E$66,1)),0)+付费投放!AH37,前期规划!E$8)</f>
        <v>9</v>
      </c>
      <c r="Z37" s="63">
        <f>MIN(IFERROR(INDEX(真品获取算法!$C$6:$C$66,MATCH(T37,真品获取算法!F$6:F$66,1)),0)+付费投放!AI37,前期规划!F$8)</f>
        <v>27</v>
      </c>
      <c r="AA37" s="63">
        <f>MIN(IFERROR(INDEX(真品获取算法!$C$6:$C$66,MATCH(U37,真品获取算法!G$6:G$66,1)),0)+付费投放!AJ37,前期规划!G$8)</f>
        <v>21.553333333333335</v>
      </c>
      <c r="AB37" s="63">
        <f>MIN(IFERROR(INDEX(真品获取算法!$C$6:$C$66,MATCH(V37,真品获取算法!H$6:H$66,1)),0)+付费投放!AK37,前期规划!H$8)</f>
        <v>59</v>
      </c>
      <c r="AC37" s="63">
        <f>MIN(IFERROR(INDEX(真品获取算法!$C$6:$C$66,MATCH(W37,真品获取算法!I$6:I$66,1)),0)+付费投放!AL37,前期规划!I$8)</f>
        <v>3.3160000000000003</v>
      </c>
      <c r="AD37" s="63">
        <f t="shared" si="2"/>
        <v>1</v>
      </c>
      <c r="AE37" s="63">
        <f t="shared" si="3"/>
        <v>1</v>
      </c>
      <c r="AF37" s="63">
        <f t="shared" si="4"/>
        <v>1</v>
      </c>
      <c r="AG37" s="63">
        <f t="shared" si="5"/>
        <v>0.79827160493827165</v>
      </c>
      <c r="AH37" s="63">
        <f t="shared" si="6"/>
        <v>0.98333333333333328</v>
      </c>
      <c r="AI37" s="63">
        <f t="shared" si="7"/>
        <v>0.42501687546550815</v>
      </c>
      <c r="AK37" s="60">
        <f>活动投放!AF37/U37</f>
        <v>0.82463011314186252</v>
      </c>
      <c r="AL37" s="60">
        <f>付费投放!AD37/U37</f>
        <v>0.17536988685813745</v>
      </c>
      <c r="AM37" s="60">
        <f>活动投放!AH37/W37</f>
        <v>0.94833224329627197</v>
      </c>
      <c r="AN37" s="60">
        <f>付费投放!AF37/W37</f>
        <v>5.1667756703727953E-2</v>
      </c>
      <c r="AO37" s="60">
        <f>IFERROR(INDEX(真品获取算法!$C$6:$C$66,MATCH(U37,真品获取算法!G$6:G$66,1)),0)*AK37/(IFERROR(INDEX(真品获取算法!$C$6:$C$66,MATCH(U37,真品获取算法!G$6:G$66,1)),0)+付费投放!AJ37)</f>
        <v>0.8034595905959997</v>
      </c>
      <c r="AP37" s="60">
        <f>(付费投放!AJ37+IFERROR(INDEX(真品获取算法!$C$6:$C$66,MATCH(U37,真品获取算法!G$6:G$66,1)),0)*AL37)/(IFERROR(INDEX(真品获取算法!$C$6:$C$66,MATCH(U37,真品获取算法!G$6:G$66,1)),0)+付费投放!AJ37)</f>
        <v>0.1965404094040003</v>
      </c>
      <c r="AQ37" s="60">
        <f>IFERROR(INDEX(真品获取算法!$C$6:$C$66,MATCH(W37,真品获取算法!I$6:I$66,1)),0)*AM37/(IFERROR(INDEX(真品获取算法!$C$6:$C$66,MATCH(W37,真品获取算法!I$6:I$66,1)),0)+付费投放!AL37)</f>
        <v>0.85796041311484195</v>
      </c>
      <c r="AR37" s="60">
        <f>(付费投放!AL37+IFERROR(INDEX(真品获取算法!$C$6:$C$66,MATCH(W37,真品获取算法!I$6:I$66,1)),0)*AN37)/(IFERROR(INDEX(真品获取算法!$C$6:$C$66,MATCH(W37,真品获取算法!I$6:I$66,1)),0)+付费投放!AL37)</f>
        <v>0.14203958688515803</v>
      </c>
    </row>
    <row r="38" spans="2:44" s="30" customFormat="1" x14ac:dyDescent="0.15">
      <c r="B38" s="31"/>
      <c r="C38" s="29">
        <v>1380</v>
      </c>
      <c r="D38" s="18">
        <f>求节点(节奏总纲!$D$4:$D$163,节奏总纲!$C$4:$C$163,$C38)</f>
        <v>104.30753076754127</v>
      </c>
      <c r="E38" s="18">
        <f>IFERROR(求节点(前期规划!$C$13:$C$23,前期规划!$B$13:$B$23,D38),0)</f>
        <v>16.551255127923543</v>
      </c>
      <c r="F38" s="63">
        <f>IFERROR(求节点(前期规划!$C$28:$C$35,前期规划!D$28:D$35,$D38),0)</f>
        <v>9</v>
      </c>
      <c r="G38" s="63">
        <f>IFERROR(求节点(前期规划!$C$28:$C$35,前期规划!E$28:E$35,$D38),0)</f>
        <v>9</v>
      </c>
      <c r="H38" s="63">
        <f>IFERROR(求节点(前期规划!$C$28:$C$35,前期规划!F$28:F$35,$D38),0)</f>
        <v>27</v>
      </c>
      <c r="I38" s="63">
        <f>IFERROR(求节点(前期规划!$C$28:$C$35,前期规划!G$28:G$35,$D38),0)</f>
        <v>27</v>
      </c>
      <c r="J38" s="63">
        <f>IFERROR(求节点(前期规划!$C$28:$C$35,前期规划!H$28:H$35,$D38),0)</f>
        <v>60</v>
      </c>
      <c r="K38" s="63">
        <f>IFERROR(求节点(前期规划!$C$28:$C$35,前期规划!I$28:I$35,$D38),0)</f>
        <v>8.5845184605247589</v>
      </c>
      <c r="L38" s="63">
        <f>MIN($E38-SUM(M38:$Q38),F38)</f>
        <v>0</v>
      </c>
      <c r="M38" s="63">
        <f>MIN($E38-SUM(N38:$Q38),G38)</f>
        <v>0</v>
      </c>
      <c r="N38" s="63">
        <f>MIN($E38-SUM(O38:$Q38),H38)</f>
        <v>0</v>
      </c>
      <c r="O38" s="63">
        <f>MIN($E38-SUM(P38:$Q38),I38)</f>
        <v>0</v>
      </c>
      <c r="P38" s="63">
        <f>MIN($E38-SUM(Q38:$Q38),J38)</f>
        <v>7.9667366673987843</v>
      </c>
      <c r="Q38" s="69">
        <f t="shared" si="1"/>
        <v>8.5845184605247589</v>
      </c>
      <c r="R38" s="64">
        <f>活动投放!AC38+付费投放!AA38</f>
        <v>181</v>
      </c>
      <c r="S38" s="64">
        <f>活动投放!AD38+付费投放!AB38</f>
        <v>181</v>
      </c>
      <c r="T38" s="64">
        <f>活动投放!AE38+付费投放!AC38</f>
        <v>355.31999999999994</v>
      </c>
      <c r="U38" s="64">
        <f>活动投放!AF38+付费投放!AD38</f>
        <v>152.27999999999997</v>
      </c>
      <c r="V38" s="64">
        <f>活动投放!AG38+付费投放!AE38</f>
        <v>327.06000000000006</v>
      </c>
      <c r="W38" s="64">
        <f>活动投放!AH38+付费投放!AF38</f>
        <v>36.340000000000003</v>
      </c>
      <c r="X38" s="63">
        <f>MIN(IFERROR(INDEX(真品获取算法!$C$6:$C$66,MATCH(R38,真品获取算法!D$6:D$66,1)),0)+付费投放!AG38,前期规划!D$8)</f>
        <v>9</v>
      </c>
      <c r="Y38" s="63">
        <f>MIN(IFERROR(INDEX(真品获取算法!$C$6:$C$66,MATCH(S38,真品获取算法!E$6:E$66,1)),0)+付费投放!AH38,前期规划!E$8)</f>
        <v>9</v>
      </c>
      <c r="Z38" s="63">
        <f>MIN(IFERROR(INDEX(真品获取算法!$C$6:$C$66,MATCH(T38,真品获取算法!F$6:F$66,1)),0)+付费投放!AI38,前期规划!F$8)</f>
        <v>27</v>
      </c>
      <c r="AA38" s="63">
        <f>MIN(IFERROR(INDEX(真品获取算法!$C$6:$C$66,MATCH(U38,真品获取算法!G$6:G$66,1)),0)+付费投放!AJ38,前期规划!G$8)</f>
        <v>22.606666666666666</v>
      </c>
      <c r="AB38" s="63">
        <f>MIN(IFERROR(INDEX(真品获取算法!$C$6:$C$66,MATCH(V38,真品获取算法!H$6:H$66,1)),0)+付费投放!AK38,前期规划!H$8)</f>
        <v>60</v>
      </c>
      <c r="AC38" s="63">
        <f>MIN(IFERROR(INDEX(真品获取算法!$C$6:$C$66,MATCH(W38,真品获取算法!I$6:I$66,1)),0)+付费投放!AL38,前期规划!I$8)</f>
        <v>3.3480000000000003</v>
      </c>
      <c r="AD38" s="63">
        <f t="shared" si="2"/>
        <v>1</v>
      </c>
      <c r="AE38" s="63">
        <f t="shared" si="3"/>
        <v>1</v>
      </c>
      <c r="AF38" s="63">
        <f t="shared" si="4"/>
        <v>1</v>
      </c>
      <c r="AG38" s="63">
        <f t="shared" si="5"/>
        <v>0.83728395061728389</v>
      </c>
      <c r="AH38" s="63">
        <f t="shared" si="6"/>
        <v>1</v>
      </c>
      <c r="AI38" s="63">
        <f t="shared" si="7"/>
        <v>0.39000440332157454</v>
      </c>
      <c r="AK38" s="60">
        <f>活动投放!AF38/U38</f>
        <v>0.82545311268715527</v>
      </c>
      <c r="AL38" s="60">
        <f>付费投放!AD38/U38</f>
        <v>0.17454688731284473</v>
      </c>
      <c r="AM38" s="60">
        <f>活动投放!AH38/W38</f>
        <v>0.95211887727022559</v>
      </c>
      <c r="AN38" s="60">
        <f>付费投放!AF38/W38</f>
        <v>4.7881122729774378E-2</v>
      </c>
      <c r="AO38" s="60">
        <f>IFERROR(INDEX(真品获取算法!$C$6:$C$66,MATCH(U38,真品获取算法!G$6:G$66,1)),0)*AK38/(IFERROR(INDEX(真品获取算法!$C$6:$C$66,MATCH(U38,真品获取算法!G$6:G$66,1)),0)+付费投放!AJ38)</f>
        <v>0.80330146619510845</v>
      </c>
      <c r="AP38" s="60">
        <f>(付费投放!AJ38+IFERROR(INDEX(真品获取算法!$C$6:$C$66,MATCH(U38,真品获取算法!G$6:G$66,1)),0)*AL38)/(IFERROR(INDEX(真品获取算法!$C$6:$C$66,MATCH(U38,真品获取算法!G$6:G$66,1)),0)+付费投放!AJ38)</f>
        <v>0.19669853380489166</v>
      </c>
      <c r="AQ38" s="60">
        <f>IFERROR(INDEX(真品获取算法!$C$6:$C$66,MATCH(W38,真品获取算法!I$6:I$66,1)),0)*AM38/(IFERROR(INDEX(真品获取算法!$C$6:$C$66,MATCH(W38,真品获取算法!I$6:I$66,1)),0)+付费投放!AL38)</f>
        <v>0.85315311583353537</v>
      </c>
      <c r="AR38" s="60">
        <f>(付费投放!AL38+IFERROR(INDEX(真品获取算法!$C$6:$C$66,MATCH(W38,真品获取算法!I$6:I$66,1)),0)*AN38)/(IFERROR(INDEX(真品获取算法!$C$6:$C$66,MATCH(W38,真品获取算法!I$6:I$66,1)),0)+付费投放!AL38)</f>
        <v>0.14684688416646455</v>
      </c>
    </row>
    <row r="39" spans="2:44" s="30" customFormat="1" x14ac:dyDescent="0.15">
      <c r="B39" s="31"/>
      <c r="C39" s="29">
        <v>1500</v>
      </c>
      <c r="D39" s="18">
        <f>求节点(节奏总纲!$D$4:$D$163,节奏总纲!$C$4:$C$163,$C39)</f>
        <v>105.50842583986083</v>
      </c>
      <c r="E39" s="18">
        <f>IFERROR(求节点(前期规划!$C$13:$C$23,前期规划!$B$13:$B$23,D39),0)</f>
        <v>16.751404306643472</v>
      </c>
      <c r="F39" s="63">
        <f>IFERROR(求节点(前期规划!$C$28:$C$35,前期规划!D$28:D$35,$D39),0)</f>
        <v>9</v>
      </c>
      <c r="G39" s="63">
        <f>IFERROR(求节点(前期规划!$C$28:$C$35,前期规划!E$28:E$35,$D39),0)</f>
        <v>9</v>
      </c>
      <c r="H39" s="63">
        <f>IFERROR(求节点(前期规划!$C$28:$C$35,前期规划!F$28:F$35,$D39),0)</f>
        <v>27</v>
      </c>
      <c r="I39" s="63">
        <f>IFERROR(求节点(前期规划!$C$28:$C$35,前期规划!G$28:G$35,$D39),0)</f>
        <v>27</v>
      </c>
      <c r="J39" s="63">
        <f>IFERROR(求节点(前期规划!$C$28:$C$35,前期规划!H$28:H$35,$D39),0)</f>
        <v>60</v>
      </c>
      <c r="K39" s="63">
        <f>IFERROR(求节点(前期规划!$C$28:$C$35,前期规划!I$28:I$35,$D39),0)</f>
        <v>9.4714494151436828</v>
      </c>
      <c r="L39" s="63">
        <f>MIN($E39-SUM(M39:$Q39),F39)</f>
        <v>0</v>
      </c>
      <c r="M39" s="63">
        <f>MIN($E39-SUM(N39:$Q39),G39)</f>
        <v>0</v>
      </c>
      <c r="N39" s="63">
        <f>MIN($E39-SUM(O39:$Q39),H39)</f>
        <v>0</v>
      </c>
      <c r="O39" s="63">
        <f>MIN($E39-SUM(P39:$Q39),I39)</f>
        <v>0</v>
      </c>
      <c r="P39" s="63">
        <f>MIN($E39-SUM(Q39:$Q39),J39)</f>
        <v>7.2799548914997896</v>
      </c>
      <c r="Q39" s="69">
        <f t="shared" si="1"/>
        <v>9.4714494151436828</v>
      </c>
      <c r="R39" s="64">
        <f>活动投放!AC39+付费投放!AA39</f>
        <v>197</v>
      </c>
      <c r="S39" s="64">
        <f>活动投放!AD39+付费投放!AB39</f>
        <v>197</v>
      </c>
      <c r="T39" s="64">
        <f>活动投放!AE39+付费投放!AC39</f>
        <v>388.91999999999996</v>
      </c>
      <c r="U39" s="64">
        <f>活动投放!AF39+付费投放!AD39</f>
        <v>166.67999999999998</v>
      </c>
      <c r="V39" s="64">
        <f>活动投放!AG39+付费投放!AE39</f>
        <v>386.1</v>
      </c>
      <c r="W39" s="64">
        <f>活动投放!AH39+付费投放!AF39</f>
        <v>42.9</v>
      </c>
      <c r="X39" s="63">
        <f>MIN(IFERROR(INDEX(真品获取算法!$C$6:$C$66,MATCH(R39,真品获取算法!D$6:D$66,1)),0)+付费投放!AG39,前期规划!D$8)</f>
        <v>9</v>
      </c>
      <c r="Y39" s="63">
        <f>MIN(IFERROR(INDEX(真品获取算法!$C$6:$C$66,MATCH(S39,真品获取算法!E$6:E$66,1)),0)+付费投放!AH39,前期规划!E$8)</f>
        <v>9</v>
      </c>
      <c r="Z39" s="63">
        <f>MIN(IFERROR(INDEX(真品获取算法!$C$6:$C$66,MATCH(T39,真品获取算法!F$6:F$66,1)),0)+付费投放!AI39,前期规划!F$8)</f>
        <v>27</v>
      </c>
      <c r="AA39" s="63">
        <f>MIN(IFERROR(INDEX(真品获取算法!$C$6:$C$66,MATCH(U39,真品获取算法!G$6:G$66,1)),0)+付费投放!AJ39,前期规划!G$8)</f>
        <v>23.66</v>
      </c>
      <c r="AB39" s="63">
        <f>MIN(IFERROR(INDEX(真品获取算法!$C$6:$C$66,MATCH(V39,真品获取算法!H$6:H$66,1)),0)+付费投放!AK39,前期规划!H$8)</f>
        <v>60</v>
      </c>
      <c r="AC39" s="63">
        <f>MIN(IFERROR(INDEX(真品获取算法!$C$6:$C$66,MATCH(W39,真品获取算法!I$6:I$66,1)),0)+付费投放!AL39,前期规划!I$8)</f>
        <v>4.38</v>
      </c>
      <c r="AD39" s="63">
        <f t="shared" si="2"/>
        <v>1</v>
      </c>
      <c r="AE39" s="63">
        <f t="shared" si="3"/>
        <v>1</v>
      </c>
      <c r="AF39" s="63">
        <f t="shared" si="4"/>
        <v>1</v>
      </c>
      <c r="AG39" s="63">
        <f t="shared" si="5"/>
        <v>0.87629629629629635</v>
      </c>
      <c r="AH39" s="63">
        <f t="shared" si="6"/>
        <v>1</v>
      </c>
      <c r="AI39" s="63">
        <f t="shared" si="7"/>
        <v>0.46244242121981022</v>
      </c>
      <c r="AK39" s="60">
        <f>活动投放!AF39/U39</f>
        <v>0.82613390928725705</v>
      </c>
      <c r="AL39" s="60">
        <f>付费投放!AD39/U39</f>
        <v>0.17386609071274295</v>
      </c>
      <c r="AM39" s="60">
        <f>活动投放!AH39/W39</f>
        <v>0.95571095571095577</v>
      </c>
      <c r="AN39" s="60">
        <f>付费投放!AF39/W39</f>
        <v>4.4289044289044323E-2</v>
      </c>
      <c r="AO39" s="60">
        <f>IFERROR(INDEX(真品获取算法!$C$6:$C$66,MATCH(U39,真品获取算法!G$6:G$66,1)),0)*AK39/(IFERROR(INDEX(真品获取算法!$C$6:$C$66,MATCH(U39,真品获取算法!G$6:G$66,1)),0)+付费投放!AJ39)</f>
        <v>0.80308875374500899</v>
      </c>
      <c r="AP39" s="60">
        <f>(付费投放!AJ39+IFERROR(INDEX(真品获取算法!$C$6:$C$66,MATCH(U39,真品获取算法!G$6:G$66,1)),0)*AL39)/(IFERROR(INDEX(真品获取算法!$C$6:$C$66,MATCH(U39,真品获取算法!G$6:G$66,1)),0)+付费投放!AJ39)</f>
        <v>0.19691124625499101</v>
      </c>
      <c r="AQ39" s="60">
        <f>IFERROR(INDEX(真品获取算法!$C$6:$C$66,MATCH(W39,真品获取算法!I$6:I$66,1)),0)*AM39/(IFERROR(INDEX(真品获取算法!$C$6:$C$66,MATCH(W39,真品获取算法!I$6:I$66,1)),0)+付费投放!AL39)</f>
        <v>0.87279539334333867</v>
      </c>
      <c r="AR39" s="60">
        <f>(付费投放!AL39+IFERROR(INDEX(真品获取算法!$C$6:$C$66,MATCH(W39,真品获取算法!I$6:I$66,1)),0)*AN39)/(IFERROR(INDEX(真品获取算法!$C$6:$C$66,MATCH(W39,真品获取算法!I$6:I$66,1)),0)+付费投放!AL39)</f>
        <v>0.12720460665666153</v>
      </c>
    </row>
    <row r="40" spans="2:44" s="30" customFormat="1" x14ac:dyDescent="0.15">
      <c r="B40" s="31"/>
      <c r="C40" s="29">
        <v>1800</v>
      </c>
      <c r="D40" s="18">
        <f>求节点(节奏总纲!$D$4:$D$163,节奏总纲!$C$4:$C$163,$C40)</f>
        <v>108.14154328189373</v>
      </c>
      <c r="E40" s="18">
        <f>IFERROR(求节点(前期规划!$C$13:$C$23,前期规划!$B$13:$B$23,D40),0)</f>
        <v>17.190257213648955</v>
      </c>
      <c r="F40" s="63">
        <f>IFERROR(求节点(前期规划!$C$28:$C$35,前期规划!D$28:D$35,$D40),0)</f>
        <v>9</v>
      </c>
      <c r="G40" s="63">
        <f>IFERROR(求节点(前期规划!$C$28:$C$35,前期规划!E$28:E$35,$D40),0)</f>
        <v>9</v>
      </c>
      <c r="H40" s="63">
        <f>IFERROR(求节点(前期规划!$C$28:$C$35,前期规划!F$28:F$35,$D40),0)</f>
        <v>27</v>
      </c>
      <c r="I40" s="63">
        <f>IFERROR(求节点(前期规划!$C$28:$C$35,前期规划!G$28:G$35,$D40),0)</f>
        <v>27</v>
      </c>
      <c r="J40" s="63">
        <f>IFERROR(求节点(前期规划!$C$28:$C$35,前期规划!H$28:H$35,$D40),0)</f>
        <v>60</v>
      </c>
      <c r="K40" s="63">
        <f>IFERROR(求节点(前期规划!$C$28:$C$35,前期规划!I$28:I$35,$D40),0)</f>
        <v>11.913067406846915</v>
      </c>
      <c r="L40" s="63">
        <f>MIN($E40-SUM(M40:$Q40),F40)</f>
        <v>0</v>
      </c>
      <c r="M40" s="63">
        <f>MIN($E40-SUM(N40:$Q40),G40)</f>
        <v>0</v>
      </c>
      <c r="N40" s="63">
        <f>MIN($E40-SUM(O40:$Q40),H40)</f>
        <v>0</v>
      </c>
      <c r="O40" s="63">
        <f>MIN($E40-SUM(P40:$Q40),I40)</f>
        <v>0</v>
      </c>
      <c r="P40" s="63">
        <f>MIN($E40-SUM(Q40:$Q40),J40)</f>
        <v>5.2771898068020402</v>
      </c>
      <c r="Q40" s="69">
        <f t="shared" si="1"/>
        <v>11.913067406846915</v>
      </c>
      <c r="R40" s="64">
        <f>活动投放!AC40+付费投放!AA40</f>
        <v>237</v>
      </c>
      <c r="S40" s="64">
        <f>活动投放!AD40+付费投放!AB40</f>
        <v>237</v>
      </c>
      <c r="T40" s="64">
        <f>活动投放!AE40+付费投放!AC40</f>
        <v>472.91999999999996</v>
      </c>
      <c r="U40" s="64">
        <f>活动投放!AF40+付费投放!AD40</f>
        <v>202.67999999999998</v>
      </c>
      <c r="V40" s="64">
        <f>活动投放!AG40+付费投放!AE40</f>
        <v>551.70000000000005</v>
      </c>
      <c r="W40" s="64">
        <f>活动投放!AH40+付费投放!AF40</f>
        <v>61.300000000000004</v>
      </c>
      <c r="X40" s="63">
        <f>MIN(IFERROR(INDEX(真品获取算法!$C$6:$C$66,MATCH(R40,真品获取算法!D$6:D$66,1)),0)+付费投放!AG40,前期规划!D$8)</f>
        <v>9</v>
      </c>
      <c r="Y40" s="63">
        <f>MIN(IFERROR(INDEX(真品获取算法!$C$6:$C$66,MATCH(S40,真品获取算法!E$6:E$66,1)),0)+付费投放!AH40,前期规划!E$8)</f>
        <v>9</v>
      </c>
      <c r="Z40" s="63">
        <f>MIN(IFERROR(INDEX(真品获取算法!$C$6:$C$66,MATCH(T40,真品获取算法!F$6:F$66,1)),0)+付费投放!AI40,前期规划!F$8)</f>
        <v>27</v>
      </c>
      <c r="AA40" s="63">
        <f>MIN(IFERROR(INDEX(真品获取算法!$C$6:$C$66,MATCH(U40,真品获取算法!G$6:G$66,1)),0)+付费投放!AJ40,前期规划!G$8)</f>
        <v>24.793333333333333</v>
      </c>
      <c r="AB40" s="63">
        <f>MIN(IFERROR(INDEX(真品获取算法!$C$6:$C$66,MATCH(V40,真品获取算法!H$6:H$66,1)),0)+付费投放!AK40,前期规划!H$8)</f>
        <v>60</v>
      </c>
      <c r="AC40" s="63">
        <f>MIN(IFERROR(INDEX(真品获取算法!$C$6:$C$66,MATCH(W40,真品获取算法!I$6:I$66,1)),0)+付费投放!AL40,前期规划!I$8)</f>
        <v>5.46</v>
      </c>
      <c r="AD40" s="63">
        <f t="shared" si="2"/>
        <v>1</v>
      </c>
      <c r="AE40" s="63">
        <f t="shared" si="3"/>
        <v>1</v>
      </c>
      <c r="AF40" s="63">
        <f t="shared" si="4"/>
        <v>1</v>
      </c>
      <c r="AG40" s="63">
        <f t="shared" si="5"/>
        <v>0.91827160493827165</v>
      </c>
      <c r="AH40" s="63">
        <f t="shared" si="6"/>
        <v>1</v>
      </c>
      <c r="AI40" s="63">
        <f t="shared" si="7"/>
        <v>0.45832024729935805</v>
      </c>
      <c r="AK40" s="60">
        <f>活动投放!AF40/U40</f>
        <v>0.82741267021906462</v>
      </c>
      <c r="AL40" s="60">
        <f>付费投放!AD40/U40</f>
        <v>0.17258732978093544</v>
      </c>
      <c r="AM40" s="60">
        <f>活动投放!AH40/W40</f>
        <v>0.96247960848287106</v>
      </c>
      <c r="AN40" s="60">
        <f>付费投放!AF40/W40</f>
        <v>3.7520391517128888E-2</v>
      </c>
      <c r="AO40" s="60">
        <f>IFERROR(INDEX(真品获取算法!$C$6:$C$66,MATCH(U40,真品获取算法!G$6:G$66,1)),0)*AK40/(IFERROR(INDEX(真品获取算法!$C$6:$C$66,MATCH(U40,真品获取算法!G$6:G$66,1)),0)+付费投放!AJ40)</f>
        <v>0.80093724463259819</v>
      </c>
      <c r="AP40" s="60">
        <f>(付费投放!AJ40+IFERROR(INDEX(真品获取算法!$C$6:$C$66,MATCH(U40,真品获取算法!G$6:G$66,1)),0)*AL40)/(IFERROR(INDEX(真品获取算法!$C$6:$C$66,MATCH(U40,真品获取算法!G$6:G$66,1)),0)+付费投放!AJ40)</f>
        <v>0.19906275536740184</v>
      </c>
      <c r="AQ40" s="60">
        <f>IFERROR(INDEX(真品获取算法!$C$6:$C$66,MATCH(W40,真品获取算法!I$6:I$66,1)),0)*AM40/(IFERROR(INDEX(真品获取算法!$C$6:$C$66,MATCH(W40,真品获取算法!I$6:I$66,1)),0)+付费投放!AL40)</f>
        <v>0.88139158285977204</v>
      </c>
      <c r="AR40" s="60">
        <f>(付费投放!AL40+IFERROR(INDEX(真品获取算法!$C$6:$C$66,MATCH(W40,真品获取算法!I$6:I$66,1)),0)*AN40)/(IFERROR(INDEX(真品获取算法!$C$6:$C$66,MATCH(W40,真品获取算法!I$6:I$66,1)),0)+付费投放!AL40)</f>
        <v>0.11860841714022796</v>
      </c>
    </row>
    <row r="41" spans="2:44" s="30" customFormat="1" x14ac:dyDescent="0.15">
      <c r="B41" s="31"/>
      <c r="C41" s="29">
        <v>2100</v>
      </c>
      <c r="D41" s="18">
        <f>求节点(节奏总纲!$D$4:$D$163,节奏总纲!$C$4:$C$163,$C41)</f>
        <v>110.36056371443574</v>
      </c>
      <c r="E41" s="18">
        <f>IFERROR(求节点(前期规划!$C$13:$C$23,前期规划!$B$13:$B$23,D41),0)</f>
        <v>17.560093952405957</v>
      </c>
      <c r="F41" s="63">
        <f>IFERROR(求节点(前期规划!$C$28:$C$35,前期规划!D$28:D$35,$D41),0)</f>
        <v>9</v>
      </c>
      <c r="G41" s="63">
        <f>IFERROR(求节点(前期规划!$C$28:$C$35,前期规划!E$28:E$35,$D41),0)</f>
        <v>9</v>
      </c>
      <c r="H41" s="63">
        <f>IFERROR(求节点(前期规划!$C$28:$C$35,前期规划!F$28:F$35,$D41),0)</f>
        <v>27</v>
      </c>
      <c r="I41" s="63">
        <f>IFERROR(求节点(前期规划!$C$28:$C$35,前期规划!G$28:G$35,$D41),0)</f>
        <v>27</v>
      </c>
      <c r="J41" s="63">
        <f>IFERROR(求节点(前期规划!$C$28:$C$35,前期规划!H$28:H$35,$D41),0)</f>
        <v>60</v>
      </c>
      <c r="K41" s="63">
        <f>IFERROR(求节点(前期规划!$C$28:$C$35,前期规划!I$28:I$35,$D41),0)</f>
        <v>13.970704535204051</v>
      </c>
      <c r="L41" s="63">
        <f>MIN($E41-SUM(M41:$Q41),F41)</f>
        <v>0</v>
      </c>
      <c r="M41" s="63">
        <f>MIN($E41-SUM(N41:$Q41),G41)</f>
        <v>0</v>
      </c>
      <c r="N41" s="63">
        <f>MIN($E41-SUM(O41:$Q41),H41)</f>
        <v>0</v>
      </c>
      <c r="O41" s="63">
        <f>MIN($E41-SUM(P41:$Q41),I41)</f>
        <v>0</v>
      </c>
      <c r="P41" s="63">
        <f>MIN($E41-SUM(Q41:$Q41),J41)</f>
        <v>3.5893894172019056</v>
      </c>
      <c r="Q41" s="69">
        <f t="shared" si="1"/>
        <v>13.970704535204051</v>
      </c>
      <c r="R41" s="64">
        <f>活动投放!AC41+付费投放!AA41</f>
        <v>277</v>
      </c>
      <c r="S41" s="64">
        <f>活动投放!AD41+付费投放!AB41</f>
        <v>277</v>
      </c>
      <c r="T41" s="64">
        <f>活动投放!AE41+付费投放!AC41</f>
        <v>556.91999999999996</v>
      </c>
      <c r="U41" s="64">
        <f>活动投放!AF41+付费投放!AD41</f>
        <v>238.67999999999998</v>
      </c>
      <c r="V41" s="64">
        <f>活动投放!AG41+付费投放!AE41</f>
        <v>717.3</v>
      </c>
      <c r="W41" s="64">
        <f>活动投放!AH41+付费投放!AF41</f>
        <v>79.7</v>
      </c>
      <c r="X41" s="63">
        <f>MIN(IFERROR(INDEX(真品获取算法!$C$6:$C$66,MATCH(R41,真品获取算法!D$6:D$66,1)),0)+付费投放!AG41,前期规划!D$8)</f>
        <v>9</v>
      </c>
      <c r="Y41" s="63">
        <f>MIN(IFERROR(INDEX(真品获取算法!$C$6:$C$66,MATCH(S41,真品获取算法!E$6:E$66,1)),0)+付费投放!AH41,前期规划!E$8)</f>
        <v>9</v>
      </c>
      <c r="Z41" s="63">
        <f>MIN(IFERROR(INDEX(真品获取算法!$C$6:$C$66,MATCH(T41,真品获取算法!F$6:F$66,1)),0)+付费投放!AI41,前期规划!F$8)</f>
        <v>27</v>
      </c>
      <c r="AA41" s="63">
        <f>MIN(IFERROR(INDEX(真品获取算法!$C$6:$C$66,MATCH(U41,真品获取算法!G$6:G$66,1)),0)+付费投放!AJ41,前期规划!G$8)</f>
        <v>25.926666666666666</v>
      </c>
      <c r="AB41" s="63">
        <f>MIN(IFERROR(INDEX(真品获取算法!$C$6:$C$66,MATCH(V41,真品获取算法!H$6:H$66,1)),0)+付费投放!AK41,前期规划!H$8)</f>
        <v>60</v>
      </c>
      <c r="AC41" s="63">
        <f>MIN(IFERROR(INDEX(真品获取算法!$C$6:$C$66,MATCH(W41,真品获取算法!I$6:I$66,1)),0)+付费投放!AL41,前期规划!I$8)</f>
        <v>7.54</v>
      </c>
      <c r="AD41" s="63">
        <f t="shared" si="2"/>
        <v>1</v>
      </c>
      <c r="AE41" s="63">
        <f t="shared" si="3"/>
        <v>1</v>
      </c>
      <c r="AF41" s="63">
        <f t="shared" si="4"/>
        <v>1</v>
      </c>
      <c r="AG41" s="63">
        <f t="shared" si="5"/>
        <v>0.96024691358024683</v>
      </c>
      <c r="AH41" s="63">
        <f t="shared" si="6"/>
        <v>1</v>
      </c>
      <c r="AI41" s="63">
        <f t="shared" si="7"/>
        <v>0.53970077035129804</v>
      </c>
      <c r="AK41" s="60">
        <f>活动投放!AF41/U41</f>
        <v>0.82830568124685777</v>
      </c>
      <c r="AL41" s="60">
        <f>付费投放!AD41/U41</f>
        <v>0.17169431875314226</v>
      </c>
      <c r="AM41" s="60">
        <f>活动投放!AH41/W41</f>
        <v>0.96612296110414053</v>
      </c>
      <c r="AN41" s="60">
        <f>付费投放!AF41/W41</f>
        <v>3.3877038895859482E-2</v>
      </c>
      <c r="AO41" s="60">
        <f>IFERROR(INDEX(真品获取算法!$C$6:$C$66,MATCH(U41,真品获取算法!G$6:G$66,1)),0)*AK41/(IFERROR(INDEX(真品获取算法!$C$6:$C$66,MATCH(U41,真品获取算法!G$6:G$66,1)),0)+付费投放!AJ41)</f>
        <v>0.79870051547331367</v>
      </c>
      <c r="AP41" s="60">
        <f>(付费投放!AJ41+IFERROR(INDEX(真品获取算法!$C$6:$C$66,MATCH(U41,真品获取算法!G$6:G$66,1)),0)*AL41)/(IFERROR(INDEX(真品获取算法!$C$6:$C$66,MATCH(U41,真品获取算法!G$6:G$66,1)),0)+付费投放!AJ41)</f>
        <v>0.20129948452668642</v>
      </c>
      <c r="AQ41" s="60">
        <f>IFERROR(INDEX(真品获取算法!$C$6:$C$66,MATCH(W41,真品获取算法!I$6:I$66,1)),0)*AM41/(IFERROR(INDEX(真品获取算法!$C$6:$C$66,MATCH(W41,真品获取算法!I$6:I$66,1)),0)+付费投放!AL41)</f>
        <v>0.89693113099853894</v>
      </c>
      <c r="AR41" s="60">
        <f>(付费投放!AL41+IFERROR(INDEX(真品获取算法!$C$6:$C$66,MATCH(W41,真品获取算法!I$6:I$66,1)),0)*AN41)/(IFERROR(INDEX(真品获取算法!$C$6:$C$66,MATCH(W41,真品获取算法!I$6:I$66,1)),0)+付费投放!AL41)</f>
        <v>0.10306886900146109</v>
      </c>
    </row>
    <row r="42" spans="2:44" s="30" customFormat="1" x14ac:dyDescent="0.15">
      <c r="B42" s="31"/>
      <c r="C42" s="29">
        <v>2400</v>
      </c>
      <c r="D42" s="18">
        <f>求节点(节奏总纲!$D$4:$D$163,节奏总纲!$C$4:$C$163,$C42)</f>
        <v>112.28703526556856</v>
      </c>
      <c r="E42" s="18">
        <f>IFERROR(求节点(前期规划!$C$13:$C$23,前期规划!$B$13:$B$23,D42),0)</f>
        <v>17.881172544261428</v>
      </c>
      <c r="F42" s="63">
        <f>IFERROR(求节点(前期规划!$C$28:$C$35,前期规划!D$28:D$35,$D42),0)</f>
        <v>9</v>
      </c>
      <c r="G42" s="63">
        <f>IFERROR(求节点(前期规划!$C$28:$C$35,前期规划!E$28:E$35,$D42),0)</f>
        <v>9</v>
      </c>
      <c r="H42" s="63">
        <f>IFERROR(求节点(前期规划!$C$28:$C$35,前期规划!F$28:F$35,$D42),0)</f>
        <v>27</v>
      </c>
      <c r="I42" s="63">
        <f>IFERROR(求节点(前期规划!$C$28:$C$35,前期规划!G$28:G$35,$D42),0)</f>
        <v>27</v>
      </c>
      <c r="J42" s="63">
        <f>IFERROR(求节点(前期规划!$C$28:$C$35,前期规划!H$28:H$35,$D42),0)</f>
        <v>60</v>
      </c>
      <c r="K42" s="63">
        <f>IFERROR(求节点(前期规划!$C$28:$C$35,前期规划!I$28:I$35,$D42),0)</f>
        <v>15.757069064436303</v>
      </c>
      <c r="L42" s="63">
        <f>MIN($E42-SUM(M42:$Q42),F42)</f>
        <v>0</v>
      </c>
      <c r="M42" s="63">
        <f>MIN($E42-SUM(N42:$Q42),G42)</f>
        <v>0</v>
      </c>
      <c r="N42" s="63">
        <f>MIN($E42-SUM(O42:$Q42),H42)</f>
        <v>0</v>
      </c>
      <c r="O42" s="63">
        <f>MIN($E42-SUM(P42:$Q42),I42)</f>
        <v>0</v>
      </c>
      <c r="P42" s="63">
        <f>MIN($E42-SUM(Q42:$Q42),J42)</f>
        <v>2.1241034798251253</v>
      </c>
      <c r="Q42" s="69">
        <f t="shared" si="1"/>
        <v>15.757069064436303</v>
      </c>
      <c r="R42" s="64">
        <f>活动投放!AC42+付费投放!AA42</f>
        <v>317</v>
      </c>
      <c r="S42" s="64">
        <f>活动投放!AD42+付费投放!AB42</f>
        <v>317</v>
      </c>
      <c r="T42" s="64">
        <f>活动投放!AE42+付费投放!AC42</f>
        <v>640.91999999999996</v>
      </c>
      <c r="U42" s="64">
        <f>活动投放!AF42+付费投放!AD42</f>
        <v>274.67999999999995</v>
      </c>
      <c r="V42" s="64">
        <f>活动投放!AG42+付费投放!AE42</f>
        <v>900.9</v>
      </c>
      <c r="W42" s="64">
        <f>活动投放!AH42+付费投放!AF42</f>
        <v>100.1</v>
      </c>
      <c r="X42" s="63">
        <f>MIN(IFERROR(INDEX(真品获取算法!$C$6:$C$66,MATCH(R42,真品获取算法!D$6:D$66,1)),0)+付费投放!AG42,前期规划!D$8)</f>
        <v>9</v>
      </c>
      <c r="Y42" s="63">
        <f>MIN(IFERROR(INDEX(真品获取算法!$C$6:$C$66,MATCH(S42,真品获取算法!E$6:E$66,1)),0)+付费投放!AH42,前期规划!E$8)</f>
        <v>9</v>
      </c>
      <c r="Z42" s="63">
        <f>MIN(IFERROR(INDEX(真品获取算法!$C$6:$C$66,MATCH(T42,真品获取算法!F$6:F$66,1)),0)+付费投放!AI42,前期规划!F$8)</f>
        <v>27</v>
      </c>
      <c r="AA42" s="63">
        <f>MIN(IFERROR(INDEX(真品获取算法!$C$6:$C$66,MATCH(U42,真品获取算法!G$6:G$66,1)),0)+付费投放!AJ42,前期规划!G$8)</f>
        <v>27</v>
      </c>
      <c r="AB42" s="63">
        <f>MIN(IFERROR(INDEX(真品获取算法!$C$6:$C$66,MATCH(V42,真品获取算法!H$6:H$66,1)),0)+付费投放!AK42,前期规划!H$8)</f>
        <v>60</v>
      </c>
      <c r="AC42" s="63">
        <f>MIN(IFERROR(INDEX(真品获取算法!$C$6:$C$66,MATCH(W42,真品获取算法!I$6:I$66,1)),0)+付费投放!AL42,前期规划!I$8)</f>
        <v>9.620000000000001</v>
      </c>
      <c r="AD42" s="63">
        <f t="shared" si="2"/>
        <v>1</v>
      </c>
      <c r="AE42" s="63">
        <f t="shared" si="3"/>
        <v>1</v>
      </c>
      <c r="AF42" s="63">
        <f t="shared" si="4"/>
        <v>1</v>
      </c>
      <c r="AG42" s="63">
        <f t="shared" si="5"/>
        <v>1</v>
      </c>
      <c r="AH42" s="63">
        <f t="shared" si="6"/>
        <v>1</v>
      </c>
      <c r="AI42" s="63">
        <f t="shared" si="7"/>
        <v>0.61051963157998312</v>
      </c>
      <c r="AK42" s="60">
        <f>活动投放!AF42/U42</f>
        <v>0.8289646133682832</v>
      </c>
      <c r="AL42" s="60">
        <f>付费投放!AD42/U42</f>
        <v>0.17103538663171691</v>
      </c>
      <c r="AM42" s="60">
        <f>活动投放!AH42/W42</f>
        <v>0.96903096903096908</v>
      </c>
      <c r="AN42" s="60">
        <f>付费投放!AF42/W42</f>
        <v>3.0969030969030982E-2</v>
      </c>
      <c r="AO42" s="60">
        <f>IFERROR(INDEX(真品获取算法!$C$6:$C$66,MATCH(U42,真品获取算法!G$6:G$66,1)),0)*AK42/(IFERROR(INDEX(真品获取算法!$C$6:$C$66,MATCH(U42,真品获取算法!G$6:G$66,1)),0)+付费投放!AJ42)</f>
        <v>0.79649223753050125</v>
      </c>
      <c r="AP42" s="60">
        <f>(付费投放!AJ42+IFERROR(INDEX(真品获取算法!$C$6:$C$66,MATCH(U42,真品获取算法!G$6:G$66,1)),0)*AL42)/(IFERROR(INDEX(真品获取算法!$C$6:$C$66,MATCH(U42,真品获取算法!G$6:G$66,1)),0)+付费投放!AJ42)</f>
        <v>0.20350776246949889</v>
      </c>
      <c r="AQ42" s="60">
        <f>IFERROR(INDEX(真品获取算法!$C$6:$C$66,MATCH(W42,真品获取算法!I$6:I$66,1)),0)*AM42/(IFERROR(INDEX(真品获取算法!$C$6:$C$66,MATCH(W42,真品获取算法!I$6:I$66,1)),0)+付费投放!AL42)</f>
        <v>0.90657782965475275</v>
      </c>
      <c r="AR42" s="60">
        <f>(付费投放!AL42+IFERROR(INDEX(真品获取算法!$C$6:$C$66,MATCH(W42,真品获取算法!I$6:I$66,1)),0)*AN42)/(IFERROR(INDEX(真品获取算法!$C$6:$C$66,MATCH(W42,真品获取算法!I$6:I$66,1)),0)+付费投放!AL42)</f>
        <v>9.3422170345247288E-2</v>
      </c>
    </row>
    <row r="43" spans="2:44" s="30" customFormat="1" x14ac:dyDescent="0.15">
      <c r="B43" s="31"/>
      <c r="C43" s="29">
        <v>2700</v>
      </c>
      <c r="D43" s="18">
        <f>求节点(节奏总纲!$D$4:$D$163,节奏总纲!$C$4:$C$163,$C43)</f>
        <v>113.99252797204601</v>
      </c>
      <c r="E43" s="18">
        <f>IFERROR(求节点(前期规划!$C$13:$C$23,前期规划!$B$13:$B$23,D43),0)</f>
        <v>18.152696611084</v>
      </c>
      <c r="F43" s="63">
        <f>IFERROR(求节点(前期规划!$C$28:$C$35,前期规划!D$28:D$35,$D43),0)</f>
        <v>9</v>
      </c>
      <c r="G43" s="63">
        <f>IFERROR(求节点(前期规划!$C$28:$C$35,前期规划!E$28:E$35,$D43),0)</f>
        <v>9</v>
      </c>
      <c r="H43" s="63">
        <f>IFERROR(求节点(前期规划!$C$28:$C$35,前期规划!F$28:F$35,$D43),0)</f>
        <v>27</v>
      </c>
      <c r="I43" s="63">
        <f>IFERROR(求节点(前期规划!$C$28:$C$35,前期规划!G$28:G$35,$D43),0)</f>
        <v>27</v>
      </c>
      <c r="J43" s="63">
        <f>IFERROR(求节点(前期规划!$C$28:$C$35,前期规划!H$28:H$35,$D43),0)</f>
        <v>60</v>
      </c>
      <c r="K43" s="63">
        <f>IFERROR(求节点(前期规划!$C$28:$C$35,前期规划!I$28:I$35,$D43),0)</f>
        <v>17.338525937715389</v>
      </c>
      <c r="L43" s="63">
        <f>MIN($E43-SUM(M43:$Q43),F43)</f>
        <v>0</v>
      </c>
      <c r="M43" s="63">
        <f>MIN($E43-SUM(N43:$Q43),G43)</f>
        <v>0</v>
      </c>
      <c r="N43" s="63">
        <f>MIN($E43-SUM(O43:$Q43),H43)</f>
        <v>0</v>
      </c>
      <c r="O43" s="63">
        <f>MIN($E43-SUM(P43:$Q43),I43)</f>
        <v>0</v>
      </c>
      <c r="P43" s="63">
        <f>MIN($E43-SUM(Q43:$Q43),J43)</f>
        <v>0.81417067336861138</v>
      </c>
      <c r="Q43" s="69">
        <f t="shared" si="1"/>
        <v>17.338525937715389</v>
      </c>
      <c r="R43" s="64">
        <f>活动投放!AC43+付费投放!AA43</f>
        <v>357</v>
      </c>
      <c r="S43" s="64">
        <f>活动投放!AD43+付费投放!AB43</f>
        <v>357</v>
      </c>
      <c r="T43" s="64">
        <f>活动投放!AE43+付费投放!AC43</f>
        <v>724.92</v>
      </c>
      <c r="U43" s="64">
        <f>活动投放!AF43+付费投放!AD43</f>
        <v>310.67999999999995</v>
      </c>
      <c r="V43" s="64">
        <f>活动投放!AG43+付费投放!AE43</f>
        <v>1084.5</v>
      </c>
      <c r="W43" s="64">
        <f>活动投放!AH43+付费投放!AF43</f>
        <v>120.5</v>
      </c>
      <c r="X43" s="63">
        <f>MIN(IFERROR(INDEX(真品获取算法!$C$6:$C$66,MATCH(R43,真品获取算法!D$6:D$66,1)),0)+付费投放!AG43,前期规划!D$8)</f>
        <v>9</v>
      </c>
      <c r="Y43" s="63">
        <f>MIN(IFERROR(INDEX(真品获取算法!$C$6:$C$66,MATCH(S43,真品获取算法!E$6:E$66,1)),0)+付费投放!AH43,前期规划!E$8)</f>
        <v>9</v>
      </c>
      <c r="Z43" s="63">
        <f>MIN(IFERROR(INDEX(真品获取算法!$C$6:$C$66,MATCH(T43,真品获取算法!F$6:F$66,1)),0)+付费投放!AI43,前期规划!F$8)</f>
        <v>27</v>
      </c>
      <c r="AA43" s="63">
        <f>MIN(IFERROR(INDEX(真品获取算法!$C$6:$C$66,MATCH(U43,真品获取算法!G$6:G$66,1)),0)+付费投放!AJ43,前期规划!G$8)</f>
        <v>27</v>
      </c>
      <c r="AB43" s="63">
        <f>MIN(IFERROR(INDEX(真品获取算法!$C$6:$C$66,MATCH(V43,真品获取算法!H$6:H$66,1)),0)+付费投放!AK43,前期规划!H$8)</f>
        <v>60</v>
      </c>
      <c r="AC43" s="63">
        <f>MIN(IFERROR(INDEX(真品获取算法!$C$6:$C$66,MATCH(W43,真品获取算法!I$6:I$66,1)),0)+付费投放!AL43,前期规划!I$8)</f>
        <v>11.7</v>
      </c>
      <c r="AD43" s="63">
        <f t="shared" si="2"/>
        <v>1</v>
      </c>
      <c r="AE43" s="63">
        <f t="shared" si="3"/>
        <v>1</v>
      </c>
      <c r="AF43" s="63">
        <f t="shared" si="4"/>
        <v>1</v>
      </c>
      <c r="AG43" s="63">
        <f t="shared" si="5"/>
        <v>1</v>
      </c>
      <c r="AH43" s="63">
        <f t="shared" si="6"/>
        <v>1</v>
      </c>
      <c r="AI43" s="63">
        <f t="shared" si="7"/>
        <v>0.67479784856160907</v>
      </c>
      <c r="AK43" s="60">
        <f>活动投放!AF43/U43</f>
        <v>0.8294708381614524</v>
      </c>
      <c r="AL43" s="60">
        <f>付费投放!AD43/U43</f>
        <v>0.17052916183854769</v>
      </c>
      <c r="AM43" s="60">
        <f>活动投放!AH43/W43</f>
        <v>0.97095435684647302</v>
      </c>
      <c r="AN43" s="60">
        <f>付费投放!AF43/W43</f>
        <v>2.9045643153526979E-2</v>
      </c>
      <c r="AO43" s="60">
        <f>IFERROR(INDEX(真品获取算法!$C$6:$C$66,MATCH(U43,真品获取算法!G$6:G$66,1)),0)*AK43/(IFERROR(INDEX(真品获取算法!$C$6:$C$66,MATCH(U43,真品获取算法!G$6:G$66,1)),0)+付费投放!AJ43)</f>
        <v>0.79307091660447759</v>
      </c>
      <c r="AP43" s="60">
        <f>(付费投放!AJ43+IFERROR(INDEX(真品获取算法!$C$6:$C$66,MATCH(U43,真品获取算法!G$6:G$66,1)),0)*AL43)/(IFERROR(INDEX(真品获取算法!$C$6:$C$66,MATCH(U43,真品获取算法!G$6:G$66,1)),0)+付费投放!AJ43)</f>
        <v>0.20692908339552241</v>
      </c>
      <c r="AQ43" s="60">
        <f>IFERROR(INDEX(真品获取算法!$C$6:$C$66,MATCH(W43,真品获取算法!I$6:I$66,1)),0)*AM43/(IFERROR(INDEX(真品获取算法!$C$6:$C$66,MATCH(W43,真品获取算法!I$6:I$66,1)),0)+付费投放!AL43)</f>
        <v>0.91286307053941906</v>
      </c>
      <c r="AR43" s="60">
        <f>(付费投放!AL43+IFERROR(INDEX(真品获取算法!$C$6:$C$66,MATCH(W43,真品获取算法!I$6:I$66,1)),0)*AN43)/(IFERROR(INDEX(真品获取算法!$C$6:$C$66,MATCH(W43,真品获取算法!I$6:I$66,1)),0)+付费投放!AL43)</f>
        <v>8.713692946058095E-2</v>
      </c>
    </row>
    <row r="44" spans="2:44" s="30" customFormat="1" x14ac:dyDescent="0.15">
      <c r="B44" s="31"/>
      <c r="C44" s="29">
        <v>3000</v>
      </c>
      <c r="D44" s="18">
        <f>求节点(节奏总纲!$D$4:$D$163,节奏总纲!$C$4:$C$163,$C44)</f>
        <v>115.50361532953012</v>
      </c>
      <c r="E44" s="18">
        <f>IFERROR(求节点(前期规划!$C$13:$C$23,前期规划!$B$13:$B$23,D44),0)</f>
        <v>18.385171589158482</v>
      </c>
      <c r="F44" s="63">
        <f>IFERROR(求节点(前期规划!$C$28:$C$35,前期规划!D$28:D$35,$D44),0)</f>
        <v>9</v>
      </c>
      <c r="G44" s="63">
        <f>IFERROR(求节点(前期规划!$C$28:$C$35,前期规划!E$28:E$35,$D44),0)</f>
        <v>9</v>
      </c>
      <c r="H44" s="63">
        <f>IFERROR(求节点(前期规划!$C$28:$C$35,前期规划!F$28:F$35,$D44),0)</f>
        <v>27</v>
      </c>
      <c r="I44" s="63">
        <f>IFERROR(求节点(前期规划!$C$28:$C$35,前期规划!G$28:G$35,$D44),0)</f>
        <v>27</v>
      </c>
      <c r="J44" s="63">
        <f>IFERROR(求节点(前期规划!$C$28:$C$35,前期规划!H$28:H$35,$D44),0)</f>
        <v>60</v>
      </c>
      <c r="K44" s="63">
        <f>IFERROR(求节点(前期规划!$C$28:$C$35,前期规划!I$28:I$35,$D44),0)</f>
        <v>18.73971603283702</v>
      </c>
      <c r="L44" s="63">
        <f>MIN($E44-SUM(M44:$Q44),F44)</f>
        <v>0</v>
      </c>
      <c r="M44" s="63">
        <f>MIN($E44-SUM(N44:$Q44),G44)</f>
        <v>0</v>
      </c>
      <c r="N44" s="63">
        <f>MIN($E44-SUM(O44:$Q44),H44)</f>
        <v>0</v>
      </c>
      <c r="O44" s="63">
        <f>MIN($E44-SUM(P44:$Q44),I44)</f>
        <v>0</v>
      </c>
      <c r="P44" s="63">
        <f>MIN($E44-SUM(Q44:$Q44),J44)</f>
        <v>0</v>
      </c>
      <c r="Q44" s="69">
        <f t="shared" si="1"/>
        <v>18.385171589158482</v>
      </c>
      <c r="R44" s="64">
        <f>活动投放!AC44+付费投放!AA44</f>
        <v>397</v>
      </c>
      <c r="S44" s="64">
        <f>活动投放!AD44+付费投放!AB44</f>
        <v>397</v>
      </c>
      <c r="T44" s="64">
        <f>活动投放!AE44+付费投放!AC44</f>
        <v>808.92</v>
      </c>
      <c r="U44" s="64">
        <f>活动投放!AF44+付费投放!AD44</f>
        <v>346.67999999999995</v>
      </c>
      <c r="V44" s="64">
        <f>活动投放!AG44+付费投放!AE44</f>
        <v>1286.0999999999999</v>
      </c>
      <c r="W44" s="64">
        <f>活动投放!AH44+付费投放!AF44</f>
        <v>142.9</v>
      </c>
      <c r="X44" s="63">
        <f>MIN(IFERROR(INDEX(真品获取算法!$C$6:$C$66,MATCH(R44,真品获取算法!D$6:D$66,1)),0)+付费投放!AG44,前期规划!D$8)</f>
        <v>9</v>
      </c>
      <c r="Y44" s="63">
        <f>MIN(IFERROR(INDEX(真品获取算法!$C$6:$C$66,MATCH(S44,真品获取算法!E$6:E$66,1)),0)+付费投放!AH44,前期规划!E$8)</f>
        <v>9</v>
      </c>
      <c r="Z44" s="63">
        <f>MIN(IFERROR(INDEX(真品获取算法!$C$6:$C$66,MATCH(T44,真品获取算法!F$6:F$66,1)),0)+付费投放!AI44,前期规划!F$8)</f>
        <v>27</v>
      </c>
      <c r="AA44" s="63">
        <f>MIN(IFERROR(INDEX(真品获取算法!$C$6:$C$66,MATCH(U44,真品获取算法!G$6:G$66,1)),0)+付费投放!AJ44,前期规划!G$8)</f>
        <v>27</v>
      </c>
      <c r="AB44" s="63">
        <f>MIN(IFERROR(INDEX(真品获取算法!$C$6:$C$66,MATCH(V44,真品获取算法!H$6:H$66,1)),0)+付费投放!AK44,前期规划!H$8)</f>
        <v>60</v>
      </c>
      <c r="AC44" s="63">
        <f>MIN(IFERROR(INDEX(真品获取算法!$C$6:$C$66,MATCH(W44,真品获取算法!I$6:I$66,1)),0)+付费投放!AL44,前期规划!I$8)</f>
        <v>12.78</v>
      </c>
      <c r="AD44" s="63">
        <f t="shared" si="2"/>
        <v>1</v>
      </c>
      <c r="AE44" s="63">
        <f t="shared" si="3"/>
        <v>1</v>
      </c>
      <c r="AF44" s="63">
        <f t="shared" si="4"/>
        <v>1</v>
      </c>
      <c r="AG44" s="63">
        <f t="shared" si="5"/>
        <v>1</v>
      </c>
      <c r="AH44" s="63">
        <f t="shared" si="6"/>
        <v>1</v>
      </c>
      <c r="AI44" s="63">
        <f t="shared" si="7"/>
        <v>0.68197404793146299</v>
      </c>
      <c r="AK44" s="60">
        <f>活动投放!AF44/U44</f>
        <v>0.82987192800276921</v>
      </c>
      <c r="AL44" s="60">
        <f>付费投放!AD44/U44</f>
        <v>0.17012807199723087</v>
      </c>
      <c r="AM44" s="60">
        <f>活动投放!AH44/W44</f>
        <v>0.97270818754373689</v>
      </c>
      <c r="AN44" s="60">
        <f>付费投放!AF44/W44</f>
        <v>2.7291812456263127E-2</v>
      </c>
      <c r="AO44" s="60">
        <f>IFERROR(INDEX(真品获取算法!$C$6:$C$66,MATCH(U44,真品获取算法!G$6:G$66,1)),0)*AK44/(IFERROR(INDEX(真品获取算法!$C$6:$C$66,MATCH(U44,真品获取算法!G$6:G$66,1)),0)+付费投放!AJ44)</f>
        <v>0.78958295174696258</v>
      </c>
      <c r="AP44" s="60">
        <f>(付费投放!AJ44+IFERROR(INDEX(真品获取算法!$C$6:$C$66,MATCH(U44,真品获取算法!G$6:G$66,1)),0)*AL44)/(IFERROR(INDEX(真品获取算法!$C$6:$C$66,MATCH(U44,真品获取算法!G$6:G$66,1)),0)+付费投放!AJ44)</f>
        <v>0.21041704825303739</v>
      </c>
      <c r="AQ44" s="60">
        <f>IFERROR(INDEX(真品获取算法!$C$6:$C$66,MATCH(W44,真品获取算法!I$6:I$66,1)),0)*AM44/(IFERROR(INDEX(真品获取算法!$C$6:$C$66,MATCH(W44,真品获取算法!I$6:I$66,1)),0)+付费投放!AL44)</f>
        <v>0.91334102116782812</v>
      </c>
      <c r="AR44" s="60">
        <f>(付费投放!AL44+IFERROR(INDEX(真品获取算法!$C$6:$C$66,MATCH(W44,真品获取算法!I$6:I$66,1)),0)*AN44)/(IFERROR(INDEX(真品获取算法!$C$6:$C$66,MATCH(W44,真品获取算法!I$6:I$66,1)),0)+付费投放!AL44)</f>
        <v>8.6658978832171954E-2</v>
      </c>
    </row>
    <row r="45" spans="2:44" s="30" customFormat="1" x14ac:dyDescent="0.15">
      <c r="B45" s="31"/>
      <c r="C45" s="29">
        <v>3300</v>
      </c>
      <c r="D45" s="18">
        <f>求节点(节奏总纲!$D$4:$D$163,节奏总纲!$C$4:$C$163,$C45)</f>
        <v>116.88336617936118</v>
      </c>
      <c r="E45" s="18">
        <f>IFERROR(求节点(前期规划!$C$13:$C$23,前期规划!$B$13:$B$23,D45),0)</f>
        <v>18.597440950670951</v>
      </c>
      <c r="F45" s="63">
        <f>IFERROR(求节点(前期规划!$C$28:$C$35,前期规划!D$28:D$35,$D45),0)</f>
        <v>9</v>
      </c>
      <c r="G45" s="63">
        <f>IFERROR(求节点(前期规划!$C$28:$C$35,前期规划!E$28:E$35,$D45),0)</f>
        <v>9</v>
      </c>
      <c r="H45" s="63">
        <f>IFERROR(求节点(前期规划!$C$28:$C$35,前期规划!F$28:F$35,$D45),0)</f>
        <v>27</v>
      </c>
      <c r="I45" s="63">
        <f>IFERROR(求节点(前期规划!$C$28:$C$35,前期规划!G$28:G$35,$D45),0)</f>
        <v>27</v>
      </c>
      <c r="J45" s="63">
        <f>IFERROR(求节点(前期规划!$C$28:$C$35,前期规划!H$28:H$35,$D45),0)</f>
        <v>60</v>
      </c>
      <c r="K45" s="63">
        <f>IFERROR(求节点(前期规划!$C$28:$C$35,前期规划!I$28:I$35,$D45),0)</f>
        <v>20.019121366316725</v>
      </c>
      <c r="L45" s="63">
        <f>MIN($E45-SUM(M45:$Q45),F45)</f>
        <v>0</v>
      </c>
      <c r="M45" s="63">
        <f>MIN($E45-SUM(N45:$Q45),G45)</f>
        <v>0</v>
      </c>
      <c r="N45" s="63">
        <f>MIN($E45-SUM(O45:$Q45),H45)</f>
        <v>0</v>
      </c>
      <c r="O45" s="63">
        <f>MIN($E45-SUM(P45:$Q45),I45)</f>
        <v>0</v>
      </c>
      <c r="P45" s="63">
        <f>MIN($E45-SUM(Q45:$Q45),J45)</f>
        <v>0</v>
      </c>
      <c r="Q45" s="69">
        <f t="shared" si="1"/>
        <v>18.597440950670951</v>
      </c>
      <c r="R45" s="64">
        <f>活动投放!AC45+付费投放!AA45</f>
        <v>437</v>
      </c>
      <c r="S45" s="64">
        <f>活动投放!AD45+付费投放!AB45</f>
        <v>437</v>
      </c>
      <c r="T45" s="64">
        <f>活动投放!AE45+付费投放!AC45</f>
        <v>892.92</v>
      </c>
      <c r="U45" s="64">
        <f>活动投放!AF45+付费投放!AD45</f>
        <v>382.67999999999995</v>
      </c>
      <c r="V45" s="64">
        <f>活动投放!AG45+付费投放!AE45</f>
        <v>1487.7</v>
      </c>
      <c r="W45" s="64">
        <f>活动投放!AH45+付费投放!AF45</f>
        <v>165.3</v>
      </c>
      <c r="X45" s="63">
        <f>MIN(IFERROR(INDEX(真品获取算法!$C$6:$C$66,MATCH(R45,真品获取算法!D$6:D$66,1)),0)+付费投放!AG45,前期规划!D$8)</f>
        <v>9</v>
      </c>
      <c r="Y45" s="63">
        <f>MIN(IFERROR(INDEX(真品获取算法!$C$6:$C$66,MATCH(S45,真品获取算法!E$6:E$66,1)),0)+付费投放!AH45,前期规划!E$8)</f>
        <v>9</v>
      </c>
      <c r="Z45" s="63">
        <f>MIN(IFERROR(INDEX(真品获取算法!$C$6:$C$66,MATCH(T45,真品获取算法!F$6:F$66,1)),0)+付费投放!AI45,前期规划!F$8)</f>
        <v>27</v>
      </c>
      <c r="AA45" s="63">
        <f>MIN(IFERROR(INDEX(真品获取算法!$C$6:$C$66,MATCH(U45,真品获取算法!G$6:G$66,1)),0)+付费投放!AJ45,前期规划!G$8)</f>
        <v>27</v>
      </c>
      <c r="AB45" s="63">
        <f>MIN(IFERROR(INDEX(真品获取算法!$C$6:$C$66,MATCH(V45,真品获取算法!H$6:H$66,1)),0)+付费投放!AK45,前期规划!H$8)</f>
        <v>60</v>
      </c>
      <c r="AC45" s="63">
        <f>MIN(IFERROR(INDEX(真品获取算法!$C$6:$C$66,MATCH(W45,真品获取算法!I$6:I$66,1)),0)+付费投放!AL45,前期规划!I$8)</f>
        <v>14.86</v>
      </c>
      <c r="AD45" s="63">
        <f t="shared" si="2"/>
        <v>1</v>
      </c>
      <c r="AE45" s="63">
        <f t="shared" si="3"/>
        <v>1</v>
      </c>
      <c r="AF45" s="63">
        <f t="shared" si="4"/>
        <v>1</v>
      </c>
      <c r="AG45" s="63">
        <f t="shared" si="5"/>
        <v>1</v>
      </c>
      <c r="AH45" s="63">
        <f t="shared" si="6"/>
        <v>1</v>
      </c>
      <c r="AI45" s="63">
        <f t="shared" si="7"/>
        <v>0.74229031974414061</v>
      </c>
      <c r="AK45" s="60">
        <f>活动投放!AF45/U45</f>
        <v>0.83019755409219198</v>
      </c>
      <c r="AL45" s="60">
        <f>付费投放!AD45/U45</f>
        <v>0.16980244590780808</v>
      </c>
      <c r="AM45" s="60">
        <f>活动投放!AH45/W45</f>
        <v>0.97398669086509371</v>
      </c>
      <c r="AN45" s="60">
        <f>付费投放!AF45/W45</f>
        <v>2.6013309134906234E-2</v>
      </c>
      <c r="AO45" s="60">
        <f>IFERROR(INDEX(真品获取算法!$C$6:$C$66,MATCH(U45,真品获取算法!G$6:G$66,1)),0)*AK45/(IFERROR(INDEX(真品获取算法!$C$6:$C$66,MATCH(U45,真品获取算法!G$6:G$66,1)),0)+付费投放!AJ45)</f>
        <v>0.78760836122590239</v>
      </c>
      <c r="AP45" s="60">
        <f>(付费投放!AJ45+IFERROR(INDEX(真品获取算法!$C$6:$C$66,MATCH(U45,真品获取算法!G$6:G$66,1)),0)*AL45)/(IFERROR(INDEX(真品获取算法!$C$6:$C$66,MATCH(U45,真品获取算法!G$6:G$66,1)),0)+付费投放!AJ45)</f>
        <v>0.21239163877409761</v>
      </c>
      <c r="AQ45" s="60">
        <f>IFERROR(INDEX(真品获取算法!$C$6:$C$66,MATCH(W45,真品获取算法!I$6:I$66,1)),0)*AM45/(IFERROR(INDEX(真品获取算法!$C$6:$C$66,MATCH(W45,真品获取算法!I$6:I$66,1)),0)+付费投放!AL45)</f>
        <v>0.91761868587559303</v>
      </c>
      <c r="AR45" s="60">
        <f>(付费投放!AL45+IFERROR(INDEX(真品获取算法!$C$6:$C$66,MATCH(W45,真品获取算法!I$6:I$66,1)),0)*AN45)/(IFERROR(INDEX(真品获取算法!$C$6:$C$66,MATCH(W45,真品获取算法!I$6:I$66,1)),0)+付费投放!AL45)</f>
        <v>8.2381314124406954E-2</v>
      </c>
    </row>
    <row r="46" spans="2:44" s="30" customFormat="1" x14ac:dyDescent="0.15">
      <c r="B46" s="31"/>
      <c r="C46" s="29">
        <v>3600</v>
      </c>
      <c r="D46" s="18">
        <f>求节点(节奏总纲!$D$4:$D$163,节奏总纲!$C$4:$C$163,$C46)</f>
        <v>118.13763593334991</v>
      </c>
      <c r="E46" s="18">
        <f>IFERROR(求节点(前期规划!$C$13:$C$23,前期规划!$B$13:$B$23,D46),0)</f>
        <v>18.790405528207678</v>
      </c>
      <c r="F46" s="63">
        <f>IFERROR(求节点(前期规划!$C$28:$C$35,前期规划!D$28:D$35,$D46),0)</f>
        <v>9</v>
      </c>
      <c r="G46" s="63">
        <f>IFERROR(求节点(前期规划!$C$28:$C$35,前期规划!E$28:E$35,$D46),0)</f>
        <v>9</v>
      </c>
      <c r="H46" s="63">
        <f>IFERROR(求节点(前期规划!$C$28:$C$35,前期规划!F$28:F$35,$D46),0)</f>
        <v>27</v>
      </c>
      <c r="I46" s="63">
        <f>IFERROR(求节点(前期规划!$C$28:$C$35,前期规划!G$28:G$35,$D46),0)</f>
        <v>27</v>
      </c>
      <c r="J46" s="63">
        <f>IFERROR(求节点(前期规划!$C$28:$C$35,前期规划!H$28:H$35,$D46),0)</f>
        <v>60</v>
      </c>
      <c r="K46" s="63">
        <f>IFERROR(求节点(前期规划!$C$28:$C$35,前期规划!I$28:I$35,$D46),0)</f>
        <v>21.182171501833555</v>
      </c>
      <c r="L46" s="63">
        <f>MIN($E46-SUM(M46:$Q46),F46)</f>
        <v>0</v>
      </c>
      <c r="M46" s="63">
        <f>MIN($E46-SUM(N46:$Q46),G46)</f>
        <v>0</v>
      </c>
      <c r="N46" s="63">
        <f>MIN($E46-SUM(O46:$Q46),H46)</f>
        <v>0</v>
      </c>
      <c r="O46" s="63">
        <f>MIN($E46-SUM(P46:$Q46),I46)</f>
        <v>0</v>
      </c>
      <c r="P46" s="63">
        <f>MIN($E46-SUM(Q46:$Q46),J46)</f>
        <v>0</v>
      </c>
      <c r="Q46" s="69">
        <f t="shared" si="1"/>
        <v>18.790405528207678</v>
      </c>
      <c r="R46" s="64">
        <f>活动投放!AC46+付费投放!AA46</f>
        <v>477</v>
      </c>
      <c r="S46" s="64">
        <f>活动投放!AD46+付费投放!AB46</f>
        <v>477</v>
      </c>
      <c r="T46" s="64">
        <f>活动投放!AE46+付费投放!AC46</f>
        <v>976.92</v>
      </c>
      <c r="U46" s="64">
        <f>活动投放!AF46+付费投放!AD46</f>
        <v>418.67999999999995</v>
      </c>
      <c r="V46" s="64">
        <f>活动投放!AG46+付费投放!AE46</f>
        <v>1707.3</v>
      </c>
      <c r="W46" s="64">
        <f>活动投放!AH46+付费投放!AF46</f>
        <v>189.7</v>
      </c>
      <c r="X46" s="63">
        <f>MIN(IFERROR(INDEX(真品获取算法!$C$6:$C$66,MATCH(R46,真品获取算法!D$6:D$66,1)),0)+付费投放!AG46,前期规划!D$8)</f>
        <v>9</v>
      </c>
      <c r="Y46" s="63">
        <f>MIN(IFERROR(INDEX(真品获取算法!$C$6:$C$66,MATCH(S46,真品获取算法!E$6:E$66,1)),0)+付费投放!AH46,前期规划!E$8)</f>
        <v>9</v>
      </c>
      <c r="Z46" s="63">
        <f>MIN(IFERROR(INDEX(真品获取算法!$C$6:$C$66,MATCH(T46,真品获取算法!F$6:F$66,1)),0)+付费投放!AI46,前期规划!F$8)</f>
        <v>27</v>
      </c>
      <c r="AA46" s="63">
        <f>MIN(IFERROR(INDEX(真品获取算法!$C$6:$C$66,MATCH(U46,真品获取算法!G$6:G$66,1)),0)+付费投放!AJ46,前期规划!G$8)</f>
        <v>27</v>
      </c>
      <c r="AB46" s="63">
        <f>MIN(IFERROR(INDEX(真品获取算法!$C$6:$C$66,MATCH(V46,真品获取算法!H$6:H$66,1)),0)+付费投放!AK46,前期规划!H$8)</f>
        <v>60</v>
      </c>
      <c r="AC46" s="63">
        <f>MIN(IFERROR(INDEX(真品获取算法!$C$6:$C$66,MATCH(W46,真品获取算法!I$6:I$66,1)),0)+付费投放!AL46,前期规划!I$8)</f>
        <v>16.940000000000001</v>
      </c>
      <c r="AD46" s="63">
        <f t="shared" si="2"/>
        <v>1</v>
      </c>
      <c r="AE46" s="63">
        <f t="shared" si="3"/>
        <v>1</v>
      </c>
      <c r="AF46" s="63">
        <f t="shared" si="4"/>
        <v>1</v>
      </c>
      <c r="AG46" s="63">
        <f t="shared" si="5"/>
        <v>1</v>
      </c>
      <c r="AH46" s="63">
        <f t="shared" si="6"/>
        <v>1</v>
      </c>
      <c r="AI46" s="63">
        <f t="shared" si="7"/>
        <v>0.79972914951300689</v>
      </c>
      <c r="AK46" s="60">
        <f>活动投放!AF46/U46</f>
        <v>0.83046718257380348</v>
      </c>
      <c r="AL46" s="60">
        <f>付费投放!AD46/U46</f>
        <v>0.16953281742619661</v>
      </c>
      <c r="AM46" s="60">
        <f>活动投放!AH46/W46</f>
        <v>0.97522403795466528</v>
      </c>
      <c r="AN46" s="60">
        <f>付费投放!AF46/W46</f>
        <v>2.4775962045334745E-2</v>
      </c>
      <c r="AO46" s="60">
        <f>IFERROR(INDEX(真品获取算法!$C$6:$C$66,MATCH(U46,真品获取算法!G$6:G$66,1)),0)*AK46/(IFERROR(INDEX(真品获取算法!$C$6:$C$66,MATCH(U46,真品获取算法!G$6:G$66,1)),0)+付费投放!AJ46)</f>
        <v>0.7841902749880868</v>
      </c>
      <c r="AP46" s="60">
        <f>(付费投放!AJ46+IFERROR(INDEX(真品获取算法!$C$6:$C$66,MATCH(U46,真品获取算法!G$6:G$66,1)),0)*AL46)/(IFERROR(INDEX(真品获取算法!$C$6:$C$66,MATCH(U46,真品获取算法!G$6:G$66,1)),0)+付费投放!AJ46)</f>
        <v>0.21580972501191331</v>
      </c>
      <c r="AQ46" s="60">
        <f>IFERROR(INDEX(真品获取算法!$C$6:$C$66,MATCH(W46,真品获取算法!I$6:I$66,1)),0)*AM46/(IFERROR(INDEX(真品获取算法!$C$6:$C$66,MATCH(W46,真品获取算法!I$6:I$66,1)),0)+付费投放!AL46)</f>
        <v>0.92110889063014423</v>
      </c>
      <c r="AR46" s="60">
        <f>(付费投放!AL46+IFERROR(INDEX(真品获取算法!$C$6:$C$66,MATCH(W46,真品获取算法!I$6:I$66,1)),0)*AN46)/(IFERROR(INDEX(真品获取算法!$C$6:$C$66,MATCH(W46,真品获取算法!I$6:I$66,1)),0)+付费投放!AL46)</f>
        <v>7.8891109369855716E-2</v>
      </c>
    </row>
    <row r="47" spans="2:44" s="30" customFormat="1" x14ac:dyDescent="0.15">
      <c r="B47" s="31"/>
      <c r="C47" s="29">
        <v>3900</v>
      </c>
      <c r="D47" s="18">
        <f>求节点(节奏总纲!$D$4:$D$163,节奏总纲!$C$4:$C$163,$C47)</f>
        <v>119.28909140534228</v>
      </c>
      <c r="E47" s="18">
        <f>IFERROR(求节点(前期规划!$C$13:$C$23,前期规划!$B$13:$B$23,D47),0)</f>
        <v>18.96755252389881</v>
      </c>
      <c r="F47" s="63">
        <f>IFERROR(求节点(前期规划!$C$28:$C$35,前期规划!D$28:D$35,$D47),0)</f>
        <v>9</v>
      </c>
      <c r="G47" s="63">
        <f>IFERROR(求节点(前期规划!$C$28:$C$35,前期规划!E$28:E$35,$D47),0)</f>
        <v>9</v>
      </c>
      <c r="H47" s="63">
        <f>IFERROR(求节点(前期规划!$C$28:$C$35,前期规划!F$28:F$35,$D47),0)</f>
        <v>27</v>
      </c>
      <c r="I47" s="63">
        <f>IFERROR(求节点(前期规划!$C$28:$C$35,前期规划!G$28:G$35,$D47),0)</f>
        <v>27</v>
      </c>
      <c r="J47" s="63">
        <f>IFERROR(求节点(前期规划!$C$28:$C$35,前期规划!H$28:H$35,$D47),0)</f>
        <v>60</v>
      </c>
      <c r="K47" s="63">
        <f>IFERROR(求节点(前期规划!$C$28:$C$35,前期规划!I$28:I$35,$D47),0)</f>
        <v>22.24988475768102</v>
      </c>
      <c r="L47" s="63">
        <f>MIN($E47-SUM(M47:$Q47),F47)</f>
        <v>0</v>
      </c>
      <c r="M47" s="63">
        <f>MIN($E47-SUM(N47:$Q47),G47)</f>
        <v>0</v>
      </c>
      <c r="N47" s="63">
        <f>MIN($E47-SUM(O47:$Q47),H47)</f>
        <v>0</v>
      </c>
      <c r="O47" s="63">
        <f>MIN($E47-SUM(P47:$Q47),I47)</f>
        <v>0</v>
      </c>
      <c r="P47" s="63">
        <f>MIN($E47-SUM(Q47:$Q47),J47)</f>
        <v>0</v>
      </c>
      <c r="Q47" s="69">
        <f t="shared" si="1"/>
        <v>18.96755252389881</v>
      </c>
      <c r="R47" s="64">
        <f>活动投放!AC47+付费投放!AA47</f>
        <v>517</v>
      </c>
      <c r="S47" s="64">
        <f>活动投放!AD47+付费投放!AB47</f>
        <v>517</v>
      </c>
      <c r="T47" s="64">
        <f>活动投放!AE47+付费投放!AC47</f>
        <v>1060.92</v>
      </c>
      <c r="U47" s="64">
        <f>活动投放!AF47+付费投放!AD47</f>
        <v>454.67999999999995</v>
      </c>
      <c r="V47" s="64">
        <f>活动投放!AG47+付费投放!AE47</f>
        <v>1926.9</v>
      </c>
      <c r="W47" s="64">
        <f>活动投放!AH47+付费投放!AF47</f>
        <v>214.1</v>
      </c>
      <c r="X47" s="63">
        <f>MIN(IFERROR(INDEX(真品获取算法!$C$6:$C$66,MATCH(R47,真品获取算法!D$6:D$66,1)),0)+付费投放!AG47,前期规划!D$8)</f>
        <v>9</v>
      </c>
      <c r="Y47" s="63">
        <f>MIN(IFERROR(INDEX(真品获取算法!$C$6:$C$66,MATCH(S47,真品获取算法!E$6:E$66,1)),0)+付费投放!AH47,前期规划!E$8)</f>
        <v>9</v>
      </c>
      <c r="Z47" s="63">
        <f>MIN(IFERROR(INDEX(真品获取算法!$C$6:$C$66,MATCH(T47,真品获取算法!F$6:F$66,1)),0)+付费投放!AI47,前期规划!F$8)</f>
        <v>27</v>
      </c>
      <c r="AA47" s="63">
        <f>MIN(IFERROR(INDEX(真品获取算法!$C$6:$C$66,MATCH(U47,真品获取算法!G$6:G$66,1)),0)+付费投放!AJ47,前期规划!G$8)</f>
        <v>27</v>
      </c>
      <c r="AB47" s="63">
        <f>MIN(IFERROR(INDEX(真品获取算法!$C$6:$C$66,MATCH(V47,真品获取算法!H$6:H$66,1)),0)+付费投放!AK47,前期规划!H$8)</f>
        <v>60</v>
      </c>
      <c r="AC47" s="63">
        <f>MIN(IFERROR(INDEX(真品获取算法!$C$6:$C$66,MATCH(W47,真品获取算法!I$6:I$66,1)),0)+付费投放!AL47,前期规划!I$8)</f>
        <v>19.02</v>
      </c>
      <c r="AD47" s="63">
        <f t="shared" si="2"/>
        <v>1</v>
      </c>
      <c r="AE47" s="63">
        <f t="shared" si="3"/>
        <v>1</v>
      </c>
      <c r="AF47" s="63">
        <f t="shared" si="4"/>
        <v>1</v>
      </c>
      <c r="AG47" s="63">
        <f t="shared" si="5"/>
        <v>1</v>
      </c>
      <c r="AH47" s="63">
        <f t="shared" si="6"/>
        <v>1</v>
      </c>
      <c r="AI47" s="63">
        <f t="shared" si="7"/>
        <v>0.85483588823685874</v>
      </c>
      <c r="AK47" s="60">
        <f>活动投放!AF47/U47</f>
        <v>0.83069411454209563</v>
      </c>
      <c r="AL47" s="60">
        <f>付费投放!AD47/U47</f>
        <v>0.16930588545790445</v>
      </c>
      <c r="AM47" s="60">
        <f>活动投放!AH47/W47</f>
        <v>0.97617935544138257</v>
      </c>
      <c r="AN47" s="60">
        <f>付费投放!AF47/W47</f>
        <v>2.3820644558617477E-2</v>
      </c>
      <c r="AO47" s="60">
        <f>IFERROR(INDEX(真品获取算法!$C$6:$C$66,MATCH(U47,真品获取算法!G$6:G$66,1)),0)*AK47/(IFERROR(INDEX(真品获取算法!$C$6:$C$66,MATCH(U47,真品获取算法!G$6:G$66,1)),0)+付费投放!AJ47)</f>
        <v>0.78076378832571069</v>
      </c>
      <c r="AP47" s="60">
        <f>(付费投放!AJ47+IFERROR(INDEX(真品获取算法!$C$6:$C$66,MATCH(U47,真品获取算法!G$6:G$66,1)),0)*AL47)/(IFERROR(INDEX(真品获取算法!$C$6:$C$66,MATCH(U47,真品获取算法!G$6:G$66,1)),0)+付费投放!AJ47)</f>
        <v>0.21923621167428939</v>
      </c>
      <c r="AQ47" s="60">
        <f>IFERROR(INDEX(真品获取算法!$C$6:$C$66,MATCH(W47,真品获取算法!I$6:I$66,1)),0)*AM47/(IFERROR(INDEX(真品获取算法!$C$6:$C$66,MATCH(W47,真品获取算法!I$6:I$66,1)),0)+付费投放!AL47)</f>
        <v>0.923829043004463</v>
      </c>
      <c r="AR47" s="60">
        <f>(付费投放!AL47+IFERROR(INDEX(真品获取算法!$C$6:$C$66,MATCH(W47,真品获取算法!I$6:I$66,1)),0)*AN47)/(IFERROR(INDEX(真品获取算法!$C$6:$C$66,MATCH(W47,真品获取算法!I$6:I$66,1)),0)+付费投放!AL47)</f>
        <v>7.6170956995537054E-2</v>
      </c>
    </row>
    <row r="48" spans="2:44" s="30" customFormat="1" x14ac:dyDescent="0.15">
      <c r="B48" s="31"/>
      <c r="C48" s="29">
        <v>4200</v>
      </c>
      <c r="D48" s="18">
        <f>求节点(节奏总纲!$D$4:$D$163,节奏总纲!$C$4:$C$163,$C48)</f>
        <v>120.35716216995992</v>
      </c>
      <c r="E48" s="18">
        <f>IFERROR(求节点(前期规划!$C$13:$C$23,前期规划!$B$13:$B$23,D48),0)</f>
        <v>19.131871103070758</v>
      </c>
      <c r="F48" s="63">
        <f>IFERROR(求节点(前期规划!$C$28:$C$35,前期规划!D$28:D$35,$D48),0)</f>
        <v>9</v>
      </c>
      <c r="G48" s="63">
        <f>IFERROR(求节点(前期规划!$C$28:$C$35,前期规划!E$28:E$35,$D48),0)</f>
        <v>9</v>
      </c>
      <c r="H48" s="63">
        <f>IFERROR(求节点(前期规划!$C$28:$C$35,前期规划!F$28:F$35,$D48),0)</f>
        <v>27</v>
      </c>
      <c r="I48" s="63">
        <f>IFERROR(求节点(前期规划!$C$28:$C$35,前期规划!G$28:G$35,$D48),0)</f>
        <v>27</v>
      </c>
      <c r="J48" s="63">
        <f>IFERROR(求节点(前期规划!$C$28:$C$35,前期规划!H$28:H$35,$D48),0)</f>
        <v>60</v>
      </c>
      <c r="K48" s="63">
        <f>IFERROR(求节点(前期规划!$C$28:$C$35,前期规划!I$28:I$35,$D48),0)</f>
        <v>23.24027764850829</v>
      </c>
      <c r="L48" s="63">
        <f>MIN($E48-SUM(M48:$Q48),F48)</f>
        <v>0</v>
      </c>
      <c r="M48" s="63">
        <f>MIN($E48-SUM(N48:$Q48),G48)</f>
        <v>0</v>
      </c>
      <c r="N48" s="63">
        <f>MIN($E48-SUM(O48:$Q48),H48)</f>
        <v>0</v>
      </c>
      <c r="O48" s="63">
        <f>MIN($E48-SUM(P48:$Q48),I48)</f>
        <v>0</v>
      </c>
      <c r="P48" s="63">
        <f>MIN($E48-SUM(Q48:$Q48),J48)</f>
        <v>0</v>
      </c>
      <c r="Q48" s="69">
        <f t="shared" si="1"/>
        <v>19.131871103070758</v>
      </c>
      <c r="R48" s="64">
        <f>活动投放!AC48+付费投放!AA48</f>
        <v>557</v>
      </c>
      <c r="S48" s="64">
        <f>活动投放!AD48+付费投放!AB48</f>
        <v>557</v>
      </c>
      <c r="T48" s="64">
        <f>活动投放!AE48+付费投放!AC48</f>
        <v>1144.92</v>
      </c>
      <c r="U48" s="64">
        <f>活动投放!AF48+付费投放!AD48</f>
        <v>490.67999999999995</v>
      </c>
      <c r="V48" s="64">
        <f>活动投放!AG48+付费投放!AE48</f>
        <v>2164.5</v>
      </c>
      <c r="W48" s="64">
        <f>活动投放!AH48+付费投放!AF48</f>
        <v>240.5</v>
      </c>
      <c r="X48" s="63">
        <f>MIN(IFERROR(INDEX(真品获取算法!$C$6:$C$66,MATCH(R48,真品获取算法!D$6:D$66,1)),0)+付费投放!AG48,前期规划!D$8)</f>
        <v>9</v>
      </c>
      <c r="Y48" s="63">
        <f>MIN(IFERROR(INDEX(真品获取算法!$C$6:$C$66,MATCH(S48,真品获取算法!E$6:E$66,1)),0)+付费投放!AH48,前期规划!E$8)</f>
        <v>9</v>
      </c>
      <c r="Z48" s="63">
        <f>MIN(IFERROR(INDEX(真品获取算法!$C$6:$C$66,MATCH(T48,真品获取算法!F$6:F$66,1)),0)+付费投放!AI48,前期规划!F$8)</f>
        <v>27</v>
      </c>
      <c r="AA48" s="63">
        <f>MIN(IFERROR(INDEX(真品获取算法!$C$6:$C$66,MATCH(U48,真品获取算法!G$6:G$66,1)),0)+付费投放!AJ48,前期规划!G$8)</f>
        <v>27</v>
      </c>
      <c r="AB48" s="63">
        <f>MIN(IFERROR(INDEX(真品获取算法!$C$6:$C$66,MATCH(V48,真品获取算法!H$6:H$66,1)),0)+付费投放!AK48,前期规划!H$8)</f>
        <v>60</v>
      </c>
      <c r="AC48" s="63">
        <f>MIN(IFERROR(INDEX(真品获取算法!$C$6:$C$66,MATCH(W48,真品获取算法!I$6:I$66,1)),0)+付费投放!AL48,前期规划!I$8)</f>
        <v>20.100000000000001</v>
      </c>
      <c r="AD48" s="63">
        <f t="shared" si="2"/>
        <v>1</v>
      </c>
      <c r="AE48" s="63">
        <f t="shared" si="3"/>
        <v>1</v>
      </c>
      <c r="AF48" s="63">
        <f t="shared" si="4"/>
        <v>1</v>
      </c>
      <c r="AG48" s="63">
        <f t="shared" si="5"/>
        <v>1</v>
      </c>
      <c r="AH48" s="63">
        <f t="shared" si="6"/>
        <v>1</v>
      </c>
      <c r="AI48" s="63">
        <f t="shared" si="7"/>
        <v>0.864877791220801</v>
      </c>
      <c r="AK48" s="60">
        <f>活动投放!AF48/U48</f>
        <v>0.83088774761555395</v>
      </c>
      <c r="AL48" s="60">
        <f>付费投放!AD48/U48</f>
        <v>0.16911225238444608</v>
      </c>
      <c r="AM48" s="60">
        <f>活动投放!AH48/W48</f>
        <v>0.97713097713097719</v>
      </c>
      <c r="AN48" s="60">
        <f>付费投放!AF48/W48</f>
        <v>2.2869022869022877E-2</v>
      </c>
      <c r="AO48" s="60">
        <f>IFERROR(INDEX(真品获取算法!$C$6:$C$66,MATCH(U48,真品获取算法!G$6:G$66,1)),0)*AK48/(IFERROR(INDEX(真品获取算法!$C$6:$C$66,MATCH(U48,真品获取算法!G$6:G$66,1)),0)+付费投放!AJ48)</f>
        <v>0.77733780961954113</v>
      </c>
      <c r="AP48" s="60">
        <f>(付费投放!AJ48+IFERROR(INDEX(真品获取算法!$C$6:$C$66,MATCH(U48,真品获取算法!G$6:G$66,1)),0)*AL48)/(IFERROR(INDEX(真品获取算法!$C$6:$C$66,MATCH(U48,真品获取算法!G$6:G$66,1)),0)+付费投放!AJ48)</f>
        <v>0.2226621903804589</v>
      </c>
      <c r="AQ48" s="60">
        <f>IFERROR(INDEX(真品获取算法!$C$6:$C$66,MATCH(W48,真品获取算法!I$6:I$66,1)),0)*AM48/(IFERROR(INDEX(真品获取算法!$C$6:$C$66,MATCH(W48,真品获取算法!I$6:I$66,1)),0)+付费投放!AL48)</f>
        <v>0.92365614753674463</v>
      </c>
      <c r="AR48" s="60">
        <f>(付费投放!AL48+IFERROR(INDEX(真品获取算法!$C$6:$C$66,MATCH(W48,真品获取算法!I$6:I$66,1)),0)*AN48)/(IFERROR(INDEX(真品获取算法!$C$6:$C$66,MATCH(W48,真品获取算法!I$6:I$66,1)),0)+付费投放!AL48)</f>
        <v>7.6343852463255452E-2</v>
      </c>
    </row>
    <row r="49" spans="2:44" s="30" customFormat="1" x14ac:dyDescent="0.15">
      <c r="B49" s="31"/>
      <c r="C49" s="29">
        <v>4500</v>
      </c>
      <c r="D49" s="18">
        <f>求节点(节奏总纲!$D$4:$D$163,节奏总纲!$C$4:$C$163,$C49)</f>
        <v>121.35233706179751</v>
      </c>
      <c r="E49" s="18">
        <f>IFERROR(求节点(前期规划!$C$13:$C$23,前期规划!$B$13:$B$23,D49),0)</f>
        <v>19.284974932584234</v>
      </c>
      <c r="F49" s="63">
        <f>IFERROR(求节点(前期规划!$C$28:$C$35,前期规划!D$28:D$35,$D49),0)</f>
        <v>9</v>
      </c>
      <c r="G49" s="63">
        <f>IFERROR(求节点(前期规划!$C$28:$C$35,前期规划!E$28:E$35,$D49),0)</f>
        <v>9</v>
      </c>
      <c r="H49" s="63">
        <f>IFERROR(求节点(前期规划!$C$28:$C$35,前期规划!F$28:F$35,$D49),0)</f>
        <v>27</v>
      </c>
      <c r="I49" s="63">
        <f>IFERROR(求节点(前期规划!$C$28:$C$35,前期规划!G$28:G$35,$D49),0)</f>
        <v>27</v>
      </c>
      <c r="J49" s="63">
        <f>IFERROR(求节点(前期规划!$C$28:$C$35,前期规划!H$28:H$35,$D49),0)</f>
        <v>60</v>
      </c>
      <c r="K49" s="63">
        <f>IFERROR(求节点(前期规划!$C$28:$C$35,前期规划!I$28:I$35,$D49),0)</f>
        <v>24.163076184575875</v>
      </c>
      <c r="L49" s="63">
        <f>MIN($E49-SUM(M49:$Q49),F49)</f>
        <v>0</v>
      </c>
      <c r="M49" s="63">
        <f>MIN($E49-SUM(N49:$Q49),G49)</f>
        <v>0</v>
      </c>
      <c r="N49" s="63">
        <f>MIN($E49-SUM(O49:$Q49),H49)</f>
        <v>0</v>
      </c>
      <c r="O49" s="63">
        <f>MIN($E49-SUM(P49:$Q49),I49)</f>
        <v>0</v>
      </c>
      <c r="P49" s="63">
        <f>MIN($E49-SUM(Q49:$Q49),J49)</f>
        <v>0</v>
      </c>
      <c r="Q49" s="69">
        <f t="shared" si="1"/>
        <v>19.284974932584234</v>
      </c>
      <c r="R49" s="64">
        <f>活动投放!AC49+付费投放!AA49</f>
        <v>597</v>
      </c>
      <c r="S49" s="64">
        <f>活动投放!AD49+付费投放!AB49</f>
        <v>597</v>
      </c>
      <c r="T49" s="64">
        <f>活动投放!AE49+付费投放!AC49</f>
        <v>1228.92</v>
      </c>
      <c r="U49" s="64">
        <f>活动投放!AF49+付费投放!AD49</f>
        <v>526.67999999999995</v>
      </c>
      <c r="V49" s="64">
        <f>活动投放!AG49+付费投放!AE49</f>
        <v>2402.1</v>
      </c>
      <c r="W49" s="64">
        <f>活动投放!AH49+付费投放!AF49</f>
        <v>266.89999999999998</v>
      </c>
      <c r="X49" s="63">
        <f>MIN(IFERROR(INDEX(真品获取算法!$C$6:$C$66,MATCH(R49,真品获取算法!D$6:D$66,1)),0)+付费投放!AG49,前期规划!D$8)</f>
        <v>9</v>
      </c>
      <c r="Y49" s="63">
        <f>MIN(IFERROR(INDEX(真品获取算法!$C$6:$C$66,MATCH(S49,真品获取算法!E$6:E$66,1)),0)+付费投放!AH49,前期规划!E$8)</f>
        <v>9</v>
      </c>
      <c r="Z49" s="63">
        <f>MIN(IFERROR(INDEX(真品获取算法!$C$6:$C$66,MATCH(T49,真品获取算法!F$6:F$66,1)),0)+付费投放!AI49,前期规划!F$8)</f>
        <v>27</v>
      </c>
      <c r="AA49" s="63">
        <f>MIN(IFERROR(INDEX(真品获取算法!$C$6:$C$66,MATCH(U49,真品获取算法!G$6:G$66,1)),0)+付费投放!AJ49,前期规划!G$8)</f>
        <v>27</v>
      </c>
      <c r="AB49" s="63">
        <f>MIN(IFERROR(INDEX(真品获取算法!$C$6:$C$66,MATCH(V49,真品获取算法!H$6:H$66,1)),0)+付费投放!AK49,前期规划!H$8)</f>
        <v>60</v>
      </c>
      <c r="AC49" s="63">
        <f>MIN(IFERROR(INDEX(真品获取算法!$C$6:$C$66,MATCH(W49,真品获取算法!I$6:I$66,1)),0)+付费投放!AL49,前期规划!I$8)</f>
        <v>22.18</v>
      </c>
      <c r="AD49" s="63">
        <f t="shared" si="2"/>
        <v>1</v>
      </c>
      <c r="AE49" s="63">
        <f t="shared" si="3"/>
        <v>1</v>
      </c>
      <c r="AF49" s="63">
        <f t="shared" si="4"/>
        <v>1</v>
      </c>
      <c r="AG49" s="63">
        <f t="shared" si="5"/>
        <v>1</v>
      </c>
      <c r="AH49" s="63">
        <f t="shared" si="6"/>
        <v>1</v>
      </c>
      <c r="AI49" s="63">
        <f t="shared" si="7"/>
        <v>0.91792948176682321</v>
      </c>
      <c r="AK49" s="60">
        <f>活动投放!AF49/U49</f>
        <v>0.83105491000227849</v>
      </c>
      <c r="AL49" s="60">
        <f>付费投放!AD49/U49</f>
        <v>0.16894508999772156</v>
      </c>
      <c r="AM49" s="60">
        <f>活动投放!AH49/W49</f>
        <v>0.977894342450356</v>
      </c>
      <c r="AN49" s="60">
        <f>付费投放!AF49/W49</f>
        <v>2.2105657549644071E-2</v>
      </c>
      <c r="AO49" s="60">
        <f>IFERROR(INDEX(真品获取算法!$C$6:$C$66,MATCH(U49,真品获取算法!G$6:G$66,1)),0)*AK49/(IFERROR(INDEX(真品获取算法!$C$6:$C$66,MATCH(U49,真品获取算法!G$6:G$66,1)),0)+付费投放!AJ49)</f>
        <v>0.77391869062065488</v>
      </c>
      <c r="AP49" s="60">
        <f>(付费投放!AJ49+IFERROR(INDEX(真品获取算法!$C$6:$C$66,MATCH(U49,真品获取算法!G$6:G$66,1)),0)*AL49)/(IFERROR(INDEX(真品获取算法!$C$6:$C$66,MATCH(U49,真品获取算法!G$6:G$66,1)),0)+付费投放!AJ49)</f>
        <v>0.22608130937934523</v>
      </c>
      <c r="AQ49" s="60">
        <f>IFERROR(INDEX(真品获取算法!$C$6:$C$66,MATCH(W49,真品获取算法!I$6:I$66,1)),0)*AM49/(IFERROR(INDEX(真品获取算法!$C$6:$C$66,MATCH(W49,真品获取算法!I$6:I$66,1)),0)+付费投放!AL49)</f>
        <v>0.92586930529564826</v>
      </c>
      <c r="AR49" s="60">
        <f>(付费投放!AL49+IFERROR(INDEX(真品获取算法!$C$6:$C$66,MATCH(W49,真品获取算法!I$6:I$66,1)),0)*AN49)/(IFERROR(INDEX(真品获取算法!$C$6:$C$66,MATCH(W49,真品获取算法!I$6:I$66,1)),0)+付费投放!AL49)</f>
        <v>7.4130694704351935E-2</v>
      </c>
    </row>
    <row r="50" spans="2:44" s="30" customFormat="1" x14ac:dyDescent="0.15">
      <c r="B50" s="31"/>
      <c r="C50" s="29">
        <v>4800</v>
      </c>
      <c r="D50" s="18">
        <f>求节点(节奏总纲!$D$4:$D$163,节奏总纲!$C$4:$C$163,$C50)</f>
        <v>122.28407404910907</v>
      </c>
      <c r="E50" s="18">
        <f>IFERROR(求节点(前期规划!$C$13:$C$23,前期规划!$B$13:$B$23,D50),0)</f>
        <v>19.428319084478318</v>
      </c>
      <c r="F50" s="63">
        <f>IFERROR(求节点(前期规划!$C$28:$C$35,前期规划!D$28:D$35,$D50),0)</f>
        <v>9</v>
      </c>
      <c r="G50" s="63">
        <f>IFERROR(求节点(前期规划!$C$28:$C$35,前期规划!E$28:E$35,$D50),0)</f>
        <v>9</v>
      </c>
      <c r="H50" s="63">
        <f>IFERROR(求节点(前期规划!$C$28:$C$35,前期规划!F$28:F$35,$D50),0)</f>
        <v>27</v>
      </c>
      <c r="I50" s="63">
        <f>IFERROR(求节点(前期规划!$C$28:$C$35,前期规划!G$28:G$35,$D50),0)</f>
        <v>27</v>
      </c>
      <c r="J50" s="63">
        <f>IFERROR(求节点(前期规划!$C$28:$C$35,前期规划!H$28:H$35,$D50),0)</f>
        <v>60</v>
      </c>
      <c r="K50" s="63">
        <f>IFERROR(求节点(前期规划!$C$28:$C$35,前期规划!I$28:I$35,$D50),0)</f>
        <v>25.027050481901131</v>
      </c>
      <c r="L50" s="63">
        <f>MIN($E50-SUM(M50:$Q50),F50)</f>
        <v>0</v>
      </c>
      <c r="M50" s="63">
        <f>MIN($E50-SUM(N50:$Q50),G50)</f>
        <v>0</v>
      </c>
      <c r="N50" s="63">
        <f>MIN($E50-SUM(O50:$Q50),H50)</f>
        <v>0</v>
      </c>
      <c r="O50" s="63">
        <f>MIN($E50-SUM(P50:$Q50),I50)</f>
        <v>0</v>
      </c>
      <c r="P50" s="63">
        <f>MIN($E50-SUM(Q50:$Q50),J50)</f>
        <v>0</v>
      </c>
      <c r="Q50" s="69">
        <f t="shared" si="1"/>
        <v>19.428319084478318</v>
      </c>
      <c r="R50" s="64">
        <f>活动投放!AC50+付费投放!AA50</f>
        <v>637</v>
      </c>
      <c r="S50" s="64">
        <f>活动投放!AD50+付费投放!AB50</f>
        <v>637</v>
      </c>
      <c r="T50" s="64">
        <f>活动投放!AE50+付费投放!AC50</f>
        <v>1312.92</v>
      </c>
      <c r="U50" s="64">
        <f>活动投放!AF50+付费投放!AD50</f>
        <v>562.67999999999995</v>
      </c>
      <c r="V50" s="64">
        <f>活动投放!AG50+付费投放!AE50</f>
        <v>2639.7</v>
      </c>
      <c r="W50" s="64">
        <f>活动投放!AH50+付费投放!AF50</f>
        <v>293.3</v>
      </c>
      <c r="X50" s="63">
        <f>MIN(IFERROR(INDEX(真品获取算法!$C$6:$C$66,MATCH(R50,真品获取算法!D$6:D$66,1)),0)+付费投放!AG50,前期规划!D$8)</f>
        <v>9</v>
      </c>
      <c r="Y50" s="63">
        <f>MIN(IFERROR(INDEX(真品获取算法!$C$6:$C$66,MATCH(S50,真品获取算法!E$6:E$66,1)),0)+付费投放!AH50,前期规划!E$8)</f>
        <v>9</v>
      </c>
      <c r="Z50" s="63">
        <f>MIN(IFERROR(INDEX(真品获取算法!$C$6:$C$66,MATCH(T50,真品获取算法!F$6:F$66,1)),0)+付费投放!AI50,前期规划!F$8)</f>
        <v>27</v>
      </c>
      <c r="AA50" s="63">
        <f>MIN(IFERROR(INDEX(真品获取算法!$C$6:$C$66,MATCH(U50,真品获取算法!G$6:G$66,1)),0)+付费投放!AJ50,前期规划!G$8)</f>
        <v>27</v>
      </c>
      <c r="AB50" s="63">
        <f>MIN(IFERROR(INDEX(真品获取算法!$C$6:$C$66,MATCH(V50,真品获取算法!H$6:H$66,1)),0)+付费投放!AK50,前期规划!H$8)</f>
        <v>60</v>
      </c>
      <c r="AC50" s="63">
        <f>MIN(IFERROR(INDEX(真品获取算法!$C$6:$C$66,MATCH(W50,真品获取算法!I$6:I$66,1)),0)+付费投放!AL50,前期规划!I$8)</f>
        <v>24.26</v>
      </c>
      <c r="AD50" s="63">
        <f t="shared" si="2"/>
        <v>1</v>
      </c>
      <c r="AE50" s="63">
        <f t="shared" si="3"/>
        <v>1</v>
      </c>
      <c r="AF50" s="63">
        <f t="shared" si="4"/>
        <v>1</v>
      </c>
      <c r="AG50" s="63">
        <f t="shared" si="5"/>
        <v>1</v>
      </c>
      <c r="AH50" s="63">
        <f t="shared" si="6"/>
        <v>1</v>
      </c>
      <c r="AI50" s="63">
        <f t="shared" si="7"/>
        <v>0.96935114337760897</v>
      </c>
      <c r="AK50" s="60">
        <f>活动投放!AF50/U50</f>
        <v>0.83120068244828327</v>
      </c>
      <c r="AL50" s="60">
        <f>付费投放!AD50/U50</f>
        <v>0.16879931755171679</v>
      </c>
      <c r="AM50" s="60">
        <f>活动投放!AH50/W50</f>
        <v>0.97852028639618138</v>
      </c>
      <c r="AN50" s="60">
        <f>付费投放!AF50/W50</f>
        <v>2.1479713603818625E-2</v>
      </c>
      <c r="AO50" s="60">
        <f>IFERROR(INDEX(真品获取算法!$C$6:$C$66,MATCH(U50,真品获取算法!G$6:G$66,1)),0)*AK50/(IFERROR(INDEX(真品获取算法!$C$6:$C$66,MATCH(U50,真品获取算法!G$6:G$66,1)),0)+付费投放!AJ50)</f>
        <v>0.77051104690216232</v>
      </c>
      <c r="AP50" s="60">
        <f>(付费投放!AJ50+IFERROR(INDEX(真品获取算法!$C$6:$C$66,MATCH(U50,真品获取算法!G$6:G$66,1)),0)*AL50)/(IFERROR(INDEX(真品获取算法!$C$6:$C$66,MATCH(U50,真品获取算法!G$6:G$66,1)),0)+付费投放!AJ50)</f>
        <v>0.22948895309783773</v>
      </c>
      <c r="AQ50" s="60">
        <f>IFERROR(INDEX(真品获取算法!$C$6:$C$66,MATCH(W50,真品获取算法!I$6:I$66,1)),0)*AM50/(IFERROR(INDEX(真品获取算法!$C$6:$C$66,MATCH(W50,真品获取算法!I$6:I$66,1)),0)+付费投放!AL50)</f>
        <v>0.92769854027667653</v>
      </c>
      <c r="AR50" s="60">
        <f>(付费投放!AL50+IFERROR(INDEX(真品获取算法!$C$6:$C$66,MATCH(W50,真品获取算法!I$6:I$66,1)),0)*AN50)/(IFERROR(INDEX(真品获取算法!$C$6:$C$66,MATCH(W50,真品获取算法!I$6:I$66,1)),0)+付费投放!AL50)</f>
        <v>7.2301459723323511E-2</v>
      </c>
    </row>
    <row r="51" spans="2:44" s="30" customFormat="1" x14ac:dyDescent="0.15">
      <c r="B51" s="31"/>
      <c r="C51" s="29">
        <v>65535</v>
      </c>
      <c r="D51" s="41">
        <v>160</v>
      </c>
      <c r="E51" s="18">
        <f>IFERROR(求节点(前期规划!$C$13:$C$23,前期规划!$B$13:$B$23,D51),0)</f>
        <v>20</v>
      </c>
      <c r="F51" s="63">
        <f>IFERROR(求节点(前期规划!$C$28:$C$35,前期规划!D$28:D$35,$D51),0)</f>
        <v>9</v>
      </c>
      <c r="G51" s="63">
        <f>IFERROR(求节点(前期规划!$C$28:$C$35,前期规划!E$28:E$35,$D51),0)</f>
        <v>9</v>
      </c>
      <c r="H51" s="63">
        <f>IFERROR(求节点(前期规划!$C$28:$C$35,前期规划!F$28:F$35,$D51),0)</f>
        <v>27</v>
      </c>
      <c r="I51" s="63">
        <f>IFERROR(求节点(前期规划!$C$28:$C$35,前期规划!G$28:G$35,$D51),0)</f>
        <v>27</v>
      </c>
      <c r="J51" s="63">
        <f>IFERROR(求节点(前期规划!$C$28:$C$35,前期规划!H$28:H$35,$D51),0)</f>
        <v>60</v>
      </c>
      <c r="K51" s="63">
        <f>IFERROR(求节点(前期规划!$C$28:$C$35,前期规划!I$28:I$35,$D51),0)</f>
        <v>60</v>
      </c>
      <c r="L51" s="63">
        <f>MIN($E51-SUM(M51:$Q51),F51)</f>
        <v>0</v>
      </c>
      <c r="M51" s="63">
        <f>MIN($E51-SUM(N51:$Q51),G51)</f>
        <v>0</v>
      </c>
      <c r="N51" s="63">
        <f>MIN($E51-SUM(O51:$Q51),H51)</f>
        <v>0</v>
      </c>
      <c r="O51" s="63">
        <f>MIN($E51-SUM(P51:$Q51),I51)</f>
        <v>0</v>
      </c>
      <c r="P51" s="63">
        <f>MIN($E51-SUM(Q51:$Q51),J51)</f>
        <v>0</v>
      </c>
      <c r="Q51" s="69">
        <f t="shared" ref="Q51" si="8">MIN($E51,K51)</f>
        <v>20</v>
      </c>
      <c r="R51" s="64">
        <f>活动投放!AC51+付费投放!AA51</f>
        <v>8735</v>
      </c>
      <c r="S51" s="64">
        <f>活动投放!AD51+付费投放!AB51</f>
        <v>8735</v>
      </c>
      <c r="T51" s="64">
        <f>活动投放!AE51+付费投放!AC51</f>
        <v>18318.72</v>
      </c>
      <c r="U51" s="64">
        <f>活动投放!AF51+付费投放!AD51</f>
        <v>7850.8799999999992</v>
      </c>
      <c r="V51" s="64">
        <f>活动投放!AG51+付费投放!AE51</f>
        <v>50741.82</v>
      </c>
      <c r="W51" s="64">
        <f>活动投放!AH51+付费投放!AF51</f>
        <v>5637.9800000000005</v>
      </c>
      <c r="X51" s="63">
        <f>MIN(IFERROR(INDEX(真品获取算法!$C$6:$C$66,MATCH(R51,真品获取算法!D$6:D$66,1)),0)+付费投放!AG51,前期规划!D$8)</f>
        <v>9</v>
      </c>
      <c r="Y51" s="63">
        <f>MIN(IFERROR(INDEX(真品获取算法!$C$6:$C$66,MATCH(S51,真品获取算法!E$6:E$66,1)),0)+付费投放!AH51,前期规划!E$8)</f>
        <v>9</v>
      </c>
      <c r="Z51" s="63">
        <f>MIN(IFERROR(INDEX(真品获取算法!$C$6:$C$66,MATCH(T51,真品获取算法!F$6:F$66,1)),0)+付费投放!AI51,前期规划!F$8)</f>
        <v>27</v>
      </c>
      <c r="AA51" s="63">
        <f>MIN(IFERROR(INDEX(真品获取算法!$C$6:$C$66,MATCH(U51,真品获取算法!G$6:G$66,1)),0)+付费投放!AJ51,前期规划!G$8)</f>
        <v>27</v>
      </c>
      <c r="AB51" s="63">
        <f>MIN(IFERROR(INDEX(真品获取算法!$C$6:$C$66,MATCH(V51,真品获取算法!H$6:H$66,1)),0)+付费投放!AK51,前期规划!H$8)</f>
        <v>60</v>
      </c>
      <c r="AC51" s="63">
        <f>MIN(IFERROR(INDEX(真品获取算法!$C$6:$C$66,MATCH(W51,真品获取算法!I$6:I$66,1)),0)+付费投放!AL51,前期规划!I$8)</f>
        <v>60</v>
      </c>
      <c r="AD51" s="63">
        <f t="shared" si="2"/>
        <v>1</v>
      </c>
      <c r="AE51" s="63">
        <f t="shared" si="3"/>
        <v>1</v>
      </c>
      <c r="AF51" s="63">
        <f t="shared" si="4"/>
        <v>1</v>
      </c>
      <c r="AG51" s="63">
        <f t="shared" si="5"/>
        <v>1</v>
      </c>
      <c r="AH51" s="63">
        <f t="shared" si="6"/>
        <v>1</v>
      </c>
      <c r="AI51" s="63">
        <f t="shared" si="7"/>
        <v>1</v>
      </c>
      <c r="AK51" s="60">
        <f>活动投放!AF51/U51</f>
        <v>0.83318048422597213</v>
      </c>
      <c r="AL51" s="60">
        <f>付费投放!AD51/U51</f>
        <v>0.16681951577402787</v>
      </c>
      <c r="AM51" s="60">
        <f>活动投放!AH51/W51</f>
        <v>0.98451927818119256</v>
      </c>
      <c r="AN51" s="60">
        <f>付费投放!AF51/W51</f>
        <v>1.5480721818807447E-2</v>
      </c>
      <c r="AO51" s="60">
        <f>IFERROR(INDEX(真品获取算法!$C$6:$C$66,MATCH(U51,真品获取算法!G$6:G$66,1)),0)*AK51/(IFERROR(INDEX(真品获取算法!$C$6:$C$66,MATCH(U51,真品获取算法!G$6:G$66,1)),0)+付费投放!AJ51)</f>
        <v>0.40085304836245983</v>
      </c>
      <c r="AP51" s="60">
        <f>(付费投放!AJ51+IFERROR(INDEX(真品获取算法!$C$6:$C$66,MATCH(U51,真品获取算法!G$6:G$66,1)),0)*AL51)/(IFERROR(INDEX(真品获取算法!$C$6:$C$66,MATCH(U51,真品获取算法!G$6:G$66,1)),0)+付费投放!AJ51)</f>
        <v>0.59914695163754006</v>
      </c>
      <c r="AQ51" s="60">
        <f>IFERROR(INDEX(真品获取算法!$C$6:$C$66,MATCH(W51,真品获取算法!I$6:I$66,1)),0)*AM51/(IFERROR(INDEX(真品获取算法!$C$6:$C$66,MATCH(W51,真品获取算法!I$6:I$66,1)),0)+付费投放!AL51)</f>
        <v>0.76264145696745966</v>
      </c>
      <c r="AR51" s="60">
        <f>(付费投放!AL51+IFERROR(INDEX(真品获取算法!$C$6:$C$66,MATCH(W51,真品获取算法!I$6:I$66,1)),0)*AN51)/(IFERROR(INDEX(真品获取算法!$C$6:$C$66,MATCH(W51,真品获取算法!I$6:I$66,1)),0)+付费投放!AL51)</f>
        <v>0.23735854303254039</v>
      </c>
    </row>
    <row r="52" spans="2:44" s="30" customFormat="1" x14ac:dyDescent="0.15">
      <c r="B52" s="31"/>
      <c r="C52" s="31"/>
      <c r="D52" s="31"/>
      <c r="E52" s="31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6"/>
      <c r="AG52" s="66"/>
      <c r="AH52" s="66"/>
      <c r="AI52" s="66"/>
      <c r="AK52" s="58"/>
      <c r="AL52" s="58"/>
      <c r="AM52" s="58"/>
      <c r="AN52" s="58"/>
      <c r="AO52" s="58"/>
      <c r="AP52" s="58"/>
      <c r="AQ52" s="58"/>
      <c r="AR52" s="58"/>
    </row>
    <row r="53" spans="2:44" x14ac:dyDescent="0.15">
      <c r="C53" s="25" t="s">
        <v>18</v>
      </c>
      <c r="D53" s="26"/>
      <c r="E53" s="27"/>
      <c r="F53" s="88" t="s">
        <v>51</v>
      </c>
      <c r="G53" s="89"/>
      <c r="H53" s="89"/>
      <c r="I53" s="89"/>
      <c r="J53" s="89"/>
      <c r="K53" s="90"/>
      <c r="L53" s="88" t="s">
        <v>52</v>
      </c>
      <c r="M53" s="89"/>
      <c r="N53" s="89"/>
      <c r="O53" s="89"/>
      <c r="P53" s="89"/>
      <c r="Q53" s="90"/>
      <c r="R53" s="88" t="s">
        <v>122</v>
      </c>
      <c r="S53" s="89"/>
      <c r="T53" s="89"/>
      <c r="U53" s="89"/>
      <c r="V53" s="89"/>
      <c r="W53" s="90"/>
      <c r="X53" s="88" t="s">
        <v>132</v>
      </c>
      <c r="Y53" s="89"/>
      <c r="Z53" s="89"/>
      <c r="AA53" s="89"/>
      <c r="AB53" s="89"/>
      <c r="AC53" s="90"/>
      <c r="AD53" s="88" t="s">
        <v>133</v>
      </c>
      <c r="AE53" s="89"/>
      <c r="AF53" s="89"/>
      <c r="AG53" s="89"/>
      <c r="AH53" s="89"/>
      <c r="AI53" s="90"/>
      <c r="AK53" s="91" t="s">
        <v>187</v>
      </c>
      <c r="AL53" s="91"/>
      <c r="AM53" s="91" t="s">
        <v>188</v>
      </c>
      <c r="AN53" s="91"/>
      <c r="AO53" s="91" t="s">
        <v>191</v>
      </c>
      <c r="AP53" s="91"/>
      <c r="AQ53" s="91" t="s">
        <v>192</v>
      </c>
      <c r="AR53" s="91"/>
    </row>
    <row r="54" spans="2:44" x14ac:dyDescent="0.15">
      <c r="C54" s="27" t="s">
        <v>31</v>
      </c>
      <c r="D54" s="27" t="s">
        <v>25</v>
      </c>
      <c r="E54" s="27" t="s">
        <v>30</v>
      </c>
      <c r="F54" s="64" t="s">
        <v>26</v>
      </c>
      <c r="G54" s="64" t="s">
        <v>38</v>
      </c>
      <c r="H54" s="64" t="s">
        <v>27</v>
      </c>
      <c r="I54" s="64" t="s">
        <v>29</v>
      </c>
      <c r="J54" s="64" t="s">
        <v>28</v>
      </c>
      <c r="K54" s="64" t="s">
        <v>43</v>
      </c>
      <c r="L54" s="64" t="s">
        <v>26</v>
      </c>
      <c r="M54" s="64" t="s">
        <v>38</v>
      </c>
      <c r="N54" s="64" t="s">
        <v>27</v>
      </c>
      <c r="O54" s="64" t="s">
        <v>29</v>
      </c>
      <c r="P54" s="64" t="s">
        <v>28</v>
      </c>
      <c r="Q54" s="64" t="s">
        <v>43</v>
      </c>
      <c r="R54" s="64" t="s">
        <v>26</v>
      </c>
      <c r="S54" s="64" t="s">
        <v>38</v>
      </c>
      <c r="T54" s="64" t="s">
        <v>27</v>
      </c>
      <c r="U54" s="64" t="s">
        <v>29</v>
      </c>
      <c r="V54" s="64" t="s">
        <v>28</v>
      </c>
      <c r="W54" s="64" t="s">
        <v>43</v>
      </c>
      <c r="X54" s="64" t="s">
        <v>26</v>
      </c>
      <c r="Y54" s="64" t="s">
        <v>38</v>
      </c>
      <c r="Z54" s="64" t="s">
        <v>27</v>
      </c>
      <c r="AA54" s="64" t="s">
        <v>29</v>
      </c>
      <c r="AB54" s="64" t="s">
        <v>28</v>
      </c>
      <c r="AC54" s="64" t="s">
        <v>43</v>
      </c>
      <c r="AD54" s="64" t="s">
        <v>26</v>
      </c>
      <c r="AE54" s="64" t="s">
        <v>38</v>
      </c>
      <c r="AF54" s="64" t="s">
        <v>27</v>
      </c>
      <c r="AG54" s="64" t="s">
        <v>29</v>
      </c>
      <c r="AH54" s="64" t="s">
        <v>28</v>
      </c>
      <c r="AI54" s="64" t="s">
        <v>43</v>
      </c>
      <c r="AK54" s="60" t="s">
        <v>189</v>
      </c>
      <c r="AL54" s="60" t="s">
        <v>190</v>
      </c>
      <c r="AM54" s="60" t="s">
        <v>189</v>
      </c>
      <c r="AN54" s="60" t="s">
        <v>190</v>
      </c>
      <c r="AO54" s="60" t="s">
        <v>189</v>
      </c>
      <c r="AP54" s="60" t="s">
        <v>190</v>
      </c>
      <c r="AQ54" s="60" t="s">
        <v>189</v>
      </c>
      <c r="AR54" s="60" t="s">
        <v>190</v>
      </c>
    </row>
    <row r="55" spans="2:44" x14ac:dyDescent="0.15">
      <c r="C55" s="29">
        <f>C11</f>
        <v>15</v>
      </c>
      <c r="D55" s="18">
        <f>求节点(节奏总纲!$E$4:$E$163,节奏总纲!$C$4:$C$163,$C55)</f>
        <v>41.83669503626701</v>
      </c>
      <c r="E55" s="18">
        <f>IFERROR(求节点(前期规划!$D$13:$D$23,前期规划!$B$13:$B$23,D55),0)</f>
        <v>0</v>
      </c>
      <c r="F55" s="63">
        <f>IFERROR(求节点(前期规划!$C$28:$C$35,前期规划!D$28:D$35,$D55),0)</f>
        <v>0</v>
      </c>
      <c r="G55" s="63">
        <f>IFERROR(求节点(前期规划!$C$28:$C$35,前期规划!E$28:E$35,$D55),0)</f>
        <v>0</v>
      </c>
      <c r="H55" s="63">
        <f>IFERROR(求节点(前期规划!$C$28:$C$35,前期规划!F$28:F$35,$D55),0)</f>
        <v>0</v>
      </c>
      <c r="I55" s="63">
        <f>IFERROR(求节点(前期规划!$C$28:$C$35,前期规划!G$28:G$35,$D55),0)</f>
        <v>0</v>
      </c>
      <c r="J55" s="63">
        <f>IFERROR(求节点(前期规划!$C$28:$C$35,前期规划!H$28:H$35,$D55),0)</f>
        <v>0</v>
      </c>
      <c r="K55" s="63">
        <f>IFERROR(求节点(前期规划!$C$28:$C$35,前期规划!I$28:I$35,$D55),0)</f>
        <v>0</v>
      </c>
      <c r="L55" s="63">
        <f>MIN($E55-SUM(M55:$Q55),F55)</f>
        <v>0</v>
      </c>
      <c r="M55" s="63">
        <f>MIN($E55-SUM(N55:$Q55),G55)</f>
        <v>0</v>
      </c>
      <c r="N55" s="63">
        <f>MIN($E55-SUM(O55:$Q55),H55)</f>
        <v>0</v>
      </c>
      <c r="O55" s="63">
        <f>MIN($E55-SUM(P55:$Q55),I55)</f>
        <v>0</v>
      </c>
      <c r="P55" s="63">
        <f>MIN($E55-SUM(Q55:$Q55),J55)</f>
        <v>0</v>
      </c>
      <c r="Q55" s="69">
        <f>MIN($E55,K55)</f>
        <v>0</v>
      </c>
      <c r="R55" s="64">
        <f>活动投放!AC55+付费投放!AA55</f>
        <v>0</v>
      </c>
      <c r="S55" s="64">
        <f>活动投放!AD55+付费投放!AB55</f>
        <v>0</v>
      </c>
      <c r="T55" s="64">
        <f>活动投放!AE55+付费投放!AC55</f>
        <v>0</v>
      </c>
      <c r="U55" s="64">
        <f>活动投放!AF55+付费投放!AD55</f>
        <v>0</v>
      </c>
      <c r="V55" s="64">
        <f>活动投放!AG55+付费投放!AE55</f>
        <v>0</v>
      </c>
      <c r="W55" s="64">
        <f>活动投放!AH55+付费投放!AF55</f>
        <v>0</v>
      </c>
      <c r="X55" s="63">
        <f>MIN(IFERROR(INDEX(真品获取算法!$C$6:$C$66,MATCH(R55,真品获取算法!D$6:D$66,1)),0)+付费投放!AG55,前期规划!D$8)</f>
        <v>0</v>
      </c>
      <c r="Y55" s="63">
        <f>MIN(IFERROR(INDEX(真品获取算法!$C$6:$C$66,MATCH(S55,真品获取算法!E$6:E$66,1)),0)+付费投放!AH55,前期规划!E$8)</f>
        <v>0</v>
      </c>
      <c r="Z55" s="63">
        <f>MIN(IFERROR(INDEX(真品获取算法!$C$6:$C$66,MATCH(T55,真品获取算法!F$6:F$66,1)),0)+付费投放!AI55,前期规划!F$8)</f>
        <v>0</v>
      </c>
      <c r="AA55" s="63">
        <f>MIN(IFERROR(INDEX(真品获取算法!$C$6:$C$66,MATCH(U55,真品获取算法!G$6:G$66,1)),0)+付费投放!AJ55,前期规划!G$8)</f>
        <v>0</v>
      </c>
      <c r="AB55" s="63">
        <f>MIN(IFERROR(INDEX(真品获取算法!$C$6:$C$66,MATCH(V55,真品获取算法!H$6:H$66,1)),0)+付费投放!AK55,前期规划!H$8)</f>
        <v>0</v>
      </c>
      <c r="AC55" s="63">
        <f>MIN(IFERROR(INDEX(真品获取算法!$C$6:$C$66,MATCH(W55,真品获取算法!I$6:I$66,1)),0)+付费投放!AL55,前期规划!I$8)</f>
        <v>0</v>
      </c>
      <c r="AD55" s="63">
        <f>IFERROR(X55/F55,0)</f>
        <v>0</v>
      </c>
      <c r="AE55" s="63">
        <f t="shared" ref="AE55:AE95" si="9">IFERROR(Y55/G55,0)</f>
        <v>0</v>
      </c>
      <c r="AF55" s="63">
        <f t="shared" ref="AF55:AF95" si="10">IFERROR(Z55/H55,0)</f>
        <v>0</v>
      </c>
      <c r="AG55" s="63">
        <f t="shared" ref="AG55:AG95" si="11">IFERROR(AA55/I55,0)</f>
        <v>0</v>
      </c>
      <c r="AH55" s="63">
        <f t="shared" ref="AH55:AH95" si="12">IFERROR(AB55/J55,0)</f>
        <v>0</v>
      </c>
      <c r="AI55" s="63">
        <f t="shared" ref="AI55:AI95" si="13">IFERROR(AC55/K55,0)</f>
        <v>0</v>
      </c>
      <c r="AK55" s="60" t="e">
        <f>活动投放!AF55/U55</f>
        <v>#DIV/0!</v>
      </c>
      <c r="AL55" s="60" t="e">
        <f>付费投放!AD55/U55</f>
        <v>#DIV/0!</v>
      </c>
      <c r="AM55" s="60" t="e">
        <f>活动投放!AH55/W55</f>
        <v>#DIV/0!</v>
      </c>
      <c r="AN55" s="60" t="e">
        <f>付费投放!AF55/W55</f>
        <v>#DIV/0!</v>
      </c>
      <c r="AO55" s="60" t="e">
        <f>IFERROR(INDEX(真品获取算法!$C$6:$C$66,MATCH(U55,真品获取算法!G$6:G$66,1)),0)*AK55/(IFERROR(INDEX(真品获取算法!$C$6:$C$66,MATCH(U55,真品获取算法!G$6:G$66,1)),0)+付费投放!AJ55)</f>
        <v>#DIV/0!</v>
      </c>
      <c r="AP55" s="60" t="e">
        <f>(付费投放!AJ55+IFERROR(INDEX(真品获取算法!$C$6:$C$66,MATCH(U55,真品获取算法!G$6:G$66,1)),0)*AL55)/(IFERROR(INDEX(真品获取算法!$C$6:$C$66,MATCH(U55,真品获取算法!G$6:G$66,1)),0)+付费投放!AJ55)</f>
        <v>#DIV/0!</v>
      </c>
      <c r="AQ55" s="60" t="e">
        <f>IFERROR(INDEX(真品获取算法!$C$6:$C$66,MATCH(W55,真品获取算法!I$6:I$66,1)),0)*AM55/(IFERROR(INDEX(真品获取算法!$C$6:$C$66,MATCH(W55,真品获取算法!I$6:I$66,1)),0)+付费投放!AL55)</f>
        <v>#DIV/0!</v>
      </c>
      <c r="AR55" s="60" t="e">
        <f>(付费投放!AL55+IFERROR(INDEX(真品获取算法!$C$6:$C$66,MATCH(W55,真品获取算法!I$6:I$66,1)),0)*AN55)/(IFERROR(INDEX(真品获取算法!$C$6:$C$66,MATCH(W55,真品获取算法!I$6:I$66,1)),0)+付费投放!AL55)</f>
        <v>#DIV/0!</v>
      </c>
    </row>
    <row r="56" spans="2:44" x14ac:dyDescent="0.15">
      <c r="C56" s="29">
        <f>C12</f>
        <v>30</v>
      </c>
      <c r="D56" s="18">
        <f>求节点(节奏总纲!$E$4:$E$163,节奏总纲!$C$4:$C$163,$C56)</f>
        <v>51.497823295559343</v>
      </c>
      <c r="E56" s="18">
        <f>IFERROR(求节点(前期规划!$D$13:$D$23,前期规划!$B$13:$B$23,D56),0)</f>
        <v>4.8326077651864479</v>
      </c>
      <c r="F56" s="63">
        <f>IFERROR(求节点(前期规划!$C$28:$C$35,前期规划!D$28:D$35,$D56),0)</f>
        <v>5.8480409660034089</v>
      </c>
      <c r="G56" s="63">
        <f>IFERROR(求节点(前期规划!$C$28:$C$35,前期规划!E$28:E$35,$D56),0)</f>
        <v>1.9493469886678028</v>
      </c>
      <c r="H56" s="63">
        <f>IFERROR(求节点(前期规划!$C$28:$C$35,前期规划!F$28:F$35,$D56),0)</f>
        <v>0</v>
      </c>
      <c r="I56" s="63">
        <f>IFERROR(求节点(前期规划!$C$28:$C$35,前期规划!G$28:G$35,$D56),0)</f>
        <v>0</v>
      </c>
      <c r="J56" s="63">
        <f>IFERROR(求节点(前期规划!$C$28:$C$35,前期规划!H$28:H$35,$D56),0)</f>
        <v>0</v>
      </c>
      <c r="K56" s="63">
        <f>IFERROR(求节点(前期规划!$C$28:$C$35,前期规划!I$28:I$35,$D56),0)</f>
        <v>0</v>
      </c>
      <c r="L56" s="63">
        <f>MIN($E56-SUM(M56:$Q56),F56)</f>
        <v>2.8832607765186449</v>
      </c>
      <c r="M56" s="63">
        <f>MIN($E56-SUM(N56:$Q56),G56)</f>
        <v>1.9493469886678028</v>
      </c>
      <c r="N56" s="63">
        <f>MIN($E56-SUM(O56:$Q56),H56)</f>
        <v>0</v>
      </c>
      <c r="O56" s="63">
        <f>MIN($E56-SUM(P56:$Q56),I56)</f>
        <v>0</v>
      </c>
      <c r="P56" s="63">
        <f>MIN($E56-SUM(Q56:$Q56),J56)</f>
        <v>0</v>
      </c>
      <c r="Q56" s="69">
        <f t="shared" ref="Q56:Q94" si="14">MIN($E56,K56)</f>
        <v>0</v>
      </c>
      <c r="R56" s="64">
        <f>活动投放!AC56+付费投放!AA56</f>
        <v>2.3560606060606064</v>
      </c>
      <c r="S56" s="64">
        <f>活动投放!AD56+付费投放!AB56</f>
        <v>2.3560606060606064</v>
      </c>
      <c r="T56" s="64">
        <f>活动投放!AE56+付费投放!AC56</f>
        <v>0.7593939393939394</v>
      </c>
      <c r="U56" s="64">
        <f>活动投放!AF56+付费投放!AD56</f>
        <v>0.3254545454545455</v>
      </c>
      <c r="V56" s="64">
        <f>活动投放!AG56+付费投放!AE56</f>
        <v>0</v>
      </c>
      <c r="W56" s="64">
        <f>活动投放!AH56+付费投放!AF56</f>
        <v>0</v>
      </c>
      <c r="X56" s="63">
        <f>MIN(IFERROR(INDEX(真品获取算法!$C$6:$C$66,MATCH(R56,真品获取算法!D$6:D$66,1)),0)+付费投放!AG56,前期规划!D$8)</f>
        <v>1</v>
      </c>
      <c r="Y56" s="63">
        <f>MIN(IFERROR(INDEX(真品获取算法!$C$6:$C$66,MATCH(S56,真品获取算法!E$6:E$66,1)),0)+付费投放!AH56,前期规划!E$8)</f>
        <v>1</v>
      </c>
      <c r="Z56" s="63">
        <f>MIN(IFERROR(INDEX(真品获取算法!$C$6:$C$66,MATCH(T56,真品获取算法!F$6:F$66,1)),0)+付费投放!AI56,前期规划!F$8)</f>
        <v>0</v>
      </c>
      <c r="AA56" s="63">
        <f>MIN(IFERROR(INDEX(真品获取算法!$C$6:$C$66,MATCH(U56,真品获取算法!G$6:G$66,1)),0)+付费投放!AJ56,前期规划!G$8)</f>
        <v>1.8080808080808083E-2</v>
      </c>
      <c r="AB56" s="63">
        <f>MIN(IFERROR(INDEX(真品获取算法!$C$6:$C$66,MATCH(V56,真品获取算法!H$6:H$66,1)),0)+付费投放!AK56,前期规划!H$8)</f>
        <v>0</v>
      </c>
      <c r="AC56" s="63">
        <f>MIN(IFERROR(INDEX(真品获取算法!$C$6:$C$66,MATCH(W56,真品获取算法!I$6:I$66,1)),0)+付费投放!AL56,前期规划!I$8)</f>
        <v>0</v>
      </c>
      <c r="AD56" s="63">
        <f t="shared" ref="AD56:AD95" si="15">IFERROR(X56/F56,0)</f>
        <v>0.17099743415159535</v>
      </c>
      <c r="AE56" s="63">
        <f t="shared" si="9"/>
        <v>0.51299230245478611</v>
      </c>
      <c r="AF56" s="63">
        <f t="shared" si="10"/>
        <v>0</v>
      </c>
      <c r="AG56" s="63">
        <f t="shared" si="11"/>
        <v>0</v>
      </c>
      <c r="AH56" s="63">
        <f t="shared" si="12"/>
        <v>0</v>
      </c>
      <c r="AI56" s="63">
        <f t="shared" si="13"/>
        <v>0</v>
      </c>
      <c r="AK56" s="60">
        <f>活动投放!AF56/U56</f>
        <v>0</v>
      </c>
      <c r="AL56" s="60">
        <f>付费投放!AD56/U56</f>
        <v>1</v>
      </c>
      <c r="AM56" s="60" t="e">
        <f>活动投放!AH56/W56</f>
        <v>#DIV/0!</v>
      </c>
      <c r="AN56" s="60" t="e">
        <f>付费投放!AF56/W56</f>
        <v>#DIV/0!</v>
      </c>
      <c r="AO56" s="60">
        <f>IFERROR(INDEX(真品获取算法!$C$6:$C$66,MATCH(U56,真品获取算法!G$6:G$66,1)),0)*AK56/(IFERROR(INDEX(真品获取算法!$C$6:$C$66,MATCH(U56,真品获取算法!G$6:G$66,1)),0)+付费投放!AJ56)</f>
        <v>0</v>
      </c>
      <c r="AP56" s="60">
        <f>(付费投放!AJ56+IFERROR(INDEX(真品获取算法!$C$6:$C$66,MATCH(U56,真品获取算法!G$6:G$66,1)),0)*AL56)/(IFERROR(INDEX(真品获取算法!$C$6:$C$66,MATCH(U56,真品获取算法!G$6:G$66,1)),0)+付费投放!AJ56)</f>
        <v>1</v>
      </c>
      <c r="AQ56" s="60" t="e">
        <f>IFERROR(INDEX(真品获取算法!$C$6:$C$66,MATCH(W56,真品获取算法!I$6:I$66,1)),0)*AM56/(IFERROR(INDEX(真品获取算法!$C$6:$C$66,MATCH(W56,真品获取算法!I$6:I$66,1)),0)+付费投放!AL56)</f>
        <v>#DIV/0!</v>
      </c>
      <c r="AR56" s="60" t="e">
        <f>(付费投放!AL56+IFERROR(INDEX(真品获取算法!$C$6:$C$66,MATCH(W56,真品获取算法!I$6:I$66,1)),0)*AN56)/(IFERROR(INDEX(真品获取算法!$C$6:$C$66,MATCH(W56,真品获取算法!I$6:I$66,1)),0)+付费投放!AL56)</f>
        <v>#DIV/0!</v>
      </c>
    </row>
    <row r="57" spans="2:44" x14ac:dyDescent="0.15">
      <c r="C57" s="29">
        <f t="shared" ref="C57:C95" si="16">C13</f>
        <v>45</v>
      </c>
      <c r="D57" s="18">
        <f>求节点(节奏总纲!$E$4:$E$163,节奏总纲!$C$4:$C$163,$C57)</f>
        <v>57.218966664386244</v>
      </c>
      <c r="E57" s="18">
        <f>IFERROR(求节点(前期规划!$D$13:$D$23,前期规划!$B$13:$B$23,D57),0)</f>
        <v>6.6339904755389263</v>
      </c>
      <c r="F57" s="63">
        <f>IFERROR(求节点(前期规划!$C$28:$C$35,前期规划!D$28:D$35,$D57),0)</f>
        <v>9</v>
      </c>
      <c r="G57" s="63">
        <f>IFERROR(求节点(前期规划!$C$28:$C$35,前期规划!E$28:E$35,$D57),0)</f>
        <v>4.3313799986317463</v>
      </c>
      <c r="H57" s="63">
        <f>IFERROR(求节点(前期规划!$C$28:$C$35,前期规划!F$28:F$35,$D57),0)</f>
        <v>1.3313799986317463</v>
      </c>
      <c r="I57" s="63">
        <f>IFERROR(求节点(前期规划!$C$28:$C$35,前期规划!G$28:G$35,$D57),0)</f>
        <v>0</v>
      </c>
      <c r="J57" s="63">
        <f>IFERROR(求节点(前期规划!$C$28:$C$35,前期规划!H$28:H$35,$D57),0)</f>
        <v>0</v>
      </c>
      <c r="K57" s="63">
        <f>IFERROR(求节点(前期规划!$C$28:$C$35,前期规划!I$28:I$35,$D57),0)</f>
        <v>0</v>
      </c>
      <c r="L57" s="63">
        <f>MIN($E57-SUM(M57:$Q57),F57)</f>
        <v>0.97123047827543374</v>
      </c>
      <c r="M57" s="63">
        <f>MIN($E57-SUM(N57:$Q57),G57)</f>
        <v>4.3313799986317463</v>
      </c>
      <c r="N57" s="63">
        <f>MIN($E57-SUM(O57:$Q57),H57)</f>
        <v>1.3313799986317463</v>
      </c>
      <c r="O57" s="63">
        <f>MIN($E57-SUM(P57:$Q57),I57)</f>
        <v>0</v>
      </c>
      <c r="P57" s="63">
        <f>MIN($E57-SUM(Q57:$Q57),J57)</f>
        <v>0</v>
      </c>
      <c r="Q57" s="69">
        <f t="shared" si="14"/>
        <v>0</v>
      </c>
      <c r="R57" s="64">
        <f>活动投放!AC57+付费投放!AA57</f>
        <v>5.2121212121212128</v>
      </c>
      <c r="S57" s="64">
        <f>活动投放!AD57+付费投放!AB57</f>
        <v>5.2121212121212128</v>
      </c>
      <c r="T57" s="64">
        <f>活动投放!AE57+付费投放!AC57</f>
        <v>1.5187878787878788</v>
      </c>
      <c r="U57" s="64">
        <f>活动投放!AF57+付费投放!AD57</f>
        <v>0.65090909090909099</v>
      </c>
      <c r="V57" s="64">
        <f>活动投放!AG57+付费投放!AE57</f>
        <v>0</v>
      </c>
      <c r="W57" s="64">
        <f>活动投放!AH57+付费投放!AF57</f>
        <v>0</v>
      </c>
      <c r="X57" s="63">
        <f>MIN(IFERROR(INDEX(真品获取算法!$C$6:$C$66,MATCH(R57,真品获取算法!D$6:D$66,1)),0)+付费投放!AG57,前期规划!D$8)</f>
        <v>2</v>
      </c>
      <c r="Y57" s="63">
        <f>MIN(IFERROR(INDEX(真品获取算法!$C$6:$C$66,MATCH(S57,真品获取算法!E$6:E$66,1)),0)+付费投放!AH57,前期规划!E$8)</f>
        <v>2</v>
      </c>
      <c r="Z57" s="63">
        <f>MIN(IFERROR(INDEX(真品获取算法!$C$6:$C$66,MATCH(T57,真品获取算法!F$6:F$66,1)),0)+付费投放!AI57,前期规划!F$8)</f>
        <v>1</v>
      </c>
      <c r="AA57" s="63">
        <f>MIN(IFERROR(INDEX(真品获取算法!$C$6:$C$66,MATCH(U57,真品获取算法!G$6:G$66,1)),0)+付费投放!AJ57,前期规划!G$8)</f>
        <v>3.6161616161616165E-2</v>
      </c>
      <c r="AB57" s="63">
        <f>MIN(IFERROR(INDEX(真品获取算法!$C$6:$C$66,MATCH(V57,真品获取算法!H$6:H$66,1)),0)+付费投放!AK57,前期规划!H$8)</f>
        <v>0</v>
      </c>
      <c r="AC57" s="63">
        <f>MIN(IFERROR(INDEX(真品获取算法!$C$6:$C$66,MATCH(W57,真品获取算法!I$6:I$66,1)),0)+付费投放!AL57,前期规划!I$8)</f>
        <v>0</v>
      </c>
      <c r="AD57" s="63">
        <f t="shared" si="15"/>
        <v>0.22222222222222221</v>
      </c>
      <c r="AE57" s="63">
        <f t="shared" si="9"/>
        <v>0.46174660284523328</v>
      </c>
      <c r="AF57" s="63">
        <f t="shared" si="10"/>
        <v>0.75110036280227721</v>
      </c>
      <c r="AG57" s="63">
        <f t="shared" si="11"/>
        <v>0</v>
      </c>
      <c r="AH57" s="63">
        <f t="shared" si="12"/>
        <v>0</v>
      </c>
      <c r="AI57" s="63">
        <f t="shared" si="13"/>
        <v>0</v>
      </c>
      <c r="AK57" s="60">
        <f>活动投放!AF57/U57</f>
        <v>0</v>
      </c>
      <c r="AL57" s="60">
        <f>付费投放!AD57/U57</f>
        <v>1</v>
      </c>
      <c r="AM57" s="60" t="e">
        <f>活动投放!AH57/W57</f>
        <v>#DIV/0!</v>
      </c>
      <c r="AN57" s="60" t="e">
        <f>付费投放!AF57/W57</f>
        <v>#DIV/0!</v>
      </c>
      <c r="AO57" s="60">
        <f>IFERROR(INDEX(真品获取算法!$C$6:$C$66,MATCH(U57,真品获取算法!G$6:G$66,1)),0)*AK57/(IFERROR(INDEX(真品获取算法!$C$6:$C$66,MATCH(U57,真品获取算法!G$6:G$66,1)),0)+付费投放!AJ57)</f>
        <v>0</v>
      </c>
      <c r="AP57" s="60">
        <f>(付费投放!AJ57+IFERROR(INDEX(真品获取算法!$C$6:$C$66,MATCH(U57,真品获取算法!G$6:G$66,1)),0)*AL57)/(IFERROR(INDEX(真品获取算法!$C$6:$C$66,MATCH(U57,真品获取算法!G$6:G$66,1)),0)+付费投放!AJ57)</f>
        <v>1</v>
      </c>
      <c r="AQ57" s="60" t="e">
        <f>IFERROR(INDEX(真品获取算法!$C$6:$C$66,MATCH(W57,真品获取算法!I$6:I$66,1)),0)*AM57/(IFERROR(INDEX(真品获取算法!$C$6:$C$66,MATCH(W57,真品获取算法!I$6:I$66,1)),0)+付费投放!AL57)</f>
        <v>#DIV/0!</v>
      </c>
      <c r="AR57" s="60" t="e">
        <f>(付费投放!AL57+IFERROR(INDEX(真品获取算法!$C$6:$C$66,MATCH(W57,真品获取算法!I$6:I$66,1)),0)*AN57)/(IFERROR(INDEX(真品获取算法!$C$6:$C$66,MATCH(W57,真品获取算法!I$6:I$66,1)),0)+付费投放!AL57)</f>
        <v>#DIV/0!</v>
      </c>
    </row>
    <row r="58" spans="2:44" x14ac:dyDescent="0.15">
      <c r="C58" s="29">
        <f t="shared" si="16"/>
        <v>60</v>
      </c>
      <c r="D58" s="18">
        <f>求节点(节奏总纲!$E$4:$E$163,节奏总纲!$C$4:$C$163,$C58)</f>
        <v>61.330461663183208</v>
      </c>
      <c r="E58" s="18">
        <f>IFERROR(求节点(前期规划!$D$13:$D$23,前期规划!$B$13:$B$23,D58),0)</f>
        <v>7.8087033323380588</v>
      </c>
      <c r="F58" s="63">
        <f>IFERROR(求节点(前期规划!$C$28:$C$35,前期规划!D$28:D$35,$D58),0)</f>
        <v>9</v>
      </c>
      <c r="G58" s="63">
        <f>IFERROR(求节点(前期规划!$C$28:$C$35,前期规划!E$28:E$35,$D58),0)</f>
        <v>6.7982769979099249</v>
      </c>
      <c r="H58" s="63">
        <f>IFERROR(求节点(前期规划!$C$28:$C$35,前期规划!F$28:F$35,$D58),0)</f>
        <v>3.7982769979099245</v>
      </c>
      <c r="I58" s="63">
        <f>IFERROR(求节点(前期规划!$C$28:$C$35,前期规划!G$28:G$35,$D58),0)</f>
        <v>0</v>
      </c>
      <c r="J58" s="63">
        <f>IFERROR(求节点(前期规划!$C$28:$C$35,前期规划!H$28:H$35,$D58),0)</f>
        <v>0</v>
      </c>
      <c r="K58" s="63">
        <f>IFERROR(求节点(前期规划!$C$28:$C$35,前期规划!I$28:I$35,$D58),0)</f>
        <v>0</v>
      </c>
      <c r="L58" s="63">
        <f>MIN($E58-SUM(M58:$Q58),F58)</f>
        <v>0</v>
      </c>
      <c r="M58" s="63">
        <f>MIN($E58-SUM(N58:$Q58),G58)</f>
        <v>4.0104263344281339</v>
      </c>
      <c r="N58" s="63">
        <f>MIN($E58-SUM(O58:$Q58),H58)</f>
        <v>3.7982769979099245</v>
      </c>
      <c r="O58" s="63">
        <f>MIN($E58-SUM(P58:$Q58),I58)</f>
        <v>0</v>
      </c>
      <c r="P58" s="63">
        <f>MIN($E58-SUM(Q58:$Q58),J58)</f>
        <v>0</v>
      </c>
      <c r="Q58" s="69">
        <f t="shared" si="14"/>
        <v>0</v>
      </c>
      <c r="R58" s="64">
        <f>活动投放!AC58+付费投放!AA58</f>
        <v>8.0681818181818183</v>
      </c>
      <c r="S58" s="64">
        <f>活动投放!AD58+付费投放!AB58</f>
        <v>8.0681818181818183</v>
      </c>
      <c r="T58" s="64">
        <f>活动投放!AE58+付费投放!AC58</f>
        <v>2.9781818181818185</v>
      </c>
      <c r="U58" s="64">
        <f>活动投放!AF58+付费投放!AD58</f>
        <v>1.2763636363636366</v>
      </c>
      <c r="V58" s="64">
        <f>活动投放!AG58+付费投放!AE58</f>
        <v>0</v>
      </c>
      <c r="W58" s="64">
        <f>活动投放!AH58+付费投放!AF58</f>
        <v>0</v>
      </c>
      <c r="X58" s="63">
        <f>MIN(IFERROR(INDEX(真品获取算法!$C$6:$C$66,MATCH(R58,真品获取算法!D$6:D$66,1)),0)+付费投放!AG58,前期规划!D$8)</f>
        <v>3</v>
      </c>
      <c r="Y58" s="63">
        <f>MIN(IFERROR(INDEX(真品获取算法!$C$6:$C$66,MATCH(S58,真品获取算法!E$6:E$66,1)),0)+付费投放!AH58,前期规划!E$8)</f>
        <v>3</v>
      </c>
      <c r="Z58" s="63">
        <f>MIN(IFERROR(INDEX(真品获取算法!$C$6:$C$66,MATCH(T58,真品获取算法!F$6:F$66,1)),0)+付费投放!AI58,前期规划!F$8)</f>
        <v>2</v>
      </c>
      <c r="AA58" s="63">
        <f>MIN(IFERROR(INDEX(真品获取算法!$C$6:$C$66,MATCH(U58,真品获取算法!G$6:G$66,1)),0)+付费投放!AJ58,前期规划!G$8)</f>
        <v>5.4242424242424245E-2</v>
      </c>
      <c r="AB58" s="63">
        <f>MIN(IFERROR(INDEX(真品获取算法!$C$6:$C$66,MATCH(V58,真品获取算法!H$6:H$66,1)),0)+付费投放!AK58,前期规划!H$8)</f>
        <v>0</v>
      </c>
      <c r="AC58" s="63">
        <f>MIN(IFERROR(INDEX(真品获取算法!$C$6:$C$66,MATCH(W58,真品获取算法!I$6:I$66,1)),0)+付费投放!AL58,前期规划!I$8)</f>
        <v>0</v>
      </c>
      <c r="AD58" s="63">
        <f t="shared" si="15"/>
        <v>0.33333333333333331</v>
      </c>
      <c r="AE58" s="63">
        <f t="shared" si="9"/>
        <v>0.4412882853879484</v>
      </c>
      <c r="AF58" s="63">
        <f t="shared" si="10"/>
        <v>0.52655454067740159</v>
      </c>
      <c r="AG58" s="63">
        <f t="shared" si="11"/>
        <v>0</v>
      </c>
      <c r="AH58" s="63">
        <f t="shared" si="12"/>
        <v>0</v>
      </c>
      <c r="AI58" s="63">
        <f t="shared" si="13"/>
        <v>0</v>
      </c>
      <c r="AK58" s="60">
        <f>活动投放!AF58/U58</f>
        <v>0.23504273504273498</v>
      </c>
      <c r="AL58" s="60">
        <f>付费投放!AD58/U58</f>
        <v>0.76495726495726502</v>
      </c>
      <c r="AM58" s="60" t="e">
        <f>活动投放!AH58/W58</f>
        <v>#DIV/0!</v>
      </c>
      <c r="AN58" s="60" t="e">
        <f>付费投放!AF58/W58</f>
        <v>#DIV/0!</v>
      </c>
      <c r="AO58" s="60">
        <f>IFERROR(INDEX(真品获取算法!$C$6:$C$66,MATCH(U58,真品获取算法!G$6:G$66,1)),0)*AK58/(IFERROR(INDEX(真品获取算法!$C$6:$C$66,MATCH(U58,真品获取算法!G$6:G$66,1)),0)+付费投放!AJ58)</f>
        <v>0</v>
      </c>
      <c r="AP58" s="60">
        <f>(付费投放!AJ58+IFERROR(INDEX(真品获取算法!$C$6:$C$66,MATCH(U58,真品获取算法!G$6:G$66,1)),0)*AL58)/(IFERROR(INDEX(真品获取算法!$C$6:$C$66,MATCH(U58,真品获取算法!G$6:G$66,1)),0)+付费投放!AJ58)</f>
        <v>1</v>
      </c>
      <c r="AQ58" s="60" t="e">
        <f>IFERROR(INDEX(真品获取算法!$C$6:$C$66,MATCH(W58,真品获取算法!I$6:I$66,1)),0)*AM58/(IFERROR(INDEX(真品获取算法!$C$6:$C$66,MATCH(W58,真品获取算法!I$6:I$66,1)),0)+付费投放!AL58)</f>
        <v>#DIV/0!</v>
      </c>
      <c r="AR58" s="60" t="e">
        <f>(付费投放!AL58+IFERROR(INDEX(真品获取算法!$C$6:$C$66,MATCH(W58,真品获取算法!I$6:I$66,1)),0)*AN58)/(IFERROR(INDEX(真品获取算法!$C$6:$C$66,MATCH(W58,真品获取算法!I$6:I$66,1)),0)+付费投放!AL58)</f>
        <v>#DIV/0!</v>
      </c>
    </row>
    <row r="59" spans="2:44" x14ac:dyDescent="0.15">
      <c r="C59" s="29">
        <f t="shared" si="16"/>
        <v>75</v>
      </c>
      <c r="D59" s="18">
        <f>求节点(节奏总纲!$E$4:$E$163,节奏总纲!$C$4:$C$163,$C59)</f>
        <v>64.495279642868965</v>
      </c>
      <c r="E59" s="18">
        <f>IFERROR(求节点(前期规划!$D$13:$D$23,前期规划!$B$13:$B$23,D59),0)</f>
        <v>8.6238199107172413</v>
      </c>
      <c r="F59" s="63">
        <f>IFERROR(求节点(前期规划!$C$28:$C$35,前期规划!D$28:D$35,$D59),0)</f>
        <v>9</v>
      </c>
      <c r="G59" s="63">
        <f>IFERROR(求节点(前期规划!$C$28:$C$35,前期规划!E$28:E$35,$D59),0)</f>
        <v>8.6971677857213798</v>
      </c>
      <c r="H59" s="63">
        <f>IFERROR(求节点(前期规划!$C$28:$C$35,前期规划!F$28:F$35,$D59),0)</f>
        <v>5.6971677857213789</v>
      </c>
      <c r="I59" s="63">
        <f>IFERROR(求节点(前期规划!$C$28:$C$35,前期规划!G$28:G$35,$D59),0)</f>
        <v>0</v>
      </c>
      <c r="J59" s="63">
        <f>IFERROR(求节点(前期规划!$C$28:$C$35,前期规划!H$28:H$35,$D59),0)</f>
        <v>0</v>
      </c>
      <c r="K59" s="63">
        <f>IFERROR(求节点(前期规划!$C$28:$C$35,前期规划!I$28:I$35,$D59),0)</f>
        <v>0</v>
      </c>
      <c r="L59" s="63">
        <f>MIN($E59-SUM(M59:$Q59),F59)</f>
        <v>0</v>
      </c>
      <c r="M59" s="63">
        <f>MIN($E59-SUM(N59:$Q59),G59)</f>
        <v>2.9266521249958624</v>
      </c>
      <c r="N59" s="63">
        <f>MIN($E59-SUM(O59:$Q59),H59)</f>
        <v>5.6971677857213789</v>
      </c>
      <c r="O59" s="63">
        <f>MIN($E59-SUM(P59:$Q59),I59)</f>
        <v>0</v>
      </c>
      <c r="P59" s="63">
        <f>MIN($E59-SUM(Q59:$Q59),J59)</f>
        <v>0</v>
      </c>
      <c r="Q59" s="69">
        <f t="shared" si="14"/>
        <v>0</v>
      </c>
      <c r="R59" s="64">
        <f>活动投放!AC59+付费投放!AA59</f>
        <v>10.924242424242426</v>
      </c>
      <c r="S59" s="64">
        <f>活动投放!AD59+付费投放!AB59</f>
        <v>10.924242424242426</v>
      </c>
      <c r="T59" s="64">
        <f>活动投放!AE59+付费投放!AC59</f>
        <v>5.1375757575757568</v>
      </c>
      <c r="U59" s="64">
        <f>活动投放!AF59+付费投放!AD59</f>
        <v>2.2018181818181821</v>
      </c>
      <c r="V59" s="64">
        <f>活动投放!AG59+付费投放!AE59</f>
        <v>0</v>
      </c>
      <c r="W59" s="64">
        <f>活动投放!AH59+付费投放!AF59</f>
        <v>0</v>
      </c>
      <c r="X59" s="63">
        <f>MIN(IFERROR(INDEX(真品获取算法!$C$6:$C$66,MATCH(R59,真品获取算法!D$6:D$66,1)),0)+付费投放!AG59,前期规划!D$8)</f>
        <v>4</v>
      </c>
      <c r="Y59" s="63">
        <f>MIN(IFERROR(INDEX(真品获取算法!$C$6:$C$66,MATCH(S59,真品获取算法!E$6:E$66,1)),0)+付费投放!AH59,前期规划!E$8)</f>
        <v>4</v>
      </c>
      <c r="Z59" s="63">
        <f>MIN(IFERROR(INDEX(真品获取算法!$C$6:$C$66,MATCH(T59,真品获取算法!F$6:F$66,1)),0)+付费投放!AI59,前期规划!F$8)</f>
        <v>3</v>
      </c>
      <c r="AA59" s="63">
        <f>MIN(IFERROR(INDEX(真品获取算法!$C$6:$C$66,MATCH(U59,真品获取算法!G$6:G$66,1)),0)+付费投放!AJ59,前期规划!G$8)</f>
        <v>7.2323232323232331E-2</v>
      </c>
      <c r="AB59" s="63">
        <f>MIN(IFERROR(INDEX(真品获取算法!$C$6:$C$66,MATCH(V59,真品获取算法!H$6:H$66,1)),0)+付费投放!AK59,前期规划!H$8)</f>
        <v>0</v>
      </c>
      <c r="AC59" s="63">
        <f>MIN(IFERROR(INDEX(真品获取算法!$C$6:$C$66,MATCH(W59,真品获取算法!I$6:I$66,1)),0)+付费投放!AL59,前期规划!I$8)</f>
        <v>0</v>
      </c>
      <c r="AD59" s="63">
        <f t="shared" si="15"/>
        <v>0.44444444444444442</v>
      </c>
      <c r="AE59" s="63">
        <f t="shared" si="9"/>
        <v>0.45991983810718479</v>
      </c>
      <c r="AF59" s="63">
        <f t="shared" si="10"/>
        <v>0.5265774351106175</v>
      </c>
      <c r="AG59" s="63">
        <f t="shared" si="11"/>
        <v>0</v>
      </c>
      <c r="AH59" s="63">
        <f t="shared" si="12"/>
        <v>0</v>
      </c>
      <c r="AI59" s="63">
        <f t="shared" si="13"/>
        <v>0</v>
      </c>
      <c r="AK59" s="60">
        <f>活动投放!AF59/U59</f>
        <v>0.40875309661436821</v>
      </c>
      <c r="AL59" s="60">
        <f>付费投放!AD59/U59</f>
        <v>0.59124690338563168</v>
      </c>
      <c r="AM59" s="60" t="e">
        <f>活动投放!AH59/W59</f>
        <v>#DIV/0!</v>
      </c>
      <c r="AN59" s="60" t="e">
        <f>付费投放!AF59/W59</f>
        <v>#DIV/0!</v>
      </c>
      <c r="AO59" s="60">
        <f>IFERROR(INDEX(真品获取算法!$C$6:$C$66,MATCH(U59,真品获取算法!G$6:G$66,1)),0)*AK59/(IFERROR(INDEX(真品获取算法!$C$6:$C$66,MATCH(U59,真品获取算法!G$6:G$66,1)),0)+付费投放!AJ59)</f>
        <v>0</v>
      </c>
      <c r="AP59" s="60">
        <f>(付费投放!AJ59+IFERROR(INDEX(真品获取算法!$C$6:$C$66,MATCH(U59,真品获取算法!G$6:G$66,1)),0)*AL59)/(IFERROR(INDEX(真品获取算法!$C$6:$C$66,MATCH(U59,真品获取算法!G$6:G$66,1)),0)+付费投放!AJ59)</f>
        <v>1</v>
      </c>
      <c r="AQ59" s="60" t="e">
        <f>IFERROR(INDEX(真品获取算法!$C$6:$C$66,MATCH(W59,真品获取算法!I$6:I$66,1)),0)*AM59/(IFERROR(INDEX(真品获取算法!$C$6:$C$66,MATCH(W59,真品获取算法!I$6:I$66,1)),0)+付费投放!AL59)</f>
        <v>#DIV/0!</v>
      </c>
      <c r="AR59" s="60" t="e">
        <f>(付费投放!AL59+IFERROR(INDEX(真品获取算法!$C$6:$C$66,MATCH(W59,真品获取算法!I$6:I$66,1)),0)*AN59)/(IFERROR(INDEX(真品获取算法!$C$6:$C$66,MATCH(W59,真品获取算法!I$6:I$66,1)),0)+付费投放!AL59)</f>
        <v>#DIV/0!</v>
      </c>
    </row>
    <row r="60" spans="2:44" x14ac:dyDescent="0.15">
      <c r="C60" s="29">
        <f t="shared" si="16"/>
        <v>90</v>
      </c>
      <c r="D60" s="18">
        <f>求节点(节奏总纲!$E$4:$E$163,节奏总纲!$C$4:$C$163,$C60)</f>
        <v>67.083433628014333</v>
      </c>
      <c r="E60" s="18">
        <f>IFERROR(求节点(前期规划!$D$13:$D$23,前期规划!$B$13:$B$23,D60),0)</f>
        <v>9.2708584070035833</v>
      </c>
      <c r="F60" s="63">
        <f>IFERROR(求节点(前期规划!$C$28:$C$35,前期规划!D$28:D$35,$D60),0)</f>
        <v>9</v>
      </c>
      <c r="G60" s="63">
        <f>IFERROR(求节点(前期规划!$C$28:$C$35,前期规划!E$28:E$35,$D60),0)</f>
        <v>9</v>
      </c>
      <c r="H60" s="63">
        <f>IFERROR(求节点(前期规划!$C$28:$C$35,前期规划!F$28:F$35,$D60),0)</f>
        <v>10.375210618830099</v>
      </c>
      <c r="I60" s="63">
        <f>IFERROR(求节点(前期规划!$C$28:$C$35,前期规划!G$28:G$35,$D60),0)</f>
        <v>1.2500601768085999</v>
      </c>
      <c r="J60" s="63">
        <f>IFERROR(求节点(前期规划!$C$28:$C$35,前期规划!H$28:H$35,$D60),0)</f>
        <v>0</v>
      </c>
      <c r="K60" s="63">
        <f>IFERROR(求节点(前期规划!$C$28:$C$35,前期规划!I$28:I$35,$D60),0)</f>
        <v>0</v>
      </c>
      <c r="L60" s="63">
        <f>MIN($E60-SUM(M60:$Q60),F60)</f>
        <v>0</v>
      </c>
      <c r="M60" s="63">
        <f>MIN($E60-SUM(N60:$Q60),G60)</f>
        <v>0</v>
      </c>
      <c r="N60" s="63">
        <f>MIN($E60-SUM(O60:$Q60),H60)</f>
        <v>8.0207982301949841</v>
      </c>
      <c r="O60" s="63">
        <f>MIN($E60-SUM(P60:$Q60),I60)</f>
        <v>1.2500601768085999</v>
      </c>
      <c r="P60" s="63">
        <f>MIN($E60-SUM(Q60:$Q60),J60)</f>
        <v>0</v>
      </c>
      <c r="Q60" s="69">
        <f t="shared" si="14"/>
        <v>0</v>
      </c>
      <c r="R60" s="64">
        <f>活动投放!AC60+付费投放!AA60</f>
        <v>13.174242424242426</v>
      </c>
      <c r="S60" s="64">
        <f>活动投放!AD60+付费投放!AB60</f>
        <v>13.174242424242426</v>
      </c>
      <c r="T60" s="64">
        <f>活动投放!AE60+付费投放!AC60</f>
        <v>7.7431313131313129</v>
      </c>
      <c r="U60" s="64">
        <f>活动投放!AF60+付费投放!AD60</f>
        <v>3.3184848484848484</v>
      </c>
      <c r="V60" s="64">
        <f>活动投放!AG60+付费投放!AE60</f>
        <v>0.33666666666666667</v>
      </c>
      <c r="W60" s="64">
        <f>活动投放!AH60+付费投放!AF60</f>
        <v>3.740740740740741E-2</v>
      </c>
      <c r="X60" s="63">
        <f>MIN(IFERROR(INDEX(真品获取算法!$C$6:$C$66,MATCH(R60,真品获取算法!D$6:D$66,1)),0)+付费投放!AG60,前期规划!D$8)</f>
        <v>4</v>
      </c>
      <c r="Y60" s="63">
        <f>MIN(IFERROR(INDEX(真品获取算法!$C$6:$C$66,MATCH(S60,真品获取算法!E$6:E$66,1)),0)+付费投放!AH60,前期规划!E$8)</f>
        <v>4</v>
      </c>
      <c r="Z60" s="63">
        <f>MIN(IFERROR(INDEX(真品获取算法!$C$6:$C$66,MATCH(T60,真品获取算法!F$6:F$66,1)),0)+付费投放!AI60,前期规划!F$8)</f>
        <v>5</v>
      </c>
      <c r="AA60" s="63">
        <f>MIN(IFERROR(INDEX(真品获取算法!$C$6:$C$66,MATCH(U60,真品获取算法!G$6:G$66,1)),0)+付费投放!AJ60,前期规划!G$8)</f>
        <v>8.2323232323232326E-2</v>
      </c>
      <c r="AB60" s="63">
        <f>MIN(IFERROR(INDEX(真品获取算法!$C$6:$C$66,MATCH(V60,真品获取算法!H$6:H$66,1)),0)+付费投放!AK60,前期规划!H$8)</f>
        <v>0</v>
      </c>
      <c r="AC60" s="63">
        <f>MIN(IFERROR(INDEX(真品获取算法!$C$6:$C$66,MATCH(W60,真品获取算法!I$6:I$66,1)),0)+付费投放!AL60,前期规划!I$8)</f>
        <v>7.4814814814814813E-3</v>
      </c>
      <c r="AD60" s="63">
        <f t="shared" si="15"/>
        <v>0.44444444444444442</v>
      </c>
      <c r="AE60" s="63">
        <f t="shared" si="9"/>
        <v>0.44444444444444442</v>
      </c>
      <c r="AF60" s="63">
        <f t="shared" si="10"/>
        <v>0.4819179276154103</v>
      </c>
      <c r="AG60" s="63">
        <f t="shared" si="11"/>
        <v>6.5855415483599605E-2</v>
      </c>
      <c r="AH60" s="63">
        <f t="shared" si="12"/>
        <v>0</v>
      </c>
      <c r="AI60" s="63">
        <f t="shared" si="13"/>
        <v>0</v>
      </c>
      <c r="AK60" s="60">
        <f>活动投放!AF60/U60</f>
        <v>0.45201351474751167</v>
      </c>
      <c r="AL60" s="60">
        <f>付费投放!AD60/U60</f>
        <v>0.54798648525248839</v>
      </c>
      <c r="AM60" s="60">
        <f>活动投放!AH60/W60</f>
        <v>0</v>
      </c>
      <c r="AN60" s="60">
        <f>付费投放!AF60/W60</f>
        <v>1</v>
      </c>
      <c r="AO60" s="60">
        <f>IFERROR(INDEX(真品获取算法!$C$6:$C$66,MATCH(U60,真品获取算法!G$6:G$66,1)),0)*AK60/(IFERROR(INDEX(真品获取算法!$C$6:$C$66,MATCH(U60,真品获取算法!G$6:G$66,1)),0)+付费投放!AJ60)</f>
        <v>0</v>
      </c>
      <c r="AP60" s="60">
        <f>(付费投放!AJ60+IFERROR(INDEX(真品获取算法!$C$6:$C$66,MATCH(U60,真品获取算法!G$6:G$66,1)),0)*AL60)/(IFERROR(INDEX(真品获取算法!$C$6:$C$66,MATCH(U60,真品获取算法!G$6:G$66,1)),0)+付费投放!AJ60)</f>
        <v>1</v>
      </c>
      <c r="AQ60" s="60">
        <f>IFERROR(INDEX(真品获取算法!$C$6:$C$66,MATCH(W60,真品获取算法!I$6:I$66,1)),0)*AM60/(IFERROR(INDEX(真品获取算法!$C$6:$C$66,MATCH(W60,真品获取算法!I$6:I$66,1)),0)+付费投放!AL60)</f>
        <v>0</v>
      </c>
      <c r="AR60" s="60">
        <f>(付费投放!AL60+IFERROR(INDEX(真品获取算法!$C$6:$C$66,MATCH(W60,真品获取算法!I$6:I$66,1)),0)*AN60)/(IFERROR(INDEX(真品获取算法!$C$6:$C$66,MATCH(W60,真品获取算法!I$6:I$66,1)),0)+付费投放!AL60)</f>
        <v>1</v>
      </c>
    </row>
    <row r="61" spans="2:44" x14ac:dyDescent="0.15">
      <c r="C61" s="29">
        <f t="shared" si="16"/>
        <v>105</v>
      </c>
      <c r="D61" s="18">
        <f>求节点(节奏总纲!$E$4:$E$163,节奏总纲!$C$4:$C$163,$C61)</f>
        <v>69.333680194119751</v>
      </c>
      <c r="E61" s="18">
        <f>IFERROR(求节点(前期规划!$D$13:$D$23,前期规划!$B$13:$B$23,D61),0)</f>
        <v>9.8334200485299377</v>
      </c>
      <c r="F61" s="63">
        <f>IFERROR(求节点(前期规划!$C$28:$C$35,前期规划!D$28:D$35,$D61),0)</f>
        <v>9</v>
      </c>
      <c r="G61" s="63">
        <f>IFERROR(求节点(前期规划!$C$28:$C$35,前期规划!E$28:E$35,$D61),0)</f>
        <v>9</v>
      </c>
      <c r="H61" s="63">
        <f>IFERROR(求节点(前期规划!$C$28:$C$35,前期规划!F$28:F$35,$D61),0)</f>
        <v>15.100728407651477</v>
      </c>
      <c r="I61" s="63">
        <f>IFERROR(求节点(前期规划!$C$28:$C$35,前期规划!G$28:G$35,$D61),0)</f>
        <v>2.6002081164718502</v>
      </c>
      <c r="J61" s="63">
        <f>IFERROR(求节点(前期规划!$C$28:$C$35,前期规划!H$28:H$35,$D61),0)</f>
        <v>0</v>
      </c>
      <c r="K61" s="63">
        <f>IFERROR(求节点(前期规划!$C$28:$C$35,前期规划!I$28:I$35,$D61),0)</f>
        <v>0</v>
      </c>
      <c r="L61" s="63">
        <f>MIN($E61-SUM(M61:$Q61),F61)</f>
        <v>0</v>
      </c>
      <c r="M61" s="63">
        <f>MIN($E61-SUM(N61:$Q61),G61)</f>
        <v>0</v>
      </c>
      <c r="N61" s="63">
        <f>MIN($E61-SUM(O61:$Q61),H61)</f>
        <v>7.2332119320580874</v>
      </c>
      <c r="O61" s="63">
        <f>MIN($E61-SUM(P61:$Q61),I61)</f>
        <v>2.6002081164718502</v>
      </c>
      <c r="P61" s="63">
        <f>MIN($E61-SUM(Q61:$Q61),J61)</f>
        <v>0</v>
      </c>
      <c r="Q61" s="69">
        <f t="shared" si="14"/>
        <v>0</v>
      </c>
      <c r="R61" s="64">
        <f>活动投放!AC61+付费投放!AA61</f>
        <v>15.424242424242426</v>
      </c>
      <c r="S61" s="64">
        <f>活动投放!AD61+付费投放!AB61</f>
        <v>15.424242424242426</v>
      </c>
      <c r="T61" s="64">
        <f>活动投放!AE61+付费投放!AC61</f>
        <v>11.048686868686868</v>
      </c>
      <c r="U61" s="64">
        <f>活动投放!AF61+付费投放!AD61</f>
        <v>4.7351515151515144</v>
      </c>
      <c r="V61" s="64">
        <f>活动投放!AG61+付费投放!AE61</f>
        <v>0.67333333333333334</v>
      </c>
      <c r="W61" s="64">
        <f>活动投放!AH61+付费投放!AF61</f>
        <v>7.481481481481482E-2</v>
      </c>
      <c r="X61" s="63">
        <f>MIN(IFERROR(INDEX(真品获取算法!$C$6:$C$66,MATCH(R61,真品获取算法!D$6:D$66,1)),0)+付费投放!AG61,前期规划!D$8)</f>
        <v>5</v>
      </c>
      <c r="Y61" s="63">
        <f>MIN(IFERROR(INDEX(真品获取算法!$C$6:$C$66,MATCH(S61,真品获取算法!E$6:E$66,1)),0)+付费投放!AH61,前期规划!E$8)</f>
        <v>5</v>
      </c>
      <c r="Z61" s="63">
        <f>MIN(IFERROR(INDEX(真品获取算法!$C$6:$C$66,MATCH(T61,真品获取算法!F$6:F$66,1)),0)+付费投放!AI61,前期规划!F$8)</f>
        <v>6</v>
      </c>
      <c r="AA61" s="63">
        <f>MIN(IFERROR(INDEX(真品获取算法!$C$6:$C$66,MATCH(U61,真品获取算法!G$6:G$66,1)),0)+付费投放!AJ61,前期规划!G$8)</f>
        <v>1.0923232323232324</v>
      </c>
      <c r="AB61" s="63">
        <f>MIN(IFERROR(INDEX(真品获取算法!$C$6:$C$66,MATCH(V61,真品获取算法!H$6:H$66,1)),0)+付费投放!AK61,前期规划!H$8)</f>
        <v>0</v>
      </c>
      <c r="AC61" s="63">
        <f>MIN(IFERROR(INDEX(真品获取算法!$C$6:$C$66,MATCH(W61,真品获取算法!I$6:I$66,1)),0)+付费投放!AL61,前期规划!I$8)</f>
        <v>1.4962962962962963E-2</v>
      </c>
      <c r="AD61" s="63">
        <f t="shared" si="15"/>
        <v>0.55555555555555558</v>
      </c>
      <c r="AE61" s="63">
        <f t="shared" si="9"/>
        <v>0.55555555555555558</v>
      </c>
      <c r="AF61" s="63">
        <f t="shared" si="10"/>
        <v>0.39733182652035676</v>
      </c>
      <c r="AG61" s="63">
        <f t="shared" si="11"/>
        <v>0.42009069405004984</v>
      </c>
      <c r="AH61" s="63">
        <f t="shared" si="12"/>
        <v>0</v>
      </c>
      <c r="AI61" s="63">
        <f t="shared" si="13"/>
        <v>0</v>
      </c>
      <c r="AK61" s="60">
        <f>活动投放!AF61/U61</f>
        <v>0.50684756175604762</v>
      </c>
      <c r="AL61" s="60">
        <f>付费投放!AD61/U61</f>
        <v>0.49315243824395244</v>
      </c>
      <c r="AM61" s="60">
        <f>活动投放!AH61/W61</f>
        <v>0</v>
      </c>
      <c r="AN61" s="60">
        <f>付费投放!AF61/W61</f>
        <v>1</v>
      </c>
      <c r="AO61" s="60">
        <f>IFERROR(INDEX(真品获取算法!$C$6:$C$66,MATCH(U61,真品获取算法!G$6:G$66,1)),0)*AK61/(IFERROR(INDEX(真品获取算法!$C$6:$C$66,MATCH(U61,真品获取算法!G$6:G$66,1)),0)+付费投放!AJ61)</f>
        <v>0.46400877209033392</v>
      </c>
      <c r="AP61" s="60">
        <f>(付费投放!AJ61+IFERROR(INDEX(真品获取算法!$C$6:$C$66,MATCH(U61,真品获取算法!G$6:G$66,1)),0)*AL61)/(IFERROR(INDEX(真品获取算法!$C$6:$C$66,MATCH(U61,真品获取算法!G$6:G$66,1)),0)+付费投放!AJ61)</f>
        <v>0.53599122790966602</v>
      </c>
      <c r="AQ61" s="60">
        <f>IFERROR(INDEX(真品获取算法!$C$6:$C$66,MATCH(W61,真品获取算法!I$6:I$66,1)),0)*AM61/(IFERROR(INDEX(真品获取算法!$C$6:$C$66,MATCH(W61,真品获取算法!I$6:I$66,1)),0)+付费投放!AL61)</f>
        <v>0</v>
      </c>
      <c r="AR61" s="60">
        <f>(付费投放!AL61+IFERROR(INDEX(真品获取算法!$C$6:$C$66,MATCH(W61,真品获取算法!I$6:I$66,1)),0)*AN61)/(IFERROR(INDEX(真品获取算法!$C$6:$C$66,MATCH(W61,真品获取算法!I$6:I$66,1)),0)+付费投放!AL61)</f>
        <v>1</v>
      </c>
    </row>
    <row r="62" spans="2:44" x14ac:dyDescent="0.15">
      <c r="C62" s="29">
        <f t="shared" si="16"/>
        <v>120</v>
      </c>
      <c r="D62" s="18">
        <f>求节点(节奏总纲!$E$4:$E$163,节奏总纲!$C$4:$C$163,$C62)</f>
        <v>71.230067506391322</v>
      </c>
      <c r="E62" s="18">
        <f>IFERROR(求节点(前期规划!$D$13:$D$23,前期规划!$B$13:$B$23,D62),0)</f>
        <v>10.273348334753628</v>
      </c>
      <c r="F62" s="63">
        <f>IFERROR(求节点(前期规划!$C$28:$C$35,前期规划!D$28:D$35,$D62),0)</f>
        <v>9</v>
      </c>
      <c r="G62" s="63">
        <f>IFERROR(求节点(前期规划!$C$28:$C$35,前期规划!E$28:E$35,$D62),0)</f>
        <v>9</v>
      </c>
      <c r="H62" s="63">
        <f>IFERROR(求节点(前期规划!$C$28:$C$35,前期规划!F$28:F$35,$D62),0)</f>
        <v>19.083141763421779</v>
      </c>
      <c r="I62" s="63">
        <f>IFERROR(求节点(前期规划!$C$28:$C$35,前期规划!G$28:G$35,$D62),0)</f>
        <v>3.7380405038347928</v>
      </c>
      <c r="J62" s="63">
        <f>IFERROR(求节点(前期规划!$C$28:$C$35,前期规划!H$28:H$35,$D62),0)</f>
        <v>0</v>
      </c>
      <c r="K62" s="63">
        <f>IFERROR(求节点(前期规划!$C$28:$C$35,前期规划!I$28:I$35,$D62),0)</f>
        <v>0</v>
      </c>
      <c r="L62" s="63">
        <f>MIN($E62-SUM(M62:$Q62),F62)</f>
        <v>0</v>
      </c>
      <c r="M62" s="63">
        <f>MIN($E62-SUM(N62:$Q62),G62)</f>
        <v>0</v>
      </c>
      <c r="N62" s="63">
        <f>MIN($E62-SUM(O62:$Q62),H62)</f>
        <v>6.5353078309188355</v>
      </c>
      <c r="O62" s="63">
        <f>MIN($E62-SUM(P62:$Q62),I62)</f>
        <v>3.7380405038347928</v>
      </c>
      <c r="P62" s="63">
        <f>MIN($E62-SUM(Q62:$Q62),J62)</f>
        <v>0</v>
      </c>
      <c r="Q62" s="69">
        <f t="shared" si="14"/>
        <v>0</v>
      </c>
      <c r="R62" s="64">
        <f>活动投放!AC62+付费投放!AA62</f>
        <v>17.674242424242426</v>
      </c>
      <c r="S62" s="64">
        <f>活动投放!AD62+付费投放!AB62</f>
        <v>17.674242424242426</v>
      </c>
      <c r="T62" s="64">
        <f>活动投放!AE62+付费投放!AC62</f>
        <v>14.354242424242424</v>
      </c>
      <c r="U62" s="64">
        <f>活动投放!AF62+付费投放!AD62</f>
        <v>6.1518181818181814</v>
      </c>
      <c r="V62" s="64">
        <f>活动投放!AG62+付费投放!AE62</f>
        <v>1.01</v>
      </c>
      <c r="W62" s="64">
        <f>活动投放!AH62+付费投放!AF62</f>
        <v>0.11222222222222222</v>
      </c>
      <c r="X62" s="63">
        <f>MIN(IFERROR(INDEX(真品获取算法!$C$6:$C$66,MATCH(R62,真品获取算法!D$6:D$66,1)),0)+付费投放!AG62,前期规划!D$8)</f>
        <v>5</v>
      </c>
      <c r="Y62" s="63">
        <f>MIN(IFERROR(INDEX(真品获取算法!$C$6:$C$66,MATCH(S62,真品获取算法!E$6:E$66,1)),0)+付费投放!AH62,前期规划!E$8)</f>
        <v>5</v>
      </c>
      <c r="Z62" s="63">
        <f>MIN(IFERROR(INDEX(真品获取算法!$C$6:$C$66,MATCH(T62,真品获取算法!F$6:F$66,1)),0)+付费投放!AI62,前期规划!F$8)</f>
        <v>8</v>
      </c>
      <c r="AA62" s="63">
        <f>MIN(IFERROR(INDEX(真品获取算法!$C$6:$C$66,MATCH(U62,真品获取算法!G$6:G$66,1)),0)+付费投放!AJ62,前期规划!G$8)</f>
        <v>1.1023232323232324</v>
      </c>
      <c r="AB62" s="63">
        <f>MIN(IFERROR(INDEX(真品获取算法!$C$6:$C$66,MATCH(V62,真品获取算法!H$6:H$66,1)),0)+付费投放!AK62,前期规划!H$8)</f>
        <v>0</v>
      </c>
      <c r="AC62" s="63">
        <f>MIN(IFERROR(INDEX(真品获取算法!$C$6:$C$66,MATCH(W62,真品获取算法!I$6:I$66,1)),0)+付费投放!AL62,前期规划!I$8)</f>
        <v>2.2444444444444444E-2</v>
      </c>
      <c r="AD62" s="63">
        <f t="shared" si="15"/>
        <v>0.55555555555555558</v>
      </c>
      <c r="AE62" s="63">
        <f t="shared" si="9"/>
        <v>0.55555555555555558</v>
      </c>
      <c r="AF62" s="63">
        <f t="shared" si="10"/>
        <v>0.41921818216192552</v>
      </c>
      <c r="AG62" s="63">
        <f t="shared" si="11"/>
        <v>0.2948933354768033</v>
      </c>
      <c r="AH62" s="63">
        <f t="shared" si="12"/>
        <v>0</v>
      </c>
      <c r="AI62" s="63">
        <f t="shared" si="13"/>
        <v>0</v>
      </c>
      <c r="AK62" s="60">
        <f>活动投放!AF62/U62</f>
        <v>0.53642677700605879</v>
      </c>
      <c r="AL62" s="60">
        <f>付费投放!AD62/U62</f>
        <v>0.46357322299394116</v>
      </c>
      <c r="AM62" s="60">
        <f>活动投放!AH62/W62</f>
        <v>0</v>
      </c>
      <c r="AN62" s="60">
        <f>付费投放!AF62/W62</f>
        <v>1</v>
      </c>
      <c r="AO62" s="60">
        <f>IFERROR(INDEX(真品获取算法!$C$6:$C$66,MATCH(U62,真品获取算法!G$6:G$66,1)),0)*AK62/(IFERROR(INDEX(真品获取算法!$C$6:$C$66,MATCH(U62,真品获取算法!G$6:G$66,1)),0)+付费投放!AJ62)</f>
        <v>0.48663292333546976</v>
      </c>
      <c r="AP62" s="60">
        <f>(付费投放!AJ62+IFERROR(INDEX(真品获取算法!$C$6:$C$66,MATCH(U62,真品获取算法!G$6:G$66,1)),0)*AL62)/(IFERROR(INDEX(真品获取算法!$C$6:$C$66,MATCH(U62,真品获取算法!G$6:G$66,1)),0)+付费投放!AJ62)</f>
        <v>0.51336707666453008</v>
      </c>
      <c r="AQ62" s="60">
        <f>IFERROR(INDEX(真品获取算法!$C$6:$C$66,MATCH(W62,真品获取算法!I$6:I$66,1)),0)*AM62/(IFERROR(INDEX(真品获取算法!$C$6:$C$66,MATCH(W62,真品获取算法!I$6:I$66,1)),0)+付费投放!AL62)</f>
        <v>0</v>
      </c>
      <c r="AR62" s="60">
        <f>(付费投放!AL62+IFERROR(INDEX(真品获取算法!$C$6:$C$66,MATCH(W62,真品获取算法!I$6:I$66,1)),0)*AN62)/(IFERROR(INDEX(真品获取算法!$C$6:$C$66,MATCH(W62,真品获取算法!I$6:I$66,1)),0)+付费投放!AL62)</f>
        <v>1</v>
      </c>
    </row>
    <row r="63" spans="2:44" x14ac:dyDescent="0.15">
      <c r="C63" s="29">
        <f t="shared" si="16"/>
        <v>150</v>
      </c>
      <c r="D63" s="18">
        <f>求节点(节奏总纲!$E$4:$E$163,节奏总纲!$C$4:$C$163,$C63)</f>
        <v>74.456724480300707</v>
      </c>
      <c r="E63" s="18">
        <f>IFERROR(求节点(前期规划!$D$13:$D$23,前期规划!$B$13:$B$23,D63),0)</f>
        <v>10.990383217844602</v>
      </c>
      <c r="F63" s="63">
        <f>IFERROR(求节点(前期规划!$C$28:$C$35,前期规划!D$28:D$35,$D63),0)</f>
        <v>9</v>
      </c>
      <c r="G63" s="63">
        <f>IFERROR(求节点(前期规划!$C$28:$C$35,前期规划!E$28:E$35,$D63),0)</f>
        <v>9</v>
      </c>
      <c r="H63" s="63">
        <f>IFERROR(求节点(前期规划!$C$28:$C$35,前期规划!F$28:F$35,$D63),0)</f>
        <v>25.859121408631484</v>
      </c>
      <c r="I63" s="63">
        <f>IFERROR(求节点(前期规划!$C$28:$C$35,前期规划!G$28:G$35,$D63),0)</f>
        <v>5.6740346881804244</v>
      </c>
      <c r="J63" s="63">
        <f>IFERROR(求节点(前期规划!$C$28:$C$35,前期规划!H$28:H$35,$D63),0)</f>
        <v>0</v>
      </c>
      <c r="K63" s="63">
        <f>IFERROR(求节点(前期规划!$C$28:$C$35,前期规划!I$28:I$35,$D63),0)</f>
        <v>0</v>
      </c>
      <c r="L63" s="63">
        <f>MIN($E63-SUM(M63:$Q63),F63)</f>
        <v>0</v>
      </c>
      <c r="M63" s="63">
        <f>MIN($E63-SUM(N63:$Q63),G63)</f>
        <v>0</v>
      </c>
      <c r="N63" s="63">
        <f>MIN($E63-SUM(O63:$Q63),H63)</f>
        <v>5.3163485296641779</v>
      </c>
      <c r="O63" s="63">
        <f>MIN($E63-SUM(P63:$Q63),I63)</f>
        <v>5.6740346881804244</v>
      </c>
      <c r="P63" s="63">
        <f>MIN($E63-SUM(Q63:$Q63),J63)</f>
        <v>0</v>
      </c>
      <c r="Q63" s="69">
        <f t="shared" si="14"/>
        <v>0</v>
      </c>
      <c r="R63" s="64">
        <f>活动投放!AC63+付费投放!AA63</f>
        <v>22.174242424242426</v>
      </c>
      <c r="S63" s="64">
        <f>活动投放!AD63+付费投放!AB63</f>
        <v>22.174242424242426</v>
      </c>
      <c r="T63" s="64">
        <f>活动投放!AE63+付费投放!AC63</f>
        <v>22.365353535353535</v>
      </c>
      <c r="U63" s="64">
        <f>活动投放!AF63+付费投放!AD63</f>
        <v>9.5851515151515159</v>
      </c>
      <c r="V63" s="64">
        <f>活动投放!AG63+付费投放!AE63</f>
        <v>1.6833333333333333</v>
      </c>
      <c r="W63" s="64">
        <f>活动投放!AH63+付费投放!AF63</f>
        <v>0.18703703703703706</v>
      </c>
      <c r="X63" s="63">
        <f>MIN(IFERROR(INDEX(真品获取算法!$C$6:$C$66,MATCH(R63,真品获取算法!D$6:D$66,1)),0)+付费投放!AG63,前期规划!D$8)</f>
        <v>6</v>
      </c>
      <c r="Y63" s="63">
        <f>MIN(IFERROR(INDEX(真品获取算法!$C$6:$C$66,MATCH(S63,真品获取算法!E$6:E$66,1)),0)+付费投放!AH63,前期规划!E$8)</f>
        <v>6</v>
      </c>
      <c r="Z63" s="63">
        <f>MIN(IFERROR(INDEX(真品获取算法!$C$6:$C$66,MATCH(T63,真品获取算法!F$6:F$66,1)),0)+付费投放!AI63,前期规划!F$8)</f>
        <v>12</v>
      </c>
      <c r="AA63" s="63">
        <f>MIN(IFERROR(INDEX(真品获取算法!$C$6:$C$66,MATCH(U63,真品获取算法!G$6:G$66,1)),0)+付费投放!AJ63,前期规划!G$8)</f>
        <v>2.1223232323232324</v>
      </c>
      <c r="AB63" s="63">
        <f>MIN(IFERROR(INDEX(真品获取算法!$C$6:$C$66,MATCH(V63,真品获取算法!H$6:H$66,1)),0)+付费投放!AK63,前期规划!H$8)</f>
        <v>1</v>
      </c>
      <c r="AC63" s="63">
        <f>MIN(IFERROR(INDEX(真品获取算法!$C$6:$C$66,MATCH(W63,真品获取算法!I$6:I$66,1)),0)+付费投放!AL63,前期规划!I$8)</f>
        <v>3.7407407407407403E-2</v>
      </c>
      <c r="AD63" s="63">
        <f t="shared" si="15"/>
        <v>0.66666666666666663</v>
      </c>
      <c r="AE63" s="63">
        <f t="shared" si="9"/>
        <v>0.66666666666666663</v>
      </c>
      <c r="AF63" s="63">
        <f t="shared" si="10"/>
        <v>0.46405288912849663</v>
      </c>
      <c r="AG63" s="63">
        <f t="shared" si="11"/>
        <v>0.37404128613176119</v>
      </c>
      <c r="AH63" s="63">
        <f t="shared" si="12"/>
        <v>0</v>
      </c>
      <c r="AI63" s="63">
        <f t="shared" si="13"/>
        <v>0</v>
      </c>
      <c r="AK63" s="60">
        <f>活动投放!AF63/U63</f>
        <v>0.5946697859694603</v>
      </c>
      <c r="AL63" s="60">
        <f>付费投放!AD63/U63</f>
        <v>0.40533021403053959</v>
      </c>
      <c r="AM63" s="60">
        <f>活动投放!AH63/W63</f>
        <v>0</v>
      </c>
      <c r="AN63" s="60">
        <f>付费投放!AF63/W63</f>
        <v>1</v>
      </c>
      <c r="AO63" s="60">
        <f>IFERROR(INDEX(真品获取算法!$C$6:$C$66,MATCH(U63,真品获取算法!G$6:G$66,1)),0)*AK63/(IFERROR(INDEX(真品获取算法!$C$6:$C$66,MATCH(U63,真品获取算法!G$6:G$66,1)),0)+付费投放!AJ63)</f>
        <v>0.56039511504427741</v>
      </c>
      <c r="AP63" s="60">
        <f>(付费投放!AJ63+IFERROR(INDEX(真品获取算法!$C$6:$C$66,MATCH(U63,真品获取算法!G$6:G$66,1)),0)*AL63)/(IFERROR(INDEX(真品获取算法!$C$6:$C$66,MATCH(U63,真品获取算法!G$6:G$66,1)),0)+付费投放!AJ63)</f>
        <v>0.43960488495572242</v>
      </c>
      <c r="AQ63" s="60">
        <f>IFERROR(INDEX(真品获取算法!$C$6:$C$66,MATCH(W63,真品获取算法!I$6:I$66,1)),0)*AM63/(IFERROR(INDEX(真品获取算法!$C$6:$C$66,MATCH(W63,真品获取算法!I$6:I$66,1)),0)+付费投放!AL63)</f>
        <v>0</v>
      </c>
      <c r="AR63" s="60">
        <f>(付费投放!AL63+IFERROR(INDEX(真品获取算法!$C$6:$C$66,MATCH(W63,真品获取算法!I$6:I$66,1)),0)*AN63)/(IFERROR(INDEX(真品获取算法!$C$6:$C$66,MATCH(W63,真品获取算法!I$6:I$66,1)),0)+付费投放!AL63)</f>
        <v>1</v>
      </c>
    </row>
    <row r="64" spans="2:44" x14ac:dyDescent="0.15">
      <c r="C64" s="29">
        <f t="shared" si="16"/>
        <v>180</v>
      </c>
      <c r="D64" s="18">
        <f>求节点(节奏总纲!$E$4:$E$163,节奏总纲!$C$4:$C$163,$C64)</f>
        <v>77.06778397927944</v>
      </c>
      <c r="E64" s="18">
        <f>IFERROR(求节点(前期规划!$D$13:$D$23,前期规划!$B$13:$B$23,D64),0)</f>
        <v>11.570618662062097</v>
      </c>
      <c r="F64" s="63">
        <f>IFERROR(求节点(前期规划!$C$28:$C$35,前期规划!D$28:D$35,$D64),0)</f>
        <v>9</v>
      </c>
      <c r="G64" s="63">
        <f>IFERROR(求节点(前期规划!$C$28:$C$35,前期规划!E$28:E$35,$D64),0)</f>
        <v>9</v>
      </c>
      <c r="H64" s="63">
        <f>IFERROR(求节点(前期规划!$C$28:$C$35,前期规划!F$28:F$35,$D64),0)</f>
        <v>27</v>
      </c>
      <c r="I64" s="63">
        <f>IFERROR(求节点(前期规划!$C$28:$C$35,前期规划!G$28:G$35,$D64),0)</f>
        <v>10.342346356486825</v>
      </c>
      <c r="J64" s="63">
        <f>IFERROR(求节点(前期规划!$C$28:$C$35,前期规划!H$28:H$35,$D64),0)</f>
        <v>1.2406703875676641</v>
      </c>
      <c r="K64" s="63">
        <f>IFERROR(求节点(前期规划!$C$28:$C$35,前期规划!I$28:I$35,$D64),0)</f>
        <v>0</v>
      </c>
      <c r="L64" s="63">
        <f>MIN($E64-SUM(M64:$Q64),F64)</f>
        <v>0</v>
      </c>
      <c r="M64" s="63">
        <f>MIN($E64-SUM(N64:$Q64),G64)</f>
        <v>0</v>
      </c>
      <c r="N64" s="63">
        <f>MIN($E64-SUM(O64:$Q64),H64)</f>
        <v>0</v>
      </c>
      <c r="O64" s="63">
        <f>MIN($E64-SUM(P64:$Q64),I64)</f>
        <v>10.329948274494432</v>
      </c>
      <c r="P64" s="63">
        <f>MIN($E64-SUM(Q64:$Q64),J64)</f>
        <v>1.2406703875676641</v>
      </c>
      <c r="Q64" s="69">
        <f t="shared" si="14"/>
        <v>0</v>
      </c>
      <c r="R64" s="64">
        <f>活动投放!AC64+付费投放!AA64</f>
        <v>26.674242424242426</v>
      </c>
      <c r="S64" s="64">
        <f>活动投放!AD64+付费投放!AB64</f>
        <v>26.674242424242426</v>
      </c>
      <c r="T64" s="64">
        <f>活动投放!AE64+付费投放!AC64</f>
        <v>31.776464646464643</v>
      </c>
      <c r="U64" s="64">
        <f>活动投放!AF64+付费投放!AD64</f>
        <v>13.618484848484847</v>
      </c>
      <c r="V64" s="64">
        <f>活动投放!AG64+付费投放!AE64</f>
        <v>2.3566666666666665</v>
      </c>
      <c r="W64" s="64">
        <f>活动投放!AH64+付费投放!AF64</f>
        <v>0.26185185185185189</v>
      </c>
      <c r="X64" s="63">
        <f>MIN(IFERROR(INDEX(真品获取算法!$C$6:$C$66,MATCH(R64,真品获取算法!D$6:D$66,1)),0)+付费投放!AG64,前期规划!D$8)</f>
        <v>7</v>
      </c>
      <c r="Y64" s="63">
        <f>MIN(IFERROR(INDEX(真品获取算法!$C$6:$C$66,MATCH(S64,真品获取算法!E$6:E$66,1)),0)+付费投放!AH64,前期规划!E$8)</f>
        <v>7</v>
      </c>
      <c r="Z64" s="63">
        <f>MIN(IFERROR(INDEX(真品获取算法!$C$6:$C$66,MATCH(T64,真品获取算法!F$6:F$66,1)),0)+付费投放!AI64,前期规划!F$8)</f>
        <v>15</v>
      </c>
      <c r="AA64" s="63">
        <f>MIN(IFERROR(INDEX(真品获取算法!$C$6:$C$66,MATCH(U64,真品获取算法!G$6:G$66,1)),0)+付费投放!AJ64,前期规划!G$8)</f>
        <v>3.1423232323232324</v>
      </c>
      <c r="AB64" s="63">
        <f>MIN(IFERROR(INDEX(真品获取算法!$C$6:$C$66,MATCH(V64,真品获取算法!H$6:H$66,1)),0)+付费投放!AK64,前期规划!H$8)</f>
        <v>2</v>
      </c>
      <c r="AC64" s="63">
        <f>MIN(IFERROR(INDEX(真品获取算法!$C$6:$C$66,MATCH(W64,真品获取算法!I$6:I$66,1)),0)+付费投放!AL64,前期规划!I$8)</f>
        <v>5.2370370370370366E-2</v>
      </c>
      <c r="AD64" s="63">
        <f t="shared" si="15"/>
        <v>0.77777777777777779</v>
      </c>
      <c r="AE64" s="63">
        <f t="shared" si="9"/>
        <v>0.77777777777777779</v>
      </c>
      <c r="AF64" s="63">
        <f t="shared" si="10"/>
        <v>0.55555555555555558</v>
      </c>
      <c r="AG64" s="63">
        <f t="shared" si="11"/>
        <v>0.30383078694249444</v>
      </c>
      <c r="AH64" s="63">
        <f t="shared" si="12"/>
        <v>1.6120317048277444</v>
      </c>
      <c r="AI64" s="63">
        <f t="shared" si="13"/>
        <v>0</v>
      </c>
      <c r="AK64" s="60">
        <f>活动投放!AF64/U64</f>
        <v>0.63883758705858795</v>
      </c>
      <c r="AL64" s="60">
        <f>付费投放!AD64/U64</f>
        <v>0.36116241294141205</v>
      </c>
      <c r="AM64" s="60">
        <f>活动投放!AH64/W64</f>
        <v>0</v>
      </c>
      <c r="AN64" s="60">
        <f>付费投放!AF64/W64</f>
        <v>1</v>
      </c>
      <c r="AO64" s="60">
        <f>IFERROR(INDEX(真品获取算法!$C$6:$C$66,MATCH(U64,真品获取算法!G$6:G$66,1)),0)*AK64/(IFERROR(INDEX(真品获取算法!$C$6:$C$66,MATCH(U64,真品获取算法!G$6:G$66,1)),0)+付费投放!AJ64)</f>
        <v>0.60990312564338489</v>
      </c>
      <c r="AP64" s="60">
        <f>(付费投放!AJ64+IFERROR(INDEX(真品获取算法!$C$6:$C$66,MATCH(U64,真品获取算法!G$6:G$66,1)),0)*AL64)/(IFERROR(INDEX(真品获取算法!$C$6:$C$66,MATCH(U64,真品获取算法!G$6:G$66,1)),0)+付费投放!AJ64)</f>
        <v>0.39009687435661511</v>
      </c>
      <c r="AQ64" s="60">
        <f>IFERROR(INDEX(真品获取算法!$C$6:$C$66,MATCH(W64,真品获取算法!I$6:I$66,1)),0)*AM64/(IFERROR(INDEX(真品获取算法!$C$6:$C$66,MATCH(W64,真品获取算法!I$6:I$66,1)),0)+付费投放!AL64)</f>
        <v>0</v>
      </c>
      <c r="AR64" s="60">
        <f>(付费投放!AL64+IFERROR(INDEX(真品获取算法!$C$6:$C$66,MATCH(W64,真品获取算法!I$6:I$66,1)),0)*AN64)/(IFERROR(INDEX(真品获取算法!$C$6:$C$66,MATCH(W64,真品获取算法!I$6:I$66,1)),0)+付费投放!AL64)</f>
        <v>1</v>
      </c>
    </row>
    <row r="65" spans="3:44" x14ac:dyDescent="0.15">
      <c r="C65" s="29">
        <f t="shared" si="16"/>
        <v>210</v>
      </c>
      <c r="D65" s="18">
        <f>求节点(节奏总纲!$E$4:$E$163,节奏总纲!$C$4:$C$163,$C65)</f>
        <v>79.261304112721092</v>
      </c>
      <c r="E65" s="18">
        <f>IFERROR(求节点(前期规划!$D$13:$D$23,前期规划!$B$13:$B$23,D65),0)</f>
        <v>12.052260822544218</v>
      </c>
      <c r="F65" s="63">
        <f>IFERROR(求节点(前期规划!$C$28:$C$35,前期规划!D$28:D$35,$D65),0)</f>
        <v>9</v>
      </c>
      <c r="G65" s="63">
        <f>IFERROR(求节点(前期规划!$C$28:$C$35,前期规划!E$28:E$35,$D65),0)</f>
        <v>9</v>
      </c>
      <c r="H65" s="63">
        <f>IFERROR(求节点(前期规划!$C$28:$C$35,前期规划!F$28:F$35,$D65),0)</f>
        <v>27</v>
      </c>
      <c r="I65" s="63">
        <f>IFERROR(求节点(前期规划!$C$28:$C$35,前期规划!G$28:G$35,$D65),0)</f>
        <v>14.948738636714294</v>
      </c>
      <c r="J65" s="63">
        <f>IFERROR(求节点(前期规划!$C$28:$C$35,前期规划!H$28:H$35,$D65),0)</f>
        <v>2.5567824676326549</v>
      </c>
      <c r="K65" s="63">
        <f>IFERROR(求节点(前期规划!$C$28:$C$35,前期规划!I$28:I$35,$D65),0)</f>
        <v>0</v>
      </c>
      <c r="L65" s="63">
        <f>MIN($E65-SUM(M65:$Q65),F65)</f>
        <v>0</v>
      </c>
      <c r="M65" s="63">
        <f>MIN($E65-SUM(N65:$Q65),G65)</f>
        <v>0</v>
      </c>
      <c r="N65" s="63">
        <f>MIN($E65-SUM(O65:$Q65),H65)</f>
        <v>0</v>
      </c>
      <c r="O65" s="63">
        <f>MIN($E65-SUM(P65:$Q65),I65)</f>
        <v>9.4954783549115636</v>
      </c>
      <c r="P65" s="63">
        <f>MIN($E65-SUM(Q65:$Q65),J65)</f>
        <v>2.5567824676326549</v>
      </c>
      <c r="Q65" s="69">
        <f t="shared" si="14"/>
        <v>0</v>
      </c>
      <c r="R65" s="64">
        <f>活动投放!AC65+付费投放!AA65</f>
        <v>31.174242424242426</v>
      </c>
      <c r="S65" s="64">
        <f>活动投放!AD65+付费投放!AB65</f>
        <v>31.174242424242426</v>
      </c>
      <c r="T65" s="64">
        <f>活动投放!AE65+付费投放!AC65</f>
        <v>41.187575757575758</v>
      </c>
      <c r="U65" s="64">
        <f>活动投放!AF65+付费投放!AD65</f>
        <v>17.651818181818179</v>
      </c>
      <c r="V65" s="64">
        <f>活动投放!AG65+付费投放!AE65</f>
        <v>3.03</v>
      </c>
      <c r="W65" s="64">
        <f>活动投放!AH65+付费投放!AF65</f>
        <v>0.33666666666666673</v>
      </c>
      <c r="X65" s="63">
        <f>MIN(IFERROR(INDEX(真品获取算法!$C$6:$C$66,MATCH(R65,真品获取算法!D$6:D$66,1)),0)+付费投放!AG65,前期规划!D$8)</f>
        <v>7</v>
      </c>
      <c r="Y65" s="63">
        <f>MIN(IFERROR(INDEX(真品获取算法!$C$6:$C$66,MATCH(S65,真品获取算法!E$6:E$66,1)),0)+付费投放!AH65,前期规划!E$8)</f>
        <v>7</v>
      </c>
      <c r="Z65" s="63">
        <f>MIN(IFERROR(INDEX(真品获取算法!$C$6:$C$66,MATCH(T65,真品获取算法!F$6:F$66,1)),0)+付费投放!AI65,前期规划!F$8)</f>
        <v>18</v>
      </c>
      <c r="AA65" s="63">
        <f>MIN(IFERROR(INDEX(真品获取算法!$C$6:$C$66,MATCH(U65,真品获取算法!G$6:G$66,1)),0)+付费投放!AJ65,前期规划!G$8)</f>
        <v>4.1623232323232324</v>
      </c>
      <c r="AB65" s="63">
        <f>MIN(IFERROR(INDEX(真品获取算法!$C$6:$C$66,MATCH(V65,真品获取算法!H$6:H$66,1)),0)+付费投放!AK65,前期规划!H$8)</f>
        <v>2</v>
      </c>
      <c r="AC65" s="63">
        <f>MIN(IFERROR(INDEX(真品获取算法!$C$6:$C$66,MATCH(W65,真品获取算法!I$6:I$66,1)),0)+付费投放!AL65,前期规划!I$8)</f>
        <v>6.7333333333333328E-2</v>
      </c>
      <c r="AD65" s="63">
        <f t="shared" si="15"/>
        <v>0.77777777777777779</v>
      </c>
      <c r="AE65" s="63">
        <f t="shared" si="9"/>
        <v>0.77777777777777779</v>
      </c>
      <c r="AF65" s="63">
        <f t="shared" si="10"/>
        <v>0.66666666666666663</v>
      </c>
      <c r="AG65" s="63">
        <f t="shared" si="11"/>
        <v>0.27843976227536099</v>
      </c>
      <c r="AH65" s="63">
        <f t="shared" si="12"/>
        <v>0.7822331486228532</v>
      </c>
      <c r="AI65" s="63">
        <f t="shared" si="13"/>
        <v>0</v>
      </c>
      <c r="AK65" s="60">
        <f>活动投放!AF65/U65</f>
        <v>0.66282123912035851</v>
      </c>
      <c r="AL65" s="60">
        <f>付费投放!AD65/U65</f>
        <v>0.3371787608796416</v>
      </c>
      <c r="AM65" s="60">
        <f>活动投放!AH65/W65</f>
        <v>0</v>
      </c>
      <c r="AN65" s="60">
        <f>付费投放!AF65/W65</f>
        <v>1</v>
      </c>
      <c r="AO65" s="60">
        <f>IFERROR(INDEX(真品获取算法!$C$6:$C$66,MATCH(U65,真品获取算法!G$6:G$66,1)),0)*AK65/(IFERROR(INDEX(真品获取算法!$C$6:$C$66,MATCH(U65,真品获取算法!G$6:G$66,1)),0)+付费投放!AJ65)</f>
        <v>0.63697238501143483</v>
      </c>
      <c r="AP65" s="60">
        <f>(付费投放!AJ65+IFERROR(INDEX(真品获取算法!$C$6:$C$66,MATCH(U65,真品获取算法!G$6:G$66,1)),0)*AL65)/(IFERROR(INDEX(真品获取算法!$C$6:$C$66,MATCH(U65,真品获取算法!G$6:G$66,1)),0)+付费投放!AJ65)</f>
        <v>0.36302761498856523</v>
      </c>
      <c r="AQ65" s="60">
        <f>IFERROR(INDEX(真品获取算法!$C$6:$C$66,MATCH(W65,真品获取算法!I$6:I$66,1)),0)*AM65/(IFERROR(INDEX(真品获取算法!$C$6:$C$66,MATCH(W65,真品获取算法!I$6:I$66,1)),0)+付费投放!AL65)</f>
        <v>0</v>
      </c>
      <c r="AR65" s="60">
        <f>(付费投放!AL65+IFERROR(INDEX(真品获取算法!$C$6:$C$66,MATCH(W65,真品获取算法!I$6:I$66,1)),0)*AN65)/(IFERROR(INDEX(真品获取算法!$C$6:$C$66,MATCH(W65,真品获取算法!I$6:I$66,1)),0)+付费投放!AL65)</f>
        <v>1</v>
      </c>
    </row>
    <row r="66" spans="3:44" x14ac:dyDescent="0.15">
      <c r="C66" s="29">
        <f t="shared" si="16"/>
        <v>240</v>
      </c>
      <c r="D66" s="18">
        <f>求节点(节奏总纲!$E$4:$E$163,节奏总纲!$C$4:$C$163,$C66)</f>
        <v>81.216820623674849</v>
      </c>
      <c r="E66" s="18">
        <f>IFERROR(求节点(前期规划!$D$13:$D$23,前期规划!$B$13:$B$23,D66),0)</f>
        <v>12.44336412473497</v>
      </c>
      <c r="F66" s="63">
        <f>IFERROR(求节点(前期规划!$C$28:$C$35,前期规划!D$28:D$35,$D66),0)</f>
        <v>9</v>
      </c>
      <c r="G66" s="63">
        <f>IFERROR(求节点(前期规划!$C$28:$C$35,前期规划!E$28:E$35,$D66),0)</f>
        <v>9</v>
      </c>
      <c r="H66" s="63">
        <f>IFERROR(求节点(前期规划!$C$28:$C$35,前期规划!F$28:F$35,$D66),0)</f>
        <v>27</v>
      </c>
      <c r="I66" s="63">
        <f>IFERROR(求节点(前期规划!$C$28:$C$35,前期规划!G$28:G$35,$D66),0)</f>
        <v>19.055323309717181</v>
      </c>
      <c r="J66" s="63">
        <f>IFERROR(求节点(前期规划!$C$28:$C$35,前期规划!H$28:H$35,$D66),0)</f>
        <v>3.7300923742049092</v>
      </c>
      <c r="K66" s="63">
        <f>IFERROR(求节点(前期规划!$C$28:$C$35,前期规划!I$28:I$35,$D66),0)</f>
        <v>0</v>
      </c>
      <c r="L66" s="63">
        <f>MIN($E66-SUM(M66:$Q66),F66)</f>
        <v>0</v>
      </c>
      <c r="M66" s="63">
        <f>MIN($E66-SUM(N66:$Q66),G66)</f>
        <v>0</v>
      </c>
      <c r="N66" s="63">
        <f>MIN($E66-SUM(O66:$Q66),H66)</f>
        <v>0</v>
      </c>
      <c r="O66" s="63">
        <f>MIN($E66-SUM(P66:$Q66),I66)</f>
        <v>8.7132717505300601</v>
      </c>
      <c r="P66" s="63">
        <f>MIN($E66-SUM(Q66:$Q66),J66)</f>
        <v>3.7300923742049092</v>
      </c>
      <c r="Q66" s="69">
        <f t="shared" si="14"/>
        <v>0</v>
      </c>
      <c r="R66" s="64">
        <f>活动投放!AC66+付费投放!AA66</f>
        <v>35.674242424242422</v>
      </c>
      <c r="S66" s="64">
        <f>活动投放!AD66+付费投放!AB66</f>
        <v>35.674242424242422</v>
      </c>
      <c r="T66" s="64">
        <f>活动投放!AE66+付费投放!AC66</f>
        <v>50.598686868686869</v>
      </c>
      <c r="U66" s="64">
        <f>活动投放!AF66+付费投放!AD66</f>
        <v>21.685151515151514</v>
      </c>
      <c r="V66" s="64">
        <f>活动投放!AG66+付费投放!AE66</f>
        <v>5.503333333333333</v>
      </c>
      <c r="W66" s="64">
        <f>活动投放!AH66+付费投放!AF66</f>
        <v>0.61148148148148151</v>
      </c>
      <c r="X66" s="63">
        <f>MIN(IFERROR(INDEX(真品获取算法!$C$6:$C$66,MATCH(R66,真品获取算法!D$6:D$66,1)),0)+付费投放!AG66,前期规划!D$8)</f>
        <v>8</v>
      </c>
      <c r="Y66" s="63">
        <f>MIN(IFERROR(INDEX(真品获取算法!$C$6:$C$66,MATCH(S66,真品获取算法!E$6:E$66,1)),0)+付费投放!AH66,前期规划!E$8)</f>
        <v>8</v>
      </c>
      <c r="Z66" s="63">
        <f>MIN(IFERROR(INDEX(真品获取算法!$C$6:$C$66,MATCH(T66,真品获取算法!F$6:F$66,1)),0)+付费投放!AI66,前期规划!F$8)</f>
        <v>20</v>
      </c>
      <c r="AA66" s="63">
        <f>MIN(IFERROR(INDEX(真品获取算法!$C$6:$C$66,MATCH(U66,真品获取算法!G$6:G$66,1)),0)+付费投放!AJ66,前期规划!G$8)</f>
        <v>5.182323232323232</v>
      </c>
      <c r="AB66" s="63">
        <f>MIN(IFERROR(INDEX(真品获取算法!$C$6:$C$66,MATCH(V66,真品获取算法!H$6:H$66,1)),0)+付费投放!AK66,前期规划!H$8)</f>
        <v>4</v>
      </c>
      <c r="AC66" s="63">
        <f>MIN(IFERROR(INDEX(真品获取算法!$C$6:$C$66,MATCH(W66,真品获取算法!I$6:I$66,1)),0)+付费投放!AL66,前期规划!I$8)</f>
        <v>8.2296296296296284E-2</v>
      </c>
      <c r="AD66" s="63">
        <f t="shared" si="15"/>
        <v>0.88888888888888884</v>
      </c>
      <c r="AE66" s="63">
        <f t="shared" si="9"/>
        <v>0.88888888888888884</v>
      </c>
      <c r="AF66" s="63">
        <f t="shared" si="10"/>
        <v>0.7407407407407407</v>
      </c>
      <c r="AG66" s="63">
        <f t="shared" si="11"/>
        <v>0.27196196821706659</v>
      </c>
      <c r="AH66" s="63">
        <f t="shared" si="12"/>
        <v>1.0723595017811383</v>
      </c>
      <c r="AI66" s="63">
        <f t="shared" si="13"/>
        <v>0</v>
      </c>
      <c r="AK66" s="60">
        <f>活动投放!AF66/U66</f>
        <v>0.67788320453878514</v>
      </c>
      <c r="AL66" s="60">
        <f>付费投放!AD66/U66</f>
        <v>0.32211679546121491</v>
      </c>
      <c r="AM66" s="60">
        <f>活动投放!AH66/W66</f>
        <v>0.32707450030284674</v>
      </c>
      <c r="AN66" s="60">
        <f>付费投放!AF66/W66</f>
        <v>0.67292549969715332</v>
      </c>
      <c r="AO66" s="60">
        <f>IFERROR(INDEX(真品获取算法!$C$6:$C$66,MATCH(U66,真品获取算法!G$6:G$66,1)),0)*AK66/(IFERROR(INDEX(真品获取算法!$C$6:$C$66,MATCH(U66,真品获取算法!G$6:G$66,1)),0)+付费投放!AJ66)</f>
        <v>0.65403408292895171</v>
      </c>
      <c r="AP66" s="60">
        <f>(付费投放!AJ66+IFERROR(INDEX(真品获取算法!$C$6:$C$66,MATCH(U66,真品获取算法!G$6:G$66,1)),0)*AL66)/(IFERROR(INDEX(真品获取算法!$C$6:$C$66,MATCH(U66,真品获取算法!G$6:G$66,1)),0)+付费投放!AJ66)</f>
        <v>0.3459659170710484</v>
      </c>
      <c r="AQ66" s="60">
        <f>IFERROR(INDEX(真品获取算法!$C$6:$C$66,MATCH(W66,真品获取算法!I$6:I$66,1)),0)*AM66/(IFERROR(INDEX(真品获取算法!$C$6:$C$66,MATCH(W66,真品获取算法!I$6:I$66,1)),0)+付费投放!AL66)</f>
        <v>0</v>
      </c>
      <c r="AR66" s="60">
        <f>(付费投放!AL66+IFERROR(INDEX(真品获取算法!$C$6:$C$66,MATCH(W66,真品获取算法!I$6:I$66,1)),0)*AN66)/(IFERROR(INDEX(真品获取算法!$C$6:$C$66,MATCH(W66,真品获取算法!I$6:I$66,1)),0)+付费投放!AL66)</f>
        <v>1</v>
      </c>
    </row>
    <row r="67" spans="3:44" x14ac:dyDescent="0.15">
      <c r="C67" s="29">
        <f t="shared" si="16"/>
        <v>270</v>
      </c>
      <c r="D67" s="18">
        <f>求节点(节奏总纲!$E$4:$E$163,节奏总纲!$C$4:$C$163,$C67)</f>
        <v>82.916268958926821</v>
      </c>
      <c r="E67" s="18">
        <f>IFERROR(求节点(前期规划!$D$13:$D$23,前期规划!$B$13:$B$23,D67),0)</f>
        <v>12.783253791785365</v>
      </c>
      <c r="F67" s="63">
        <f>IFERROR(求节点(前期规划!$C$28:$C$35,前期规划!D$28:D$35,$D67),0)</f>
        <v>9</v>
      </c>
      <c r="G67" s="63">
        <f>IFERROR(求节点(前期规划!$C$28:$C$35,前期规划!E$28:E$35,$D67),0)</f>
        <v>9</v>
      </c>
      <c r="H67" s="63">
        <f>IFERROR(求节点(前期规划!$C$28:$C$35,前期规划!F$28:F$35,$D67),0)</f>
        <v>27</v>
      </c>
      <c r="I67" s="63">
        <f>IFERROR(求节点(前期规划!$C$28:$C$35,前期规划!G$28:G$35,$D67),0)</f>
        <v>22.624164813746326</v>
      </c>
      <c r="J67" s="63">
        <f>IFERROR(求节点(前期规划!$C$28:$C$35,前期规划!H$28:H$35,$D67),0)</f>
        <v>4.7497613753560923</v>
      </c>
      <c r="K67" s="63">
        <f>IFERROR(求节点(前期规划!$C$28:$C$35,前期规划!I$28:I$35,$D67),0)</f>
        <v>0</v>
      </c>
      <c r="L67" s="63">
        <f>MIN($E67-SUM(M67:$Q67),F67)</f>
        <v>0</v>
      </c>
      <c r="M67" s="63">
        <f>MIN($E67-SUM(N67:$Q67),G67)</f>
        <v>0</v>
      </c>
      <c r="N67" s="63">
        <f>MIN($E67-SUM(O67:$Q67),H67)</f>
        <v>0</v>
      </c>
      <c r="O67" s="63">
        <f>MIN($E67-SUM(P67:$Q67),I67)</f>
        <v>8.0334924164292723</v>
      </c>
      <c r="P67" s="63">
        <f>MIN($E67-SUM(Q67:$Q67),J67)</f>
        <v>4.7497613753560923</v>
      </c>
      <c r="Q67" s="69">
        <f t="shared" si="14"/>
        <v>0</v>
      </c>
      <c r="R67" s="64">
        <f>活动投放!AC67+付费投放!AA67</f>
        <v>40.174242424242422</v>
      </c>
      <c r="S67" s="64">
        <f>活动投放!AD67+付费投放!AB67</f>
        <v>40.174242424242422</v>
      </c>
      <c r="T67" s="64">
        <f>活动投放!AE67+付费投放!AC67</f>
        <v>60.00979797979798</v>
      </c>
      <c r="U67" s="64">
        <f>活动投放!AF67+付费投放!AD67</f>
        <v>25.718484848484849</v>
      </c>
      <c r="V67" s="64">
        <f>活动投放!AG67+付费投放!AE67</f>
        <v>7.9766666666666666</v>
      </c>
      <c r="W67" s="64">
        <f>活动投放!AH67+付费投放!AF67</f>
        <v>0.88629629629629636</v>
      </c>
      <c r="X67" s="63">
        <f>MIN(IFERROR(INDEX(真品获取算法!$C$6:$C$66,MATCH(R67,真品获取算法!D$6:D$66,1)),0)+付费投放!AG67,前期规划!D$8)</f>
        <v>8</v>
      </c>
      <c r="Y67" s="63">
        <f>MIN(IFERROR(INDEX(真品获取算法!$C$6:$C$66,MATCH(S67,真品获取算法!E$6:E$66,1)),0)+付费投放!AH67,前期规划!E$8)</f>
        <v>8</v>
      </c>
      <c r="Z67" s="63">
        <f>MIN(IFERROR(INDEX(真品获取算法!$C$6:$C$66,MATCH(T67,真品获取算法!F$6:F$66,1)),0)+付费投放!AI67,前期规划!F$8)</f>
        <v>21</v>
      </c>
      <c r="AA67" s="63">
        <f>MIN(IFERROR(INDEX(真品获取算法!$C$6:$C$66,MATCH(U67,真品获取算法!G$6:G$66,1)),0)+付费投放!AJ67,前期规划!G$8)</f>
        <v>6.2023232323232325</v>
      </c>
      <c r="AB67" s="63">
        <f>MIN(IFERROR(INDEX(真品获取算法!$C$6:$C$66,MATCH(V67,真品获取算法!H$6:H$66,1)),0)+付费投放!AK67,前期规划!H$8)</f>
        <v>6</v>
      </c>
      <c r="AC67" s="63">
        <f>MIN(IFERROR(INDEX(真品获取算法!$C$6:$C$66,MATCH(W67,真品获取算法!I$6:I$66,1)),0)+付费投放!AL67,前期规划!I$8)</f>
        <v>9.725925925925924E-2</v>
      </c>
      <c r="AD67" s="63">
        <f t="shared" si="15"/>
        <v>0.88888888888888884</v>
      </c>
      <c r="AE67" s="63">
        <f t="shared" si="9"/>
        <v>0.88888888888888884</v>
      </c>
      <c r="AF67" s="63">
        <f t="shared" si="10"/>
        <v>0.77777777777777779</v>
      </c>
      <c r="AG67" s="63">
        <f t="shared" si="11"/>
        <v>0.27414595338143632</v>
      </c>
      <c r="AH67" s="63">
        <f t="shared" si="12"/>
        <v>1.2632213548938922</v>
      </c>
      <c r="AI67" s="63">
        <f t="shared" si="13"/>
        <v>0</v>
      </c>
      <c r="AK67" s="60">
        <f>活动投放!AF67/U67</f>
        <v>0.68822094708439863</v>
      </c>
      <c r="AL67" s="60">
        <f>付费投放!AD67/U67</f>
        <v>0.31177905291560126</v>
      </c>
      <c r="AM67" s="60">
        <f>活动投放!AH67/W67</f>
        <v>0.45131633932302551</v>
      </c>
      <c r="AN67" s="60">
        <f>付费投放!AF67/W67</f>
        <v>0.5486836606769746</v>
      </c>
      <c r="AO67" s="60">
        <f>IFERROR(INDEX(真品获取算法!$C$6:$C$66,MATCH(U67,真品获取算法!G$6:G$66,1)),0)*AK67/(IFERROR(INDEX(真品获取算法!$C$6:$C$66,MATCH(U67,真品获取算法!G$6:G$66,1)),0)+付费投放!AJ67)</f>
        <v>0.66577079714042109</v>
      </c>
      <c r="AP67" s="60">
        <f>(付费投放!AJ67+IFERROR(INDEX(真品获取算法!$C$6:$C$66,MATCH(U67,真品获取算法!G$6:G$66,1)),0)*AL67)/(IFERROR(INDEX(真品获取算法!$C$6:$C$66,MATCH(U67,真品获取算法!G$6:G$66,1)),0)+付费投放!AJ67)</f>
        <v>0.3342292028595788</v>
      </c>
      <c r="AQ67" s="60">
        <f>IFERROR(INDEX(真品获取算法!$C$6:$C$66,MATCH(W67,真品获取算法!I$6:I$66,1)),0)*AM67/(IFERROR(INDEX(真品获取算法!$C$6:$C$66,MATCH(W67,真品获取算法!I$6:I$66,1)),0)+付费投放!AL67)</f>
        <v>0</v>
      </c>
      <c r="AR67" s="60">
        <f>(付费投放!AL67+IFERROR(INDEX(真品获取算法!$C$6:$C$66,MATCH(W67,真品获取算法!I$6:I$66,1)),0)*AN67)/(IFERROR(INDEX(真品获取算法!$C$6:$C$66,MATCH(W67,真品获取算法!I$6:I$66,1)),0)+付费投放!AL67)</f>
        <v>1</v>
      </c>
    </row>
    <row r="68" spans="3:44" x14ac:dyDescent="0.15">
      <c r="C68" s="29">
        <f t="shared" si="16"/>
        <v>300</v>
      </c>
      <c r="D68" s="18">
        <f>求节点(节奏总纲!$E$4:$E$163,节奏总纲!$C$4:$C$163,$C68)</f>
        <v>84.427173250438543</v>
      </c>
      <c r="E68" s="18">
        <f>IFERROR(求节点(前期规划!$D$13:$D$23,前期规划!$B$13:$B$23,D68),0)</f>
        <v>13.085434650087709</v>
      </c>
      <c r="F68" s="63">
        <f>IFERROR(求节点(前期规划!$C$28:$C$35,前期规划!D$28:D$35,$D68),0)</f>
        <v>9</v>
      </c>
      <c r="G68" s="63">
        <f>IFERROR(求节点(前期规划!$C$28:$C$35,前期规划!E$28:E$35,$D68),0)</f>
        <v>9</v>
      </c>
      <c r="H68" s="63">
        <f>IFERROR(求节点(前期规划!$C$28:$C$35,前期规划!F$28:F$35,$D68),0)</f>
        <v>27</v>
      </c>
      <c r="I68" s="63">
        <f>IFERROR(求节点(前期规划!$C$28:$C$35,前期规划!G$28:G$35,$D68),0)</f>
        <v>25.79706382592094</v>
      </c>
      <c r="J68" s="63">
        <f>IFERROR(求节点(前期规划!$C$28:$C$35,前期规划!H$28:H$35,$D68),0)</f>
        <v>5.6563039502631254</v>
      </c>
      <c r="K68" s="63">
        <f>IFERROR(求节点(前期规划!$C$28:$C$35,前期规划!I$28:I$35,$D68),0)</f>
        <v>0</v>
      </c>
      <c r="L68" s="63">
        <f>MIN($E68-SUM(M68:$Q68),F68)</f>
        <v>0</v>
      </c>
      <c r="M68" s="63">
        <f>MIN($E68-SUM(N68:$Q68),G68)</f>
        <v>0</v>
      </c>
      <c r="N68" s="63">
        <f>MIN($E68-SUM(O68:$Q68),H68)</f>
        <v>0</v>
      </c>
      <c r="O68" s="63">
        <f>MIN($E68-SUM(P68:$Q68),I68)</f>
        <v>7.4291306998245838</v>
      </c>
      <c r="P68" s="63">
        <f>MIN($E68-SUM(Q68:$Q68),J68)</f>
        <v>5.6563039502631254</v>
      </c>
      <c r="Q68" s="69">
        <f t="shared" si="14"/>
        <v>0</v>
      </c>
      <c r="R68" s="64">
        <f>活动投放!AC68+付费投放!AA68</f>
        <v>44.674242424242422</v>
      </c>
      <c r="S68" s="64">
        <f>活动投放!AD68+付费投放!AB68</f>
        <v>44.674242424242422</v>
      </c>
      <c r="T68" s="64">
        <f>活动投放!AE68+付费投放!AC68</f>
        <v>69.420909090909092</v>
      </c>
      <c r="U68" s="64">
        <f>活动投放!AF68+付费投放!AD68</f>
        <v>29.75181818181818</v>
      </c>
      <c r="V68" s="64">
        <f>活动投放!AG68+付费投放!AE68</f>
        <v>12.25</v>
      </c>
      <c r="W68" s="64">
        <f>活动投放!AH68+付费投放!AF68</f>
        <v>1.3611111111111112</v>
      </c>
      <c r="X68" s="63">
        <f>MIN(IFERROR(INDEX(真品获取算法!$C$6:$C$66,MATCH(R68,真品获取算法!D$6:D$66,1)),0)+付费投放!AG68,前期规划!D$8)</f>
        <v>8</v>
      </c>
      <c r="Y68" s="63">
        <f>MIN(IFERROR(INDEX(真品获取算法!$C$6:$C$66,MATCH(S68,真品获取算法!E$6:E$66,1)),0)+付费投放!AH68,前期规划!E$8)</f>
        <v>8</v>
      </c>
      <c r="Z68" s="63">
        <f>MIN(IFERROR(INDEX(真品获取算法!$C$6:$C$66,MATCH(T68,真品获取算法!F$6:F$66,1)),0)+付费投放!AI68,前期规划!F$8)</f>
        <v>22</v>
      </c>
      <c r="AA68" s="63">
        <f>MIN(IFERROR(INDEX(真品获取算法!$C$6:$C$66,MATCH(U68,真品获取算法!G$6:G$66,1)),0)+付费投放!AJ68,前期规划!G$8)</f>
        <v>7.222323232323232</v>
      </c>
      <c r="AB68" s="63">
        <f>MIN(IFERROR(INDEX(真品获取算法!$C$6:$C$66,MATCH(V68,真品获取算法!H$6:H$66,1)),0)+付费投放!AK68,前期规划!H$8)</f>
        <v>10</v>
      </c>
      <c r="AC68" s="63">
        <f>MIN(IFERROR(INDEX(真品获取算法!$C$6:$C$66,MATCH(W68,真品获取算法!I$6:I$66,1)),0)+付费投放!AL68,前期规划!I$8)</f>
        <v>0.1122222222222222</v>
      </c>
      <c r="AD68" s="63">
        <f t="shared" si="15"/>
        <v>0.88888888888888884</v>
      </c>
      <c r="AE68" s="63">
        <f t="shared" si="9"/>
        <v>0.88888888888888884</v>
      </c>
      <c r="AF68" s="63">
        <f t="shared" si="10"/>
        <v>0.81481481481481477</v>
      </c>
      <c r="AG68" s="63">
        <f t="shared" si="11"/>
        <v>0.27996687068961035</v>
      </c>
      <c r="AH68" s="63">
        <f t="shared" si="12"/>
        <v>1.7679389382062487</v>
      </c>
      <c r="AI68" s="63">
        <f t="shared" si="13"/>
        <v>0</v>
      </c>
      <c r="AK68" s="60">
        <f>活动投放!AF68/U68</f>
        <v>0.6957557979649831</v>
      </c>
      <c r="AL68" s="60">
        <f>付费投放!AD68/U68</f>
        <v>0.30424420203501695</v>
      </c>
      <c r="AM68" s="60">
        <f>活动投放!AH68/W68</f>
        <v>0.58775510204081638</v>
      </c>
      <c r="AN68" s="60">
        <f>付费投放!AF68/W68</f>
        <v>0.41224489795918373</v>
      </c>
      <c r="AO68" s="60">
        <f>IFERROR(INDEX(真品获取算法!$C$6:$C$66,MATCH(U68,真品获取算法!G$6:G$66,1)),0)*AK68/(IFERROR(INDEX(真品获取算法!$C$6:$C$66,MATCH(U68,真品获取算法!G$6:G$66,1)),0)+付费投放!AJ68)</f>
        <v>0.67433849595073259</v>
      </c>
      <c r="AP68" s="60">
        <f>(付费投放!AJ68+IFERROR(INDEX(真品获取算法!$C$6:$C$66,MATCH(U68,真品获取算法!G$6:G$66,1)),0)*AL68)/(IFERROR(INDEX(真品获取算法!$C$6:$C$66,MATCH(U68,真品获取算法!G$6:G$66,1)),0)+付费投放!AJ68)</f>
        <v>0.32566150404926753</v>
      </c>
      <c r="AQ68" s="60">
        <f>IFERROR(INDEX(真品获取算法!$C$6:$C$66,MATCH(W68,真品获取算法!I$6:I$66,1)),0)*AM68/(IFERROR(INDEX(真品获取算法!$C$6:$C$66,MATCH(W68,真品获取算法!I$6:I$66,1)),0)+付费投放!AL68)</f>
        <v>0</v>
      </c>
      <c r="AR68" s="60">
        <f>(付费投放!AL68+IFERROR(INDEX(真品获取算法!$C$6:$C$66,MATCH(W68,真品获取算法!I$6:I$66,1)),0)*AN68)/(IFERROR(INDEX(真品获取算法!$C$6:$C$66,MATCH(W68,真品获取算法!I$6:I$66,1)),0)+付费投放!AL68)</f>
        <v>1</v>
      </c>
    </row>
    <row r="69" spans="3:44" x14ac:dyDescent="0.15">
      <c r="C69" s="29">
        <f t="shared" si="16"/>
        <v>360</v>
      </c>
      <c r="D69" s="18">
        <f>求节点(节奏总纲!$E$4:$E$163,节奏总纲!$C$4:$C$163,$C69)</f>
        <v>87.064762367263285</v>
      </c>
      <c r="E69" s="18">
        <f>IFERROR(求节点(前期规划!$D$13:$D$23,前期规划!$B$13:$B$23,D69),0)</f>
        <v>13.612952473452657</v>
      </c>
      <c r="F69" s="63">
        <f>IFERROR(求节点(前期规划!$C$28:$C$35,前期规划!D$28:D$35,$D69),0)</f>
        <v>9</v>
      </c>
      <c r="G69" s="63">
        <f>IFERROR(求节点(前期规划!$C$28:$C$35,前期规划!E$28:E$35,$D69),0)</f>
        <v>9</v>
      </c>
      <c r="H69" s="63">
        <f>IFERROR(求节点(前期规划!$C$28:$C$35,前期规划!F$28:F$35,$D69),0)</f>
        <v>27</v>
      </c>
      <c r="I69" s="63">
        <f>IFERROR(求节点(前期规划!$C$28:$C$35,前期规划!G$28:G$35,$D69),0)</f>
        <v>27</v>
      </c>
      <c r="J69" s="63">
        <f>IFERROR(求节点(前期规划!$C$28:$C$35,前期规划!H$28:H$35,$D69),0)</f>
        <v>17.149716783221738</v>
      </c>
      <c r="K69" s="63">
        <f>IFERROR(求节点(前期规划!$C$28:$C$35,前期规划!I$28:I$35,$D69),0)</f>
        <v>0.61942871017898538</v>
      </c>
      <c r="L69" s="63">
        <f>MIN($E69-SUM(M69:$Q69),F69)</f>
        <v>0</v>
      </c>
      <c r="M69" s="63">
        <f>MIN($E69-SUM(N69:$Q69),G69)</f>
        <v>0</v>
      </c>
      <c r="N69" s="63">
        <f>MIN($E69-SUM(O69:$Q69),H69)</f>
        <v>0</v>
      </c>
      <c r="O69" s="63">
        <f>MIN($E69-SUM(P69:$Q69),I69)</f>
        <v>0</v>
      </c>
      <c r="P69" s="63">
        <f>MIN($E69-SUM(Q69:$Q69),J69)</f>
        <v>12.993523763273672</v>
      </c>
      <c r="Q69" s="69">
        <f t="shared" si="14"/>
        <v>0.61942871017898538</v>
      </c>
      <c r="R69" s="64">
        <f>活动投放!AC69+付费投放!AA69</f>
        <v>53.674242424242422</v>
      </c>
      <c r="S69" s="64">
        <f>活动投放!AD69+付费投放!AB69</f>
        <v>53.674242424242422</v>
      </c>
      <c r="T69" s="64">
        <f>活动投放!AE69+付费投放!AC69</f>
        <v>88.2431313131313</v>
      </c>
      <c r="U69" s="64">
        <f>活动投放!AF69+付费投放!AD69</f>
        <v>37.818484848484843</v>
      </c>
      <c r="V69" s="64">
        <f>活动投放!AG69+付费投放!AE69</f>
        <v>24.396666666666668</v>
      </c>
      <c r="W69" s="64">
        <f>活动投放!AH69+付费投放!AF69</f>
        <v>2.7107407407407411</v>
      </c>
      <c r="X69" s="63">
        <f>MIN(IFERROR(INDEX(真品获取算法!$C$6:$C$66,MATCH(R69,真品获取算法!D$6:D$66,1)),0)+付费投放!AG69,前期规划!D$8)</f>
        <v>9</v>
      </c>
      <c r="Y69" s="63">
        <f>MIN(IFERROR(INDEX(真品获取算法!$C$6:$C$66,MATCH(S69,真品获取算法!E$6:E$66,1)),0)+付费投放!AH69,前期规划!E$8)</f>
        <v>9</v>
      </c>
      <c r="Z69" s="63">
        <f>MIN(IFERROR(INDEX(真品获取算法!$C$6:$C$66,MATCH(T69,真品获取算法!F$6:F$66,1)),0)+付费投放!AI69,前期规划!F$8)</f>
        <v>24</v>
      </c>
      <c r="AA69" s="63">
        <f>MIN(IFERROR(INDEX(真品获取算法!$C$6:$C$66,MATCH(U69,真品获取算法!G$6:G$66,1)),0)+付费投放!AJ69,前期规划!G$8)</f>
        <v>9.262323232323233</v>
      </c>
      <c r="AB69" s="63">
        <f>MIN(IFERROR(INDEX(真品获取算法!$C$6:$C$66,MATCH(V69,真品获取算法!H$6:H$66,1)),0)+付费投放!AK69,前期规划!H$8)</f>
        <v>18</v>
      </c>
      <c r="AC69" s="63">
        <f>MIN(IFERROR(INDEX(真品获取算法!$C$6:$C$66,MATCH(W69,真品获取算法!I$6:I$66,1)),0)+付费投放!AL69,前期规划!I$8)</f>
        <v>0.14214814814814813</v>
      </c>
      <c r="AD69" s="63">
        <f t="shared" si="15"/>
        <v>1</v>
      </c>
      <c r="AE69" s="63">
        <f t="shared" si="9"/>
        <v>1</v>
      </c>
      <c r="AF69" s="63">
        <f t="shared" si="10"/>
        <v>0.88888888888888884</v>
      </c>
      <c r="AG69" s="63">
        <f t="shared" si="11"/>
        <v>0.34304900860456417</v>
      </c>
      <c r="AH69" s="63">
        <f t="shared" si="12"/>
        <v>1.0495800150828221</v>
      </c>
      <c r="AI69" s="63">
        <f t="shared" si="13"/>
        <v>0.22948266009025331</v>
      </c>
      <c r="AK69" s="60">
        <f>活动投放!AF69/U69</f>
        <v>0.70600395830161622</v>
      </c>
      <c r="AL69" s="60">
        <f>付费投放!AD69/U69</f>
        <v>0.29399604169838384</v>
      </c>
      <c r="AM69" s="60">
        <f>活动投放!AH69/W69</f>
        <v>0.73780571116272708</v>
      </c>
      <c r="AN69" s="60">
        <f>付费投放!AF69/W69</f>
        <v>0.26219428883727286</v>
      </c>
      <c r="AO69" s="60">
        <f>IFERROR(INDEX(真品获取算法!$C$6:$C$66,MATCH(U69,真品获取算法!G$6:G$66,1)),0)*AK69/(IFERROR(INDEX(真品获取算法!$C$6:$C$66,MATCH(U69,真品获取算法!G$6:G$66,1)),0)+付费投放!AJ69)</f>
        <v>0.68600884090727077</v>
      </c>
      <c r="AP69" s="60">
        <f>(付费投放!AJ69+IFERROR(INDEX(真品获取算法!$C$6:$C$66,MATCH(U69,真品获取算法!G$6:G$66,1)),0)*AL69)/(IFERROR(INDEX(真品获取算法!$C$6:$C$66,MATCH(U69,真品获取算法!G$6:G$66,1)),0)+付费投放!AJ69)</f>
        <v>0.31399115909272923</v>
      </c>
      <c r="AQ69" s="60">
        <f>IFERROR(INDEX(真品获取算法!$C$6:$C$66,MATCH(W69,真品获取算法!I$6:I$66,1)),0)*AM69/(IFERROR(INDEX(真品获取算法!$C$6:$C$66,MATCH(W69,真品获取算法!I$6:I$66,1)),0)+付费投放!AL69)</f>
        <v>0</v>
      </c>
      <c r="AR69" s="60">
        <f>(付费投放!AL69+IFERROR(INDEX(真品获取算法!$C$6:$C$66,MATCH(W69,真品获取算法!I$6:I$66,1)),0)*AN69)/(IFERROR(INDEX(真品获取算法!$C$6:$C$66,MATCH(W69,真品获取算法!I$6:I$66,1)),0)+付费投放!AL69)</f>
        <v>1</v>
      </c>
    </row>
    <row r="70" spans="3:44" x14ac:dyDescent="0.15">
      <c r="C70" s="29">
        <f t="shared" si="16"/>
        <v>420</v>
      </c>
      <c r="D70" s="18">
        <f>求节点(节奏总纲!$E$4:$E$163,节奏总纲!$C$4:$C$163,$C70)</f>
        <v>89.311817863093353</v>
      </c>
      <c r="E70" s="18">
        <f>IFERROR(求节点(前期规划!$D$13:$D$23,前期规划!$B$13:$B$23,D70),0)</f>
        <v>14.056694156926063</v>
      </c>
      <c r="F70" s="63">
        <f>IFERROR(求节点(前期规划!$C$28:$C$35,前期规划!D$28:D$35,$D70),0)</f>
        <v>9</v>
      </c>
      <c r="G70" s="63">
        <f>IFERROR(求节点(前期规划!$C$28:$C$35,前期规划!E$28:E$35,$D70),0)</f>
        <v>9</v>
      </c>
      <c r="H70" s="63">
        <f>IFERROR(求节点(前期规划!$C$28:$C$35,前期规划!F$28:F$35,$D70),0)</f>
        <v>27</v>
      </c>
      <c r="I70" s="63">
        <f>IFERROR(求节点(前期规划!$C$28:$C$35,前期规划!G$28:G$35,$D70),0)</f>
        <v>27</v>
      </c>
      <c r="J70" s="63">
        <f>IFERROR(求节点(前期规划!$C$28:$C$35,前期规划!H$28:H$35,$D70),0)</f>
        <v>29.283816460704106</v>
      </c>
      <c r="K70" s="63">
        <f>IFERROR(求节点(前期规划!$C$28:$C$35,前期规划!I$28:I$35,$D70),0)</f>
        <v>1.2935453589280057</v>
      </c>
      <c r="L70" s="63">
        <f>MIN($E70-SUM(M70:$Q70),F70)</f>
        <v>0</v>
      </c>
      <c r="M70" s="63">
        <f>MIN($E70-SUM(N70:$Q70),G70)</f>
        <v>0</v>
      </c>
      <c r="N70" s="63">
        <f>MIN($E70-SUM(O70:$Q70),H70)</f>
        <v>0</v>
      </c>
      <c r="O70" s="63">
        <f>MIN($E70-SUM(P70:$Q70),I70)</f>
        <v>0</v>
      </c>
      <c r="P70" s="63">
        <f>MIN($E70-SUM(Q70:$Q70),J70)</f>
        <v>12.763148797998058</v>
      </c>
      <c r="Q70" s="69">
        <f t="shared" si="14"/>
        <v>1.2935453589280057</v>
      </c>
      <c r="R70" s="64">
        <f>活动投放!AC70+付费投放!AA70</f>
        <v>62.674242424242422</v>
      </c>
      <c r="S70" s="64">
        <f>活动投放!AD70+付费投放!AB70</f>
        <v>62.674242424242422</v>
      </c>
      <c r="T70" s="64">
        <f>活动投放!AE70+付费投放!AC70</f>
        <v>107.06535353535352</v>
      </c>
      <c r="U70" s="64">
        <f>活动投放!AF70+付费投放!AD70</f>
        <v>45.885151515151506</v>
      </c>
      <c r="V70" s="64">
        <f>活动投放!AG70+付费投放!AE70</f>
        <v>40.143333333333331</v>
      </c>
      <c r="W70" s="64">
        <f>活动投放!AH70+付费投放!AF70</f>
        <v>4.460370370370371</v>
      </c>
      <c r="X70" s="63">
        <f>MIN(IFERROR(INDEX(真品获取算法!$C$6:$C$66,MATCH(R70,真品获取算法!D$6:D$66,1)),0)+付费投放!AG70,前期规划!D$8)</f>
        <v>9</v>
      </c>
      <c r="Y70" s="63">
        <f>MIN(IFERROR(INDEX(真品获取算法!$C$6:$C$66,MATCH(S70,真品获取算法!E$6:E$66,1)),0)+付费投放!AH70,前期规划!E$8)</f>
        <v>9</v>
      </c>
      <c r="Z70" s="63">
        <f>MIN(IFERROR(INDEX(真品获取算法!$C$6:$C$66,MATCH(T70,真品获取算法!F$6:F$66,1)),0)+付费投放!AI70,前期规划!F$8)</f>
        <v>25</v>
      </c>
      <c r="AA70" s="63">
        <f>MIN(IFERROR(INDEX(真品获取算法!$C$6:$C$66,MATCH(U70,真品获取算法!G$6:G$66,1)),0)+付费投放!AJ70,前期规划!G$8)</f>
        <v>10.302323232323232</v>
      </c>
      <c r="AB70" s="63">
        <f>MIN(IFERROR(INDEX(真品获取算法!$C$6:$C$66,MATCH(V70,真品获取算法!H$6:H$66,1)),0)+付费投放!AK70,前期规划!H$8)</f>
        <v>27</v>
      </c>
      <c r="AC70" s="63">
        <f>MIN(IFERROR(INDEX(真品获取算法!$C$6:$C$66,MATCH(W70,真品获取算法!I$6:I$66,1)),0)+付费投放!AL70,前期规划!I$8)</f>
        <v>0.17207407407407405</v>
      </c>
      <c r="AD70" s="63">
        <f t="shared" si="15"/>
        <v>1</v>
      </c>
      <c r="AE70" s="63">
        <f t="shared" si="9"/>
        <v>1</v>
      </c>
      <c r="AF70" s="63">
        <f t="shared" si="10"/>
        <v>0.92592592592592593</v>
      </c>
      <c r="AG70" s="63">
        <f t="shared" si="11"/>
        <v>0.38156752712308267</v>
      </c>
      <c r="AH70" s="63">
        <f t="shared" si="12"/>
        <v>0.92201096930897808</v>
      </c>
      <c r="AI70" s="63">
        <f t="shared" si="13"/>
        <v>0.13302515670318377</v>
      </c>
      <c r="AK70" s="60">
        <f>活动投放!AF70/U70</f>
        <v>0.71264883998916928</v>
      </c>
      <c r="AL70" s="60">
        <f>付费投放!AD70/U70</f>
        <v>0.28735116001083078</v>
      </c>
      <c r="AM70" s="60">
        <f>活动投放!AH70/W70</f>
        <v>0.80710786348916375</v>
      </c>
      <c r="AN70" s="60">
        <f>付费投放!AF70/W70</f>
        <v>0.1928921365108362</v>
      </c>
      <c r="AO70" s="60">
        <f>IFERROR(INDEX(真品获取算法!$C$6:$C$66,MATCH(U70,真品获取算法!G$6:G$66,1)),0)*AK70/(IFERROR(INDEX(真品获取算法!$C$6:$C$66,MATCH(U70,真品获取算法!G$6:G$66,1)),0)+付费投放!AJ70)</f>
        <v>0.6917360520714928</v>
      </c>
      <c r="AP70" s="60">
        <f>(付费投放!AJ70+IFERROR(INDEX(真品获取算法!$C$6:$C$66,MATCH(U70,真品获取算法!G$6:G$66,1)),0)*AL70)/(IFERROR(INDEX(真品获取算法!$C$6:$C$66,MATCH(U70,真品获取算法!G$6:G$66,1)),0)+付费投放!AJ70)</f>
        <v>0.30826394792850731</v>
      </c>
      <c r="AQ70" s="60">
        <f>IFERROR(INDEX(真品获取算法!$C$6:$C$66,MATCH(W70,真品获取算法!I$6:I$66,1)),0)*AM70/(IFERROR(INDEX(真品获取算法!$C$6:$C$66,MATCH(W70,真品获取算法!I$6:I$66,1)),0)+付费投放!AL70)</f>
        <v>0</v>
      </c>
      <c r="AR70" s="60">
        <f>(付费投放!AL70+IFERROR(INDEX(真品获取算法!$C$6:$C$66,MATCH(W70,真品获取算法!I$6:I$66,1)),0)*AN70)/(IFERROR(INDEX(真品获取算法!$C$6:$C$66,MATCH(W70,真品获取算法!I$6:I$66,1)),0)+付费投放!AL70)</f>
        <v>1</v>
      </c>
    </row>
    <row r="71" spans="3:44" x14ac:dyDescent="0.15">
      <c r="C71" s="29">
        <f t="shared" si="16"/>
        <v>480</v>
      </c>
      <c r="D71" s="18">
        <f>求节点(节奏总纲!$E$4:$E$163,节奏总纲!$C$4:$C$163,$C71)</f>
        <v>91.317295791340641</v>
      </c>
      <c r="E71" s="18">
        <f>IFERROR(求节点(前期规划!$D$13:$D$23,前期规划!$B$13:$B$23,D71),0)</f>
        <v>14.421326507516481</v>
      </c>
      <c r="F71" s="63">
        <f>IFERROR(求节点(前期规划!$C$28:$C$35,前期规划!D$28:D$35,$D71),0)</f>
        <v>9</v>
      </c>
      <c r="G71" s="63">
        <f>IFERROR(求节点(前期规划!$C$28:$C$35,前期规划!E$28:E$35,$D71),0)</f>
        <v>9</v>
      </c>
      <c r="H71" s="63">
        <f>IFERROR(求节点(前期规划!$C$28:$C$35,前期规划!F$28:F$35,$D71),0)</f>
        <v>27</v>
      </c>
      <c r="I71" s="63">
        <f>IFERROR(求节点(前期规划!$C$28:$C$35,前期规划!G$28:G$35,$D71),0)</f>
        <v>27</v>
      </c>
      <c r="J71" s="63">
        <f>IFERROR(求节点(前期规划!$C$28:$C$35,前期规划!H$28:H$35,$D71),0)</f>
        <v>40.113397273239464</v>
      </c>
      <c r="K71" s="63">
        <f>IFERROR(求节点(前期规划!$C$28:$C$35,前期规划!I$28:I$35,$D71),0)</f>
        <v>1.8951887374021921</v>
      </c>
      <c r="L71" s="63">
        <f>MIN($E71-SUM(M71:$Q71),F71)</f>
        <v>0</v>
      </c>
      <c r="M71" s="63">
        <f>MIN($E71-SUM(N71:$Q71),G71)</f>
        <v>0</v>
      </c>
      <c r="N71" s="63">
        <f>MIN($E71-SUM(O71:$Q71),H71)</f>
        <v>0</v>
      </c>
      <c r="O71" s="63">
        <f>MIN($E71-SUM(P71:$Q71),I71)</f>
        <v>0</v>
      </c>
      <c r="P71" s="63">
        <f>MIN($E71-SUM(Q71:$Q71),J71)</f>
        <v>12.526137770114289</v>
      </c>
      <c r="Q71" s="69">
        <f t="shared" si="14"/>
        <v>1.8951887374021921</v>
      </c>
      <c r="R71" s="64">
        <f>活动投放!AC71+付费投放!AA71</f>
        <v>71.674242424242422</v>
      </c>
      <c r="S71" s="64">
        <f>活动投放!AD71+付费投放!AB71</f>
        <v>71.674242424242422</v>
      </c>
      <c r="T71" s="64">
        <f>活动投放!AE71+付费投放!AC71</f>
        <v>125.88757575757575</v>
      </c>
      <c r="U71" s="64">
        <f>活动投放!AF71+付费投放!AD71</f>
        <v>53.951818181818176</v>
      </c>
      <c r="V71" s="64">
        <f>活动投放!AG71+付费投放!AE71</f>
        <v>59.489999999999995</v>
      </c>
      <c r="W71" s="64">
        <f>活动投放!AH71+付费投放!AF71</f>
        <v>6.6100000000000012</v>
      </c>
      <c r="X71" s="63">
        <f>MIN(IFERROR(INDEX(真品获取算法!$C$6:$C$66,MATCH(R71,真品获取算法!D$6:D$66,1)),0)+付费投放!AG71,前期规划!D$8)</f>
        <v>9</v>
      </c>
      <c r="Y71" s="63">
        <f>MIN(IFERROR(INDEX(真品获取算法!$C$6:$C$66,MATCH(S71,真品获取算法!E$6:E$66,1)),0)+付费投放!AH71,前期规划!E$8)</f>
        <v>9</v>
      </c>
      <c r="Z71" s="63">
        <f>MIN(IFERROR(INDEX(真品获取算法!$C$6:$C$66,MATCH(T71,真品获取算法!F$6:F$66,1)),0)+付费投放!AI71,前期规划!F$8)</f>
        <v>26</v>
      </c>
      <c r="AA71" s="63">
        <f>MIN(IFERROR(INDEX(真品获取算法!$C$6:$C$66,MATCH(U71,真品获取算法!G$6:G$66,1)),0)+付费投放!AJ71,前期规划!G$8)</f>
        <v>12.342323232323233</v>
      </c>
      <c r="AB71" s="63">
        <f>MIN(IFERROR(INDEX(真品获取算法!$C$6:$C$66,MATCH(V71,真品获取算法!H$6:H$66,1)),0)+付费投放!AK71,前期规划!H$8)</f>
        <v>35</v>
      </c>
      <c r="AC71" s="63">
        <f>MIN(IFERROR(INDEX(真品获取算法!$C$6:$C$66,MATCH(W71,真品获取算法!I$6:I$66,1)),0)+付费投放!AL71,前期规划!I$8)</f>
        <v>0.20199999999999996</v>
      </c>
      <c r="AD71" s="63">
        <f t="shared" si="15"/>
        <v>1</v>
      </c>
      <c r="AE71" s="63">
        <f t="shared" si="9"/>
        <v>1</v>
      </c>
      <c r="AF71" s="63">
        <f t="shared" si="10"/>
        <v>0.96296296296296291</v>
      </c>
      <c r="AG71" s="63">
        <f t="shared" si="11"/>
        <v>0.45712308267863827</v>
      </c>
      <c r="AH71" s="63">
        <f t="shared" si="12"/>
        <v>0.87252644700201631</v>
      </c>
      <c r="AI71" s="63">
        <f t="shared" si="13"/>
        <v>0.10658569039244561</v>
      </c>
      <c r="AK71" s="60">
        <f>活动投放!AF71/U71</f>
        <v>0.71730668778539775</v>
      </c>
      <c r="AL71" s="60">
        <f>付费投放!AD71/U71</f>
        <v>0.28269331221460225</v>
      </c>
      <c r="AM71" s="60">
        <f>活动投放!AH71/W71</f>
        <v>0.84720121028744322</v>
      </c>
      <c r="AN71" s="60">
        <f>付费投放!AF71/W71</f>
        <v>0.15279878971255673</v>
      </c>
      <c r="AO71" s="60">
        <f>IFERROR(INDEX(真品获取算法!$C$6:$C$66,MATCH(U71,真品获取算法!G$6:G$66,1)),0)*AK71/(IFERROR(INDEX(真品获取算法!$C$6:$C$66,MATCH(U71,真品获取算法!G$6:G$66,1)),0)+付费投放!AJ71)</f>
        <v>0.69741166969944302</v>
      </c>
      <c r="AP71" s="60">
        <f>(付费投放!AJ71+IFERROR(INDEX(真品获取算法!$C$6:$C$66,MATCH(U71,真品获取算法!G$6:G$66,1)),0)*AL71)/(IFERROR(INDEX(真品获取算法!$C$6:$C$66,MATCH(U71,真品获取算法!G$6:G$66,1)),0)+付费投放!AJ71)</f>
        <v>0.30258833030055687</v>
      </c>
      <c r="AQ71" s="60">
        <f>IFERROR(INDEX(真品获取算法!$C$6:$C$66,MATCH(W71,真品获取算法!I$6:I$66,1)),0)*AM71/(IFERROR(INDEX(真品获取算法!$C$6:$C$66,MATCH(W71,真品获取算法!I$6:I$66,1)),0)+付费投放!AL71)</f>
        <v>0</v>
      </c>
      <c r="AR71" s="60">
        <f>(付费投放!AL71+IFERROR(INDEX(真品获取算法!$C$6:$C$66,MATCH(W71,真品获取算法!I$6:I$66,1)),0)*AN71)/(IFERROR(INDEX(真品获取算法!$C$6:$C$66,MATCH(W71,真品获取算法!I$6:I$66,1)),0)+付费投放!AL71)</f>
        <v>1</v>
      </c>
    </row>
    <row r="72" spans="3:44" x14ac:dyDescent="0.15">
      <c r="C72" s="29">
        <f t="shared" si="16"/>
        <v>540</v>
      </c>
      <c r="D72" s="18">
        <f>求节点(节奏总纲!$E$4:$E$163,节奏总纲!$C$4:$C$163,$C72)</f>
        <v>93.043666179806593</v>
      </c>
      <c r="E72" s="18">
        <f>IFERROR(求节点(前期规划!$D$13:$D$23,前期规划!$B$13:$B$23,D72),0)</f>
        <v>14.735212032692107</v>
      </c>
      <c r="F72" s="63">
        <f>IFERROR(求节点(前期规划!$C$28:$C$35,前期规划!D$28:D$35,$D72),0)</f>
        <v>9</v>
      </c>
      <c r="G72" s="63">
        <f>IFERROR(求节点(前期规划!$C$28:$C$35,前期规划!E$28:E$35,$D72),0)</f>
        <v>9</v>
      </c>
      <c r="H72" s="63">
        <f>IFERROR(求节点(前期规划!$C$28:$C$35,前期规划!F$28:F$35,$D72),0)</f>
        <v>27</v>
      </c>
      <c r="I72" s="63">
        <f>IFERROR(求节点(前期规划!$C$28:$C$35,前期规划!G$28:G$35,$D72),0)</f>
        <v>27</v>
      </c>
      <c r="J72" s="63">
        <f>IFERROR(求节点(前期规划!$C$28:$C$35,前期规划!H$28:H$35,$D72),0)</f>
        <v>49.435797370955605</v>
      </c>
      <c r="K72" s="63">
        <f>IFERROR(求节点(前期规划!$C$28:$C$35,前期规划!I$28:I$35,$D72),0)</f>
        <v>2.4130998539419779</v>
      </c>
      <c r="L72" s="63">
        <f>MIN($E72-SUM(M72:$Q72),F72)</f>
        <v>0</v>
      </c>
      <c r="M72" s="63">
        <f>MIN($E72-SUM(N72:$Q72),G72)</f>
        <v>0</v>
      </c>
      <c r="N72" s="63">
        <f>MIN($E72-SUM(O72:$Q72),H72)</f>
        <v>0</v>
      </c>
      <c r="O72" s="63">
        <f>MIN($E72-SUM(P72:$Q72),I72)</f>
        <v>0</v>
      </c>
      <c r="P72" s="63">
        <f>MIN($E72-SUM(Q72:$Q72),J72)</f>
        <v>12.32211217875013</v>
      </c>
      <c r="Q72" s="69">
        <f t="shared" si="14"/>
        <v>2.4130998539419779</v>
      </c>
      <c r="R72" s="64">
        <f>活动投放!AC72+付费投放!AA72</f>
        <v>80.674242424242422</v>
      </c>
      <c r="S72" s="64">
        <f>活动投放!AD72+付费投放!AB72</f>
        <v>80.674242424242422</v>
      </c>
      <c r="T72" s="64">
        <f>活动投放!AE72+付费投放!AC72</f>
        <v>144.70979797979797</v>
      </c>
      <c r="U72" s="64">
        <f>活动投放!AF72+付费投放!AD72</f>
        <v>62.018484848484846</v>
      </c>
      <c r="V72" s="64">
        <f>活动投放!AG72+付费投放!AE72</f>
        <v>82.436666666666667</v>
      </c>
      <c r="W72" s="64">
        <f>活动投放!AH72+付费投放!AF72</f>
        <v>9.1596296296296291</v>
      </c>
      <c r="X72" s="63">
        <f>MIN(IFERROR(INDEX(真品获取算法!$C$6:$C$66,MATCH(R72,真品获取算法!D$6:D$66,1)),0)+付费投放!AG72,前期规划!D$8)</f>
        <v>9</v>
      </c>
      <c r="Y72" s="63">
        <f>MIN(IFERROR(INDEX(真品获取算法!$C$6:$C$66,MATCH(S72,真品获取算法!E$6:E$66,1)),0)+付费投放!AH72,前期规划!E$8)</f>
        <v>9</v>
      </c>
      <c r="Z72" s="63">
        <f>MIN(IFERROR(INDEX(真品获取算法!$C$6:$C$66,MATCH(T72,真品获取算法!F$6:F$66,1)),0)+付费投放!AI72,前期规划!F$8)</f>
        <v>26</v>
      </c>
      <c r="AA72" s="63">
        <f>MIN(IFERROR(INDEX(真品获取算法!$C$6:$C$66,MATCH(U72,真品获取算法!G$6:G$66,1)),0)+付费投放!AJ72,前期规划!G$8)</f>
        <v>13.382323232323232</v>
      </c>
      <c r="AB72" s="63">
        <f>MIN(IFERROR(INDEX(真品获取算法!$C$6:$C$66,MATCH(V72,真品获取算法!H$6:H$66,1)),0)+付费投放!AK72,前期规划!H$8)</f>
        <v>42</v>
      </c>
      <c r="AC72" s="63">
        <f>MIN(IFERROR(INDEX(真品获取算法!$C$6:$C$66,MATCH(W72,真品获取算法!I$6:I$66,1)),0)+付费投放!AL72,前期规划!I$8)</f>
        <v>0.23192592592592587</v>
      </c>
      <c r="AD72" s="63">
        <f t="shared" si="15"/>
        <v>1</v>
      </c>
      <c r="AE72" s="63">
        <f t="shared" si="9"/>
        <v>1</v>
      </c>
      <c r="AF72" s="63">
        <f t="shared" si="10"/>
        <v>0.96296296296296291</v>
      </c>
      <c r="AG72" s="63">
        <f t="shared" si="11"/>
        <v>0.49564160119715672</v>
      </c>
      <c r="AH72" s="63">
        <f t="shared" si="12"/>
        <v>0.84958678191920367</v>
      </c>
      <c r="AI72" s="63">
        <f t="shared" si="13"/>
        <v>9.6111201344220229E-2</v>
      </c>
      <c r="AK72" s="60">
        <f>活动投放!AF72/U72</f>
        <v>0.72075285472073325</v>
      </c>
      <c r="AL72" s="60">
        <f>付费投放!AD72/U72</f>
        <v>0.2792471452792667</v>
      </c>
      <c r="AM72" s="60">
        <f>活动投放!AH72/W72</f>
        <v>0.87339775989648627</v>
      </c>
      <c r="AN72" s="60">
        <f>付费投放!AF72/W72</f>
        <v>0.12660224010351384</v>
      </c>
      <c r="AO72" s="60">
        <f>IFERROR(INDEX(真品获取算法!$C$6:$C$66,MATCH(U72,真品获取算法!G$6:G$66,1)),0)*AK72/(IFERROR(INDEX(真品获取算法!$C$6:$C$66,MATCH(U72,真品获取算法!G$6:G$66,1)),0)+付费投放!AJ72)</f>
        <v>0.70016147037444521</v>
      </c>
      <c r="AP72" s="60">
        <f>(付费投放!AJ72+IFERROR(INDEX(真品获取算法!$C$6:$C$66,MATCH(U72,真品获取算法!G$6:G$66,1)),0)*AL72)/(IFERROR(INDEX(真品获取算法!$C$6:$C$66,MATCH(U72,真品获取算法!G$6:G$66,1)),0)+付费投放!AJ72)</f>
        <v>0.29983852962555479</v>
      </c>
      <c r="AQ72" s="60">
        <f>IFERROR(INDEX(真品获取算法!$C$6:$C$66,MATCH(W72,真品获取算法!I$6:I$66,1)),0)*AM72/(IFERROR(INDEX(真品获取算法!$C$6:$C$66,MATCH(W72,真品获取算法!I$6:I$66,1)),0)+付费投放!AL72)</f>
        <v>0</v>
      </c>
      <c r="AR72" s="60">
        <f>(付费投放!AL72+IFERROR(INDEX(真品获取算法!$C$6:$C$66,MATCH(W72,真品获取算法!I$6:I$66,1)),0)*AN72)/(IFERROR(INDEX(真品获取算法!$C$6:$C$66,MATCH(W72,真品获取算法!I$6:I$66,1)),0)+付费投放!AL72)</f>
        <v>1</v>
      </c>
    </row>
    <row r="73" spans="3:44" x14ac:dyDescent="0.15">
      <c r="C73" s="29">
        <f t="shared" si="16"/>
        <v>600</v>
      </c>
      <c r="D73" s="18">
        <f>求节点(节奏总纲!$E$4:$E$163,节奏总纲!$C$4:$C$163,$C73)</f>
        <v>94.566182978175902</v>
      </c>
      <c r="E73" s="18">
        <f>IFERROR(求节点(前期规划!$D$13:$D$23,前期规划!$B$13:$B$23,D73),0)</f>
        <v>15.012033268759255</v>
      </c>
      <c r="F73" s="63">
        <f>IFERROR(求节点(前期规划!$C$28:$C$35,前期规划!D$28:D$35,$D73),0)</f>
        <v>9</v>
      </c>
      <c r="G73" s="63">
        <f>IFERROR(求节点(前期规划!$C$28:$C$35,前期规划!E$28:E$35,$D73),0)</f>
        <v>9</v>
      </c>
      <c r="H73" s="63">
        <f>IFERROR(求节点(前期规划!$C$28:$C$35,前期规划!F$28:F$35,$D73),0)</f>
        <v>27</v>
      </c>
      <c r="I73" s="63">
        <f>IFERROR(求节点(前期规划!$C$28:$C$35,前期规划!G$28:G$35,$D73),0)</f>
        <v>27</v>
      </c>
      <c r="J73" s="63">
        <f>IFERROR(求节点(前期规划!$C$28:$C$35,前期规划!H$28:H$35,$D73),0)</f>
        <v>57.657388082149879</v>
      </c>
      <c r="K73" s="63">
        <f>IFERROR(求节点(前期规划!$C$28:$C$35,前期规划!I$28:I$35,$D73),0)</f>
        <v>2.8698548934527706</v>
      </c>
      <c r="L73" s="63">
        <f>MIN($E73-SUM(M73:$Q73),F73)</f>
        <v>1.7763568394002505E-15</v>
      </c>
      <c r="M73" s="63">
        <f>MIN($E73-SUM(N73:$Q73),G73)</f>
        <v>-1.7763568394002505E-15</v>
      </c>
      <c r="N73" s="63">
        <f>MIN($E73-SUM(O73:$Q73),H73)</f>
        <v>1.7763568394002505E-15</v>
      </c>
      <c r="O73" s="63">
        <f>MIN($E73-SUM(P73:$Q73),I73)</f>
        <v>-1.7763568394002505E-15</v>
      </c>
      <c r="P73" s="63">
        <f>MIN($E73-SUM(Q73:$Q73),J73)</f>
        <v>12.142178375306486</v>
      </c>
      <c r="Q73" s="69">
        <f t="shared" si="14"/>
        <v>2.8698548934527706</v>
      </c>
      <c r="R73" s="64">
        <f>活动投放!AC73+付费投放!AA73</f>
        <v>89.674242424242422</v>
      </c>
      <c r="S73" s="64">
        <f>活动投放!AD73+付费投放!AB73</f>
        <v>89.674242424242422</v>
      </c>
      <c r="T73" s="64">
        <f>活动投放!AE73+付费投放!AC73</f>
        <v>163.53202020202019</v>
      </c>
      <c r="U73" s="64">
        <f>活动投放!AF73+付费投放!AD73</f>
        <v>70.085151515151509</v>
      </c>
      <c r="V73" s="64">
        <f>活动投放!AG73+付费投放!AE73</f>
        <v>105.38333333333334</v>
      </c>
      <c r="W73" s="64">
        <f>活动投放!AH73+付费投放!AF73</f>
        <v>11.709259259259259</v>
      </c>
      <c r="X73" s="63">
        <f>MIN(IFERROR(INDEX(真品获取算法!$C$6:$C$66,MATCH(R73,真品获取算法!D$6:D$66,1)),0)+付费投放!AG73,前期规划!D$8)</f>
        <v>9</v>
      </c>
      <c r="Y73" s="63">
        <f>MIN(IFERROR(INDEX(真品获取算法!$C$6:$C$66,MATCH(S73,真品获取算法!E$6:E$66,1)),0)+付费投放!AH73,前期规划!E$8)</f>
        <v>9</v>
      </c>
      <c r="Z73" s="63">
        <f>MIN(IFERROR(INDEX(真品获取算法!$C$6:$C$66,MATCH(T73,真品获取算法!F$6:F$66,1)),0)+付费投放!AI73,前期规划!F$8)</f>
        <v>27</v>
      </c>
      <c r="AA73" s="63">
        <f>MIN(IFERROR(INDEX(真品获取算法!$C$6:$C$66,MATCH(U73,真品获取算法!G$6:G$66,1)),0)+付费投放!AJ73,前期规划!G$8)</f>
        <v>14.422323232323233</v>
      </c>
      <c r="AB73" s="63">
        <f>MIN(IFERROR(INDEX(真品获取算法!$C$6:$C$66,MATCH(V73,真品获取算法!H$6:H$66,1)),0)+付费投放!AK73,前期规划!H$8)</f>
        <v>48</v>
      </c>
      <c r="AC73" s="63">
        <f>MIN(IFERROR(INDEX(真品获取算法!$C$6:$C$66,MATCH(W73,真品获取算法!I$6:I$66,1)),0)+付费投放!AL73,前期规划!I$8)</f>
        <v>1.2618518518518518</v>
      </c>
      <c r="AD73" s="63">
        <f t="shared" si="15"/>
        <v>1</v>
      </c>
      <c r="AE73" s="63">
        <f t="shared" si="9"/>
        <v>1</v>
      </c>
      <c r="AF73" s="63">
        <f t="shared" si="10"/>
        <v>1</v>
      </c>
      <c r="AG73" s="63">
        <f t="shared" si="11"/>
        <v>0.53416011971567534</v>
      </c>
      <c r="AH73" s="63">
        <f t="shared" si="12"/>
        <v>0.83250389233050071</v>
      </c>
      <c r="AI73" s="63">
        <f t="shared" si="13"/>
        <v>0.43969186551230005</v>
      </c>
      <c r="AK73" s="60">
        <f>活动投放!AF73/U73</f>
        <v>0.72340572723224128</v>
      </c>
      <c r="AL73" s="60">
        <f>付费投放!AD73/U73</f>
        <v>0.27659427276775872</v>
      </c>
      <c r="AM73" s="60">
        <f>活动投放!AH73/W73</f>
        <v>0.88818598766408352</v>
      </c>
      <c r="AN73" s="60">
        <f>付费投放!AF73/W73</f>
        <v>0.11181401233591651</v>
      </c>
      <c r="AO73" s="60">
        <f>IFERROR(INDEX(真品获取算法!$C$6:$C$66,MATCH(U73,真品获取算法!G$6:G$66,1)),0)*AK73/(IFERROR(INDEX(真品获取算法!$C$6:$C$66,MATCH(U73,真品获取算法!G$6:G$66,1)),0)+付费投放!AJ73)</f>
        <v>0.70222252116450112</v>
      </c>
      <c r="AP73" s="60">
        <f>(付费投放!AJ73+IFERROR(INDEX(真品获取算法!$C$6:$C$66,MATCH(U73,真品获取算法!G$6:G$66,1)),0)*AL73)/(IFERROR(INDEX(真品获取算法!$C$6:$C$66,MATCH(U73,真品获取算法!G$6:G$66,1)),0)+付费投放!AJ73)</f>
        <v>0.29777747883549877</v>
      </c>
      <c r="AQ73" s="60">
        <f>IFERROR(INDEX(真品获取算法!$C$6:$C$66,MATCH(W73,真品获取算法!I$6:I$66,1)),0)*AM73/(IFERROR(INDEX(真品获取算法!$C$6:$C$66,MATCH(W73,真品获取算法!I$6:I$66,1)),0)+付费投放!AL73)</f>
        <v>0.70387501223745985</v>
      </c>
      <c r="AR73" s="60">
        <f>(付费投放!AL73+IFERROR(INDEX(真品获取算法!$C$6:$C$66,MATCH(W73,真品获取算法!I$6:I$66,1)),0)*AN73)/(IFERROR(INDEX(真品获取算法!$C$6:$C$66,MATCH(W73,真品获取算法!I$6:I$66,1)),0)+付费投放!AL73)</f>
        <v>0.29612498776254015</v>
      </c>
    </row>
    <row r="74" spans="3:44" x14ac:dyDescent="0.15">
      <c r="C74" s="29">
        <f t="shared" si="16"/>
        <v>660</v>
      </c>
      <c r="D74" s="18">
        <f>求节点(节奏总纲!$E$4:$E$163,节奏总纲!$C$4:$C$163,$C74)</f>
        <v>95.975804150655222</v>
      </c>
      <c r="E74" s="18">
        <f>IFERROR(求节点(前期规划!$D$13:$D$23,前期规划!$B$13:$B$23,D74),0)</f>
        <v>15.268328027391858</v>
      </c>
      <c r="F74" s="63">
        <f>IFERROR(求节点(前期规划!$C$28:$C$35,前期规划!D$28:D$35,$D74),0)</f>
        <v>9</v>
      </c>
      <c r="G74" s="63">
        <f>IFERROR(求节点(前期规划!$C$28:$C$35,前期规划!E$28:E$35,$D74),0)</f>
        <v>9</v>
      </c>
      <c r="H74" s="63">
        <f>IFERROR(求节点(前期规划!$C$28:$C$35,前期规划!F$28:F$35,$D74),0)</f>
        <v>27</v>
      </c>
      <c r="I74" s="63">
        <f>IFERROR(求节点(前期规划!$C$28:$C$35,前期规划!G$28:G$35,$D74),0)</f>
        <v>27</v>
      </c>
      <c r="J74" s="63">
        <f>IFERROR(求节点(前期规划!$C$28:$C$35,前期规划!H$28:H$35,$D74),0)</f>
        <v>60</v>
      </c>
      <c r="K74" s="63">
        <f>IFERROR(求节点(前期规划!$C$28:$C$35,前期规划!I$28:I$35,$D74),0)</f>
        <v>3.585482490393133</v>
      </c>
      <c r="L74" s="63">
        <f>MIN($E74-SUM(M74:$Q74),F74)</f>
        <v>0</v>
      </c>
      <c r="M74" s="63">
        <f>MIN($E74-SUM(N74:$Q74),G74)</f>
        <v>0</v>
      </c>
      <c r="N74" s="63">
        <f>MIN($E74-SUM(O74:$Q74),H74)</f>
        <v>0</v>
      </c>
      <c r="O74" s="63">
        <f>MIN($E74-SUM(P74:$Q74),I74)</f>
        <v>0</v>
      </c>
      <c r="P74" s="63">
        <f>MIN($E74-SUM(Q74:$Q74),J74)</f>
        <v>11.682845536998725</v>
      </c>
      <c r="Q74" s="69">
        <f t="shared" si="14"/>
        <v>3.585482490393133</v>
      </c>
      <c r="R74" s="64">
        <f>活动投放!AC74+付费投放!AA74</f>
        <v>98.674242424242422</v>
      </c>
      <c r="S74" s="64">
        <f>活动投放!AD74+付费投放!AB74</f>
        <v>98.674242424242422</v>
      </c>
      <c r="T74" s="64">
        <f>活动投放!AE74+付费投放!AC74</f>
        <v>182.35424242424241</v>
      </c>
      <c r="U74" s="64">
        <f>活动投放!AF74+付费投放!AD74</f>
        <v>78.151818181818172</v>
      </c>
      <c r="V74" s="64">
        <f>活动投放!AG74+付费投放!AE74</f>
        <v>131.93</v>
      </c>
      <c r="W74" s="64">
        <f>活动投放!AH74+付费投放!AF74</f>
        <v>14.658888888888891</v>
      </c>
      <c r="X74" s="63">
        <f>MIN(IFERROR(INDEX(真品获取算法!$C$6:$C$66,MATCH(R74,真品获取算法!D$6:D$66,1)),0)+付费投放!AG74,前期规划!D$8)</f>
        <v>9</v>
      </c>
      <c r="Y74" s="63">
        <f>MIN(IFERROR(INDEX(真品获取算法!$C$6:$C$66,MATCH(S74,真品获取算法!E$6:E$66,1)),0)+付费投放!AH74,前期规划!E$8)</f>
        <v>9</v>
      </c>
      <c r="Z74" s="63">
        <f>MIN(IFERROR(INDEX(真品获取算法!$C$6:$C$66,MATCH(T74,真品获取算法!F$6:F$66,1)),0)+付费投放!AI74,前期规划!F$8)</f>
        <v>27</v>
      </c>
      <c r="AA74" s="63">
        <f>MIN(IFERROR(INDEX(真品获取算法!$C$6:$C$66,MATCH(U74,真品获取算法!G$6:G$66,1)),0)+付费投放!AJ74,前期规划!G$8)</f>
        <v>15.462323232323232</v>
      </c>
      <c r="AB74" s="63">
        <f>MIN(IFERROR(INDEX(真品获取算法!$C$6:$C$66,MATCH(V74,真品获取算法!H$6:H$66,1)),0)+付费投放!AK74,前期规划!H$8)</f>
        <v>52</v>
      </c>
      <c r="AC74" s="63">
        <f>MIN(IFERROR(INDEX(真品获取算法!$C$6:$C$66,MATCH(W74,真品获取算法!I$6:I$66,1)),0)+付费投放!AL74,前期规划!I$8)</f>
        <v>1.2917777777777777</v>
      </c>
      <c r="AD74" s="63">
        <f t="shared" si="15"/>
        <v>1</v>
      </c>
      <c r="AE74" s="63">
        <f t="shared" si="9"/>
        <v>1</v>
      </c>
      <c r="AF74" s="63">
        <f t="shared" si="10"/>
        <v>1</v>
      </c>
      <c r="AG74" s="63">
        <f t="shared" si="11"/>
        <v>0.57267863823419374</v>
      </c>
      <c r="AH74" s="63">
        <f t="shared" si="12"/>
        <v>0.8666666666666667</v>
      </c>
      <c r="AI74" s="63">
        <f t="shared" si="13"/>
        <v>0.36028004075851439</v>
      </c>
      <c r="AK74" s="60">
        <f>活动投放!AF74/U74</f>
        <v>0.72551095187688308</v>
      </c>
      <c r="AL74" s="60">
        <f>付费投放!AD74/U74</f>
        <v>0.27448904812311703</v>
      </c>
      <c r="AM74" s="60">
        <f>活动投放!AH74/W74</f>
        <v>0.90047752596073671</v>
      </c>
      <c r="AN74" s="60">
        <f>付费投放!AF74/W74</f>
        <v>9.9522474039263231E-2</v>
      </c>
      <c r="AO74" s="60">
        <f>IFERROR(INDEX(真品获取算法!$C$6:$C$66,MATCH(U74,真品获取算法!G$6:G$66,1)),0)*AK74/(IFERROR(INDEX(真品获取算法!$C$6:$C$66,MATCH(U74,真品获取算法!G$6:G$66,1)),0)+付费投放!AJ74)</f>
        <v>0.70381818531665197</v>
      </c>
      <c r="AP74" s="60">
        <f>(付费投放!AJ74+IFERROR(INDEX(真品获取算法!$C$6:$C$66,MATCH(U74,真品获取算法!G$6:G$66,1)),0)*AL74)/(IFERROR(INDEX(真品获取算法!$C$6:$C$66,MATCH(U74,真品获取算法!G$6:G$66,1)),0)+付费投放!AJ74)</f>
        <v>0.29618181468334809</v>
      </c>
      <c r="AQ74" s="60">
        <f>IFERROR(INDEX(真品获取算法!$C$6:$C$66,MATCH(W74,真品获取算法!I$6:I$66,1)),0)*AM74/(IFERROR(INDEX(真品获取算法!$C$6:$C$66,MATCH(W74,真品获取算法!I$6:I$66,1)),0)+付费投放!AL74)</f>
        <v>0.69708392685761489</v>
      </c>
      <c r="AR74" s="60">
        <f>(付费投放!AL74+IFERROR(INDEX(真品获取算法!$C$6:$C$66,MATCH(W74,真品获取算法!I$6:I$66,1)),0)*AN74)/(IFERROR(INDEX(真品获取算法!$C$6:$C$66,MATCH(W74,真品获取算法!I$6:I$66,1)),0)+付费投放!AL74)</f>
        <v>0.30291607314238506</v>
      </c>
    </row>
    <row r="75" spans="3:44" x14ac:dyDescent="0.15">
      <c r="C75" s="29">
        <f t="shared" si="16"/>
        <v>720</v>
      </c>
      <c r="D75" s="18">
        <f>求节点(节奏总纲!$E$4:$E$163,节奏总纲!$C$4:$C$163,$C75)</f>
        <v>97.233430615704805</v>
      </c>
      <c r="E75" s="18">
        <f>IFERROR(求节点(前期规划!$D$13:$D$23,前期规划!$B$13:$B$23,D75),0)</f>
        <v>15.4969873846736</v>
      </c>
      <c r="F75" s="63">
        <f>IFERROR(求节点(前期规划!$C$28:$C$35,前期规划!D$28:D$35,$D75),0)</f>
        <v>9</v>
      </c>
      <c r="G75" s="63">
        <f>IFERROR(求节点(前期规划!$C$28:$C$35,前期规划!E$28:E$35,$D75),0)</f>
        <v>9</v>
      </c>
      <c r="H75" s="63">
        <f>IFERROR(求节点(前期规划!$C$28:$C$35,前期规划!F$28:F$35,$D75),0)</f>
        <v>27</v>
      </c>
      <c r="I75" s="63">
        <f>IFERROR(求节点(前期规划!$C$28:$C$35,前期规划!G$28:G$35,$D75),0)</f>
        <v>27</v>
      </c>
      <c r="J75" s="63">
        <f>IFERROR(求节点(前期规划!$C$28:$C$35,前期规划!H$28:H$35,$D75),0)</f>
        <v>60</v>
      </c>
      <c r="K75" s="63">
        <f>IFERROR(求节点(前期规划!$C$28:$C$35,前期规划!I$28:I$35,$D75),0)</f>
        <v>4.3400583694228825</v>
      </c>
      <c r="L75" s="63">
        <f>MIN($E75-SUM(M75:$Q75),F75)</f>
        <v>0</v>
      </c>
      <c r="M75" s="63">
        <f>MIN($E75-SUM(N75:$Q75),G75)</f>
        <v>0</v>
      </c>
      <c r="N75" s="63">
        <f>MIN($E75-SUM(O75:$Q75),H75)</f>
        <v>0</v>
      </c>
      <c r="O75" s="63">
        <f>MIN($E75-SUM(P75:$Q75),I75)</f>
        <v>0</v>
      </c>
      <c r="P75" s="63">
        <f>MIN($E75-SUM(Q75:$Q75),J75)</f>
        <v>11.156929015250718</v>
      </c>
      <c r="Q75" s="69">
        <f t="shared" si="14"/>
        <v>4.3400583694228825</v>
      </c>
      <c r="R75" s="64">
        <f>活动投放!AC75+付费投放!AA75</f>
        <v>107.67424242424242</v>
      </c>
      <c r="S75" s="64">
        <f>活动投放!AD75+付费投放!AB75</f>
        <v>107.67424242424242</v>
      </c>
      <c r="T75" s="64">
        <f>活动投放!AE75+付费投放!AC75</f>
        <v>201.17646464646464</v>
      </c>
      <c r="U75" s="64">
        <f>活动投放!AF75+付费投放!AD75</f>
        <v>86.218484848484849</v>
      </c>
      <c r="V75" s="64">
        <f>活动投放!AG75+付费投放!AE75</f>
        <v>158.47666666666666</v>
      </c>
      <c r="W75" s="64">
        <f>活动投放!AH75+付费投放!AF75</f>
        <v>17.608518518518519</v>
      </c>
      <c r="X75" s="63">
        <f>MIN(IFERROR(INDEX(真品获取算法!$C$6:$C$66,MATCH(R75,真品获取算法!D$6:D$66,1)),0)+付费投放!AG75,前期规划!D$8)</f>
        <v>9</v>
      </c>
      <c r="Y75" s="63">
        <f>MIN(IFERROR(INDEX(真品获取算法!$C$6:$C$66,MATCH(S75,真品获取算法!E$6:E$66,1)),0)+付费投放!AH75,前期规划!E$8)</f>
        <v>9</v>
      </c>
      <c r="Z75" s="63">
        <f>MIN(IFERROR(INDEX(真品获取算法!$C$6:$C$66,MATCH(T75,真品获取算法!F$6:F$66,1)),0)+付费投放!AI75,前期规划!F$8)</f>
        <v>27</v>
      </c>
      <c r="AA75" s="63">
        <f>MIN(IFERROR(INDEX(真品获取算法!$C$6:$C$66,MATCH(U75,真品获取算法!G$6:G$66,1)),0)+付费投放!AJ75,前期规划!G$8)</f>
        <v>16.502323232323231</v>
      </c>
      <c r="AB75" s="63">
        <f>MIN(IFERROR(INDEX(真品获取算法!$C$6:$C$66,MATCH(V75,真品获取算法!H$6:H$66,1)),0)+付费投放!AK75,前期规划!H$8)</f>
        <v>54</v>
      </c>
      <c r="AC75" s="63">
        <f>MIN(IFERROR(INDEX(真品获取算法!$C$6:$C$66,MATCH(W75,真品获取算法!I$6:I$66,1)),0)+付费投放!AL75,前期规划!I$8)</f>
        <v>1.3217037037037036</v>
      </c>
      <c r="AD75" s="63">
        <f t="shared" si="15"/>
        <v>1</v>
      </c>
      <c r="AE75" s="63">
        <f t="shared" si="9"/>
        <v>1</v>
      </c>
      <c r="AF75" s="63">
        <f t="shared" si="10"/>
        <v>1</v>
      </c>
      <c r="AG75" s="63">
        <f t="shared" si="11"/>
        <v>0.61119715675271225</v>
      </c>
      <c r="AH75" s="63">
        <f t="shared" si="12"/>
        <v>0.9</v>
      </c>
      <c r="AI75" s="63">
        <f t="shared" si="13"/>
        <v>0.30453592813763392</v>
      </c>
      <c r="AK75" s="60">
        <f>活动投放!AF75/U75</f>
        <v>0.72722224370081645</v>
      </c>
      <c r="AL75" s="60">
        <f>付费投放!AD75/U75</f>
        <v>0.27277775629918349</v>
      </c>
      <c r="AM75" s="60">
        <f>活动投放!AH75/W75</f>
        <v>0.90865111583198366</v>
      </c>
      <c r="AN75" s="60">
        <f>付费投放!AF75/W75</f>
        <v>9.1348884168016314E-2</v>
      </c>
      <c r="AO75" s="60">
        <f>IFERROR(INDEX(真品获取算法!$C$6:$C$66,MATCH(U75,真品获取算法!G$6:G$66,1)),0)*AK75/(IFERROR(INDEX(真品获取算法!$C$6:$C$66,MATCH(U75,真品获取算法!G$6:G$66,1)),0)+付费投放!AJ75)</f>
        <v>0.70508592853292362</v>
      </c>
      <c r="AP75" s="60">
        <f>(付费投放!AJ75+IFERROR(INDEX(真品获取算法!$C$6:$C$66,MATCH(U75,真品获取算法!G$6:G$66,1)),0)*AL75)/(IFERROR(INDEX(真品获取算法!$C$6:$C$66,MATCH(U75,真品获取算法!G$6:G$66,1)),0)+付费投放!AJ75)</f>
        <v>0.29491407146707638</v>
      </c>
      <c r="AQ75" s="60">
        <f>IFERROR(INDEX(真品获取算法!$C$6:$C$66,MATCH(W75,真品获取算法!I$6:I$66,1)),0)*AM75/(IFERROR(INDEX(真品获取算法!$C$6:$C$66,MATCH(W75,真品获取算法!I$6:I$66,1)),0)+付费投放!AL75)</f>
        <v>0.68748473147630895</v>
      </c>
      <c r="AR75" s="60">
        <f>(付费投放!AL75+IFERROR(INDEX(真品获取算法!$C$6:$C$66,MATCH(W75,真品获取算法!I$6:I$66,1)),0)*AN75)/(IFERROR(INDEX(真品获取算法!$C$6:$C$66,MATCH(W75,真品获取算法!I$6:I$66,1)),0)+付费投放!AL75)</f>
        <v>0.31251526852369105</v>
      </c>
    </row>
    <row r="76" spans="3:44" x14ac:dyDescent="0.15">
      <c r="C76" s="29">
        <f t="shared" si="16"/>
        <v>780</v>
      </c>
      <c r="D76" s="18">
        <f>求节点(节奏总纲!$E$4:$E$163,节奏总纲!$C$4:$C$163,$C76)</f>
        <v>98.349886009806795</v>
      </c>
      <c r="E76" s="18">
        <f>IFERROR(求节点(前期规划!$D$13:$D$23,前期规划!$B$13:$B$23,D76),0)</f>
        <v>15.699979274510326</v>
      </c>
      <c r="F76" s="63">
        <f>IFERROR(求节点(前期规划!$C$28:$C$35,前期规划!D$28:D$35,$D76),0)</f>
        <v>9</v>
      </c>
      <c r="G76" s="63">
        <f>IFERROR(求节点(前期规划!$C$28:$C$35,前期规划!E$28:E$35,$D76),0)</f>
        <v>9</v>
      </c>
      <c r="H76" s="63">
        <f>IFERROR(求节点(前期规划!$C$28:$C$35,前期规划!F$28:F$35,$D76),0)</f>
        <v>27</v>
      </c>
      <c r="I76" s="63">
        <f>IFERROR(求节点(前期规划!$C$28:$C$35,前期规划!G$28:G$35,$D76),0)</f>
        <v>27</v>
      </c>
      <c r="J76" s="63">
        <f>IFERROR(求节点(前期规划!$C$28:$C$35,前期规划!H$28:H$35,$D76),0)</f>
        <v>60</v>
      </c>
      <c r="K76" s="63">
        <f>IFERROR(求节点(前期规划!$C$28:$C$35,前期规划!I$28:I$35,$D76),0)</f>
        <v>5.009931605884077</v>
      </c>
      <c r="L76" s="63">
        <f>MIN($E76-SUM(M76:$Q76),F76)</f>
        <v>0</v>
      </c>
      <c r="M76" s="63">
        <f>MIN($E76-SUM(N76:$Q76),G76)</f>
        <v>0</v>
      </c>
      <c r="N76" s="63">
        <f>MIN($E76-SUM(O76:$Q76),H76)</f>
        <v>0</v>
      </c>
      <c r="O76" s="63">
        <f>MIN($E76-SUM(P76:$Q76),I76)</f>
        <v>0</v>
      </c>
      <c r="P76" s="63">
        <f>MIN($E76-SUM(Q76:$Q76),J76)</f>
        <v>10.690047668626249</v>
      </c>
      <c r="Q76" s="69">
        <f t="shared" si="14"/>
        <v>5.009931605884077</v>
      </c>
      <c r="R76" s="64">
        <f>活动投放!AC76+付费投放!AA76</f>
        <v>116.67424242424242</v>
      </c>
      <c r="S76" s="64">
        <f>活动投放!AD76+付费投放!AB76</f>
        <v>116.67424242424242</v>
      </c>
      <c r="T76" s="64">
        <f>活动投放!AE76+付费投放!AC76</f>
        <v>219.99868686868686</v>
      </c>
      <c r="U76" s="64">
        <f>活动投放!AF76+付费投放!AD76</f>
        <v>94.285151515151512</v>
      </c>
      <c r="V76" s="64">
        <f>活动投放!AG76+付费投放!AE76</f>
        <v>185.02333333333337</v>
      </c>
      <c r="W76" s="64">
        <f>活动投放!AH76+付费投放!AF76</f>
        <v>20.558148148148149</v>
      </c>
      <c r="X76" s="63">
        <f>MIN(IFERROR(INDEX(真品获取算法!$C$6:$C$66,MATCH(R76,真品获取算法!D$6:D$66,1)),0)+付费投放!AG76,前期规划!D$8)</f>
        <v>9</v>
      </c>
      <c r="Y76" s="63">
        <f>MIN(IFERROR(INDEX(真品获取算法!$C$6:$C$66,MATCH(S76,真品获取算法!E$6:E$66,1)),0)+付费投放!AH76,前期规划!E$8)</f>
        <v>9</v>
      </c>
      <c r="Z76" s="63">
        <f>MIN(IFERROR(INDEX(真品获取算法!$C$6:$C$66,MATCH(T76,真品获取算法!F$6:F$66,1)),0)+付费投放!AI76,前期规划!F$8)</f>
        <v>27</v>
      </c>
      <c r="AA76" s="63">
        <f>MIN(IFERROR(INDEX(真品获取算法!$C$6:$C$66,MATCH(U76,真品获取算法!G$6:G$66,1)),0)+付费投放!AJ76,前期规划!G$8)</f>
        <v>17.542323232323231</v>
      </c>
      <c r="AB76" s="63">
        <f>MIN(IFERROR(INDEX(真品获取算法!$C$6:$C$66,MATCH(V76,真品获取算法!H$6:H$66,1)),0)+付费投放!AK76,前期规划!H$8)</f>
        <v>56</v>
      </c>
      <c r="AC76" s="63">
        <f>MIN(IFERROR(INDEX(真品获取算法!$C$6:$C$66,MATCH(W76,真品获取算法!I$6:I$66,1)),0)+付费投放!AL76,前期规划!I$8)</f>
        <v>2.3516296296296293</v>
      </c>
      <c r="AD76" s="63">
        <f t="shared" si="15"/>
        <v>1</v>
      </c>
      <c r="AE76" s="63">
        <f t="shared" si="9"/>
        <v>1</v>
      </c>
      <c r="AF76" s="63">
        <f t="shared" si="10"/>
        <v>1</v>
      </c>
      <c r="AG76" s="63">
        <f t="shared" si="11"/>
        <v>0.64971567527123075</v>
      </c>
      <c r="AH76" s="63">
        <f t="shared" si="12"/>
        <v>0.93333333333333335</v>
      </c>
      <c r="AI76" s="63">
        <f t="shared" si="13"/>
        <v>0.46939355955831441</v>
      </c>
      <c r="AK76" s="60">
        <f>活动投放!AF76/U76</f>
        <v>0.72864071273152697</v>
      </c>
      <c r="AL76" s="60">
        <f>付费投放!AD76/U76</f>
        <v>0.27135928726847314</v>
      </c>
      <c r="AM76" s="60">
        <f>活动投放!AH76/W76</f>
        <v>0.91447925486875525</v>
      </c>
      <c r="AN76" s="60">
        <f>付费投放!AF76/W76</f>
        <v>8.5520745131244705E-2</v>
      </c>
      <c r="AO76" s="60">
        <f>IFERROR(INDEX(真品获取算法!$C$6:$C$66,MATCH(U76,真品获取算法!G$6:G$66,1)),0)*AK76/(IFERROR(INDEX(真品获取算法!$C$6:$C$66,MATCH(U76,真品获取算法!G$6:G$66,1)),0)+付费投放!AJ76)</f>
        <v>0.70611468916568876</v>
      </c>
      <c r="AP76" s="60">
        <f>(付费投放!AJ76+IFERROR(INDEX(真品获取算法!$C$6:$C$66,MATCH(U76,真品获取算法!G$6:G$66,1)),0)*AL76)/(IFERROR(INDEX(真品获取算法!$C$6:$C$66,MATCH(U76,真品获取算法!G$6:G$66,1)),0)+付费投放!AJ76)</f>
        <v>0.29388531083431146</v>
      </c>
      <c r="AQ76" s="60">
        <f>IFERROR(INDEX(真品获取算法!$C$6:$C$66,MATCH(W76,真品获取算法!I$6:I$66,1)),0)*AM76/(IFERROR(INDEX(真品获取算法!$C$6:$C$66,MATCH(W76,真品获取算法!I$6:I$66,1)),0)+付费投放!AL76)</f>
        <v>0.77774088516887885</v>
      </c>
      <c r="AR76" s="60">
        <f>(付费投放!AL76+IFERROR(INDEX(真品获取算法!$C$6:$C$66,MATCH(W76,真品获取算法!I$6:I$66,1)),0)*AN76)/(IFERROR(INDEX(真品获取算法!$C$6:$C$66,MATCH(W76,真品获取算法!I$6:I$66,1)),0)+付费投放!AL76)</f>
        <v>0.22225911483112124</v>
      </c>
    </row>
    <row r="77" spans="3:44" x14ac:dyDescent="0.15">
      <c r="C77" s="29">
        <f t="shared" si="16"/>
        <v>840</v>
      </c>
      <c r="D77" s="18">
        <f>求节点(节奏总纲!$E$4:$E$163,节奏总纲!$C$4:$C$163,$C77)</f>
        <v>99.398994483715043</v>
      </c>
      <c r="E77" s="18">
        <f>IFERROR(求节点(前期规划!$D$13:$D$23,前期规划!$B$13:$B$23,D77),0)</f>
        <v>15.890726269766372</v>
      </c>
      <c r="F77" s="63">
        <f>IFERROR(求节点(前期规划!$C$28:$C$35,前期规划!D$28:D$35,$D77),0)</f>
        <v>9</v>
      </c>
      <c r="G77" s="63">
        <f>IFERROR(求节点(前期规划!$C$28:$C$35,前期规划!E$28:E$35,$D77),0)</f>
        <v>9</v>
      </c>
      <c r="H77" s="63">
        <f>IFERROR(求节点(前期规划!$C$28:$C$35,前期规划!F$28:F$35,$D77),0)</f>
        <v>27</v>
      </c>
      <c r="I77" s="63">
        <f>IFERROR(求节点(前期规划!$C$28:$C$35,前期规划!G$28:G$35,$D77),0)</f>
        <v>27</v>
      </c>
      <c r="J77" s="63">
        <f>IFERROR(求节点(前期规划!$C$28:$C$35,前期规划!H$28:H$35,$D77),0)</f>
        <v>60</v>
      </c>
      <c r="K77" s="63">
        <f>IFERROR(求节点(前期规划!$C$28:$C$35,前期规划!I$28:I$35,$D77),0)</f>
        <v>5.6393966902290256</v>
      </c>
      <c r="L77" s="63">
        <f>MIN($E77-SUM(M77:$Q77),F77)</f>
        <v>0</v>
      </c>
      <c r="M77" s="63">
        <f>MIN($E77-SUM(N77:$Q77),G77)</f>
        <v>0</v>
      </c>
      <c r="N77" s="63">
        <f>MIN($E77-SUM(O77:$Q77),H77)</f>
        <v>0</v>
      </c>
      <c r="O77" s="63">
        <f>MIN($E77-SUM(P77:$Q77),I77)</f>
        <v>0</v>
      </c>
      <c r="P77" s="63">
        <f>MIN($E77-SUM(Q77:$Q77),J77)</f>
        <v>10.251329579537346</v>
      </c>
      <c r="Q77" s="69">
        <f t="shared" si="14"/>
        <v>5.6393966902290256</v>
      </c>
      <c r="R77" s="64">
        <f>活动投放!AC77+付费投放!AA77</f>
        <v>125.67424242424242</v>
      </c>
      <c r="S77" s="64">
        <f>活动投放!AD77+付费投放!AB77</f>
        <v>125.67424242424242</v>
      </c>
      <c r="T77" s="64">
        <f>活动投放!AE77+付费投放!AC77</f>
        <v>238.82090909090908</v>
      </c>
      <c r="U77" s="64">
        <f>活动投放!AF77+付费投放!AD77</f>
        <v>102.35181818181817</v>
      </c>
      <c r="V77" s="64">
        <f>活动投放!AG77+付费投放!AE77</f>
        <v>215.17000000000002</v>
      </c>
      <c r="W77" s="64">
        <f>活动投放!AH77+付费投放!AF77</f>
        <v>23.907777777777778</v>
      </c>
      <c r="X77" s="63">
        <f>MIN(IFERROR(INDEX(真品获取算法!$C$6:$C$66,MATCH(R77,真品获取算法!D$6:D$66,1)),0)+付费投放!AG77,前期规划!D$8)</f>
        <v>9</v>
      </c>
      <c r="Y77" s="63">
        <f>MIN(IFERROR(INDEX(真品获取算法!$C$6:$C$66,MATCH(S77,真品获取算法!E$6:E$66,1)),0)+付费投放!AH77,前期规划!E$8)</f>
        <v>9</v>
      </c>
      <c r="Z77" s="63">
        <f>MIN(IFERROR(INDEX(真品获取算法!$C$6:$C$66,MATCH(T77,真品获取算法!F$6:F$66,1)),0)+付费投放!AI77,前期规划!F$8)</f>
        <v>27</v>
      </c>
      <c r="AA77" s="63">
        <f>MIN(IFERROR(INDEX(真品获取算法!$C$6:$C$66,MATCH(U77,真品获取算法!G$6:G$66,1)),0)+付费投放!AJ77,前期规划!G$8)</f>
        <v>18.582323232323233</v>
      </c>
      <c r="AB77" s="63">
        <f>MIN(IFERROR(INDEX(真品获取算法!$C$6:$C$66,MATCH(V77,真品获取算法!H$6:H$66,1)),0)+付费投放!AK77,前期规划!H$8)</f>
        <v>58</v>
      </c>
      <c r="AC77" s="63">
        <f>MIN(IFERROR(INDEX(真品获取算法!$C$6:$C$66,MATCH(W77,真品获取算法!I$6:I$66,1)),0)+付费投放!AL77,前期规划!I$8)</f>
        <v>2.3815555555555554</v>
      </c>
      <c r="AD77" s="63">
        <f t="shared" si="15"/>
        <v>1</v>
      </c>
      <c r="AE77" s="63">
        <f t="shared" si="9"/>
        <v>1</v>
      </c>
      <c r="AF77" s="63">
        <f t="shared" si="10"/>
        <v>1</v>
      </c>
      <c r="AG77" s="63">
        <f t="shared" si="11"/>
        <v>0.68823419378974937</v>
      </c>
      <c r="AH77" s="63">
        <f t="shared" si="12"/>
        <v>0.96666666666666667</v>
      </c>
      <c r="AI77" s="63">
        <f t="shared" si="13"/>
        <v>0.42230679740652122</v>
      </c>
      <c r="AK77" s="60">
        <f>活动投放!AF77/U77</f>
        <v>0.72983559380745566</v>
      </c>
      <c r="AL77" s="60">
        <f>付费投放!AD77/U77</f>
        <v>0.27016440619254445</v>
      </c>
      <c r="AM77" s="60">
        <f>活动投放!AH77/W77</f>
        <v>0.92020263047822648</v>
      </c>
      <c r="AN77" s="60">
        <f>付费投放!AF77/W77</f>
        <v>7.9797369521773479E-2</v>
      </c>
      <c r="AO77" s="60">
        <f>IFERROR(INDEX(真品获取算法!$C$6:$C$66,MATCH(U77,真品获取算法!G$6:G$66,1)),0)*AK77/(IFERROR(INDEX(真品获取算法!$C$6:$C$66,MATCH(U77,真品获取算法!G$6:G$66,1)),0)+付费投放!AJ77)</f>
        <v>0.70696438353213165</v>
      </c>
      <c r="AP77" s="60">
        <f>(付费投放!AJ77+IFERROR(INDEX(真品获取算法!$C$6:$C$66,MATCH(U77,真品获取算法!G$6:G$66,1)),0)*AL77)/(IFERROR(INDEX(真品获取算法!$C$6:$C$66,MATCH(U77,真品获取算法!G$6:G$66,1)),0)+付费投放!AJ77)</f>
        <v>0.29303561646786841</v>
      </c>
      <c r="AQ77" s="60">
        <f>IFERROR(INDEX(真品获取算法!$C$6:$C$66,MATCH(W77,真品获取算法!I$6:I$66,1)),0)*AM77/(IFERROR(INDEX(真品获取算法!$C$6:$C$66,MATCH(W77,真品获取算法!I$6:I$66,1)),0)+付费投放!AL77)</f>
        <v>0.77277444007689078</v>
      </c>
      <c r="AR77" s="60">
        <f>(付费投放!AL77+IFERROR(INDEX(真品获取算法!$C$6:$C$66,MATCH(W77,真品获取算法!I$6:I$66,1)),0)*AN77)/(IFERROR(INDEX(真品获取算法!$C$6:$C$66,MATCH(W77,真品获取算法!I$6:I$66,1)),0)+付费投放!AL77)</f>
        <v>0.22722555992310914</v>
      </c>
    </row>
    <row r="78" spans="3:44" x14ac:dyDescent="0.15">
      <c r="C78" s="29">
        <f t="shared" si="16"/>
        <v>900</v>
      </c>
      <c r="D78" s="18">
        <f>求节点(节奏总纲!$E$4:$E$163,节奏总纲!$C$4:$C$163,$C78)</f>
        <v>100.38607135362956</v>
      </c>
      <c r="E78" s="18">
        <f>IFERROR(求节点(前期规划!$D$13:$D$23,前期规划!$B$13:$B$23,D78),0)</f>
        <v>16.064345225604928</v>
      </c>
      <c r="F78" s="63">
        <f>IFERROR(求节点(前期规划!$C$28:$C$35,前期规划!D$28:D$35,$D78),0)</f>
        <v>9</v>
      </c>
      <c r="G78" s="63">
        <f>IFERROR(求节点(前期规划!$C$28:$C$35,前期规划!E$28:E$35,$D78),0)</f>
        <v>9</v>
      </c>
      <c r="H78" s="63">
        <f>IFERROR(求节点(前期规划!$C$28:$C$35,前期规划!F$28:F$35,$D78),0)</f>
        <v>27</v>
      </c>
      <c r="I78" s="63">
        <f>IFERROR(求节点(前期规划!$C$28:$C$35,前期规划!G$28:G$35,$D78),0)</f>
        <v>27</v>
      </c>
      <c r="J78" s="63">
        <f>IFERROR(求节点(前期规划!$C$28:$C$35,前期规划!H$28:H$35,$D78),0)</f>
        <v>60</v>
      </c>
      <c r="K78" s="63">
        <f>IFERROR(求节点(前期规划!$C$28:$C$35,前期规划!I$28:I$35,$D78),0)</f>
        <v>6.2316428121777356</v>
      </c>
      <c r="L78" s="63">
        <f>MIN($E78-SUM(M78:$Q78),F78)</f>
        <v>0</v>
      </c>
      <c r="M78" s="63">
        <f>MIN($E78-SUM(N78:$Q78),G78)</f>
        <v>0</v>
      </c>
      <c r="N78" s="63">
        <f>MIN($E78-SUM(O78:$Q78),H78)</f>
        <v>0</v>
      </c>
      <c r="O78" s="63">
        <f>MIN($E78-SUM(P78:$Q78),I78)</f>
        <v>0</v>
      </c>
      <c r="P78" s="63">
        <f>MIN($E78-SUM(Q78:$Q78),J78)</f>
        <v>9.8327024134271923</v>
      </c>
      <c r="Q78" s="69">
        <f t="shared" si="14"/>
        <v>6.2316428121777356</v>
      </c>
      <c r="R78" s="64">
        <f>活动投放!AC78+付费投放!AA78</f>
        <v>134.67424242424244</v>
      </c>
      <c r="S78" s="64">
        <f>活动投放!AD78+付费投放!AB78</f>
        <v>134.67424242424244</v>
      </c>
      <c r="T78" s="64">
        <f>活动投放!AE78+付费投放!AC78</f>
        <v>257.64313131313128</v>
      </c>
      <c r="U78" s="64">
        <f>活动投放!AF78+付费投放!AD78</f>
        <v>110.41848484848485</v>
      </c>
      <c r="V78" s="64">
        <f>活动投放!AG78+付费投放!AE78</f>
        <v>245.31666666666669</v>
      </c>
      <c r="W78" s="64">
        <f>活动投放!AH78+付费投放!AF78</f>
        <v>27.25740740740741</v>
      </c>
      <c r="X78" s="63">
        <f>MIN(IFERROR(INDEX(真品获取算法!$C$6:$C$66,MATCH(R78,真品获取算法!D$6:D$66,1)),0)+付费投放!AG78,前期规划!D$8)</f>
        <v>9</v>
      </c>
      <c r="Y78" s="63">
        <f>MIN(IFERROR(INDEX(真品获取算法!$C$6:$C$66,MATCH(S78,真品获取算法!E$6:E$66,1)),0)+付费投放!AH78,前期规划!E$8)</f>
        <v>9</v>
      </c>
      <c r="Z78" s="63">
        <f>MIN(IFERROR(INDEX(真品获取算法!$C$6:$C$66,MATCH(T78,真品获取算法!F$6:F$66,1)),0)+付费投放!AI78,前期规划!F$8)</f>
        <v>27</v>
      </c>
      <c r="AA78" s="63">
        <f>MIN(IFERROR(INDEX(真品获取算法!$C$6:$C$66,MATCH(U78,真品获取算法!G$6:G$66,1)),0)+付费投放!AJ78,前期规划!G$8)</f>
        <v>19.622323232323232</v>
      </c>
      <c r="AB78" s="63">
        <f>MIN(IFERROR(INDEX(真品获取算法!$C$6:$C$66,MATCH(V78,真品获取算法!H$6:H$66,1)),0)+付费投放!AK78,前期规划!H$8)</f>
        <v>58</v>
      </c>
      <c r="AC78" s="63">
        <f>MIN(IFERROR(INDEX(真品获取算法!$C$6:$C$66,MATCH(W78,真品获取算法!I$6:I$66,1)),0)+付费投放!AL78,前期规划!I$8)</f>
        <v>2.4114814814814816</v>
      </c>
      <c r="AD78" s="63">
        <f t="shared" si="15"/>
        <v>1</v>
      </c>
      <c r="AE78" s="63">
        <f t="shared" si="9"/>
        <v>1</v>
      </c>
      <c r="AF78" s="63">
        <f t="shared" si="10"/>
        <v>1</v>
      </c>
      <c r="AG78" s="63">
        <f t="shared" si="11"/>
        <v>0.72675271230826788</v>
      </c>
      <c r="AH78" s="63">
        <f t="shared" si="12"/>
        <v>0.96666666666666667</v>
      </c>
      <c r="AI78" s="63">
        <f t="shared" si="13"/>
        <v>0.38697363667394719</v>
      </c>
      <c r="AK78" s="60">
        <f>活动投放!AF78/U78</f>
        <v>0.73085588985155647</v>
      </c>
      <c r="AL78" s="60">
        <f>付费投放!AD78/U78</f>
        <v>0.26914411014844347</v>
      </c>
      <c r="AM78" s="60">
        <f>活动投放!AH78/W78</f>
        <v>0.92451932875874721</v>
      </c>
      <c r="AN78" s="60">
        <f>付费投放!AF78/W78</f>
        <v>7.5480671241252795E-2</v>
      </c>
      <c r="AO78" s="60">
        <f>IFERROR(INDEX(真品获取算法!$C$6:$C$66,MATCH(U78,真品获取算法!G$6:G$66,1)),0)*AK78/(IFERROR(INDEX(真品获取算法!$C$6:$C$66,MATCH(U78,真品获取算法!G$6:G$66,1)),0)+付费投放!AJ78)</f>
        <v>0.70767674870961117</v>
      </c>
      <c r="AP78" s="60">
        <f>(付费投放!AJ78+IFERROR(INDEX(真品获取算法!$C$6:$C$66,MATCH(U78,真品获取算法!G$6:G$66,1)),0)*AL78)/(IFERROR(INDEX(真品获取算法!$C$6:$C$66,MATCH(U78,真品获取算法!G$6:G$66,1)),0)+付费投放!AJ78)</f>
        <v>0.29232325129038877</v>
      </c>
      <c r="AQ78" s="60">
        <f>IFERROR(INDEX(真品获取算法!$C$6:$C$66,MATCH(W78,真品获取算法!I$6:I$66,1)),0)*AM78/(IFERROR(INDEX(真品获取算法!$C$6:$C$66,MATCH(W78,真品获取算法!I$6:I$66,1)),0)+付费投放!AL78)</f>
        <v>0.76676460993660489</v>
      </c>
      <c r="AR78" s="60">
        <f>(付费投放!AL78+IFERROR(INDEX(真品获取算法!$C$6:$C$66,MATCH(W78,真品获取算法!I$6:I$66,1)),0)*AN78)/(IFERROR(INDEX(真品获取算法!$C$6:$C$66,MATCH(W78,真品获取算法!I$6:I$66,1)),0)+付费投放!AL78)</f>
        <v>0.23323539006339497</v>
      </c>
    </row>
    <row r="79" spans="3:44" x14ac:dyDescent="0.15">
      <c r="C79" s="29">
        <f t="shared" si="16"/>
        <v>1020</v>
      </c>
      <c r="D79" s="18">
        <f>求节点(节奏总纲!$E$4:$E$163,节奏总纲!$C$4:$C$163,$C79)</f>
        <v>102.22764429032095</v>
      </c>
      <c r="E79" s="18">
        <f>IFERROR(求节点(前期规划!$D$13:$D$23,前期规划!$B$13:$B$23,D79),0)</f>
        <v>16.371274048386827</v>
      </c>
      <c r="F79" s="63">
        <f>IFERROR(求节点(前期规划!$C$28:$C$35,前期规划!D$28:D$35,$D79),0)</f>
        <v>9</v>
      </c>
      <c r="G79" s="63">
        <f>IFERROR(求节点(前期规划!$C$28:$C$35,前期规划!E$28:E$35,$D79),0)</f>
        <v>9</v>
      </c>
      <c r="H79" s="63">
        <f>IFERROR(求节点(前期规划!$C$28:$C$35,前期规划!F$28:F$35,$D79),0)</f>
        <v>27</v>
      </c>
      <c r="I79" s="63">
        <f>IFERROR(求节点(前期规划!$C$28:$C$35,前期规划!G$28:G$35,$D79),0)</f>
        <v>27</v>
      </c>
      <c r="J79" s="63">
        <f>IFERROR(求节点(前期规划!$C$28:$C$35,前期规划!H$28:H$35,$D79),0)</f>
        <v>60</v>
      </c>
      <c r="K79" s="63">
        <f>IFERROR(求节点(前期规划!$C$28:$C$35,前期规划!I$28:I$35,$D79),0)</f>
        <v>7.3365865741925713</v>
      </c>
      <c r="L79" s="63">
        <f>MIN($E79-SUM(M79:$Q79),F79)</f>
        <v>0</v>
      </c>
      <c r="M79" s="63">
        <f>MIN($E79-SUM(N79:$Q79),G79)</f>
        <v>0</v>
      </c>
      <c r="N79" s="63">
        <f>MIN($E79-SUM(O79:$Q79),H79)</f>
        <v>0</v>
      </c>
      <c r="O79" s="63">
        <f>MIN($E79-SUM(P79:$Q79),I79)</f>
        <v>0</v>
      </c>
      <c r="P79" s="63">
        <f>MIN($E79-SUM(Q79:$Q79),J79)</f>
        <v>9.0346874741942553</v>
      </c>
      <c r="Q79" s="69">
        <f t="shared" si="14"/>
        <v>7.3365865741925713</v>
      </c>
      <c r="R79" s="64">
        <f>活动投放!AC79+付费投放!AA79</f>
        <v>152.67424242424244</v>
      </c>
      <c r="S79" s="64">
        <f>活动投放!AD79+付费投放!AB79</f>
        <v>152.67424242424244</v>
      </c>
      <c r="T79" s="64">
        <f>活动投放!AE79+付费投放!AC79</f>
        <v>295.28757575757572</v>
      </c>
      <c r="U79" s="64">
        <f>活动投放!AF79+付费投放!AD79</f>
        <v>126.55181818181818</v>
      </c>
      <c r="V79" s="64">
        <f>活动投放!AG79+付费投放!AE79</f>
        <v>312.81000000000006</v>
      </c>
      <c r="W79" s="64">
        <f>活动投放!AH79+付费投放!AF79</f>
        <v>34.756666666666668</v>
      </c>
      <c r="X79" s="63">
        <f>MIN(IFERROR(INDEX(真品获取算法!$C$6:$C$66,MATCH(R79,真品获取算法!D$6:D$66,1)),0)+付费投放!AG79,前期规划!D$8)</f>
        <v>9</v>
      </c>
      <c r="Y79" s="63">
        <f>MIN(IFERROR(INDEX(真品获取算法!$C$6:$C$66,MATCH(S79,真品获取算法!E$6:E$66,1)),0)+付费投放!AH79,前期规划!E$8)</f>
        <v>9</v>
      </c>
      <c r="Z79" s="63">
        <f>MIN(IFERROR(INDEX(真品获取算法!$C$6:$C$66,MATCH(T79,真品获取算法!F$6:F$66,1)),0)+付费投放!AI79,前期规划!F$8)</f>
        <v>27</v>
      </c>
      <c r="AA79" s="63">
        <f>MIN(IFERROR(INDEX(真品获取算法!$C$6:$C$66,MATCH(U79,真品获取算法!G$6:G$66,1)),0)+付费投放!AJ79,前期规划!G$8)</f>
        <v>20.702323232323231</v>
      </c>
      <c r="AB79" s="63">
        <f>MIN(IFERROR(INDEX(真品获取算法!$C$6:$C$66,MATCH(V79,真品获取算法!H$6:H$66,1)),0)+付费投放!AK79,前期规划!H$8)</f>
        <v>60</v>
      </c>
      <c r="AC79" s="63">
        <f>MIN(IFERROR(INDEX(真品获取算法!$C$6:$C$66,MATCH(W79,真品获取算法!I$6:I$66,1)),0)+付费投放!AL79,前期规划!I$8)</f>
        <v>3.4713333333333329</v>
      </c>
      <c r="AD79" s="63">
        <f t="shared" si="15"/>
        <v>1</v>
      </c>
      <c r="AE79" s="63">
        <f t="shared" si="9"/>
        <v>1</v>
      </c>
      <c r="AF79" s="63">
        <f t="shared" si="10"/>
        <v>1</v>
      </c>
      <c r="AG79" s="63">
        <f t="shared" si="11"/>
        <v>0.7667527123082678</v>
      </c>
      <c r="AH79" s="63">
        <f t="shared" si="12"/>
        <v>1</v>
      </c>
      <c r="AI79" s="63">
        <f t="shared" si="13"/>
        <v>0.47315373412810452</v>
      </c>
      <c r="AK79" s="60">
        <f>活动投放!AF79/U79</f>
        <v>0.73250626764458693</v>
      </c>
      <c r="AL79" s="60">
        <f>付费投放!AD79/U79</f>
        <v>0.26749373235541313</v>
      </c>
      <c r="AM79" s="60">
        <f>活动投放!AH79/W79</f>
        <v>0.93219526229979854</v>
      </c>
      <c r="AN79" s="60">
        <f>付费投放!AF79/W79</f>
        <v>6.7804737700201387E-2</v>
      </c>
      <c r="AO79" s="60">
        <f>IFERROR(INDEX(真品获取算法!$C$6:$C$66,MATCH(U79,真品获取算法!G$6:G$66,1)),0)*AK79/(IFERROR(INDEX(真品获取算法!$C$6:$C$66,MATCH(U79,真品获取算法!G$6:G$66,1)),0)+付费投放!AJ79)</f>
        <v>0.70765610161172665</v>
      </c>
      <c r="AP79" s="60">
        <f>(付费投放!AJ79+IFERROR(INDEX(真品获取算法!$C$6:$C$66,MATCH(U79,真品获取算法!G$6:G$66,1)),0)*AL79)/(IFERROR(INDEX(真品获取算法!$C$6:$C$66,MATCH(U79,真品获取算法!G$6:G$66,1)),0)+付费投放!AJ79)</f>
        <v>0.29234389838827346</v>
      </c>
      <c r="AQ79" s="60">
        <f>IFERROR(INDEX(真品获取算法!$C$6:$C$66,MATCH(W79,真品获取算法!I$6:I$66,1)),0)*AM79/(IFERROR(INDEX(真品获取算法!$C$6:$C$66,MATCH(W79,真品获取算法!I$6:I$66,1)),0)+付费投放!AL79)</f>
        <v>0.80562294610122798</v>
      </c>
      <c r="AR79" s="60">
        <f>(付费投放!AL79+IFERROR(INDEX(真品获取算法!$C$6:$C$66,MATCH(W79,真品获取算法!I$6:I$66,1)),0)*AN79)/(IFERROR(INDEX(真品获取算法!$C$6:$C$66,MATCH(W79,真品获取算法!I$6:I$66,1)),0)+付费投放!AL79)</f>
        <v>0.19437705389877205</v>
      </c>
    </row>
    <row r="80" spans="3:44" x14ac:dyDescent="0.15">
      <c r="C80" s="29">
        <f t="shared" si="16"/>
        <v>1140</v>
      </c>
      <c r="D80" s="18">
        <f>求节点(节奏总纲!$E$4:$E$163,节奏总纲!$C$4:$C$163,$C80)</f>
        <v>103.86099440914086</v>
      </c>
      <c r="E80" s="18">
        <f>IFERROR(求节点(前期规划!$D$13:$D$23,前期规划!$B$13:$B$23,D80),0)</f>
        <v>16.643499068190142</v>
      </c>
      <c r="F80" s="63">
        <f>IFERROR(求节点(前期规划!$C$28:$C$35,前期规划!D$28:D$35,$D80),0)</f>
        <v>9</v>
      </c>
      <c r="G80" s="63">
        <f>IFERROR(求节点(前期规划!$C$28:$C$35,前期规划!E$28:E$35,$D80),0)</f>
        <v>9</v>
      </c>
      <c r="H80" s="63">
        <f>IFERROR(求节点(前期规划!$C$28:$C$35,前期规划!F$28:F$35,$D80),0)</f>
        <v>27</v>
      </c>
      <c r="I80" s="63">
        <f>IFERROR(求节点(前期规划!$C$28:$C$35,前期规划!G$28:G$35,$D80),0)</f>
        <v>27</v>
      </c>
      <c r="J80" s="63">
        <f>IFERROR(求节点(前期规划!$C$28:$C$35,前期规划!H$28:H$35,$D80),0)</f>
        <v>60</v>
      </c>
      <c r="K80" s="63">
        <f>IFERROR(求节点(前期规划!$C$28:$C$35,前期规划!I$28:I$35,$D80),0)</f>
        <v>8.3165966454845144</v>
      </c>
      <c r="L80" s="63">
        <f>MIN($E80-SUM(M80:$Q80),F80)</f>
        <v>0</v>
      </c>
      <c r="M80" s="63">
        <f>MIN($E80-SUM(N80:$Q80),G80)</f>
        <v>0</v>
      </c>
      <c r="N80" s="63">
        <f>MIN($E80-SUM(O80:$Q80),H80)</f>
        <v>0</v>
      </c>
      <c r="O80" s="63">
        <f>MIN($E80-SUM(P80:$Q80),I80)</f>
        <v>0</v>
      </c>
      <c r="P80" s="63">
        <f>MIN($E80-SUM(Q80:$Q80),J80)</f>
        <v>8.3269024227056274</v>
      </c>
      <c r="Q80" s="69">
        <f t="shared" si="14"/>
        <v>8.3165966454845144</v>
      </c>
      <c r="R80" s="64">
        <f>活动投放!AC80+付费投放!AA80</f>
        <v>170.67424242424244</v>
      </c>
      <c r="S80" s="64">
        <f>活动投放!AD80+付费投放!AB80</f>
        <v>170.67424242424244</v>
      </c>
      <c r="T80" s="64">
        <f>活动投放!AE80+付费投放!AC80</f>
        <v>332.93202020202017</v>
      </c>
      <c r="U80" s="64">
        <f>活动投放!AF80+付费投放!AD80</f>
        <v>142.68515151515152</v>
      </c>
      <c r="V80" s="64">
        <f>活动投放!AG80+付费投放!AE80</f>
        <v>380.3033333333334</v>
      </c>
      <c r="W80" s="64">
        <f>活动投放!AH80+付费投放!AF80</f>
        <v>42.255925925925929</v>
      </c>
      <c r="X80" s="63">
        <f>MIN(IFERROR(INDEX(真品获取算法!$C$6:$C$66,MATCH(R80,真品获取算法!D$6:D$66,1)),0)+付费投放!AG80,前期规划!D$8)</f>
        <v>9</v>
      </c>
      <c r="Y80" s="63">
        <f>MIN(IFERROR(INDEX(真品获取算法!$C$6:$C$66,MATCH(S80,真品获取算法!E$6:E$66,1)),0)+付费投放!AH80,前期规划!E$8)</f>
        <v>9</v>
      </c>
      <c r="Z80" s="63">
        <f>MIN(IFERROR(INDEX(真品获取算法!$C$6:$C$66,MATCH(T80,真品获取算法!F$6:F$66,1)),0)+付费投放!AI80,前期规划!F$8)</f>
        <v>27</v>
      </c>
      <c r="AA80" s="63">
        <f>MIN(IFERROR(INDEX(真品获取算法!$C$6:$C$66,MATCH(U80,真品获取算法!G$6:G$66,1)),0)+付费投放!AJ80,前期规划!G$8)</f>
        <v>21.782323232323233</v>
      </c>
      <c r="AB80" s="63">
        <f>MIN(IFERROR(INDEX(真品获取算法!$C$6:$C$66,MATCH(V80,真品获取算法!H$6:H$66,1)),0)+付费投放!AK80,前期规划!H$8)</f>
        <v>60</v>
      </c>
      <c r="AC80" s="63">
        <f>MIN(IFERROR(INDEX(真品获取算法!$C$6:$C$66,MATCH(W80,真品获取算法!I$6:I$66,1)),0)+付费投放!AL80,前期规划!I$8)</f>
        <v>4.5311851851851852</v>
      </c>
      <c r="AD80" s="63">
        <f t="shared" si="15"/>
        <v>1</v>
      </c>
      <c r="AE80" s="63">
        <f t="shared" si="9"/>
        <v>1</v>
      </c>
      <c r="AF80" s="63">
        <f t="shared" si="10"/>
        <v>1</v>
      </c>
      <c r="AG80" s="63">
        <f t="shared" si="11"/>
        <v>0.80675271230826784</v>
      </c>
      <c r="AH80" s="63">
        <f t="shared" si="12"/>
        <v>1</v>
      </c>
      <c r="AI80" s="63">
        <f t="shared" si="13"/>
        <v>0.54483647317985373</v>
      </c>
      <c r="AK80" s="60">
        <f>活动投放!AF80/U80</f>
        <v>0.73378343077893482</v>
      </c>
      <c r="AL80" s="60">
        <f>付费投放!AD80/U80</f>
        <v>0.26621656922106518</v>
      </c>
      <c r="AM80" s="60">
        <f>活动投放!AH80/W80</f>
        <v>0.93714666362815646</v>
      </c>
      <c r="AN80" s="60">
        <f>付费投放!AF80/W80</f>
        <v>6.285333637184351E-2</v>
      </c>
      <c r="AO80" s="60">
        <f>IFERROR(INDEX(真品获取算法!$C$6:$C$66,MATCH(U80,真品获取算法!G$6:G$66,1)),0)*AK80/(IFERROR(INDEX(真品获取算法!$C$6:$C$66,MATCH(U80,真品获取算法!G$6:G$66,1)),0)+付费投放!AJ80)</f>
        <v>0.70742922515681117</v>
      </c>
      <c r="AP80" s="60">
        <f>(付费投放!AJ80+IFERROR(INDEX(真品获取算法!$C$6:$C$66,MATCH(U80,真品获取算法!G$6:G$66,1)),0)*AL80)/(IFERROR(INDEX(真品获取算法!$C$6:$C$66,MATCH(U80,真品获取算法!G$6:G$66,1)),0)+付费投放!AJ80)</f>
        <v>0.29257077484318883</v>
      </c>
      <c r="AQ80" s="60">
        <f>IFERROR(INDEX(真品获取算法!$C$6:$C$66,MATCH(W80,真品获取算法!I$6:I$66,1)),0)*AM80/(IFERROR(INDEX(真品获取算法!$C$6:$C$66,MATCH(W80,真品获取算法!I$6:I$66,1)),0)+付费投放!AL80)</f>
        <v>0.82728612963529202</v>
      </c>
      <c r="AR80" s="60">
        <f>(付费投放!AL80+IFERROR(INDEX(真品获取算法!$C$6:$C$66,MATCH(W80,真品获取算法!I$6:I$66,1)),0)*AN80)/(IFERROR(INDEX(真品获取算法!$C$6:$C$66,MATCH(W80,真品获取算法!I$6:I$66,1)),0)+付费投放!AL80)</f>
        <v>0.17271387036470789</v>
      </c>
    </row>
    <row r="81" spans="3:44" x14ac:dyDescent="0.15">
      <c r="C81" s="29">
        <f t="shared" si="16"/>
        <v>1260</v>
      </c>
      <c r="D81" s="18">
        <f>求节点(节奏总纲!$E$4:$E$163,节奏总纲!$C$4:$C$163,$C81)</f>
        <v>105.28054430059714</v>
      </c>
      <c r="E81" s="18">
        <f>IFERROR(求节点(前期规划!$D$13:$D$23,前期规划!$B$13:$B$23,D81),0)</f>
        <v>16.88009071676619</v>
      </c>
      <c r="F81" s="63">
        <f>IFERROR(求节点(前期规划!$C$28:$C$35,前期规划!D$28:D$35,$D81),0)</f>
        <v>9</v>
      </c>
      <c r="G81" s="63">
        <f>IFERROR(求节点(前期规划!$C$28:$C$35,前期规划!E$28:E$35,$D81),0)</f>
        <v>9</v>
      </c>
      <c r="H81" s="63">
        <f>IFERROR(求节点(前期规划!$C$28:$C$35,前期规划!F$28:F$35,$D81),0)</f>
        <v>27</v>
      </c>
      <c r="I81" s="63">
        <f>IFERROR(求节点(前期规划!$C$28:$C$35,前期规划!G$28:G$35,$D81),0)</f>
        <v>27</v>
      </c>
      <c r="J81" s="63">
        <f>IFERROR(求节点(前期规划!$C$28:$C$35,前期规划!H$28:H$35,$D81),0)</f>
        <v>60</v>
      </c>
      <c r="K81" s="63">
        <f>IFERROR(求节点(前期规划!$C$28:$C$35,前期规划!I$28:I$35,$D81),0)</f>
        <v>9.2601410787355327</v>
      </c>
      <c r="L81" s="63">
        <f>MIN($E81-SUM(M81:$Q81),F81)</f>
        <v>0</v>
      </c>
      <c r="M81" s="63">
        <f>MIN($E81-SUM(N81:$Q81),G81)</f>
        <v>0</v>
      </c>
      <c r="N81" s="63">
        <f>MIN($E81-SUM(O81:$Q81),H81)</f>
        <v>0</v>
      </c>
      <c r="O81" s="63">
        <f>MIN($E81-SUM(P81:$Q81),I81)</f>
        <v>0</v>
      </c>
      <c r="P81" s="63">
        <f>MIN($E81-SUM(Q81:$Q81),J81)</f>
        <v>7.6199496380306577</v>
      </c>
      <c r="Q81" s="69">
        <f t="shared" si="14"/>
        <v>9.2601410787355327</v>
      </c>
      <c r="R81" s="64">
        <f>活动投放!AC81+付费投放!AA81</f>
        <v>188.67424242424244</v>
      </c>
      <c r="S81" s="64">
        <f>活动投放!AD81+付费投放!AB81</f>
        <v>188.67424242424244</v>
      </c>
      <c r="T81" s="64">
        <f>活动投放!AE81+付费投放!AC81</f>
        <v>370.57646464646461</v>
      </c>
      <c r="U81" s="64">
        <f>活动投放!AF81+付费投放!AD81</f>
        <v>158.81848484848484</v>
      </c>
      <c r="V81" s="64">
        <f>活动投放!AG81+付费投放!AE81</f>
        <v>454.99666666666673</v>
      </c>
      <c r="W81" s="64">
        <f>活动投放!AH81+付费投放!AF81</f>
        <v>50.555185185185188</v>
      </c>
      <c r="X81" s="63">
        <f>MIN(IFERROR(INDEX(真品获取算法!$C$6:$C$66,MATCH(R81,真品获取算法!D$6:D$66,1)),0)+付费投放!AG81,前期规划!D$8)</f>
        <v>9</v>
      </c>
      <c r="Y81" s="63">
        <f>MIN(IFERROR(INDEX(真品获取算法!$C$6:$C$66,MATCH(S81,真品获取算法!E$6:E$66,1)),0)+付费投放!AH81,前期规划!E$8)</f>
        <v>9</v>
      </c>
      <c r="Z81" s="63">
        <f>MIN(IFERROR(INDEX(真品获取算法!$C$6:$C$66,MATCH(T81,真品获取算法!F$6:F$66,1)),0)+付费投放!AI81,前期规划!F$8)</f>
        <v>27</v>
      </c>
      <c r="AA81" s="63">
        <f>MIN(IFERROR(INDEX(真品获取算法!$C$6:$C$66,MATCH(U81,真品获取算法!G$6:G$66,1)),0)+付费投放!AJ81,前期规划!G$8)</f>
        <v>22.862323232323231</v>
      </c>
      <c r="AB81" s="63">
        <f>MIN(IFERROR(INDEX(真品获取算法!$C$6:$C$66,MATCH(V81,真品获取算法!H$6:H$66,1)),0)+付费投放!AK81,前期规划!H$8)</f>
        <v>60</v>
      </c>
      <c r="AC81" s="63">
        <f>MIN(IFERROR(INDEX(真品获取算法!$C$6:$C$66,MATCH(W81,真品获取算法!I$6:I$66,1)),0)+付费投放!AL81,前期规划!I$8)</f>
        <v>4.5910370370370366</v>
      </c>
      <c r="AD81" s="63">
        <f t="shared" si="15"/>
        <v>1</v>
      </c>
      <c r="AE81" s="63">
        <f t="shared" si="9"/>
        <v>1</v>
      </c>
      <c r="AF81" s="63">
        <f t="shared" si="10"/>
        <v>1</v>
      </c>
      <c r="AG81" s="63">
        <f t="shared" si="11"/>
        <v>0.84675271230826776</v>
      </c>
      <c r="AH81" s="63">
        <f t="shared" si="12"/>
        <v>1</v>
      </c>
      <c r="AI81" s="63">
        <f t="shared" si="13"/>
        <v>0.49578478319079133</v>
      </c>
      <c r="AK81" s="60">
        <f>活动投放!AF81/U81</f>
        <v>0.73480111657867464</v>
      </c>
      <c r="AL81" s="60">
        <f>付费投放!AD81/U81</f>
        <v>0.26519888342132525</v>
      </c>
      <c r="AM81" s="60">
        <f>活动投放!AH81/W81</f>
        <v>0.94154535930666161</v>
      </c>
      <c r="AN81" s="60">
        <f>付费投放!AF81/W81</f>
        <v>5.8454640693338403E-2</v>
      </c>
      <c r="AO81" s="60">
        <f>IFERROR(INDEX(真品获取算法!$C$6:$C$66,MATCH(U81,真品获取算法!G$6:G$66,1)),0)*AK81/(IFERROR(INDEX(真品获取算法!$C$6:$C$66,MATCH(U81,真品获取算法!G$6:G$66,1)),0)+付费投放!AJ81)</f>
        <v>0.7070858197768608</v>
      </c>
      <c r="AP81" s="60">
        <f>(付费投放!AJ81+IFERROR(INDEX(真品获取算法!$C$6:$C$66,MATCH(U81,真品获取算法!G$6:G$66,1)),0)*AL81)/(IFERROR(INDEX(真品获取算法!$C$6:$C$66,MATCH(U81,真品获取算法!G$6:G$66,1)),0)+付费投放!AJ81)</f>
        <v>0.29291418022313914</v>
      </c>
      <c r="AQ81" s="60">
        <f>IFERROR(INDEX(真品获取算法!$C$6:$C$66,MATCH(W81,真品获取算法!I$6:I$66,1)),0)*AM81/(IFERROR(INDEX(真品获取算法!$C$6:$C$66,MATCH(W81,真品获取算法!I$6:I$66,1)),0)+付费投放!AL81)</f>
        <v>0.82033349041707238</v>
      </c>
      <c r="AR81" s="60">
        <f>(付费投放!AL81+IFERROR(INDEX(真品获取算法!$C$6:$C$66,MATCH(W81,真品获取算法!I$6:I$66,1)),0)*AN81)/(IFERROR(INDEX(真品获取算法!$C$6:$C$66,MATCH(W81,真品获取算法!I$6:I$66,1)),0)+付费投放!AL81)</f>
        <v>0.17966650958292762</v>
      </c>
    </row>
    <row r="82" spans="3:44" x14ac:dyDescent="0.15">
      <c r="C82" s="29">
        <f t="shared" si="16"/>
        <v>1380</v>
      </c>
      <c r="D82" s="18">
        <f>求节点(节奏总纲!$E$4:$E$163,节奏总纲!$C$4:$C$163,$C82)</f>
        <v>106.5877808636499</v>
      </c>
      <c r="E82" s="18">
        <f>IFERROR(求节点(前期规划!$D$13:$D$23,前期规划!$B$13:$B$23,D82),0)</f>
        <v>17.097963477274984</v>
      </c>
      <c r="F82" s="63">
        <f>IFERROR(求节点(前期规划!$C$28:$C$35,前期规划!D$28:D$35,$D82),0)</f>
        <v>9</v>
      </c>
      <c r="G82" s="63">
        <f>IFERROR(求节点(前期规划!$C$28:$C$35,前期规划!E$28:E$35,$D82),0)</f>
        <v>9</v>
      </c>
      <c r="H82" s="63">
        <f>IFERROR(求节点(前期规划!$C$28:$C$35,前期规划!F$28:F$35,$D82),0)</f>
        <v>27</v>
      </c>
      <c r="I82" s="63">
        <f>IFERROR(求节点(前期规划!$C$28:$C$35,前期规划!G$28:G$35,$D82),0)</f>
        <v>27</v>
      </c>
      <c r="J82" s="63">
        <f>IFERROR(求节点(前期规划!$C$28:$C$35,前期规划!H$28:H$35,$D82),0)</f>
        <v>60</v>
      </c>
      <c r="K82" s="63">
        <f>IFERROR(求节点(前期规划!$C$28:$C$35,前期规划!I$28:I$35,$D82),0)</f>
        <v>10.472305891748086</v>
      </c>
      <c r="L82" s="63">
        <f>MIN($E82-SUM(M82:$Q82),F82)</f>
        <v>0</v>
      </c>
      <c r="M82" s="63">
        <f>MIN($E82-SUM(N82:$Q82),G82)</f>
        <v>0</v>
      </c>
      <c r="N82" s="63">
        <f>MIN($E82-SUM(O82:$Q82),H82)</f>
        <v>0</v>
      </c>
      <c r="O82" s="63">
        <f>MIN($E82-SUM(P82:$Q82),I82)</f>
        <v>0</v>
      </c>
      <c r="P82" s="63">
        <f>MIN($E82-SUM(Q82:$Q82),J82)</f>
        <v>6.6256575855268984</v>
      </c>
      <c r="Q82" s="69">
        <f t="shared" si="14"/>
        <v>10.472305891748086</v>
      </c>
      <c r="R82" s="64">
        <f>活动投放!AC82+付费投放!AA82</f>
        <v>206.67424242424244</v>
      </c>
      <c r="S82" s="64">
        <f>活动投放!AD82+付费投放!AB82</f>
        <v>206.67424242424244</v>
      </c>
      <c r="T82" s="64">
        <f>活动投放!AE82+付费投放!AC82</f>
        <v>408.22090909090906</v>
      </c>
      <c r="U82" s="64">
        <f>活动投放!AF82+付费投放!AD82</f>
        <v>174.95181818181817</v>
      </c>
      <c r="V82" s="64">
        <f>活动投放!AG82+付费投放!AE82</f>
        <v>529.69000000000005</v>
      </c>
      <c r="W82" s="64">
        <f>活动投放!AH82+付费投放!AF82</f>
        <v>58.854444444444447</v>
      </c>
      <c r="X82" s="63">
        <f>MIN(IFERROR(INDEX(真品获取算法!$C$6:$C$66,MATCH(R82,真品获取算法!D$6:D$66,1)),0)+付费投放!AG82,前期规划!D$8)</f>
        <v>9</v>
      </c>
      <c r="Y82" s="63">
        <f>MIN(IFERROR(INDEX(真品获取算法!$C$6:$C$66,MATCH(S82,真品获取算法!E$6:E$66,1)),0)+付费投放!AH82,前期规划!E$8)</f>
        <v>9</v>
      </c>
      <c r="Z82" s="63">
        <f>MIN(IFERROR(INDEX(真品获取算法!$C$6:$C$66,MATCH(T82,真品获取算法!F$6:F$66,1)),0)+付费投放!AI82,前期规划!F$8)</f>
        <v>27</v>
      </c>
      <c r="AA82" s="63">
        <f>MIN(IFERROR(INDEX(真品获取算法!$C$6:$C$66,MATCH(U82,真品获取算法!G$6:G$66,1)),0)+付费投放!AJ82,前期规划!G$8)</f>
        <v>23.942323232323233</v>
      </c>
      <c r="AB82" s="63">
        <f>MIN(IFERROR(INDEX(真品获取算法!$C$6:$C$66,MATCH(V82,真品获取算法!H$6:H$66,1)),0)+付费投放!AK82,前期规划!H$8)</f>
        <v>60</v>
      </c>
      <c r="AC82" s="63">
        <f>MIN(IFERROR(INDEX(真品获取算法!$C$6:$C$66,MATCH(W82,真品获取算法!I$6:I$66,1)),0)+付费投放!AL82,前期规划!I$8)</f>
        <v>5.6508888888888889</v>
      </c>
      <c r="AD82" s="63">
        <f t="shared" si="15"/>
        <v>1</v>
      </c>
      <c r="AE82" s="63">
        <f t="shared" si="9"/>
        <v>1</v>
      </c>
      <c r="AF82" s="63">
        <f t="shared" si="10"/>
        <v>1</v>
      </c>
      <c r="AG82" s="63">
        <f t="shared" si="11"/>
        <v>0.88675271230826791</v>
      </c>
      <c r="AH82" s="63">
        <f t="shared" si="12"/>
        <v>1</v>
      </c>
      <c r="AI82" s="63">
        <f t="shared" si="13"/>
        <v>0.53960311580868237</v>
      </c>
      <c r="AK82" s="60">
        <f>活动投放!AF82/U82</f>
        <v>0.73563110882476734</v>
      </c>
      <c r="AL82" s="60">
        <f>付费投放!AD82/U82</f>
        <v>0.26436889117523266</v>
      </c>
      <c r="AM82" s="60">
        <f>活动投放!AH82/W82</f>
        <v>0.94470350582416129</v>
      </c>
      <c r="AN82" s="60">
        <f>付费投放!AF82/W82</f>
        <v>5.5296494175838685E-2</v>
      </c>
      <c r="AO82" s="60">
        <f>IFERROR(INDEX(真品获取算法!$C$6:$C$66,MATCH(U82,真品获取算法!G$6:G$66,1)),0)*AK82/(IFERROR(INDEX(真品获取算法!$C$6:$C$66,MATCH(U82,真品获取算法!G$6:G$66,1)),0)+付费投放!AJ82)</f>
        <v>0.70667810048306123</v>
      </c>
      <c r="AP82" s="60">
        <f>(付费投放!AJ82+IFERROR(INDEX(真品获取算法!$C$6:$C$66,MATCH(U82,真品获取算法!G$6:G$66,1)),0)*AL82)/(IFERROR(INDEX(真品获取算法!$C$6:$C$66,MATCH(U82,真品获取算法!G$6:G$66,1)),0)+付费投放!AJ82)</f>
        <v>0.29332189951693871</v>
      </c>
      <c r="AQ82" s="60">
        <f>IFERROR(INDEX(真品获取算法!$C$6:$C$66,MATCH(W82,真品获取算法!I$6:I$66,1)),0)*AM82/(IFERROR(INDEX(真品获取算法!$C$6:$C$66,MATCH(W82,真品获取算法!I$6:I$66,1)),0)+付费投放!AL82)</f>
        <v>0.83588929494056519</v>
      </c>
      <c r="AR82" s="60">
        <f>(付费投放!AL82+IFERROR(INDEX(真品获取算法!$C$6:$C$66,MATCH(W82,真品获取算法!I$6:I$66,1)),0)*AN82)/(IFERROR(INDEX(真品获取算法!$C$6:$C$66,MATCH(W82,真品获取算法!I$6:I$66,1)),0)+付费投放!AL82)</f>
        <v>0.16411070505943487</v>
      </c>
    </row>
    <row r="83" spans="3:44" x14ac:dyDescent="0.15">
      <c r="C83" s="29">
        <f t="shared" si="16"/>
        <v>1500</v>
      </c>
      <c r="D83" s="18">
        <f>求节点(节奏总纲!$E$4:$E$163,节奏总纲!$C$4:$C$163,$C83)</f>
        <v>107.79548237561555</v>
      </c>
      <c r="E83" s="18">
        <f>IFERROR(求节点(前期规划!$D$13:$D$23,前期规划!$B$13:$B$23,D83),0)</f>
        <v>17.299247062602593</v>
      </c>
      <c r="F83" s="63">
        <f>IFERROR(求节点(前期规划!$C$28:$C$35,前期规划!D$28:D$35,$D83),0)</f>
        <v>9</v>
      </c>
      <c r="G83" s="63">
        <f>IFERROR(求节点(前期规划!$C$28:$C$35,前期规划!E$28:E$35,$D83),0)</f>
        <v>9</v>
      </c>
      <c r="H83" s="63">
        <f>IFERROR(求节点(前期规划!$C$28:$C$35,前期规划!F$28:F$35,$D83),0)</f>
        <v>27</v>
      </c>
      <c r="I83" s="63">
        <f>IFERROR(求节点(前期规划!$C$28:$C$35,前期规划!G$28:G$35,$D83),0)</f>
        <v>27</v>
      </c>
      <c r="J83" s="63">
        <f>IFERROR(求节点(前期规划!$C$28:$C$35,前期规划!H$28:H$35,$D83),0)</f>
        <v>60</v>
      </c>
      <c r="K83" s="63">
        <f>IFERROR(求节点(前期规划!$C$28:$C$35,前期规划!I$28:I$35,$D83),0)</f>
        <v>11.592174566479873</v>
      </c>
      <c r="L83" s="63">
        <f>MIN($E83-SUM(M83:$Q83),F83)</f>
        <v>0</v>
      </c>
      <c r="M83" s="63">
        <f>MIN($E83-SUM(N83:$Q83),G83)</f>
        <v>0</v>
      </c>
      <c r="N83" s="63">
        <f>MIN($E83-SUM(O83:$Q83),H83)</f>
        <v>0</v>
      </c>
      <c r="O83" s="63">
        <f>MIN($E83-SUM(P83:$Q83),I83)</f>
        <v>0</v>
      </c>
      <c r="P83" s="63">
        <f>MIN($E83-SUM(Q83:$Q83),J83)</f>
        <v>5.7070724961227199</v>
      </c>
      <c r="Q83" s="69">
        <f t="shared" si="14"/>
        <v>11.592174566479873</v>
      </c>
      <c r="R83" s="64">
        <f>活动投放!AC83+付费投放!AA83</f>
        <v>224.67424242424244</v>
      </c>
      <c r="S83" s="64">
        <f>活动投放!AD83+付费投放!AB83</f>
        <v>224.67424242424244</v>
      </c>
      <c r="T83" s="64">
        <f>活动投放!AE83+付费投放!AC83</f>
        <v>445.86535353535351</v>
      </c>
      <c r="U83" s="64">
        <f>活动投放!AF83+付费投放!AD83</f>
        <v>191.08515151515149</v>
      </c>
      <c r="V83" s="64">
        <f>活动投放!AG83+付费投放!AE83</f>
        <v>611.58333333333337</v>
      </c>
      <c r="W83" s="64">
        <f>活动投放!AH83+付费投放!AF83</f>
        <v>67.953703703703709</v>
      </c>
      <c r="X83" s="63">
        <f>MIN(IFERROR(INDEX(真品获取算法!$C$6:$C$66,MATCH(R83,真品获取算法!D$6:D$66,1)),0)+付费投放!AG83,前期规划!D$8)</f>
        <v>9</v>
      </c>
      <c r="Y83" s="63">
        <f>MIN(IFERROR(INDEX(真品获取算法!$C$6:$C$66,MATCH(S83,真品获取算法!E$6:E$66,1)),0)+付费投放!AH83,前期规划!E$8)</f>
        <v>9</v>
      </c>
      <c r="Z83" s="63">
        <f>MIN(IFERROR(INDEX(真品获取算法!$C$6:$C$66,MATCH(T83,真品获取算法!F$6:F$66,1)),0)+付费投放!AI83,前期规划!F$8)</f>
        <v>27</v>
      </c>
      <c r="AA83" s="63">
        <f>MIN(IFERROR(INDEX(真品获取算法!$C$6:$C$66,MATCH(U83,真品获取算法!G$6:G$66,1)),0)+付费投放!AJ83,前期规划!G$8)</f>
        <v>25.022323232323231</v>
      </c>
      <c r="AB83" s="63">
        <f>MIN(IFERROR(INDEX(真品获取算法!$C$6:$C$66,MATCH(V83,真品获取算法!H$6:H$66,1)),0)+付费投放!AK83,前期规划!H$8)</f>
        <v>60</v>
      </c>
      <c r="AC83" s="63">
        <f>MIN(IFERROR(INDEX(真品获取算法!$C$6:$C$66,MATCH(W83,真品获取算法!I$6:I$66,1)),0)+付费投放!AL83,前期规划!I$8)</f>
        <v>6.7107407407407402</v>
      </c>
      <c r="AD83" s="63">
        <f t="shared" si="15"/>
        <v>1</v>
      </c>
      <c r="AE83" s="63">
        <f t="shared" si="9"/>
        <v>1</v>
      </c>
      <c r="AF83" s="63">
        <f t="shared" si="10"/>
        <v>1</v>
      </c>
      <c r="AG83" s="63">
        <f t="shared" si="11"/>
        <v>0.92675271230826783</v>
      </c>
      <c r="AH83" s="63">
        <f t="shared" si="12"/>
        <v>1</v>
      </c>
      <c r="AI83" s="63">
        <f t="shared" si="13"/>
        <v>0.57890266422881786</v>
      </c>
      <c r="AK83" s="60">
        <f>活动投放!AF83/U83</f>
        <v>0.73632094845864371</v>
      </c>
      <c r="AL83" s="60">
        <f>付费投放!AD83/U83</f>
        <v>0.26367905154135629</v>
      </c>
      <c r="AM83" s="60">
        <f>活动投放!AH83/W83</f>
        <v>0.94770404687287102</v>
      </c>
      <c r="AN83" s="60">
        <f>付费投放!AF83/W83</f>
        <v>5.2295953127129022E-2</v>
      </c>
      <c r="AO83" s="60">
        <f>IFERROR(INDEX(真品获取算法!$C$6:$C$66,MATCH(U83,真品获取算法!G$6:G$66,1)),0)*AK83/(IFERROR(INDEX(真品获取算法!$C$6:$C$66,MATCH(U83,真品获取算法!G$6:G$66,1)),0)+付费投放!AJ83)</f>
        <v>0.70623749037737515</v>
      </c>
      <c r="AP83" s="60">
        <f>(付费投放!AJ83+IFERROR(INDEX(真品获取算法!$C$6:$C$66,MATCH(U83,真品获取算法!G$6:G$66,1)),0)*AL83)/(IFERROR(INDEX(真品获取算法!$C$6:$C$66,MATCH(U83,真品获取算法!G$6:G$66,1)),0)+付费投放!AJ83)</f>
        <v>0.29376250962262485</v>
      </c>
      <c r="AQ83" s="60">
        <f>IFERROR(INDEX(真品获取算法!$C$6:$C$66,MATCH(W83,真品获取算法!I$6:I$66,1)),0)*AM83/(IFERROR(INDEX(真品获取算法!$C$6:$C$66,MATCH(W83,真品获取算法!I$6:I$66,1)),0)+付费投放!AL83)</f>
        <v>0.84733183726146655</v>
      </c>
      <c r="AR83" s="60">
        <f>(付费投放!AL83+IFERROR(INDEX(真品获取算法!$C$6:$C$66,MATCH(W83,真品获取算法!I$6:I$66,1)),0)*AN83)/(IFERROR(INDEX(真品获取算法!$C$6:$C$66,MATCH(W83,真品获取算法!I$6:I$66,1)),0)+付费投放!AL83)</f>
        <v>0.15266816273853356</v>
      </c>
    </row>
    <row r="84" spans="3:44" x14ac:dyDescent="0.15">
      <c r="C84" s="29">
        <f t="shared" si="16"/>
        <v>1800</v>
      </c>
      <c r="D84" s="18">
        <f>求节点(节奏总纲!$E$4:$E$163,节奏总纲!$C$4:$C$163,$C84)</f>
        <v>110.45909768117225</v>
      </c>
      <c r="E84" s="18">
        <f>IFERROR(求节点(前期规划!$D$13:$D$23,前期规划!$B$13:$B$23,D84),0)</f>
        <v>17.743182946862042</v>
      </c>
      <c r="F84" s="63">
        <f>IFERROR(求节点(前期规划!$C$28:$C$35,前期规划!D$28:D$35,$D84),0)</f>
        <v>9</v>
      </c>
      <c r="G84" s="63">
        <f>IFERROR(求节点(前期规划!$C$28:$C$35,前期规划!E$28:E$35,$D84),0)</f>
        <v>9</v>
      </c>
      <c r="H84" s="63">
        <f>IFERROR(求节点(前期规划!$C$28:$C$35,前期规划!F$28:F$35,$D84),0)</f>
        <v>27</v>
      </c>
      <c r="I84" s="63">
        <f>IFERROR(求节点(前期规划!$C$28:$C$35,前期规划!G$28:G$35,$D84),0)</f>
        <v>27</v>
      </c>
      <c r="J84" s="63">
        <f>IFERROR(求节点(前期规划!$C$28:$C$35,前期规划!H$28:H$35,$D84),0)</f>
        <v>60</v>
      </c>
      <c r="K84" s="63">
        <f>IFERROR(求节点(前期规划!$C$28:$C$35,前期规划!I$28:I$35,$D84),0)</f>
        <v>14.062072395268816</v>
      </c>
      <c r="L84" s="63">
        <f>MIN($E84-SUM(M84:$Q84),F84)</f>
        <v>0</v>
      </c>
      <c r="M84" s="63">
        <f>MIN($E84-SUM(N84:$Q84),G84)</f>
        <v>0</v>
      </c>
      <c r="N84" s="63">
        <f>MIN($E84-SUM(O84:$Q84),H84)</f>
        <v>0</v>
      </c>
      <c r="O84" s="63">
        <f>MIN($E84-SUM(P84:$Q84),I84)</f>
        <v>0</v>
      </c>
      <c r="P84" s="63">
        <f>MIN($E84-SUM(Q84:$Q84),J84)</f>
        <v>3.6811105515932265</v>
      </c>
      <c r="Q84" s="69">
        <f t="shared" si="14"/>
        <v>14.062072395268816</v>
      </c>
      <c r="R84" s="64">
        <f>活动投放!AC84+付费投放!AA84</f>
        <v>269.67424242424244</v>
      </c>
      <c r="S84" s="64">
        <f>活动投放!AD84+付费投放!AB84</f>
        <v>269.67424242424244</v>
      </c>
      <c r="T84" s="64">
        <f>活动投放!AE84+付费投放!AC84</f>
        <v>539.97646464646459</v>
      </c>
      <c r="U84" s="64">
        <f>活动投放!AF84+付费投放!AD84</f>
        <v>231.41848484848481</v>
      </c>
      <c r="V84" s="64">
        <f>活动投放!AG84+付费投放!AE84</f>
        <v>816.31666666666672</v>
      </c>
      <c r="W84" s="64">
        <f>活动投放!AH84+付费投放!AF84</f>
        <v>90.701851851851856</v>
      </c>
      <c r="X84" s="63">
        <f>MIN(IFERROR(INDEX(真品获取算法!$C$6:$C$66,MATCH(R84,真品获取算法!D$6:D$66,1)),0)+付费投放!AG84,前期规划!D$8)</f>
        <v>9</v>
      </c>
      <c r="Y84" s="63">
        <f>MIN(IFERROR(INDEX(真品获取算法!$C$6:$C$66,MATCH(S84,真品获取算法!E$6:E$66,1)),0)+付费投放!AH84,前期规划!E$8)</f>
        <v>9</v>
      </c>
      <c r="Z84" s="63">
        <f>MIN(IFERROR(INDEX(真品获取算法!$C$6:$C$66,MATCH(T84,真品获取算法!F$6:F$66,1)),0)+付费投放!AI84,前期规划!F$8)</f>
        <v>27</v>
      </c>
      <c r="AA84" s="63">
        <f>MIN(IFERROR(INDEX(真品获取算法!$C$6:$C$66,MATCH(U84,真品获取算法!G$6:G$66,1)),0)+付费投放!AJ84,前期规划!G$8)</f>
        <v>26.222323232323234</v>
      </c>
      <c r="AB84" s="63">
        <f>MIN(IFERROR(INDEX(真品获取算法!$C$6:$C$66,MATCH(V84,真品获取算法!H$6:H$66,1)),0)+付费投放!AK84,前期规划!H$8)</f>
        <v>60</v>
      </c>
      <c r="AC84" s="63">
        <f>MIN(IFERROR(INDEX(真品获取算法!$C$6:$C$66,MATCH(W84,真品获取算法!I$6:I$66,1)),0)+付费投放!AL84,前期规划!I$8)</f>
        <v>8.8603703703703705</v>
      </c>
      <c r="AD84" s="63">
        <f t="shared" si="15"/>
        <v>1</v>
      </c>
      <c r="AE84" s="63">
        <f t="shared" si="9"/>
        <v>1</v>
      </c>
      <c r="AF84" s="63">
        <f t="shared" si="10"/>
        <v>1</v>
      </c>
      <c r="AG84" s="63">
        <f t="shared" si="11"/>
        <v>0.97119715675271234</v>
      </c>
      <c r="AH84" s="63">
        <f t="shared" si="12"/>
        <v>1</v>
      </c>
      <c r="AI84" s="63">
        <f t="shared" si="13"/>
        <v>0.63008994131984719</v>
      </c>
      <c r="AK84" s="60">
        <f>活动投放!AF84/U84</f>
        <v>0.73762474122048349</v>
      </c>
      <c r="AL84" s="60">
        <f>付费投放!AD84/U84</f>
        <v>0.26237525877951656</v>
      </c>
      <c r="AM84" s="60">
        <f>活动投放!AH84/W84</f>
        <v>0.95257151023908204</v>
      </c>
      <c r="AN84" s="60">
        <f>付费投放!AF84/W84</f>
        <v>4.7428489760917937E-2</v>
      </c>
      <c r="AO84" s="60">
        <f>IFERROR(INDEX(真品获取算法!$C$6:$C$66,MATCH(U84,真品获取算法!G$6:G$66,1)),0)*AK84/(IFERROR(INDEX(真品获取算法!$C$6:$C$66,MATCH(U84,真品获取算法!G$6:G$66,1)),0)+付费投放!AJ84)</f>
        <v>0.7032412180695361</v>
      </c>
      <c r="AP84" s="60">
        <f>(付费投放!AJ84+IFERROR(INDEX(真品获取算法!$C$6:$C$66,MATCH(U84,真品获取算法!G$6:G$66,1)),0)*AL84)/(IFERROR(INDEX(真品获取算法!$C$6:$C$66,MATCH(U84,真品获取算法!G$6:G$66,1)),0)+付费投放!AJ84)</f>
        <v>0.29675878193046384</v>
      </c>
      <c r="AQ84" s="60">
        <f>IFERROR(INDEX(真品获取算法!$C$6:$C$66,MATCH(W84,真品获取算法!I$6:I$66,1)),0)*AM84/(IFERROR(INDEX(真品获取算法!$C$6:$C$66,MATCH(W84,真品获取算法!I$6:I$66,1)),0)+付费投放!AL84)</f>
        <v>0.86007376253664558</v>
      </c>
      <c r="AR84" s="60">
        <f>(付费投放!AL84+IFERROR(INDEX(真品获取算法!$C$6:$C$66,MATCH(W84,真品获取算法!I$6:I$66,1)),0)*AN84)/(IFERROR(INDEX(真品获取算法!$C$6:$C$66,MATCH(W84,真品获取算法!I$6:I$66,1)),0)+付费投放!AL84)</f>
        <v>0.13992623746335436</v>
      </c>
    </row>
    <row r="85" spans="3:44" x14ac:dyDescent="0.15">
      <c r="C85" s="29">
        <f t="shared" si="16"/>
        <v>2100</v>
      </c>
      <c r="D85" s="18">
        <f>求节点(节奏总纲!$E$4:$E$163,节奏总纲!$C$4:$C$163,$C85)</f>
        <v>112.6575750662045</v>
      </c>
      <c r="E85" s="18">
        <f>IFERROR(求节点(前期规划!$D$13:$D$23,前期规划!$B$13:$B$23,D85),0)</f>
        <v>18.101165394800692</v>
      </c>
      <c r="F85" s="63">
        <f>IFERROR(求节点(前期规划!$C$28:$C$35,前期规划!D$28:D$35,$D85),0)</f>
        <v>9</v>
      </c>
      <c r="G85" s="63">
        <f>IFERROR(求节点(前期规划!$C$28:$C$35,前期规划!E$28:E$35,$D85),0)</f>
        <v>9</v>
      </c>
      <c r="H85" s="63">
        <f>IFERROR(求节点(前期规划!$C$28:$C$35,前期规划!F$28:F$35,$D85),0)</f>
        <v>27</v>
      </c>
      <c r="I85" s="63">
        <f>IFERROR(求节点(前期规划!$C$28:$C$35,前期规划!G$28:G$35,$D85),0)</f>
        <v>27</v>
      </c>
      <c r="J85" s="63">
        <f>IFERROR(求节点(前期规划!$C$28:$C$35,前期规划!H$28:H$35,$D85),0)</f>
        <v>60</v>
      </c>
      <c r="K85" s="63">
        <f>IFERROR(求节点(前期规划!$C$28:$C$35,前期规划!I$28:I$35,$D85),0)</f>
        <v>16.100660515935083</v>
      </c>
      <c r="L85" s="63">
        <f>MIN($E85-SUM(M85:$Q85),F85)</f>
        <v>0</v>
      </c>
      <c r="M85" s="63">
        <f>MIN($E85-SUM(N85:$Q85),G85)</f>
        <v>0</v>
      </c>
      <c r="N85" s="63">
        <f>MIN($E85-SUM(O85:$Q85),H85)</f>
        <v>0</v>
      </c>
      <c r="O85" s="63">
        <f>MIN($E85-SUM(P85:$Q85),I85)</f>
        <v>0</v>
      </c>
      <c r="P85" s="63">
        <f>MIN($E85-SUM(Q85:$Q85),J85)</f>
        <v>2.000504878865609</v>
      </c>
      <c r="Q85" s="69">
        <f t="shared" si="14"/>
        <v>16.100660515935083</v>
      </c>
      <c r="R85" s="64">
        <f>活动投放!AC85+付费投放!AA85</f>
        <v>314.67424242424244</v>
      </c>
      <c r="S85" s="64">
        <f>活动投放!AD85+付费投放!AB85</f>
        <v>314.67424242424244</v>
      </c>
      <c r="T85" s="64">
        <f>活动投放!AE85+付费投放!AC85</f>
        <v>634.08757575757568</v>
      </c>
      <c r="U85" s="64">
        <f>活动投放!AF85+付费投放!AD85</f>
        <v>271.75181818181818</v>
      </c>
      <c r="V85" s="64">
        <f>活动投放!AG85+付费投放!AE85</f>
        <v>1039.05</v>
      </c>
      <c r="W85" s="64">
        <f>活动投放!AH85+付费投放!AF85</f>
        <v>115.45</v>
      </c>
      <c r="X85" s="63">
        <f>MIN(IFERROR(INDEX(真品获取算法!$C$6:$C$66,MATCH(R85,真品获取算法!D$6:D$66,1)),0)+付费投放!AG85,前期规划!D$8)</f>
        <v>9</v>
      </c>
      <c r="Y85" s="63">
        <f>MIN(IFERROR(INDEX(真品获取算法!$C$6:$C$66,MATCH(S85,真品获取算法!E$6:E$66,1)),0)+付费投放!AH85,前期规划!E$8)</f>
        <v>9</v>
      </c>
      <c r="Z85" s="63">
        <f>MIN(IFERROR(INDEX(真品获取算法!$C$6:$C$66,MATCH(T85,真品获取算法!F$6:F$66,1)),0)+付费投放!AI85,前期规划!F$8)</f>
        <v>27</v>
      </c>
      <c r="AA85" s="63">
        <f>MIN(IFERROR(INDEX(真品获取算法!$C$6:$C$66,MATCH(U85,真品获取算法!G$6:G$66,1)),0)+付费投放!AJ85,前期规划!G$8)</f>
        <v>27</v>
      </c>
      <c r="AB85" s="63">
        <f>MIN(IFERROR(INDEX(真品获取算法!$C$6:$C$66,MATCH(V85,真品获取算法!H$6:H$66,1)),0)+付费投放!AK85,前期规划!H$8)</f>
        <v>60</v>
      </c>
      <c r="AC85" s="63">
        <f>MIN(IFERROR(INDEX(真品获取算法!$C$6:$C$66,MATCH(W85,真品获取算法!I$6:I$66,1)),0)+付费投放!AL85,前期规划!I$8)</f>
        <v>11.01</v>
      </c>
      <c r="AD85" s="63">
        <f t="shared" si="15"/>
        <v>1</v>
      </c>
      <c r="AE85" s="63">
        <f t="shared" si="9"/>
        <v>1</v>
      </c>
      <c r="AF85" s="63">
        <f t="shared" si="10"/>
        <v>1</v>
      </c>
      <c r="AG85" s="63">
        <f t="shared" si="11"/>
        <v>1</v>
      </c>
      <c r="AH85" s="63">
        <f t="shared" si="12"/>
        <v>1</v>
      </c>
      <c r="AI85" s="63">
        <f t="shared" si="13"/>
        <v>0.68382287727284397</v>
      </c>
      <c r="AK85" s="60">
        <f>活动投放!AF85/U85</f>
        <v>0.73854151682517799</v>
      </c>
      <c r="AL85" s="60">
        <f>付费投放!AD85/U85</f>
        <v>0.2614584831748219</v>
      </c>
      <c r="AM85" s="60">
        <f>活动投放!AH85/W85</f>
        <v>0.95625812039844094</v>
      </c>
      <c r="AN85" s="60">
        <f>付费投放!AF85/W85</f>
        <v>4.3741879601559112E-2</v>
      </c>
      <c r="AO85" s="60">
        <f>IFERROR(INDEX(真品获取算法!$C$6:$C$66,MATCH(U85,真品获取算法!G$6:G$66,1)),0)*AK85/(IFERROR(INDEX(真品获取算法!$C$6:$C$66,MATCH(U85,真品获取算法!G$6:G$66,1)),0)+付费投放!AJ85)</f>
        <v>0.70023532560584656</v>
      </c>
      <c r="AP85" s="60">
        <f>(付费投放!AJ85+IFERROR(INDEX(真品获取算法!$C$6:$C$66,MATCH(U85,真品获取算法!G$6:G$66,1)),0)*AL85)/(IFERROR(INDEX(真品获取算法!$C$6:$C$66,MATCH(U85,真品获取算法!G$6:G$66,1)),0)+付费投放!AJ85)</f>
        <v>0.29976467439415339</v>
      </c>
      <c r="AQ85" s="60">
        <f>IFERROR(INDEX(真品获取算法!$C$6:$C$66,MATCH(W85,真品获取算法!I$6:I$66,1)),0)*AM85/(IFERROR(INDEX(真品获取算法!$C$6:$C$66,MATCH(W85,真品获取算法!I$6:I$66,1)),0)+付费投放!AL85)</f>
        <v>0.86853598582964664</v>
      </c>
      <c r="AR85" s="60">
        <f>(付费投放!AL85+IFERROR(INDEX(真品获取算法!$C$6:$C$66,MATCH(W85,真品获取算法!I$6:I$66,1)),0)*AN85)/(IFERROR(INDEX(真品获取算法!$C$6:$C$66,MATCH(W85,真品获取算法!I$6:I$66,1)),0)+付费投放!AL85)</f>
        <v>0.13146401417035339</v>
      </c>
    </row>
    <row r="86" spans="3:44" x14ac:dyDescent="0.15">
      <c r="C86" s="29">
        <f t="shared" si="16"/>
        <v>2400</v>
      </c>
      <c r="D86" s="18">
        <f>求节点(节奏总纲!$E$4:$E$163,节奏总纲!$C$4:$C$163,$C86)</f>
        <v>114.60231372852645</v>
      </c>
      <c r="E86" s="18">
        <f>IFERROR(求节点(前期规划!$D$13:$D$23,前期规划!$B$13:$B$23,D86),0)</f>
        <v>18.40035595823484</v>
      </c>
      <c r="F86" s="63">
        <f>IFERROR(求节点(前期规划!$C$28:$C$35,前期规划!D$28:D$35,$D86),0)</f>
        <v>9</v>
      </c>
      <c r="G86" s="63">
        <f>IFERROR(求节点(前期规划!$C$28:$C$35,前期规划!E$28:E$35,$D86),0)</f>
        <v>9</v>
      </c>
      <c r="H86" s="63">
        <f>IFERROR(求节点(前期规划!$C$28:$C$35,前期规划!F$28:F$35,$D86),0)</f>
        <v>27</v>
      </c>
      <c r="I86" s="63">
        <f>IFERROR(求节点(前期规划!$C$28:$C$35,前期规划!G$28:G$35,$D86),0)</f>
        <v>27</v>
      </c>
      <c r="J86" s="63">
        <f>IFERROR(求节点(前期规划!$C$28:$C$35,前期规划!H$28:H$35,$D86),0)</f>
        <v>60</v>
      </c>
      <c r="K86" s="63">
        <f>IFERROR(求节点(前期规划!$C$28:$C$35,前期规划!I$28:I$35,$D86),0)</f>
        <v>17.903963639179075</v>
      </c>
      <c r="L86" s="63">
        <f>MIN($E86-SUM(M86:$Q86),F86)</f>
        <v>0</v>
      </c>
      <c r="M86" s="63">
        <f>MIN($E86-SUM(N86:$Q86),G86)</f>
        <v>0</v>
      </c>
      <c r="N86" s="63">
        <f>MIN($E86-SUM(O86:$Q86),H86)</f>
        <v>0</v>
      </c>
      <c r="O86" s="63">
        <f>MIN($E86-SUM(P86:$Q86),I86)</f>
        <v>0</v>
      </c>
      <c r="P86" s="63">
        <f>MIN($E86-SUM(Q86:$Q86),J86)</f>
        <v>0.49639231905576509</v>
      </c>
      <c r="Q86" s="69">
        <f t="shared" si="14"/>
        <v>17.903963639179075</v>
      </c>
      <c r="R86" s="64">
        <f>活动投放!AC86+付费投放!AA86</f>
        <v>359.67424242424244</v>
      </c>
      <c r="S86" s="64">
        <f>活动投放!AD86+付费投放!AB86</f>
        <v>359.67424242424244</v>
      </c>
      <c r="T86" s="64">
        <f>活动投放!AE86+付费投放!AC86</f>
        <v>728.19868686868676</v>
      </c>
      <c r="U86" s="64">
        <f>活动投放!AF86+付费投放!AD86</f>
        <v>312.08515151515149</v>
      </c>
      <c r="V86" s="64">
        <f>活动投放!AG86+付费投放!AE86</f>
        <v>1279.7833333333335</v>
      </c>
      <c r="W86" s="64">
        <f>活动投放!AH86+付费投放!AF86</f>
        <v>142.19814814814816</v>
      </c>
      <c r="X86" s="63">
        <f>MIN(IFERROR(INDEX(真品获取算法!$C$6:$C$66,MATCH(R86,真品获取算法!D$6:D$66,1)),0)+付费投放!AG86,前期规划!D$8)</f>
        <v>9</v>
      </c>
      <c r="Y86" s="63">
        <f>MIN(IFERROR(INDEX(真品获取算法!$C$6:$C$66,MATCH(S86,真品获取算法!E$6:E$66,1)),0)+付费投放!AH86,前期规划!E$8)</f>
        <v>9</v>
      </c>
      <c r="Z86" s="63">
        <f>MIN(IFERROR(INDEX(真品获取算法!$C$6:$C$66,MATCH(T86,真品获取算法!F$6:F$66,1)),0)+付费投放!AI86,前期规划!F$8)</f>
        <v>27</v>
      </c>
      <c r="AA86" s="63">
        <f>MIN(IFERROR(INDEX(真品获取算法!$C$6:$C$66,MATCH(U86,真品获取算法!G$6:G$66,1)),0)+付费投放!AJ86,前期规划!G$8)</f>
        <v>27</v>
      </c>
      <c r="AB86" s="63">
        <f>MIN(IFERROR(INDEX(真品获取算法!$C$6:$C$66,MATCH(V86,真品获取算法!H$6:H$66,1)),0)+付费投放!AK86,前期规划!H$8)</f>
        <v>60</v>
      </c>
      <c r="AC86" s="63">
        <f>MIN(IFERROR(INDEX(真品获取算法!$C$6:$C$66,MATCH(W86,真品获取算法!I$6:I$66,1)),0)+付费投放!AL86,前期规划!I$8)</f>
        <v>13.159629629629629</v>
      </c>
      <c r="AD86" s="63">
        <f t="shared" si="15"/>
        <v>1</v>
      </c>
      <c r="AE86" s="63">
        <f t="shared" si="9"/>
        <v>1</v>
      </c>
      <c r="AF86" s="63">
        <f t="shared" si="10"/>
        <v>1</v>
      </c>
      <c r="AG86" s="63">
        <f t="shared" si="11"/>
        <v>1</v>
      </c>
      <c r="AH86" s="63">
        <f t="shared" si="12"/>
        <v>1</v>
      </c>
      <c r="AI86" s="63">
        <f t="shared" si="13"/>
        <v>0.73501208418634945</v>
      </c>
      <c r="AK86" s="60">
        <f>活动投放!AF86/U86</f>
        <v>0.73922132751259617</v>
      </c>
      <c r="AL86" s="60">
        <f>付费投放!AD86/U86</f>
        <v>0.26077867248740383</v>
      </c>
      <c r="AM86" s="60">
        <f>活动投放!AH86/W86</f>
        <v>0.95922486879289459</v>
      </c>
      <c r="AN86" s="60">
        <f>付费投放!AF86/W86</f>
        <v>4.0775131207105367E-2</v>
      </c>
      <c r="AO86" s="60">
        <f>IFERROR(INDEX(真品获取算法!$C$6:$C$66,MATCH(U86,真品获取算法!G$6:G$66,1)),0)*AK86/(IFERROR(INDEX(真品获取算法!$C$6:$C$66,MATCH(U86,真品获取算法!G$6:G$66,1)),0)+付费投放!AJ86)</f>
        <v>0.69580514114167014</v>
      </c>
      <c r="AP86" s="60">
        <f>(付费投放!AJ86+IFERROR(INDEX(真品获取算法!$C$6:$C$66,MATCH(U86,真品获取算法!G$6:G$66,1)),0)*AL86)/(IFERROR(INDEX(真品获取算法!$C$6:$C$66,MATCH(U86,真品获取算法!G$6:G$66,1)),0)+付费投放!AJ86)</f>
        <v>0.30419485885832981</v>
      </c>
      <c r="AQ86" s="60">
        <f>IFERROR(INDEX(真品获取算法!$C$6:$C$66,MATCH(W86,真品获取算法!I$6:I$66,1)),0)*AM86/(IFERROR(INDEX(真品获取算法!$C$6:$C$66,MATCH(W86,真品获取算法!I$6:I$66,1)),0)+付费投放!AL86)</f>
        <v>0.87469774982099546</v>
      </c>
      <c r="AR86" s="60">
        <f>(付费投放!AL86+IFERROR(INDEX(真品获取算法!$C$6:$C$66,MATCH(W86,真品获取算法!I$6:I$66,1)),0)*AN86)/(IFERROR(INDEX(真品获取算法!$C$6:$C$66,MATCH(W86,真品获取算法!I$6:I$66,1)),0)+付费投放!AL86)</f>
        <v>0.12530225017900462</v>
      </c>
    </row>
    <row r="87" spans="3:44" x14ac:dyDescent="0.15">
      <c r="C87" s="29">
        <f t="shared" si="16"/>
        <v>2700</v>
      </c>
      <c r="D87" s="18">
        <f>求节点(节奏总纲!$E$4:$E$163,节奏总纲!$C$4:$C$163,$C87)</f>
        <v>116.33278549477166</v>
      </c>
      <c r="E87" s="18">
        <f>IFERROR(求节点(前期规划!$D$13:$D$23,前期规划!$B$13:$B$23,D87),0)</f>
        <v>18.666582383811026</v>
      </c>
      <c r="F87" s="63">
        <f>IFERROR(求节点(前期规划!$C$28:$C$35,前期规划!D$28:D$35,$D87),0)</f>
        <v>9</v>
      </c>
      <c r="G87" s="63">
        <f>IFERROR(求节点(前期规划!$C$28:$C$35,前期规划!E$28:E$35,$D87),0)</f>
        <v>9</v>
      </c>
      <c r="H87" s="63">
        <f>IFERROR(求节点(前期规划!$C$28:$C$35,前期规划!F$28:F$35,$D87),0)</f>
        <v>27</v>
      </c>
      <c r="I87" s="63">
        <f>IFERROR(求节点(前期规划!$C$28:$C$35,前期规划!G$28:G$35,$D87),0)</f>
        <v>27</v>
      </c>
      <c r="J87" s="63">
        <f>IFERROR(求节点(前期规划!$C$28:$C$35,前期规划!H$28:H$35,$D87),0)</f>
        <v>60</v>
      </c>
      <c r="K87" s="63">
        <f>IFERROR(求节点(前期规划!$C$28:$C$35,前期规划!I$28:I$35,$D87),0)</f>
        <v>19.508582913333719</v>
      </c>
      <c r="L87" s="63">
        <f>MIN($E87-SUM(M87:$Q87),F87)</f>
        <v>0</v>
      </c>
      <c r="M87" s="63">
        <f>MIN($E87-SUM(N87:$Q87),G87)</f>
        <v>0</v>
      </c>
      <c r="N87" s="63">
        <f>MIN($E87-SUM(O87:$Q87),H87)</f>
        <v>0</v>
      </c>
      <c r="O87" s="63">
        <f>MIN($E87-SUM(P87:$Q87),I87)</f>
        <v>0</v>
      </c>
      <c r="P87" s="63">
        <f>MIN($E87-SUM(Q87:$Q87),J87)</f>
        <v>0</v>
      </c>
      <c r="Q87" s="69">
        <f t="shared" si="14"/>
        <v>18.666582383811026</v>
      </c>
      <c r="R87" s="64">
        <f>活动投放!AC87+付费投放!AA87</f>
        <v>404.67424242424244</v>
      </c>
      <c r="S87" s="64">
        <f>活动投放!AD87+付费投放!AB87</f>
        <v>404.67424242424244</v>
      </c>
      <c r="T87" s="64">
        <f>活动投放!AE87+付费投放!AC87</f>
        <v>822.30979797979796</v>
      </c>
      <c r="U87" s="64">
        <f>活动投放!AF87+付费投放!AD87</f>
        <v>352.41848484848481</v>
      </c>
      <c r="V87" s="64">
        <f>活动投放!AG87+付费投放!AE87</f>
        <v>1520.5166666666669</v>
      </c>
      <c r="W87" s="64">
        <f>活动投放!AH87+付费投放!AF87</f>
        <v>168.94629629629631</v>
      </c>
      <c r="X87" s="63">
        <f>MIN(IFERROR(INDEX(真品获取算法!$C$6:$C$66,MATCH(R87,真品获取算法!D$6:D$66,1)),0)+付费投放!AG87,前期规划!D$8)</f>
        <v>9</v>
      </c>
      <c r="Y87" s="63">
        <f>MIN(IFERROR(INDEX(真品获取算法!$C$6:$C$66,MATCH(S87,真品获取算法!E$6:E$66,1)),0)+付费投放!AH87,前期规划!E$8)</f>
        <v>9</v>
      </c>
      <c r="Z87" s="63">
        <f>MIN(IFERROR(INDEX(真品获取算法!$C$6:$C$66,MATCH(T87,真品获取算法!F$6:F$66,1)),0)+付费投放!AI87,前期规划!F$8)</f>
        <v>27</v>
      </c>
      <c r="AA87" s="63">
        <f>MIN(IFERROR(INDEX(真品获取算法!$C$6:$C$66,MATCH(U87,真品获取算法!G$6:G$66,1)),0)+付费投放!AJ87,前期规划!G$8)</f>
        <v>27</v>
      </c>
      <c r="AB87" s="63">
        <f>MIN(IFERROR(INDEX(真品获取算法!$C$6:$C$66,MATCH(V87,真品获取算法!H$6:H$66,1)),0)+付费投放!AK87,前期规划!H$8)</f>
        <v>60</v>
      </c>
      <c r="AC87" s="63">
        <f>MIN(IFERROR(INDEX(真品获取算法!$C$6:$C$66,MATCH(W87,真品获取算法!I$6:I$66,1)),0)+付费投放!AL87,前期规划!I$8)</f>
        <v>15.309259259259258</v>
      </c>
      <c r="AD87" s="63">
        <f t="shared" si="15"/>
        <v>1</v>
      </c>
      <c r="AE87" s="63">
        <f t="shared" si="9"/>
        <v>1</v>
      </c>
      <c r="AF87" s="63">
        <f t="shared" si="10"/>
        <v>1</v>
      </c>
      <c r="AG87" s="63">
        <f t="shared" si="11"/>
        <v>1</v>
      </c>
      <c r="AH87" s="63">
        <f t="shared" si="12"/>
        <v>1</v>
      </c>
      <c r="AI87" s="63">
        <f t="shared" si="13"/>
        <v>0.78474481346339575</v>
      </c>
      <c r="AK87" s="60">
        <f>活动投放!AF87/U87</f>
        <v>0.73974553324602899</v>
      </c>
      <c r="AL87" s="60">
        <f>付费投放!AD87/U87</f>
        <v>0.26025446675397101</v>
      </c>
      <c r="AM87" s="60">
        <f>活动投放!AH87/W87</f>
        <v>0.96125220593877081</v>
      </c>
      <c r="AN87" s="60">
        <f>付费投放!AF87/W87</f>
        <v>3.8747794061229184E-2</v>
      </c>
      <c r="AO87" s="60">
        <f>IFERROR(INDEX(真品获取算法!$C$6:$C$66,MATCH(U87,真品获取算法!G$6:G$66,1)),0)*AK87/(IFERROR(INDEX(真品获取算法!$C$6:$C$66,MATCH(U87,真品获取算法!G$6:G$66,1)),0)+付费投放!AJ87)</f>
        <v>0.69297430455722642</v>
      </c>
      <c r="AP87" s="60">
        <f>(付费投放!AJ87+IFERROR(INDEX(真品获取算法!$C$6:$C$66,MATCH(U87,真品获取算法!G$6:G$66,1)),0)*AL87)/(IFERROR(INDEX(真品获取算法!$C$6:$C$66,MATCH(U87,真品获取算法!G$6:G$66,1)),0)+付费投放!AJ87)</f>
        <v>0.30702569544277353</v>
      </c>
      <c r="AQ87" s="60">
        <f>IFERROR(INDEX(真品获取算法!$C$6:$C$66,MATCH(W87,真品获取算法!I$6:I$66,1)),0)*AM87/(IFERROR(INDEX(真品获取算法!$C$6:$C$66,MATCH(W87,真品获取算法!I$6:I$66,1)),0)+付费投放!AL87)</f>
        <v>0.87904520102783446</v>
      </c>
      <c r="AR87" s="60">
        <f>(付费投放!AL87+IFERROR(INDEX(真品获取算法!$C$6:$C$66,MATCH(W87,真品获取算法!I$6:I$66,1)),0)*AN87)/(IFERROR(INDEX(真品获取算法!$C$6:$C$66,MATCH(W87,真品获取算法!I$6:I$66,1)),0)+付费投放!AL87)</f>
        <v>0.12095479897216553</v>
      </c>
    </row>
    <row r="88" spans="3:44" x14ac:dyDescent="0.15">
      <c r="C88" s="29">
        <f t="shared" si="16"/>
        <v>3000</v>
      </c>
      <c r="D88" s="18">
        <f>求节点(节奏总纲!$E$4:$E$163,节奏总纲!$C$4:$C$163,$C88)</f>
        <v>117.85065637558189</v>
      </c>
      <c r="E88" s="18">
        <f>IFERROR(求节点(前期规划!$D$13:$D$23,前期规划!$B$13:$B$23,D88),0)</f>
        <v>18.900100980858753</v>
      </c>
      <c r="F88" s="63">
        <f>IFERROR(求节点(前期规划!$C$28:$C$35,前期规划!D$28:D$35,$D88),0)</f>
        <v>9</v>
      </c>
      <c r="G88" s="63">
        <f>IFERROR(求节点(前期规划!$C$28:$C$35,前期规划!E$28:E$35,$D88),0)</f>
        <v>9</v>
      </c>
      <c r="H88" s="63">
        <f>IFERROR(求节点(前期规划!$C$28:$C$35,前期规划!F$28:F$35,$D88),0)</f>
        <v>27</v>
      </c>
      <c r="I88" s="63">
        <f>IFERROR(求节点(前期规划!$C$28:$C$35,前期规划!G$28:G$35,$D88),0)</f>
        <v>27</v>
      </c>
      <c r="J88" s="63">
        <f>IFERROR(求节点(前期规划!$C$28:$C$35,前期规划!H$28:H$35,$D88),0)</f>
        <v>60</v>
      </c>
      <c r="K88" s="63">
        <f>IFERROR(求节点(前期规划!$C$28:$C$35,前期规划!I$28:I$35,$D88),0)</f>
        <v>20.916063184630481</v>
      </c>
      <c r="L88" s="63">
        <f>MIN($E88-SUM(M88:$Q88),F88)</f>
        <v>0</v>
      </c>
      <c r="M88" s="63">
        <f>MIN($E88-SUM(N88:$Q88),G88)</f>
        <v>0</v>
      </c>
      <c r="N88" s="63">
        <f>MIN($E88-SUM(O88:$Q88),H88)</f>
        <v>0</v>
      </c>
      <c r="O88" s="63">
        <f>MIN($E88-SUM(P88:$Q88),I88)</f>
        <v>0</v>
      </c>
      <c r="P88" s="63">
        <f>MIN($E88-SUM(Q88:$Q88),J88)</f>
        <v>0</v>
      </c>
      <c r="Q88" s="69">
        <f t="shared" si="14"/>
        <v>18.900100980858753</v>
      </c>
      <c r="R88" s="64">
        <f>活动投放!AC88+付费投放!AA88</f>
        <v>449.67424242424244</v>
      </c>
      <c r="S88" s="64">
        <f>活动投放!AD88+付费投放!AB88</f>
        <v>449.67424242424244</v>
      </c>
      <c r="T88" s="64">
        <f>活动投放!AE88+付费投放!AC88</f>
        <v>916.42090909090905</v>
      </c>
      <c r="U88" s="64">
        <f>活动投放!AF88+付费投放!AD88</f>
        <v>392.75181818181812</v>
      </c>
      <c r="V88" s="64">
        <f>活动投放!AG88+付费投放!AE88</f>
        <v>1761.2500000000002</v>
      </c>
      <c r="W88" s="64">
        <f>活动投放!AH88+付费投放!AF88</f>
        <v>195.69444444444446</v>
      </c>
      <c r="X88" s="63">
        <f>MIN(IFERROR(INDEX(真品获取算法!$C$6:$C$66,MATCH(R88,真品获取算法!D$6:D$66,1)),0)+付费投放!AG88,前期规划!D$8)</f>
        <v>9</v>
      </c>
      <c r="Y88" s="63">
        <f>MIN(IFERROR(INDEX(真品获取算法!$C$6:$C$66,MATCH(S88,真品获取算法!E$6:E$66,1)),0)+付费投放!AH88,前期规划!E$8)</f>
        <v>9</v>
      </c>
      <c r="Z88" s="63">
        <f>MIN(IFERROR(INDEX(真品获取算法!$C$6:$C$66,MATCH(T88,真品获取算法!F$6:F$66,1)),0)+付费投放!AI88,前期规划!F$8)</f>
        <v>27</v>
      </c>
      <c r="AA88" s="63">
        <f>MIN(IFERROR(INDEX(真品获取算法!$C$6:$C$66,MATCH(U88,真品获取算法!G$6:G$66,1)),0)+付费投放!AJ88,前期规划!G$8)</f>
        <v>27</v>
      </c>
      <c r="AB88" s="63">
        <f>MIN(IFERROR(INDEX(真品获取算法!$C$6:$C$66,MATCH(V88,真品获取算法!H$6:H$66,1)),0)+付费投放!AK88,前期规划!H$8)</f>
        <v>60</v>
      </c>
      <c r="AC88" s="63">
        <f>MIN(IFERROR(INDEX(真品获取算法!$C$6:$C$66,MATCH(W88,真品获取算法!I$6:I$66,1)),0)+付费投放!AL88,前期规划!I$8)</f>
        <v>17.45888888888889</v>
      </c>
      <c r="AD88" s="63">
        <f t="shared" si="15"/>
        <v>1</v>
      </c>
      <c r="AE88" s="63">
        <f t="shared" si="9"/>
        <v>1</v>
      </c>
      <c r="AF88" s="63">
        <f t="shared" si="10"/>
        <v>1</v>
      </c>
      <c r="AG88" s="63">
        <f t="shared" si="11"/>
        <v>1</v>
      </c>
      <c r="AH88" s="63">
        <f t="shared" si="12"/>
        <v>1</v>
      </c>
      <c r="AI88" s="63">
        <f t="shared" si="13"/>
        <v>0.83471199789251027</v>
      </c>
      <c r="AK88" s="60">
        <f>活动投放!AF88/U88</f>
        <v>0.74016207320375815</v>
      </c>
      <c r="AL88" s="60">
        <f>付费投放!AD88/U88</f>
        <v>0.25983792679624185</v>
      </c>
      <c r="AM88" s="60">
        <f>活动投放!AH88/W88</f>
        <v>0.96272533711852371</v>
      </c>
      <c r="AN88" s="60">
        <f>付费投放!AF88/W88</f>
        <v>3.7274662881476225E-2</v>
      </c>
      <c r="AO88" s="60">
        <f>IFERROR(INDEX(真品获取算法!$C$6:$C$66,MATCH(U88,真品获取算法!G$6:G$66,1)),0)*AK88/(IFERROR(INDEX(真品获取算法!$C$6:$C$66,MATCH(U88,真品获取算法!G$6:G$66,1)),0)+付费投放!AJ88)</f>
        <v>0.68858636217806768</v>
      </c>
      <c r="AP88" s="60">
        <f>(付费投放!AJ88+IFERROR(INDEX(真品获取算法!$C$6:$C$66,MATCH(U88,真品获取算法!G$6:G$66,1)),0)*AL88)/(IFERROR(INDEX(真品获取算法!$C$6:$C$66,MATCH(U88,真品获取算法!G$6:G$66,1)),0)+付费投放!AJ88)</f>
        <v>0.31141363782193249</v>
      </c>
      <c r="AQ88" s="60">
        <f>IFERROR(INDEX(真品获取算法!$C$6:$C$66,MATCH(W88,真品获取算法!I$6:I$66,1)),0)*AM88/(IFERROR(INDEX(真品获取算法!$C$6:$C$66,MATCH(W88,真品获取算法!I$6:I$66,1)),0)+付费投放!AL88)</f>
        <v>0.88227867717856179</v>
      </c>
      <c r="AR88" s="60">
        <f>(付费投放!AL88+IFERROR(INDEX(真品获取算法!$C$6:$C$66,MATCH(W88,真品获取算法!I$6:I$66,1)),0)*AN88)/(IFERROR(INDEX(真品获取算法!$C$6:$C$66,MATCH(W88,真品获取算法!I$6:I$66,1)),0)+付费投放!AL88)</f>
        <v>0.1177213228214381</v>
      </c>
    </row>
    <row r="89" spans="3:44" x14ac:dyDescent="0.15">
      <c r="C89" s="29">
        <f t="shared" si="16"/>
        <v>3300</v>
      </c>
      <c r="D89" s="18">
        <f>求节点(节奏总纲!$E$4:$E$163,节奏总纲!$C$4:$C$163,$C89)</f>
        <v>119.21088872323202</v>
      </c>
      <c r="E89" s="18">
        <f>IFERROR(求节点(前期规划!$D$13:$D$23,前期规划!$B$13:$B$23,D89),0)</f>
        <v>19.109367495881848</v>
      </c>
      <c r="F89" s="63">
        <f>IFERROR(求节点(前期规划!$C$28:$C$35,前期规划!D$28:D$35,$D89),0)</f>
        <v>9</v>
      </c>
      <c r="G89" s="63">
        <f>IFERROR(求节点(前期规划!$C$28:$C$35,前期规划!E$28:E$35,$D89),0)</f>
        <v>9</v>
      </c>
      <c r="H89" s="63">
        <f>IFERROR(求节点(前期规划!$C$28:$C$35,前期规划!F$28:F$35,$D89),0)</f>
        <v>27</v>
      </c>
      <c r="I89" s="63">
        <f>IFERROR(求节点(前期规划!$C$28:$C$35,前期规划!G$28:G$35,$D89),0)</f>
        <v>27</v>
      </c>
      <c r="J89" s="63">
        <f>IFERROR(求节点(前期规划!$C$28:$C$35,前期规划!H$28:H$35,$D89),0)</f>
        <v>60</v>
      </c>
      <c r="K89" s="63">
        <f>IFERROR(求节点(前期规划!$C$28:$C$35,前期规划!I$28:I$35,$D89),0)</f>
        <v>22.177369543360598</v>
      </c>
      <c r="L89" s="63">
        <f>MIN($E89-SUM(M89:$Q89),F89)</f>
        <v>0</v>
      </c>
      <c r="M89" s="63">
        <f>MIN($E89-SUM(N89:$Q89),G89)</f>
        <v>0</v>
      </c>
      <c r="N89" s="63">
        <f>MIN($E89-SUM(O89:$Q89),H89)</f>
        <v>0</v>
      </c>
      <c r="O89" s="63">
        <f>MIN($E89-SUM(P89:$Q89),I89)</f>
        <v>0</v>
      </c>
      <c r="P89" s="63">
        <f>MIN($E89-SUM(Q89:$Q89),J89)</f>
        <v>0</v>
      </c>
      <c r="Q89" s="69">
        <f t="shared" si="14"/>
        <v>19.109367495881848</v>
      </c>
      <c r="R89" s="64">
        <f>活动投放!AC89+付费投放!AA89</f>
        <v>494.67424242424244</v>
      </c>
      <c r="S89" s="64">
        <f>活动投放!AD89+付费投放!AB89</f>
        <v>494.67424242424244</v>
      </c>
      <c r="T89" s="64">
        <f>活动投放!AE89+付费投放!AC89</f>
        <v>1010.5320202020201</v>
      </c>
      <c r="U89" s="64">
        <f>活动投放!AF89+付费投放!AD89</f>
        <v>433.08515151515144</v>
      </c>
      <c r="V89" s="64">
        <f>活动投放!AG89+付费投放!AE89</f>
        <v>2001.9833333333336</v>
      </c>
      <c r="W89" s="64">
        <f>活动投放!AH89+付费投放!AF89</f>
        <v>222.4425925925926</v>
      </c>
      <c r="X89" s="63">
        <f>MIN(IFERROR(INDEX(真品获取算法!$C$6:$C$66,MATCH(R89,真品获取算法!D$6:D$66,1)),0)+付费投放!AG89,前期规划!D$8)</f>
        <v>9</v>
      </c>
      <c r="Y89" s="63">
        <f>MIN(IFERROR(INDEX(真品获取算法!$C$6:$C$66,MATCH(S89,真品获取算法!E$6:E$66,1)),0)+付费投放!AH89,前期规划!E$8)</f>
        <v>9</v>
      </c>
      <c r="Z89" s="63">
        <f>MIN(IFERROR(INDEX(真品获取算法!$C$6:$C$66,MATCH(T89,真品获取算法!F$6:F$66,1)),0)+付费投放!AI89,前期规划!F$8)</f>
        <v>27</v>
      </c>
      <c r="AA89" s="63">
        <f>MIN(IFERROR(INDEX(真品获取算法!$C$6:$C$66,MATCH(U89,真品获取算法!G$6:G$66,1)),0)+付费投放!AJ89,前期规划!G$8)</f>
        <v>27</v>
      </c>
      <c r="AB89" s="63">
        <f>MIN(IFERROR(INDEX(真品获取算法!$C$6:$C$66,MATCH(V89,真品获取算法!H$6:H$66,1)),0)+付费投放!AK89,前期规划!H$8)</f>
        <v>60</v>
      </c>
      <c r="AC89" s="63">
        <f>MIN(IFERROR(INDEX(真品获取算法!$C$6:$C$66,MATCH(W89,真品获取算法!I$6:I$66,1)),0)+付费投放!AL89,前期规划!I$8)</f>
        <v>19.608518518518519</v>
      </c>
      <c r="AD89" s="63">
        <f t="shared" si="15"/>
        <v>1</v>
      </c>
      <c r="AE89" s="63">
        <f t="shared" si="9"/>
        <v>1</v>
      </c>
      <c r="AF89" s="63">
        <f t="shared" si="10"/>
        <v>1</v>
      </c>
      <c r="AG89" s="63">
        <f t="shared" si="11"/>
        <v>1</v>
      </c>
      <c r="AH89" s="63">
        <f t="shared" si="12"/>
        <v>1</v>
      </c>
      <c r="AI89" s="63">
        <f t="shared" si="13"/>
        <v>0.88416791180669418</v>
      </c>
      <c r="AK89" s="60">
        <f>活动投放!AF89/U89</f>
        <v>0.7405010282112624</v>
      </c>
      <c r="AL89" s="60">
        <f>付费投放!AD89/U89</f>
        <v>0.25949897178873771</v>
      </c>
      <c r="AM89" s="60">
        <f>活动投放!AH89/W89</f>
        <v>0.96384418784705161</v>
      </c>
      <c r="AN89" s="60">
        <f>付费投放!AF89/W89</f>
        <v>3.6155812152948323E-2</v>
      </c>
      <c r="AO89" s="60">
        <f>IFERROR(INDEX(真品获取算法!$C$6:$C$66,MATCH(U89,真品获取算法!G$6:G$66,1)),0)*AK89/(IFERROR(INDEX(真品获取算法!$C$6:$C$66,MATCH(U89,真品获取算法!G$6:G$66,1)),0)+付费投放!AJ89)</f>
        <v>0.68418679797467141</v>
      </c>
      <c r="AP89" s="60">
        <f>(付费投放!AJ89+IFERROR(INDEX(真品获取算法!$C$6:$C$66,MATCH(U89,真品获取算法!G$6:G$66,1)),0)*AL89)/(IFERROR(INDEX(真品获取算法!$C$6:$C$66,MATCH(U89,真品获取算法!G$6:G$66,1)),0)+付费投放!AJ89)</f>
        <v>0.31581320202532859</v>
      </c>
      <c r="AQ89" s="60">
        <f>IFERROR(INDEX(真品获取算法!$C$6:$C$66,MATCH(W89,真品获取算法!I$6:I$66,1)),0)*AM89/(IFERROR(INDEX(真品获取算法!$C$6:$C$66,MATCH(W89,真品获取算法!I$6:I$66,1)),0)+付费投放!AL89)</f>
        <v>0.88477848874009235</v>
      </c>
      <c r="AR89" s="60">
        <f>(付费投放!AL89+IFERROR(INDEX(真品获取算法!$C$6:$C$66,MATCH(W89,真品获取算法!I$6:I$66,1)),0)*AN89)/(IFERROR(INDEX(真品获取算法!$C$6:$C$66,MATCH(W89,真品获取算法!I$6:I$66,1)),0)+付费投放!AL89)</f>
        <v>0.11522151125990757</v>
      </c>
    </row>
    <row r="90" spans="3:44" x14ac:dyDescent="0.15">
      <c r="C90" s="29">
        <f t="shared" si="16"/>
        <v>3600</v>
      </c>
      <c r="D90" s="18">
        <f>求节点(节奏总纲!$E$4:$E$163,节奏总纲!$C$4:$C$163,$C90)</f>
        <v>120.46417102385924</v>
      </c>
      <c r="E90" s="18">
        <f>IFERROR(求节点(前期规划!$D$13:$D$23,前期规划!$B$13:$B$23,D90),0)</f>
        <v>19.302180157516805</v>
      </c>
      <c r="F90" s="63">
        <f>IFERROR(求节点(前期规划!$C$28:$C$35,前期规划!D$28:D$35,$D90),0)</f>
        <v>9</v>
      </c>
      <c r="G90" s="63">
        <f>IFERROR(求节点(前期规划!$C$28:$C$35,前期规划!E$28:E$35,$D90),0)</f>
        <v>9</v>
      </c>
      <c r="H90" s="63">
        <f>IFERROR(求节点(前期规划!$C$28:$C$35,前期规划!F$28:F$35,$D90),0)</f>
        <v>27</v>
      </c>
      <c r="I90" s="63">
        <f>IFERROR(求节点(前期规划!$C$28:$C$35,前期规划!G$28:G$35,$D90),0)</f>
        <v>27</v>
      </c>
      <c r="J90" s="63">
        <f>IFERROR(求节点(前期规划!$C$28:$C$35,前期规划!H$28:H$35,$D90),0)</f>
        <v>60</v>
      </c>
      <c r="K90" s="63">
        <f>IFERROR(求节点(前期规划!$C$28:$C$35,前期规划!I$28:I$35,$D90),0)</f>
        <v>23.339504040305837</v>
      </c>
      <c r="L90" s="63">
        <f>MIN($E90-SUM(M90:$Q90),F90)</f>
        <v>0</v>
      </c>
      <c r="M90" s="63">
        <f>MIN($E90-SUM(N90:$Q90),G90)</f>
        <v>0</v>
      </c>
      <c r="N90" s="63">
        <f>MIN($E90-SUM(O90:$Q90),H90)</f>
        <v>0</v>
      </c>
      <c r="O90" s="63">
        <f>MIN($E90-SUM(P90:$Q90),I90)</f>
        <v>0</v>
      </c>
      <c r="P90" s="63">
        <f>MIN($E90-SUM(Q90:$Q90),J90)</f>
        <v>0</v>
      </c>
      <c r="Q90" s="69">
        <f t="shared" si="14"/>
        <v>19.302180157516805</v>
      </c>
      <c r="R90" s="64">
        <f>活动投放!AC90+付费投放!AA90</f>
        <v>539.67424242424249</v>
      </c>
      <c r="S90" s="64">
        <f>活动投放!AD90+付费投放!AB90</f>
        <v>539.67424242424249</v>
      </c>
      <c r="T90" s="64">
        <f>活动投放!AE90+付费投放!AC90</f>
        <v>1104.6431313131311</v>
      </c>
      <c r="U90" s="64">
        <f>活动投放!AF90+付费投放!AD90</f>
        <v>473.41848484848481</v>
      </c>
      <c r="V90" s="64">
        <f>活动投放!AG90+付费投放!AE90</f>
        <v>2242.7166666666667</v>
      </c>
      <c r="W90" s="64">
        <f>活动投放!AH90+付费投放!AF90</f>
        <v>249.19074074074075</v>
      </c>
      <c r="X90" s="63">
        <f>MIN(IFERROR(INDEX(真品获取算法!$C$6:$C$66,MATCH(R90,真品获取算法!D$6:D$66,1)),0)+付费投放!AG90,前期规划!D$8)</f>
        <v>9</v>
      </c>
      <c r="Y90" s="63">
        <f>MIN(IFERROR(INDEX(真品获取算法!$C$6:$C$66,MATCH(S90,真品获取算法!E$6:E$66,1)),0)+付费投放!AH90,前期规划!E$8)</f>
        <v>9</v>
      </c>
      <c r="Z90" s="63">
        <f>MIN(IFERROR(INDEX(真品获取算法!$C$6:$C$66,MATCH(T90,真品获取算法!F$6:F$66,1)),0)+付费投放!AI90,前期规划!F$8)</f>
        <v>27</v>
      </c>
      <c r="AA90" s="63">
        <f>MIN(IFERROR(INDEX(真品获取算法!$C$6:$C$66,MATCH(U90,真品获取算法!G$6:G$66,1)),0)+付费投放!AJ90,前期规划!G$8)</f>
        <v>27</v>
      </c>
      <c r="AB90" s="63">
        <f>MIN(IFERROR(INDEX(真品获取算法!$C$6:$C$66,MATCH(V90,真品获取算法!H$6:H$66,1)),0)+付费投放!AK90,前期规划!H$8)</f>
        <v>60</v>
      </c>
      <c r="AC90" s="63">
        <f>MIN(IFERROR(INDEX(真品获取算法!$C$6:$C$66,MATCH(W90,真品获取算法!I$6:I$66,1)),0)+付费投放!AL90,前期规划!I$8)</f>
        <v>21.758148148148148</v>
      </c>
      <c r="AD90" s="63">
        <f t="shared" si="15"/>
        <v>1</v>
      </c>
      <c r="AE90" s="63">
        <f t="shared" si="9"/>
        <v>1</v>
      </c>
      <c r="AF90" s="63">
        <f t="shared" si="10"/>
        <v>1</v>
      </c>
      <c r="AG90" s="63">
        <f t="shared" si="11"/>
        <v>1</v>
      </c>
      <c r="AH90" s="63">
        <f t="shared" si="12"/>
        <v>1</v>
      </c>
      <c r="AI90" s="63">
        <f t="shared" si="13"/>
        <v>0.93224552289428309</v>
      </c>
      <c r="AK90" s="60">
        <f>活动投放!AF90/U90</f>
        <v>0.74078222803708171</v>
      </c>
      <c r="AL90" s="60">
        <f>付费投放!AD90/U90</f>
        <v>0.25921777196291823</v>
      </c>
      <c r="AM90" s="60">
        <f>活动投放!AH90/W90</f>
        <v>0.96472284357512839</v>
      </c>
      <c r="AN90" s="60">
        <f>付费投放!AF90/W90</f>
        <v>3.5277156424871621E-2</v>
      </c>
      <c r="AO90" s="60">
        <f>IFERROR(INDEX(真品获取算法!$C$6:$C$66,MATCH(U90,真品获取算法!G$6:G$66,1)),0)*AK90/(IFERROR(INDEX(真品获取算法!$C$6:$C$66,MATCH(U90,真品获取算法!G$6:G$66,1)),0)+付费投放!AJ90)</f>
        <v>0.6797940461420825</v>
      </c>
      <c r="AP90" s="60">
        <f>(付费投放!AJ90+IFERROR(INDEX(真品获取算法!$C$6:$C$66,MATCH(U90,真品获取算法!G$6:G$66,1)),0)*AL90)/(IFERROR(INDEX(真品获取算法!$C$6:$C$66,MATCH(U90,真品获取算法!G$6:G$66,1)),0)+付费投放!AJ90)</f>
        <v>0.32020595385791739</v>
      </c>
      <c r="AQ90" s="60">
        <f>IFERROR(INDEX(真品获取算法!$C$6:$C$66,MATCH(W90,真品获取算法!I$6:I$66,1)),0)*AM90/(IFERROR(INDEX(真品获取算法!$C$6:$C$66,MATCH(W90,真品获取算法!I$6:I$66,1)),0)+付费投放!AL90)</f>
        <v>0.8867692572055923</v>
      </c>
      <c r="AR90" s="60">
        <f>(付费投放!AL90+IFERROR(INDEX(真品获取算法!$C$6:$C$66,MATCH(W90,真品获取算法!I$6:I$66,1)),0)*AN90)/(IFERROR(INDEX(真品获取算法!$C$6:$C$66,MATCH(W90,真品获取算法!I$6:I$66,1)),0)+付费投放!AL90)</f>
        <v>0.11323074279440763</v>
      </c>
    </row>
    <row r="91" spans="3:44" x14ac:dyDescent="0.15">
      <c r="C91" s="29">
        <f t="shared" si="16"/>
        <v>3900</v>
      </c>
      <c r="D91" s="18">
        <f>求节点(节奏总纲!$E$4:$E$163,节奏总纲!$C$4:$C$163,$C91)</f>
        <v>121.65302977187105</v>
      </c>
      <c r="E91" s="18">
        <f>IFERROR(求节点(前期规划!$D$13:$D$23,前期规划!$B$13:$B$23,D91),0)</f>
        <v>19.485081503364775</v>
      </c>
      <c r="F91" s="63">
        <f>IFERROR(求节点(前期规划!$C$28:$C$35,前期规划!D$28:D$35,$D91),0)</f>
        <v>9</v>
      </c>
      <c r="G91" s="63">
        <f>IFERROR(求节点(前期规划!$C$28:$C$35,前期规划!E$28:E$35,$D91),0)</f>
        <v>9</v>
      </c>
      <c r="H91" s="63">
        <f>IFERROR(求节点(前期规划!$C$28:$C$35,前期规划!F$28:F$35,$D91),0)</f>
        <v>27</v>
      </c>
      <c r="I91" s="63">
        <f>IFERROR(求节点(前期规划!$C$28:$C$35,前期规划!G$28:G$35,$D91),0)</f>
        <v>27</v>
      </c>
      <c r="J91" s="63">
        <f>IFERROR(求节点(前期规划!$C$28:$C$35,前期规划!H$28:H$35,$D91),0)</f>
        <v>60</v>
      </c>
      <c r="K91" s="63">
        <f>IFERROR(求节点(前期规划!$C$28:$C$35,前期规划!I$28:I$35,$D91),0)</f>
        <v>24.441900333916788</v>
      </c>
      <c r="L91" s="63">
        <f>MIN($E91-SUM(M91:$Q91),F91)</f>
        <v>0</v>
      </c>
      <c r="M91" s="63">
        <f>MIN($E91-SUM(N91:$Q91),G91)</f>
        <v>0</v>
      </c>
      <c r="N91" s="63">
        <f>MIN($E91-SUM(O91:$Q91),H91)</f>
        <v>0</v>
      </c>
      <c r="O91" s="63">
        <f>MIN($E91-SUM(P91:$Q91),I91)</f>
        <v>0</v>
      </c>
      <c r="P91" s="63">
        <f>MIN($E91-SUM(Q91:$Q91),J91)</f>
        <v>0</v>
      </c>
      <c r="Q91" s="69">
        <f t="shared" si="14"/>
        <v>19.485081503364775</v>
      </c>
      <c r="R91" s="64">
        <f>活动投放!AC91+付费投放!AA91</f>
        <v>584.67424242424249</v>
      </c>
      <c r="S91" s="64">
        <f>活动投放!AD91+付费投放!AB91</f>
        <v>584.67424242424249</v>
      </c>
      <c r="T91" s="64">
        <f>活动投放!AE91+付费投放!AC91</f>
        <v>1198.7542424242424</v>
      </c>
      <c r="U91" s="64">
        <f>活动投放!AF91+付费投放!AD91</f>
        <v>513.75181818181818</v>
      </c>
      <c r="V91" s="64">
        <f>活动投放!AG91+付费投放!AE91</f>
        <v>2483.4499999999998</v>
      </c>
      <c r="W91" s="64">
        <f>活动投放!AH91+付费投放!AF91</f>
        <v>275.93888888888893</v>
      </c>
      <c r="X91" s="63">
        <f>MIN(IFERROR(INDEX(真品获取算法!$C$6:$C$66,MATCH(R91,真品获取算法!D$6:D$66,1)),0)+付费投放!AG91,前期规划!D$8)</f>
        <v>9</v>
      </c>
      <c r="Y91" s="63">
        <f>MIN(IFERROR(INDEX(真品获取算法!$C$6:$C$66,MATCH(S91,真品获取算法!E$6:E$66,1)),0)+付费投放!AH91,前期规划!E$8)</f>
        <v>9</v>
      </c>
      <c r="Z91" s="63">
        <f>MIN(IFERROR(INDEX(真品获取算法!$C$6:$C$66,MATCH(T91,真品获取算法!F$6:F$66,1)),0)+付费投放!AI91,前期规划!F$8)</f>
        <v>27</v>
      </c>
      <c r="AA91" s="63">
        <f>MIN(IFERROR(INDEX(真品获取算法!$C$6:$C$66,MATCH(U91,真品获取算法!G$6:G$66,1)),0)+付费投放!AJ91,前期规划!G$8)</f>
        <v>27</v>
      </c>
      <c r="AB91" s="63">
        <f>MIN(IFERROR(INDEX(真品获取算法!$C$6:$C$66,MATCH(V91,真品获取算法!H$6:H$66,1)),0)+付费投放!AK91,前期规划!H$8)</f>
        <v>60</v>
      </c>
      <c r="AC91" s="63">
        <f>MIN(IFERROR(INDEX(真品获取算法!$C$6:$C$66,MATCH(W91,真品获取算法!I$6:I$66,1)),0)+付费投放!AL91,前期规划!I$8)</f>
        <v>23.907777777777778</v>
      </c>
      <c r="AD91" s="63">
        <f t="shared" si="15"/>
        <v>1</v>
      </c>
      <c r="AE91" s="63">
        <f t="shared" si="9"/>
        <v>1</v>
      </c>
      <c r="AF91" s="63">
        <f t="shared" si="10"/>
        <v>1</v>
      </c>
      <c r="AG91" s="63">
        <f t="shared" si="11"/>
        <v>1</v>
      </c>
      <c r="AH91" s="63">
        <f t="shared" si="12"/>
        <v>1</v>
      </c>
      <c r="AI91" s="63">
        <f t="shared" si="13"/>
        <v>0.97814725742098552</v>
      </c>
      <c r="AK91" s="60">
        <f>活动投放!AF91/U91</f>
        <v>0.74101927531333667</v>
      </c>
      <c r="AL91" s="60">
        <f>付费投放!AD91/U91</f>
        <v>0.25898072468666328</v>
      </c>
      <c r="AM91" s="60">
        <f>活动投放!AH91/W91</f>
        <v>0.96543115424107595</v>
      </c>
      <c r="AN91" s="60">
        <f>付费投放!AF91/W91</f>
        <v>3.4568845758924077E-2</v>
      </c>
      <c r="AO91" s="60">
        <f>IFERROR(INDEX(真品获取算法!$C$6:$C$66,MATCH(U91,真品获取算法!G$6:G$66,1)),0)*AK91/(IFERROR(INDEX(真品获取算法!$C$6:$C$66,MATCH(U91,真品获取算法!G$6:G$66,1)),0)+付费投放!AJ91)</f>
        <v>0.67542036715163245</v>
      </c>
      <c r="AP91" s="60">
        <f>(付费投放!AJ91+IFERROR(INDEX(真品获取算法!$C$6:$C$66,MATCH(U91,真品获取算法!G$6:G$66,1)),0)*AL91)/(IFERROR(INDEX(真品获取算法!$C$6:$C$66,MATCH(U91,真品获取算法!G$6:G$66,1)),0)+付费投放!AJ91)</f>
        <v>0.32457963284836749</v>
      </c>
      <c r="AQ91" s="60">
        <f>IFERROR(INDEX(真品获取算法!$C$6:$C$66,MATCH(W91,真品获取算法!I$6:I$66,1)),0)*AM91/(IFERROR(INDEX(真品获取算法!$C$6:$C$66,MATCH(W91,真品获取算法!I$6:I$66,1)),0)+付费投放!AL91)</f>
        <v>0.8883922876782685</v>
      </c>
      <c r="AR91" s="60">
        <f>(付费投放!AL91+IFERROR(INDEX(真品获取算法!$C$6:$C$66,MATCH(W91,真品获取算法!I$6:I$66,1)),0)*AN91)/(IFERROR(INDEX(真品获取算法!$C$6:$C$66,MATCH(W91,真品获取算法!I$6:I$66,1)),0)+付费投放!AL91)</f>
        <v>0.11160771232173147</v>
      </c>
    </row>
    <row r="92" spans="3:44" x14ac:dyDescent="0.15">
      <c r="C92" s="29">
        <f t="shared" si="16"/>
        <v>4200</v>
      </c>
      <c r="D92" s="18">
        <f>求节点(节奏总纲!$E$4:$E$163,节奏总纲!$C$4:$C$163,$C92)</f>
        <v>122.73490799469288</v>
      </c>
      <c r="E92" s="18">
        <f>IFERROR(求节点(前期规划!$D$13:$D$23,前期规划!$B$13:$B$23,D92),0)</f>
        <v>19.651524306875828</v>
      </c>
      <c r="F92" s="63">
        <f>IFERROR(求节点(前期规划!$C$28:$C$35,前期规划!D$28:D$35,$D92),0)</f>
        <v>9</v>
      </c>
      <c r="G92" s="63">
        <f>IFERROR(求节点(前期规划!$C$28:$C$35,前期规划!E$28:E$35,$D92),0)</f>
        <v>9</v>
      </c>
      <c r="H92" s="63">
        <f>IFERROR(求节点(前期规划!$C$28:$C$35,前期规划!F$28:F$35,$D92),0)</f>
        <v>27</v>
      </c>
      <c r="I92" s="63">
        <f>IFERROR(求节点(前期规划!$C$28:$C$35,前期规划!G$28:G$35,$D92),0)</f>
        <v>27</v>
      </c>
      <c r="J92" s="63">
        <f>IFERROR(求节点(前期规划!$C$28:$C$35,前期规划!H$28:H$35,$D92),0)</f>
        <v>60</v>
      </c>
      <c r="K92" s="63">
        <f>IFERROR(求节点(前期规划!$C$28:$C$35,前期规划!I$28:I$35,$D92),0)</f>
        <v>25.445096504169758</v>
      </c>
      <c r="L92" s="63">
        <f>MIN($E92-SUM(M92:$Q92),F92)</f>
        <v>0</v>
      </c>
      <c r="M92" s="63">
        <f>MIN($E92-SUM(N92:$Q92),G92)</f>
        <v>0</v>
      </c>
      <c r="N92" s="63">
        <f>MIN($E92-SUM(O92:$Q92),H92)</f>
        <v>0</v>
      </c>
      <c r="O92" s="63">
        <f>MIN($E92-SUM(P92:$Q92),I92)</f>
        <v>0</v>
      </c>
      <c r="P92" s="63">
        <f>MIN($E92-SUM(Q92:$Q92),J92)</f>
        <v>0</v>
      </c>
      <c r="Q92" s="69">
        <f t="shared" si="14"/>
        <v>19.651524306875828</v>
      </c>
      <c r="R92" s="64">
        <f>活动投放!AC92+付费投放!AA92</f>
        <v>629.67424242424249</v>
      </c>
      <c r="S92" s="64">
        <f>活动投放!AD92+付费投放!AB92</f>
        <v>629.67424242424249</v>
      </c>
      <c r="T92" s="64">
        <f>活动投放!AE92+付费投放!AC92</f>
        <v>1292.8653535353533</v>
      </c>
      <c r="U92" s="64">
        <f>活动投放!AF92+付费投放!AD92</f>
        <v>554.08515151515144</v>
      </c>
      <c r="V92" s="64">
        <f>活动投放!AG92+付费投放!AE92</f>
        <v>2724.1833333333334</v>
      </c>
      <c r="W92" s="64">
        <f>活动投放!AH92+付费投放!AF92</f>
        <v>302.68703703703704</v>
      </c>
      <c r="X92" s="63">
        <f>MIN(IFERROR(INDEX(真品获取算法!$C$6:$C$66,MATCH(R92,真品获取算法!D$6:D$66,1)),0)+付费投放!AG92,前期规划!D$8)</f>
        <v>9</v>
      </c>
      <c r="Y92" s="63">
        <f>MIN(IFERROR(INDEX(真品获取算法!$C$6:$C$66,MATCH(S92,真品获取算法!E$6:E$66,1)),0)+付费投放!AH92,前期规划!E$8)</f>
        <v>9</v>
      </c>
      <c r="Z92" s="63">
        <f>MIN(IFERROR(INDEX(真品获取算法!$C$6:$C$66,MATCH(T92,真品获取算法!F$6:F$66,1)),0)+付费投放!AI92,前期规划!F$8)</f>
        <v>27</v>
      </c>
      <c r="AA92" s="63">
        <f>MIN(IFERROR(INDEX(真品获取算法!$C$6:$C$66,MATCH(U92,真品获取算法!G$6:G$66,1)),0)+付费投放!AJ92,前期规划!G$8)</f>
        <v>27</v>
      </c>
      <c r="AB92" s="63">
        <f>MIN(IFERROR(INDEX(真品获取算法!$C$6:$C$66,MATCH(V92,真品获取算法!H$6:H$66,1)),0)+付费投放!AK92,前期规划!H$8)</f>
        <v>60</v>
      </c>
      <c r="AC92" s="63">
        <f>MIN(IFERROR(INDEX(真品获取算法!$C$6:$C$66,MATCH(W92,真品获取算法!I$6:I$66,1)),0)+付费投放!AL92,前期规划!I$8)</f>
        <v>25.057407407407407</v>
      </c>
      <c r="AD92" s="63">
        <f t="shared" si="15"/>
        <v>1</v>
      </c>
      <c r="AE92" s="63">
        <f t="shared" si="9"/>
        <v>1</v>
      </c>
      <c r="AF92" s="63">
        <f t="shared" si="10"/>
        <v>1</v>
      </c>
      <c r="AG92" s="63">
        <f t="shared" si="11"/>
        <v>1</v>
      </c>
      <c r="AH92" s="63">
        <f t="shared" si="12"/>
        <v>1</v>
      </c>
      <c r="AI92" s="63">
        <f t="shared" si="13"/>
        <v>0.9847637010652005</v>
      </c>
      <c r="AK92" s="60">
        <f>活动投放!AF92/U92</f>
        <v>0.74122181198492088</v>
      </c>
      <c r="AL92" s="60">
        <f>付费投放!AD92/U92</f>
        <v>0.25877818801507912</v>
      </c>
      <c r="AM92" s="60">
        <f>活动投放!AH92/W92</f>
        <v>0.96601427950884367</v>
      </c>
      <c r="AN92" s="60">
        <f>付费投放!AF92/W92</f>
        <v>3.3985720491156376E-2</v>
      </c>
      <c r="AO92" s="60">
        <f>IFERROR(INDEX(真品获取算法!$C$6:$C$66,MATCH(U92,真品获取算法!G$6:G$66,1)),0)*AK92/(IFERROR(INDEX(真品获取算法!$C$6:$C$66,MATCH(U92,真品获取算法!G$6:G$66,1)),0)+付费投放!AJ92)</f>
        <v>0.67107410672491075</v>
      </c>
      <c r="AP92" s="60">
        <f>(付费投放!AJ92+IFERROR(INDEX(真品获取算法!$C$6:$C$66,MATCH(U92,真品获取算法!G$6:G$66,1)),0)*AL92)/(IFERROR(INDEX(真品获取算法!$C$6:$C$66,MATCH(U92,真品获取算法!G$6:G$66,1)),0)+付费投放!AJ92)</f>
        <v>0.32892589327508936</v>
      </c>
      <c r="AQ92" s="60">
        <f>IFERROR(INDEX(真品获取算法!$C$6:$C$66,MATCH(W92,真品获取算法!I$6:I$66,1)),0)*AM92/(IFERROR(INDEX(真品获取算法!$C$6:$C$66,MATCH(W92,真品获取算法!I$6:I$66,1)),0)+付费投放!AL92)</f>
        <v>0.88669701806960599</v>
      </c>
      <c r="AR92" s="60">
        <f>(付费投放!AL92+IFERROR(INDEX(真品获取算法!$C$6:$C$66,MATCH(W92,真品获取算法!I$6:I$66,1)),0)*AN92)/(IFERROR(INDEX(真品获取算法!$C$6:$C$66,MATCH(W92,真品获取算法!I$6:I$66,1)),0)+付费投放!AL92)</f>
        <v>0.11330298193039404</v>
      </c>
    </row>
    <row r="93" spans="3:44" x14ac:dyDescent="0.15">
      <c r="C93" s="29">
        <f t="shared" si="16"/>
        <v>4500</v>
      </c>
      <c r="D93" s="18">
        <f>求节点(节奏总纲!$E$4:$E$163,节奏总纲!$C$4:$C$163,$C93)</f>
        <v>123.70999272209546</v>
      </c>
      <c r="E93" s="18">
        <f>IFERROR(求节点(前期规划!$D$13:$D$23,前期规划!$B$13:$B$23,D93),0)</f>
        <v>19.80153734186084</v>
      </c>
      <c r="F93" s="63">
        <f>IFERROR(求节点(前期规划!$C$28:$C$35,前期规划!D$28:D$35,$D93),0)</f>
        <v>9</v>
      </c>
      <c r="G93" s="63">
        <f>IFERROR(求节点(前期规划!$C$28:$C$35,前期规划!E$28:E$35,$D93),0)</f>
        <v>9</v>
      </c>
      <c r="H93" s="63">
        <f>IFERROR(求节点(前期规划!$C$28:$C$35,前期规划!F$28:F$35,$D93),0)</f>
        <v>27</v>
      </c>
      <c r="I93" s="63">
        <f>IFERROR(求节点(前期规划!$C$28:$C$35,前期规划!G$28:G$35,$D93),0)</f>
        <v>27</v>
      </c>
      <c r="J93" s="63">
        <f>IFERROR(求节点(前期规划!$C$28:$C$35,前期规划!H$28:H$35,$D93),0)</f>
        <v>60</v>
      </c>
      <c r="K93" s="63">
        <f>IFERROR(求节点(前期规划!$C$28:$C$35,前期规划!I$28:I$35,$D93),0)</f>
        <v>26.349265978670338</v>
      </c>
      <c r="L93" s="63">
        <f>MIN($E93-SUM(M93:$Q93),F93)</f>
        <v>0</v>
      </c>
      <c r="M93" s="63">
        <f>MIN($E93-SUM(N93:$Q93),G93)</f>
        <v>0</v>
      </c>
      <c r="N93" s="63">
        <f>MIN($E93-SUM(O93:$Q93),H93)</f>
        <v>0</v>
      </c>
      <c r="O93" s="63">
        <f>MIN($E93-SUM(P93:$Q93),I93)</f>
        <v>0</v>
      </c>
      <c r="P93" s="63">
        <f>MIN($E93-SUM(Q93:$Q93),J93)</f>
        <v>0</v>
      </c>
      <c r="Q93" s="69">
        <f t="shared" si="14"/>
        <v>19.80153734186084</v>
      </c>
      <c r="R93" s="64">
        <f>活动投放!AC93+付费投放!AA93</f>
        <v>674.67424242424249</v>
      </c>
      <c r="S93" s="64">
        <f>活动投放!AD93+付费投放!AB93</f>
        <v>674.67424242424249</v>
      </c>
      <c r="T93" s="64">
        <f>活动投放!AE93+付费投放!AC93</f>
        <v>1386.9764646464646</v>
      </c>
      <c r="U93" s="64">
        <f>活动投放!AF93+付费投放!AD93</f>
        <v>594.41848484848481</v>
      </c>
      <c r="V93" s="64">
        <f>活动投放!AG93+付费投放!AE93</f>
        <v>2964.9166666666665</v>
      </c>
      <c r="W93" s="64">
        <f>活动投放!AH93+付费投放!AF93</f>
        <v>329.43518518518522</v>
      </c>
      <c r="X93" s="63">
        <f>MIN(IFERROR(INDEX(真品获取算法!$C$6:$C$66,MATCH(R93,真品获取算法!D$6:D$66,1)),0)+付费投放!AG93,前期规划!D$8)</f>
        <v>9</v>
      </c>
      <c r="Y93" s="63">
        <f>MIN(IFERROR(INDEX(真品获取算法!$C$6:$C$66,MATCH(S93,真品获取算法!E$6:E$66,1)),0)+付费投放!AH93,前期规划!E$8)</f>
        <v>9</v>
      </c>
      <c r="Z93" s="63">
        <f>MIN(IFERROR(INDEX(真品获取算法!$C$6:$C$66,MATCH(T93,真品获取算法!F$6:F$66,1)),0)+付费投放!AI93,前期规划!F$8)</f>
        <v>27</v>
      </c>
      <c r="AA93" s="63">
        <f>MIN(IFERROR(INDEX(真品获取算法!$C$6:$C$66,MATCH(U93,真品获取算法!G$6:G$66,1)),0)+付费投放!AJ93,前期规划!G$8)</f>
        <v>27</v>
      </c>
      <c r="AB93" s="63">
        <f>MIN(IFERROR(INDEX(真品获取算法!$C$6:$C$66,MATCH(V93,真品获取算法!H$6:H$66,1)),0)+付费投放!AK93,前期规划!H$8)</f>
        <v>60</v>
      </c>
      <c r="AC93" s="63">
        <f>MIN(IFERROR(INDEX(真品获取算法!$C$6:$C$66,MATCH(W93,真品获取算法!I$6:I$66,1)),0)+付费投放!AL93,前期规划!I$8)</f>
        <v>27.207037037037036</v>
      </c>
      <c r="AD93" s="63">
        <f t="shared" si="15"/>
        <v>1</v>
      </c>
      <c r="AE93" s="63">
        <f t="shared" si="9"/>
        <v>1</v>
      </c>
      <c r="AF93" s="63">
        <f t="shared" si="10"/>
        <v>1</v>
      </c>
      <c r="AG93" s="63">
        <f t="shared" si="11"/>
        <v>1</v>
      </c>
      <c r="AH93" s="63">
        <f t="shared" si="12"/>
        <v>1</v>
      </c>
      <c r="AI93" s="63">
        <f t="shared" si="13"/>
        <v>1.0325538881827319</v>
      </c>
      <c r="AK93" s="60">
        <f>活动投放!AF93/U93</f>
        <v>0.74139686304057806</v>
      </c>
      <c r="AL93" s="60">
        <f>付费投放!AD93/U93</f>
        <v>0.258603136959422</v>
      </c>
      <c r="AM93" s="60">
        <f>活动投放!AH93/W93</f>
        <v>0.96650271227409423</v>
      </c>
      <c r="AN93" s="60">
        <f>付费投放!AF93/W93</f>
        <v>3.3497287725905732E-2</v>
      </c>
      <c r="AO93" s="60">
        <f>IFERROR(INDEX(真品获取算法!$C$6:$C$66,MATCH(U93,真品获取算法!G$6:G$66,1)),0)*AK93/(IFERROR(INDEX(真品获取算法!$C$6:$C$66,MATCH(U93,真品获取算法!G$6:G$66,1)),0)+付费投放!AJ93)</f>
        <v>0.66676103468714021</v>
      </c>
      <c r="AP93" s="60">
        <f>(付费投放!AJ93+IFERROR(INDEX(真品获取算法!$C$6:$C$66,MATCH(U93,真品获取算法!G$6:G$66,1)),0)*AL93)/(IFERROR(INDEX(真品获取算法!$C$6:$C$66,MATCH(U93,真品获取算法!G$6:G$66,1)),0)+付费投放!AJ93)</f>
        <v>0.33323896531285979</v>
      </c>
      <c r="AQ93" s="60">
        <f>IFERROR(INDEX(真品获取算法!$C$6:$C$66,MATCH(W93,真品获取算法!I$6:I$66,1)),0)*AM93/(IFERROR(INDEX(真品获取算法!$C$6:$C$66,MATCH(W93,真品获取算法!I$6:I$66,1)),0)+付费投放!AL93)</f>
        <v>0.8880999343647662</v>
      </c>
      <c r="AR93" s="60">
        <f>(付费投放!AL93+IFERROR(INDEX(真品获取算法!$C$6:$C$66,MATCH(W93,真品获取算法!I$6:I$66,1)),0)*AN93)/(IFERROR(INDEX(真品获取算法!$C$6:$C$66,MATCH(W93,真品获取算法!I$6:I$66,1)),0)+付费投放!AL93)</f>
        <v>0.11190006563523373</v>
      </c>
    </row>
    <row r="94" spans="3:44" x14ac:dyDescent="0.15">
      <c r="C94" s="29">
        <f t="shared" si="16"/>
        <v>4800</v>
      </c>
      <c r="D94" s="18">
        <f>求节点(节奏总纲!$E$4:$E$163,节奏总纲!$C$4:$C$163,$C94)</f>
        <v>124.63695716337583</v>
      </c>
      <c r="E94" s="18">
        <f>IFERROR(求节点(前期规划!$D$13:$D$23,前期规划!$B$13:$B$23,D94),0)</f>
        <v>19.944147255903975</v>
      </c>
      <c r="F94" s="63">
        <f>IFERROR(求节点(前期规划!$C$28:$C$35,前期规划!D$28:D$35,$D94),0)</f>
        <v>9</v>
      </c>
      <c r="G94" s="63">
        <f>IFERROR(求节点(前期规划!$C$28:$C$35,前期规划!E$28:E$35,$D94),0)</f>
        <v>9</v>
      </c>
      <c r="H94" s="63">
        <f>IFERROR(求节点(前期规划!$C$28:$C$35,前期规划!F$28:F$35,$D94),0)</f>
        <v>27</v>
      </c>
      <c r="I94" s="63">
        <f>IFERROR(求节点(前期规划!$C$28:$C$35,前期规划!G$28:G$35,$D94),0)</f>
        <v>27</v>
      </c>
      <c r="J94" s="63">
        <f>IFERROR(求节点(前期规划!$C$28:$C$35,前期规划!H$28:H$35,$D94),0)</f>
        <v>60</v>
      </c>
      <c r="K94" s="63">
        <f>IFERROR(求节点(前期规划!$C$28:$C$35,前期规划!I$28:I$35,$D94),0)</f>
        <v>27.208814824221221</v>
      </c>
      <c r="L94" s="63">
        <f>MIN($E94-SUM(M94:$Q94),F94)</f>
        <v>0</v>
      </c>
      <c r="M94" s="63">
        <f>MIN($E94-SUM(N94:$Q94),G94)</f>
        <v>0</v>
      </c>
      <c r="N94" s="63">
        <f>MIN($E94-SUM(O94:$Q94),H94)</f>
        <v>0</v>
      </c>
      <c r="O94" s="63">
        <f>MIN($E94-SUM(P94:$Q94),I94)</f>
        <v>0</v>
      </c>
      <c r="P94" s="63">
        <f>MIN($E94-SUM(Q94:$Q94),J94)</f>
        <v>0</v>
      </c>
      <c r="Q94" s="69">
        <f t="shared" si="14"/>
        <v>19.944147255903975</v>
      </c>
      <c r="R94" s="64">
        <f>活动投放!AC94+付费投放!AA94</f>
        <v>719.67424242424249</v>
      </c>
      <c r="S94" s="64">
        <f>活动投放!AD94+付费投放!AB94</f>
        <v>719.67424242424249</v>
      </c>
      <c r="T94" s="64">
        <f>活动投放!AE94+付费投放!AC94</f>
        <v>1481.0875757575755</v>
      </c>
      <c r="U94" s="64">
        <f>活动投放!AF94+付费投放!AD94</f>
        <v>634.75181818181818</v>
      </c>
      <c r="V94" s="64">
        <f>活动投放!AG94+付费投放!AE94</f>
        <v>3205.65</v>
      </c>
      <c r="W94" s="64">
        <f>活动投放!AH94+付费投放!AF94</f>
        <v>356.18333333333339</v>
      </c>
      <c r="X94" s="63">
        <f>MIN(IFERROR(INDEX(真品获取算法!$C$6:$C$66,MATCH(R94,真品获取算法!D$6:D$66,1)),0)+付费投放!AG94,前期规划!D$8)</f>
        <v>9</v>
      </c>
      <c r="Y94" s="63">
        <f>MIN(IFERROR(INDEX(真品获取算法!$C$6:$C$66,MATCH(S94,真品获取算法!E$6:E$66,1)),0)+付费投放!AH94,前期规划!E$8)</f>
        <v>9</v>
      </c>
      <c r="Z94" s="63">
        <f>MIN(IFERROR(INDEX(真品获取算法!$C$6:$C$66,MATCH(T94,真品获取算法!F$6:F$66,1)),0)+付费投放!AI94,前期规划!F$8)</f>
        <v>27</v>
      </c>
      <c r="AA94" s="63">
        <f>MIN(IFERROR(INDEX(真品获取算法!$C$6:$C$66,MATCH(U94,真品获取算法!G$6:G$66,1)),0)+付费投放!AJ94,前期规划!G$8)</f>
        <v>27</v>
      </c>
      <c r="AB94" s="63">
        <f>MIN(IFERROR(INDEX(真品获取算法!$C$6:$C$66,MATCH(V94,真品获取算法!H$6:H$66,1)),0)+付费投放!AK94,前期规划!H$8)</f>
        <v>60</v>
      </c>
      <c r="AC94" s="63">
        <f>MIN(IFERROR(INDEX(真品获取算法!$C$6:$C$66,MATCH(W94,真品获取算法!I$6:I$66,1)),0)+付费投放!AL94,前期规划!I$8)</f>
        <v>29.356666666666666</v>
      </c>
      <c r="AD94" s="63">
        <f t="shared" si="15"/>
        <v>1</v>
      </c>
      <c r="AE94" s="63">
        <f t="shared" si="9"/>
        <v>1</v>
      </c>
      <c r="AF94" s="63">
        <f t="shared" si="10"/>
        <v>1</v>
      </c>
      <c r="AG94" s="63">
        <f t="shared" si="11"/>
        <v>1</v>
      </c>
      <c r="AH94" s="63">
        <f t="shared" si="12"/>
        <v>1</v>
      </c>
      <c r="AI94" s="63">
        <f t="shared" si="13"/>
        <v>1.0789395589745949</v>
      </c>
      <c r="AK94" s="60">
        <f>活动投放!AF94/U94</f>
        <v>0.74154966794466559</v>
      </c>
      <c r="AL94" s="60">
        <f>付费投放!AD94/U94</f>
        <v>0.25845033205533441</v>
      </c>
      <c r="AM94" s="60">
        <f>活动投放!AH94/W94</f>
        <v>0.96691778578447418</v>
      </c>
      <c r="AN94" s="60">
        <f>付费投放!AF94/W94</f>
        <v>3.3082214215525714E-2</v>
      </c>
      <c r="AO94" s="60">
        <f>IFERROR(INDEX(真品获取算法!$C$6:$C$66,MATCH(U94,真品获取算法!G$6:G$66,1)),0)*AK94/(IFERROR(INDEX(真品获取算法!$C$6:$C$66,MATCH(U94,真品获取算法!G$6:G$66,1)),0)+付费投放!AJ94)</f>
        <v>0.66248517298274101</v>
      </c>
      <c r="AP94" s="60">
        <f>(付费投放!AJ94+IFERROR(INDEX(真品获取算法!$C$6:$C$66,MATCH(U94,真品获取算法!G$6:G$66,1)),0)*AL94)/(IFERROR(INDEX(真品获取算法!$C$6:$C$66,MATCH(U94,真品获取算法!G$6:G$66,1)),0)+付费投放!AJ94)</f>
        <v>0.33751482701725893</v>
      </c>
      <c r="AQ94" s="60">
        <f>IFERROR(INDEX(真品获取算法!$C$6:$C$66,MATCH(W94,真品获取算法!I$6:I$66,1)),0)*AM94/(IFERROR(INDEX(真品获取算法!$C$6:$C$66,MATCH(W94,真品获取算法!I$6:I$66,1)),0)+付费投放!AL94)</f>
        <v>0.88929647608200757</v>
      </c>
      <c r="AR94" s="60">
        <f>(付费投放!AL94+IFERROR(INDEX(真品获取算法!$C$6:$C$66,MATCH(W94,真品获取算法!I$6:I$66,1)),0)*AN94)/(IFERROR(INDEX(真品获取算法!$C$6:$C$66,MATCH(W94,真品获取算法!I$6:I$66,1)),0)+付费投放!AL94)</f>
        <v>0.11070352391799229</v>
      </c>
    </row>
    <row r="95" spans="3:44" x14ac:dyDescent="0.15">
      <c r="C95" s="29">
        <f t="shared" si="16"/>
        <v>65535</v>
      </c>
      <c r="D95" s="41">
        <v>160</v>
      </c>
      <c r="E95" s="18">
        <f>IFERROR(求节点(前期规划!$D$13:$D$23,前期规划!$B$13:$B$23,D95),0)</f>
        <v>20</v>
      </c>
      <c r="F95" s="63">
        <f>IFERROR(求节点(前期规划!$C$28:$C$35,前期规划!D$28:D$35,$D95),0)</f>
        <v>9</v>
      </c>
      <c r="G95" s="63">
        <f>IFERROR(求节点(前期规划!$C$28:$C$35,前期规划!E$28:E$35,$D95),0)</f>
        <v>9</v>
      </c>
      <c r="H95" s="63">
        <f>IFERROR(求节点(前期规划!$C$28:$C$35,前期规划!F$28:F$35,$D95),0)</f>
        <v>27</v>
      </c>
      <c r="I95" s="63">
        <f>IFERROR(求节点(前期规划!$C$28:$C$35,前期规划!G$28:G$35,$D95),0)</f>
        <v>27</v>
      </c>
      <c r="J95" s="63">
        <f>IFERROR(求节点(前期规划!$C$28:$C$35,前期规划!H$28:H$35,$D95),0)</f>
        <v>60</v>
      </c>
      <c r="K95" s="63">
        <f>IFERROR(求节点(前期规划!$C$28:$C$35,前期规划!I$28:I$35,$D95),0)</f>
        <v>60</v>
      </c>
      <c r="L95" s="63">
        <f>MIN($E95-SUM(M95:$Q95),F95)</f>
        <v>0</v>
      </c>
      <c r="M95" s="63">
        <f>MIN($E95-SUM(N95:$Q95),G95)</f>
        <v>0</v>
      </c>
      <c r="N95" s="63">
        <f>MIN($E95-SUM(O95:$Q95),H95)</f>
        <v>0</v>
      </c>
      <c r="O95" s="63">
        <f>MIN($E95-SUM(P95:$Q95),I95)</f>
        <v>0</v>
      </c>
      <c r="P95" s="63">
        <f>MIN($E95-SUM(Q95:$Q95),J95)</f>
        <v>0</v>
      </c>
      <c r="Q95" s="69">
        <f t="shared" ref="Q95" si="17">MIN($E95,K95)</f>
        <v>20</v>
      </c>
      <c r="R95" s="64">
        <f>活动投放!AC95+付费投放!AA95</f>
        <v>9829.924242424242</v>
      </c>
      <c r="S95" s="64">
        <f>活动投放!AD95+付费投放!AB95</f>
        <v>9829.924242424242</v>
      </c>
      <c r="T95" s="64">
        <f>活动投放!AE95+付费投放!AC95</f>
        <v>20533.882020202018</v>
      </c>
      <c r="U95" s="64">
        <f>活动投放!AF95+付费投放!AD95</f>
        <v>8800.2351515151513</v>
      </c>
      <c r="V95" s="64">
        <f>活动投放!AG95+付费投放!AE95</f>
        <v>51942.113333333335</v>
      </c>
      <c r="W95" s="64">
        <f>活动投放!AH95+付费投放!AF95</f>
        <v>5771.3459259259262</v>
      </c>
      <c r="X95" s="63">
        <f>MIN(IFERROR(INDEX(真品获取算法!$C$6:$C$66,MATCH(R95,真品获取算法!D$6:D$66,1)),0)+付费投放!AG95,前期规划!D$8)</f>
        <v>9</v>
      </c>
      <c r="Y95" s="63">
        <f>MIN(IFERROR(INDEX(真品获取算法!$C$6:$C$66,MATCH(S95,真品获取算法!E$6:E$66,1)),0)+付费投放!AH95,前期规划!E$8)</f>
        <v>9</v>
      </c>
      <c r="Z95" s="63">
        <f>MIN(IFERROR(INDEX(真品获取算法!$C$6:$C$66,MATCH(T95,真品获取算法!F$6:F$66,1)),0)+付费投放!AI95,前期规划!F$8)</f>
        <v>27</v>
      </c>
      <c r="AA95" s="63">
        <f>MIN(IFERROR(INDEX(真品获取算法!$C$6:$C$66,MATCH(U95,真品获取算法!G$6:G$66,1)),0)+付费投放!AJ95,前期规划!G$8)</f>
        <v>27</v>
      </c>
      <c r="AB95" s="63">
        <f>MIN(IFERROR(INDEX(真品获取算法!$C$6:$C$66,MATCH(V95,真品获取算法!H$6:H$66,1)),0)+付费投放!AK95,前期规划!H$8)</f>
        <v>60</v>
      </c>
      <c r="AC95" s="63">
        <f>MIN(IFERROR(INDEX(真品获取算法!$C$6:$C$66,MATCH(W95,真品获取算法!I$6:I$66,1)),0)+付费投放!AL95,前期规划!I$8)</f>
        <v>60</v>
      </c>
      <c r="AD95" s="63">
        <f t="shared" si="15"/>
        <v>1</v>
      </c>
      <c r="AE95" s="63">
        <f t="shared" si="9"/>
        <v>1</v>
      </c>
      <c r="AF95" s="63">
        <f t="shared" si="10"/>
        <v>1</v>
      </c>
      <c r="AG95" s="63">
        <f t="shared" si="11"/>
        <v>1</v>
      </c>
      <c r="AH95" s="63">
        <f t="shared" si="12"/>
        <v>1</v>
      </c>
      <c r="AI95" s="63">
        <f t="shared" si="13"/>
        <v>1</v>
      </c>
      <c r="AK95" s="60">
        <f>活动投放!AF95/U95</f>
        <v>0.74363921955804491</v>
      </c>
      <c r="AL95" s="60">
        <f>付费投放!AD95/U95</f>
        <v>0.25636078044195515</v>
      </c>
      <c r="AM95" s="60">
        <f>活动投放!AH95/W95</f>
        <v>0.97171440977180112</v>
      </c>
      <c r="AN95" s="60">
        <f>付费投放!AF95/W95</f>
        <v>2.82855902281989E-2</v>
      </c>
      <c r="AO95" s="60">
        <f>IFERROR(INDEX(真品获取算法!$C$6:$C$66,MATCH(U95,真品获取算法!G$6:G$66,1)),0)*AK95/(IFERROR(INDEX(真品获取算法!$C$6:$C$66,MATCH(U95,真品获取算法!G$6:G$66,1)),0)+付费投放!AJ95)</f>
        <v>0.28394285479916553</v>
      </c>
      <c r="AP95" s="60">
        <f>(付费投放!AJ95+IFERROR(INDEX(真品获取算法!$C$6:$C$66,MATCH(U95,真品获取算法!G$6:G$66,1)),0)*AL95)/(IFERROR(INDEX(真品获取算法!$C$6:$C$66,MATCH(U95,真品获取算法!G$6:G$66,1)),0)+付费投放!AJ95)</f>
        <v>0.71605714520083463</v>
      </c>
      <c r="AQ95" s="60">
        <f>IFERROR(INDEX(真品获取算法!$C$6:$C$66,MATCH(W95,真品获取算法!I$6:I$66,1)),0)*AM95/(IFERROR(INDEX(真品获取算法!$C$6:$C$66,MATCH(W95,真品获取算法!I$6:I$66,1)),0)+付费投放!AL95)</f>
        <v>0.62928631773472765</v>
      </c>
      <c r="AR95" s="60">
        <f>(付费投放!AL95+IFERROR(INDEX(真品获取算法!$C$6:$C$66,MATCH(W95,真品获取算法!I$6:I$66,1)),0)*AN95)/(IFERROR(INDEX(真品获取算法!$C$6:$C$66,MATCH(W95,真品获取算法!I$6:I$66,1)),0)+付费投放!AL95)</f>
        <v>0.37071368226527235</v>
      </c>
    </row>
    <row r="97" spans="3:44" x14ac:dyDescent="0.15">
      <c r="C97" s="25" t="s">
        <v>19</v>
      </c>
      <c r="D97" s="26"/>
      <c r="E97" s="27"/>
      <c r="F97" s="88" t="s">
        <v>51</v>
      </c>
      <c r="G97" s="89"/>
      <c r="H97" s="89"/>
      <c r="I97" s="89"/>
      <c r="J97" s="89"/>
      <c r="K97" s="90"/>
      <c r="L97" s="88" t="s">
        <v>52</v>
      </c>
      <c r="M97" s="89"/>
      <c r="N97" s="89"/>
      <c r="O97" s="89"/>
      <c r="P97" s="89"/>
      <c r="Q97" s="90"/>
      <c r="R97" s="88" t="s">
        <v>122</v>
      </c>
      <c r="S97" s="89"/>
      <c r="T97" s="89"/>
      <c r="U97" s="89"/>
      <c r="V97" s="89"/>
      <c r="W97" s="90"/>
      <c r="X97" s="88" t="s">
        <v>132</v>
      </c>
      <c r="Y97" s="89"/>
      <c r="Z97" s="89"/>
      <c r="AA97" s="89"/>
      <c r="AB97" s="89"/>
      <c r="AC97" s="90"/>
      <c r="AD97" s="88" t="s">
        <v>133</v>
      </c>
      <c r="AE97" s="89"/>
      <c r="AF97" s="89"/>
      <c r="AG97" s="89"/>
      <c r="AH97" s="89"/>
      <c r="AI97" s="90"/>
      <c r="AK97" s="91" t="s">
        <v>187</v>
      </c>
      <c r="AL97" s="91"/>
      <c r="AM97" s="91" t="s">
        <v>188</v>
      </c>
      <c r="AN97" s="91"/>
      <c r="AO97" s="91" t="s">
        <v>191</v>
      </c>
      <c r="AP97" s="91"/>
      <c r="AQ97" s="91" t="s">
        <v>192</v>
      </c>
      <c r="AR97" s="91"/>
    </row>
    <row r="98" spans="3:44" x14ac:dyDescent="0.15">
      <c r="C98" s="27" t="s">
        <v>31</v>
      </c>
      <c r="D98" s="27" t="s">
        <v>25</v>
      </c>
      <c r="E98" s="27" t="s">
        <v>30</v>
      </c>
      <c r="F98" s="64" t="s">
        <v>26</v>
      </c>
      <c r="G98" s="64" t="s">
        <v>38</v>
      </c>
      <c r="H98" s="64" t="s">
        <v>27</v>
      </c>
      <c r="I98" s="64" t="s">
        <v>29</v>
      </c>
      <c r="J98" s="64" t="s">
        <v>28</v>
      </c>
      <c r="K98" s="64" t="s">
        <v>43</v>
      </c>
      <c r="L98" s="64" t="s">
        <v>26</v>
      </c>
      <c r="M98" s="64" t="s">
        <v>38</v>
      </c>
      <c r="N98" s="64" t="s">
        <v>27</v>
      </c>
      <c r="O98" s="64" t="s">
        <v>29</v>
      </c>
      <c r="P98" s="64" t="s">
        <v>28</v>
      </c>
      <c r="Q98" s="64" t="s">
        <v>43</v>
      </c>
      <c r="R98" s="64" t="s">
        <v>26</v>
      </c>
      <c r="S98" s="64" t="s">
        <v>38</v>
      </c>
      <c r="T98" s="64" t="s">
        <v>27</v>
      </c>
      <c r="U98" s="64" t="s">
        <v>29</v>
      </c>
      <c r="V98" s="64" t="s">
        <v>28</v>
      </c>
      <c r="W98" s="64" t="s">
        <v>43</v>
      </c>
      <c r="X98" s="64" t="s">
        <v>26</v>
      </c>
      <c r="Y98" s="64" t="s">
        <v>38</v>
      </c>
      <c r="Z98" s="64" t="s">
        <v>27</v>
      </c>
      <c r="AA98" s="64" t="s">
        <v>29</v>
      </c>
      <c r="AB98" s="64" t="s">
        <v>28</v>
      </c>
      <c r="AC98" s="64" t="s">
        <v>43</v>
      </c>
      <c r="AD98" s="64" t="s">
        <v>26</v>
      </c>
      <c r="AE98" s="64" t="s">
        <v>38</v>
      </c>
      <c r="AF98" s="64" t="s">
        <v>27</v>
      </c>
      <c r="AG98" s="64" t="s">
        <v>29</v>
      </c>
      <c r="AH98" s="64" t="s">
        <v>28</v>
      </c>
      <c r="AI98" s="64" t="s">
        <v>43</v>
      </c>
      <c r="AK98" s="60" t="s">
        <v>189</v>
      </c>
      <c r="AL98" s="60" t="s">
        <v>190</v>
      </c>
      <c r="AM98" s="60" t="s">
        <v>189</v>
      </c>
      <c r="AN98" s="60" t="s">
        <v>190</v>
      </c>
      <c r="AO98" s="60" t="s">
        <v>189</v>
      </c>
      <c r="AP98" s="60" t="s">
        <v>190</v>
      </c>
      <c r="AQ98" s="60" t="s">
        <v>189</v>
      </c>
      <c r="AR98" s="60" t="s">
        <v>190</v>
      </c>
    </row>
    <row r="99" spans="3:44" x14ac:dyDescent="0.15">
      <c r="C99" s="29">
        <f>C55</f>
        <v>15</v>
      </c>
      <c r="D99" s="18">
        <f>求节点(节奏总纲!$F$4:$F$163,节奏总纲!$C$4:$C$163,$C99)</f>
        <v>44.442238853326032</v>
      </c>
      <c r="E99" s="18">
        <f>IFERROR(求节点(前期规划!$E$13:$E$23,前期规划!$B$13:$B$23,D99),0)</f>
        <v>0</v>
      </c>
      <c r="F99" s="63">
        <f>IFERROR(求节点(前期规划!$C$28:$C$35,前期规划!D$28:D$35,$D99),0)</f>
        <v>0</v>
      </c>
      <c r="G99" s="63">
        <f>IFERROR(求节点(前期规划!$C$28:$C$35,前期规划!E$28:E$35,$D99),0)</f>
        <v>0</v>
      </c>
      <c r="H99" s="63">
        <f>IFERROR(求节点(前期规划!$C$28:$C$35,前期规划!F$28:F$35,$D99),0)</f>
        <v>0</v>
      </c>
      <c r="I99" s="63">
        <f>IFERROR(求节点(前期规划!$C$28:$C$35,前期规划!G$28:G$35,$D99),0)</f>
        <v>0</v>
      </c>
      <c r="J99" s="63">
        <f>IFERROR(求节点(前期规划!$C$28:$C$35,前期规划!H$28:H$35,$D99),0)</f>
        <v>0</v>
      </c>
      <c r="K99" s="63">
        <f>IFERROR(求节点(前期规划!$C$28:$C$35,前期规划!I$28:I$35,$D99),0)</f>
        <v>0</v>
      </c>
      <c r="L99" s="63">
        <f>MIN($E99-SUM(M99:$Q99),F99)</f>
        <v>0</v>
      </c>
      <c r="M99" s="63">
        <f>MIN($E99-SUM(N99:$Q99),G99)</f>
        <v>0</v>
      </c>
      <c r="N99" s="63">
        <f>MIN($E99-SUM(O99:$Q99),H99)</f>
        <v>0</v>
      </c>
      <c r="O99" s="63">
        <f>MIN($E99-SUM(P99:$Q99),I99)</f>
        <v>0</v>
      </c>
      <c r="P99" s="63">
        <f>MIN($E99-SUM(Q99:$Q99),J99)</f>
        <v>0</v>
      </c>
      <c r="Q99" s="69">
        <f>MIN($E99,K99)</f>
        <v>0</v>
      </c>
      <c r="R99" s="64">
        <f>活动投放!AC99+付费投放!AA99</f>
        <v>0.5</v>
      </c>
      <c r="S99" s="64">
        <f>活动投放!AD99+付费投放!AB99</f>
        <v>0.5</v>
      </c>
      <c r="T99" s="64">
        <f>活动投放!AE99+付费投放!AC99</f>
        <v>0</v>
      </c>
      <c r="U99" s="64">
        <f>活动投放!AF99+付费投放!AD99</f>
        <v>0</v>
      </c>
      <c r="V99" s="64">
        <f>活动投放!AG99+付费投放!AE99</f>
        <v>0</v>
      </c>
      <c r="W99" s="64">
        <f>活动投放!AH99+付费投放!AF99</f>
        <v>0</v>
      </c>
      <c r="X99" s="63">
        <f>MIN(IFERROR(INDEX(真品获取算法!$C$6:$C$66,MATCH(R99,真品获取算法!D$6:D$66,1)),0)+付费投放!AG99,前期规划!D$8)</f>
        <v>0</v>
      </c>
      <c r="Y99" s="63">
        <f>MIN(IFERROR(INDEX(真品获取算法!$C$6:$C$66,MATCH(S99,真品获取算法!E$6:E$66,1)),0)+付费投放!AH99,前期规划!E$8)</f>
        <v>0</v>
      </c>
      <c r="Z99" s="63">
        <f>MIN(IFERROR(INDEX(真品获取算法!$C$6:$C$66,MATCH(T99,真品获取算法!F$6:F$66,1)),0)+付费投放!AI99,前期规划!F$8)</f>
        <v>0</v>
      </c>
      <c r="AA99" s="63">
        <f>MIN(IFERROR(INDEX(真品获取算法!$C$6:$C$66,MATCH(U99,真品获取算法!G$6:G$66,1)),0)+付费投放!AJ99,前期规划!G$8)</f>
        <v>0</v>
      </c>
      <c r="AB99" s="63">
        <f>MIN(IFERROR(INDEX(真品获取算法!$C$6:$C$66,MATCH(V99,真品获取算法!H$6:H$66,1)),0)+付费投放!AK99,前期规划!H$8)</f>
        <v>0</v>
      </c>
      <c r="AC99" s="63">
        <f>MIN(IFERROR(INDEX(真品获取算法!$C$6:$C$66,MATCH(W99,真品获取算法!I$6:I$66,1)),0)+付费投放!AL99,前期规划!I$8)</f>
        <v>0</v>
      </c>
      <c r="AD99" s="63">
        <f>IFERROR(X99/F99,0)</f>
        <v>0</v>
      </c>
      <c r="AE99" s="63">
        <f t="shared" ref="AE99:AE139" si="18">IFERROR(Y99/G99,0)</f>
        <v>0</v>
      </c>
      <c r="AF99" s="63">
        <f t="shared" ref="AF99:AF139" si="19">IFERROR(Z99/H99,0)</f>
        <v>0</v>
      </c>
      <c r="AG99" s="63">
        <f t="shared" ref="AG99:AG139" si="20">IFERROR(AA99/I99,0)</f>
        <v>0</v>
      </c>
      <c r="AH99" s="63">
        <f t="shared" ref="AH99:AH139" si="21">IFERROR(AB99/J99,0)</f>
        <v>0</v>
      </c>
      <c r="AI99" s="63">
        <f t="shared" ref="AI99:AI139" si="22">IFERROR(AC99/K99,0)</f>
        <v>0</v>
      </c>
      <c r="AK99" s="60" t="e">
        <f>活动投放!AF99/U99</f>
        <v>#DIV/0!</v>
      </c>
      <c r="AL99" s="60" t="e">
        <f>付费投放!AD99/U99</f>
        <v>#DIV/0!</v>
      </c>
      <c r="AM99" s="60" t="e">
        <f>活动投放!AH99/W99</f>
        <v>#DIV/0!</v>
      </c>
      <c r="AN99" s="60" t="e">
        <f>付费投放!AF99/W99</f>
        <v>#DIV/0!</v>
      </c>
      <c r="AO99" s="60" t="e">
        <f>IFERROR(INDEX(真品获取算法!$C$6:$C$66,MATCH(U99,真品获取算法!G$6:G$66,1)),0)*AK99/(IFERROR(INDEX(真品获取算法!$C$6:$C$66,MATCH(U99,真品获取算法!G$6:G$66,1)),0)+付费投放!AJ99)</f>
        <v>#DIV/0!</v>
      </c>
      <c r="AP99" s="60" t="e">
        <f>(付费投放!AJ99+IFERROR(INDEX(真品获取算法!$C$6:$C$66,MATCH(U99,真品获取算法!G$6:G$66,1)),0)*AL99)/(IFERROR(INDEX(真品获取算法!$C$6:$C$66,MATCH(U99,真品获取算法!G$6:G$66,1)),0)+付费投放!AJ99)</f>
        <v>#DIV/0!</v>
      </c>
      <c r="AQ99" s="60" t="e">
        <f>IFERROR(INDEX(真品获取算法!$C$6:$C$66,MATCH(W99,真品获取算法!I$6:I$66,1)),0)*AM99/(IFERROR(INDEX(真品获取算法!$C$6:$C$66,MATCH(W99,真品获取算法!I$6:I$66,1)),0)+付费投放!AL99)</f>
        <v>#DIV/0!</v>
      </c>
      <c r="AR99" s="60" t="e">
        <f>(付费投放!AL99+IFERROR(INDEX(真品获取算法!$C$6:$C$66,MATCH(W99,真品获取算法!I$6:I$66,1)),0)*AN99)/(IFERROR(INDEX(真品获取算法!$C$6:$C$66,MATCH(W99,真品获取算法!I$6:I$66,1)),0)+付费投放!AL99)</f>
        <v>#DIV/0!</v>
      </c>
    </row>
    <row r="100" spans="3:44" x14ac:dyDescent="0.15">
      <c r="C100" s="29">
        <f>C56</f>
        <v>30</v>
      </c>
      <c r="D100" s="18">
        <f>求节点(节奏总纲!$F$4:$F$163,节奏总纲!$C$4:$C$163,$C100)</f>
        <v>54.213705787583436</v>
      </c>
      <c r="E100" s="18">
        <f>IFERROR(求节点(前期规划!$E$13:$E$23,前期规划!$B$13:$B$23,D100),0)</f>
        <v>6.0610587964524099</v>
      </c>
      <c r="F100" s="63">
        <f>IFERROR(求节点(前期规划!$C$28:$C$35,前期规划!D$28:D$35,$D100),0)</f>
        <v>8.2923352088250919</v>
      </c>
      <c r="G100" s="63">
        <f>IFERROR(求节点(前期规划!$C$28:$C$35,前期规划!E$28:E$35,$D100),0)</f>
        <v>2.7641117362750305</v>
      </c>
      <c r="H100" s="63">
        <f>IFERROR(求节点(前期规划!$C$28:$C$35,前期规划!F$28:F$35,$D100),0)</f>
        <v>0</v>
      </c>
      <c r="I100" s="63">
        <f>IFERROR(求节点(前期规划!$C$28:$C$35,前期规划!G$28:G$35,$D100),0)</f>
        <v>0</v>
      </c>
      <c r="J100" s="63">
        <f>IFERROR(求节点(前期规划!$C$28:$C$35,前期规划!H$28:H$35,$D100),0)</f>
        <v>0</v>
      </c>
      <c r="K100" s="63">
        <f>IFERROR(求节点(前期规划!$C$28:$C$35,前期规划!I$28:I$35,$D100),0)</f>
        <v>0</v>
      </c>
      <c r="L100" s="63">
        <f>MIN($E100-SUM(M100:$Q100),F100)</f>
        <v>3.2969470601773794</v>
      </c>
      <c r="M100" s="63">
        <f>MIN($E100-SUM(N100:$Q100),G100)</f>
        <v>2.7641117362750305</v>
      </c>
      <c r="N100" s="63">
        <f>MIN($E100-SUM(O100:$Q100),H100)</f>
        <v>0</v>
      </c>
      <c r="O100" s="63">
        <f>MIN($E100-SUM(P100:$Q100),I100)</f>
        <v>0</v>
      </c>
      <c r="P100" s="63">
        <f>MIN($E100-SUM(Q100:$Q100),J100)</f>
        <v>0</v>
      </c>
      <c r="Q100" s="69">
        <f t="shared" ref="Q100:Q138" si="23">MIN($E100,K100)</f>
        <v>0</v>
      </c>
      <c r="R100" s="64">
        <f>活动投放!AC100+付费投放!AA100</f>
        <v>7.0378787878787881</v>
      </c>
      <c r="S100" s="64">
        <f>活动投放!AD100+付费投放!AB100</f>
        <v>7.0378787878787881</v>
      </c>
      <c r="T100" s="64">
        <f>活动投放!AE100+付费投放!AC100</f>
        <v>2.8212121212121208</v>
      </c>
      <c r="U100" s="64">
        <f>活动投放!AF100+付费投放!AD100</f>
        <v>1.209090909090909</v>
      </c>
      <c r="V100" s="64">
        <f>活动投放!AG100+付费投放!AE100</f>
        <v>0</v>
      </c>
      <c r="W100" s="64">
        <f>活动投放!AH100+付费投放!AF100</f>
        <v>0</v>
      </c>
      <c r="X100" s="63">
        <f>MIN(IFERROR(INDEX(真品获取算法!$C$6:$C$66,MATCH(R100,真品获取算法!D$6:D$66,1)),0)+付费投放!AG100,前期规划!D$8)</f>
        <v>3</v>
      </c>
      <c r="Y100" s="63">
        <f>MIN(IFERROR(INDEX(真品获取算法!$C$6:$C$66,MATCH(S100,真品获取算法!E$6:E$66,1)),0)+付费投放!AH100,前期规划!E$8)</f>
        <v>3</v>
      </c>
      <c r="Z100" s="63">
        <f>MIN(IFERROR(INDEX(真品获取算法!$C$6:$C$66,MATCH(T100,真品获取算法!F$6:F$66,1)),0)+付费投放!AI100,前期规划!F$8)</f>
        <v>1</v>
      </c>
      <c r="AA100" s="63">
        <f>MIN(IFERROR(INDEX(真品获取算法!$C$6:$C$66,MATCH(U100,真品获取算法!G$6:G$66,1)),0)+付费投放!AJ100,前期规划!G$8)</f>
        <v>6.7171717171717174E-2</v>
      </c>
      <c r="AB100" s="63">
        <f>MIN(IFERROR(INDEX(真品获取算法!$C$6:$C$66,MATCH(V100,真品获取算法!H$6:H$66,1)),0)+付费投放!AK100,前期规划!H$8)</f>
        <v>0</v>
      </c>
      <c r="AC100" s="63">
        <f>MIN(IFERROR(INDEX(真品获取算法!$C$6:$C$66,MATCH(W100,真品获取算法!I$6:I$66,1)),0)+付费投放!AL100,前期规划!I$8)</f>
        <v>0</v>
      </c>
      <c r="AD100" s="63">
        <f t="shared" ref="AD100:AD139" si="24">IFERROR(X100/F100,0)</f>
        <v>0.36177987556596353</v>
      </c>
      <c r="AE100" s="63">
        <f t="shared" si="18"/>
        <v>1.0853396266978907</v>
      </c>
      <c r="AF100" s="63">
        <f t="shared" si="19"/>
        <v>0</v>
      </c>
      <c r="AG100" s="63">
        <f t="shared" si="20"/>
        <v>0</v>
      </c>
      <c r="AH100" s="63">
        <f t="shared" si="21"/>
        <v>0</v>
      </c>
      <c r="AI100" s="63">
        <f t="shared" si="22"/>
        <v>0</v>
      </c>
      <c r="AK100" s="60">
        <f>活动投放!AF100/U100</f>
        <v>0</v>
      </c>
      <c r="AL100" s="60">
        <f>付费投放!AD100/U100</f>
        <v>1</v>
      </c>
      <c r="AM100" s="60" t="e">
        <f>活动投放!AH100/W100</f>
        <v>#DIV/0!</v>
      </c>
      <c r="AN100" s="60" t="e">
        <f>付费投放!AF100/W100</f>
        <v>#DIV/0!</v>
      </c>
      <c r="AO100" s="60">
        <f>IFERROR(INDEX(真品获取算法!$C$6:$C$66,MATCH(U100,真品获取算法!G$6:G$66,1)),0)*AK100/(IFERROR(INDEX(真品获取算法!$C$6:$C$66,MATCH(U100,真品获取算法!G$6:G$66,1)),0)+付费投放!AJ100)</f>
        <v>0</v>
      </c>
      <c r="AP100" s="60">
        <f>(付费投放!AJ100+IFERROR(INDEX(真品获取算法!$C$6:$C$66,MATCH(U100,真品获取算法!G$6:G$66,1)),0)*AL100)/(IFERROR(INDEX(真品获取算法!$C$6:$C$66,MATCH(U100,真品获取算法!G$6:G$66,1)),0)+付费投放!AJ100)</f>
        <v>1</v>
      </c>
      <c r="AQ100" s="60" t="e">
        <f>IFERROR(INDEX(真品获取算法!$C$6:$C$66,MATCH(W100,真品获取算法!I$6:I$66,1)),0)*AM100/(IFERROR(INDEX(真品获取算法!$C$6:$C$66,MATCH(W100,真品获取算法!I$6:I$66,1)),0)+付费投放!AL100)</f>
        <v>#DIV/0!</v>
      </c>
      <c r="AR100" s="60" t="e">
        <f>(付费投放!AL100+IFERROR(INDEX(真品获取算法!$C$6:$C$66,MATCH(W100,真品获取算法!I$6:I$66,1)),0)*AN100)/(IFERROR(INDEX(真品获取算法!$C$6:$C$66,MATCH(W100,真品获取算法!I$6:I$66,1)),0)+付费投放!AL100)</f>
        <v>#DIV/0!</v>
      </c>
    </row>
    <row r="101" spans="3:44" x14ac:dyDescent="0.15">
      <c r="C101" s="29">
        <f t="shared" ref="C101:C139" si="25">C57</f>
        <v>45</v>
      </c>
      <c r="D101" s="18">
        <f>求节点(节奏总纲!$F$4:$F$163,节奏总纲!$C$4:$C$163,$C101)</f>
        <v>60.086674688654931</v>
      </c>
      <c r="E101" s="18">
        <f>IFERROR(求节点(前期规划!$E$13:$E$23,前期规划!$B$13:$B$23,D101),0)</f>
        <v>7.7390499110442654</v>
      </c>
      <c r="F101" s="63">
        <f>IFERROR(求节点(前期规划!$C$28:$C$35,前期规划!D$28:D$35,$D101),0)</f>
        <v>9</v>
      </c>
      <c r="G101" s="63">
        <f>IFERROR(求节点(前期规划!$C$28:$C$35,前期规划!E$28:E$35,$D101),0)</f>
        <v>6.0520048131929585</v>
      </c>
      <c r="H101" s="63">
        <f>IFERROR(求节点(前期规划!$C$28:$C$35,前期规划!F$28:F$35,$D101),0)</f>
        <v>3.0520048131929585</v>
      </c>
      <c r="I101" s="63">
        <f>IFERROR(求节点(前期规划!$C$28:$C$35,前期规划!G$28:G$35,$D101),0)</f>
        <v>0</v>
      </c>
      <c r="J101" s="63">
        <f>IFERROR(求节点(前期规划!$C$28:$C$35,前期规划!H$28:H$35,$D101),0)</f>
        <v>0</v>
      </c>
      <c r="K101" s="63">
        <f>IFERROR(求节点(前期规划!$C$28:$C$35,前期规划!I$28:I$35,$D101),0)</f>
        <v>0</v>
      </c>
      <c r="L101" s="63">
        <f>MIN($E101-SUM(M101:$Q101),F101)</f>
        <v>0</v>
      </c>
      <c r="M101" s="63">
        <f>MIN($E101-SUM(N101:$Q101),G101)</f>
        <v>4.687045097851307</v>
      </c>
      <c r="N101" s="63">
        <f>MIN($E101-SUM(O101:$Q101),H101)</f>
        <v>3.0520048131929585</v>
      </c>
      <c r="O101" s="63">
        <f>MIN($E101-SUM(P101:$Q101),I101)</f>
        <v>0</v>
      </c>
      <c r="P101" s="63">
        <f>MIN($E101-SUM(Q101:$Q101),J101)</f>
        <v>0</v>
      </c>
      <c r="Q101" s="69">
        <f t="shared" si="23"/>
        <v>0</v>
      </c>
      <c r="R101" s="64">
        <f>活动投放!AC101+付费投放!AA101</f>
        <v>13.575757575757576</v>
      </c>
      <c r="S101" s="64">
        <f>活动投放!AD101+付费投放!AB101</f>
        <v>13.575757575757576</v>
      </c>
      <c r="T101" s="64">
        <f>活动投放!AE101+付费投放!AC101</f>
        <v>6.3424242424242419</v>
      </c>
      <c r="U101" s="64">
        <f>活动投放!AF101+付费投放!AD101</f>
        <v>2.7181818181818178</v>
      </c>
      <c r="V101" s="64">
        <f>活动投放!AG101+付费投放!AE101</f>
        <v>0</v>
      </c>
      <c r="W101" s="64">
        <f>活动投放!AH101+付费投放!AF101</f>
        <v>0</v>
      </c>
      <c r="X101" s="63">
        <f>MIN(IFERROR(INDEX(真品获取算法!$C$6:$C$66,MATCH(R101,真品获取算法!D$6:D$66,1)),0)+付费投放!AG101,前期规划!D$8)</f>
        <v>5</v>
      </c>
      <c r="Y101" s="63">
        <f>MIN(IFERROR(INDEX(真品获取算法!$C$6:$C$66,MATCH(S101,真品获取算法!E$6:E$66,1)),0)+付费投放!AH101,前期规划!E$8)</f>
        <v>5</v>
      </c>
      <c r="Z101" s="63">
        <f>MIN(IFERROR(INDEX(真品获取算法!$C$6:$C$66,MATCH(T101,真品获取算法!F$6:F$66,1)),0)+付费投放!AI101,前期规划!F$8)</f>
        <v>4</v>
      </c>
      <c r="AA101" s="63">
        <f>MIN(IFERROR(INDEX(真品获取算法!$C$6:$C$66,MATCH(U101,真品获取算法!G$6:G$66,1)),0)+付费投放!AJ101,前期规划!G$8)</f>
        <v>0.13434343434343435</v>
      </c>
      <c r="AB101" s="63">
        <f>MIN(IFERROR(INDEX(真品获取算法!$C$6:$C$66,MATCH(V101,真品获取算法!H$6:H$66,1)),0)+付费投放!AK101,前期规划!H$8)</f>
        <v>0</v>
      </c>
      <c r="AC101" s="63">
        <f>MIN(IFERROR(INDEX(真品获取算法!$C$6:$C$66,MATCH(W101,真品获取算法!I$6:I$66,1)),0)+付费投放!AL101,前期规划!I$8)</f>
        <v>0</v>
      </c>
      <c r="AD101" s="63">
        <f t="shared" si="24"/>
        <v>0.55555555555555558</v>
      </c>
      <c r="AE101" s="63">
        <f t="shared" si="18"/>
        <v>0.82617250883547555</v>
      </c>
      <c r="AF101" s="63">
        <f t="shared" si="19"/>
        <v>1.310613922595772</v>
      </c>
      <c r="AG101" s="63">
        <f t="shared" si="20"/>
        <v>0</v>
      </c>
      <c r="AH101" s="63">
        <f t="shared" si="21"/>
        <v>0</v>
      </c>
      <c r="AI101" s="63">
        <f t="shared" si="22"/>
        <v>0</v>
      </c>
      <c r="AK101" s="60">
        <f>活动投放!AF101/U101</f>
        <v>0.11036789297658864</v>
      </c>
      <c r="AL101" s="60">
        <f>付费投放!AD101/U101</f>
        <v>0.88963210702341144</v>
      </c>
      <c r="AM101" s="60" t="e">
        <f>活动投放!AH101/W101</f>
        <v>#DIV/0!</v>
      </c>
      <c r="AN101" s="60" t="e">
        <f>付费投放!AF101/W101</f>
        <v>#DIV/0!</v>
      </c>
      <c r="AO101" s="60">
        <f>IFERROR(INDEX(真品获取算法!$C$6:$C$66,MATCH(U101,真品获取算法!G$6:G$66,1)),0)*AK101/(IFERROR(INDEX(真品获取算法!$C$6:$C$66,MATCH(U101,真品获取算法!G$6:G$66,1)),0)+付费投放!AJ101)</f>
        <v>0</v>
      </c>
      <c r="AP101" s="60">
        <f>(付费投放!AJ101+IFERROR(INDEX(真品获取算法!$C$6:$C$66,MATCH(U101,真品获取算法!G$6:G$66,1)),0)*AL101)/(IFERROR(INDEX(真品获取算法!$C$6:$C$66,MATCH(U101,真品获取算法!G$6:G$66,1)),0)+付费投放!AJ101)</f>
        <v>1</v>
      </c>
      <c r="AQ101" s="60" t="e">
        <f>IFERROR(INDEX(真品获取算法!$C$6:$C$66,MATCH(W101,真品获取算法!I$6:I$66,1)),0)*AM101/(IFERROR(INDEX(真品获取算法!$C$6:$C$66,MATCH(W101,真品获取算法!I$6:I$66,1)),0)+付费投放!AL101)</f>
        <v>#DIV/0!</v>
      </c>
      <c r="AR101" s="60" t="e">
        <f>(付费投放!AL101+IFERROR(INDEX(真品获取算法!$C$6:$C$66,MATCH(W101,真品获取算法!I$6:I$66,1)),0)*AN101)/(IFERROR(INDEX(真品获取算法!$C$6:$C$66,MATCH(W101,真品获取算法!I$6:I$66,1)),0)+付费投放!AL101)</f>
        <v>#DIV/0!</v>
      </c>
    </row>
    <row r="102" spans="3:44" x14ac:dyDescent="0.15">
      <c r="C102" s="29">
        <f t="shared" si="25"/>
        <v>60</v>
      </c>
      <c r="D102" s="18">
        <f>求节点(节奏总纲!$F$4:$F$163,节奏总纲!$C$4:$C$163,$C102)</f>
        <v>64.14304723627319</v>
      </c>
      <c r="E102" s="18">
        <f>IFERROR(求节点(前期规划!$E$13:$E$23,前期规划!$B$13:$B$23,D102),0)</f>
        <v>8.7857618090682976</v>
      </c>
      <c r="F102" s="63">
        <f>IFERROR(求节点(前期规划!$C$28:$C$35,前期规划!D$28:D$35,$D102),0)</f>
        <v>9</v>
      </c>
      <c r="G102" s="63">
        <f>IFERROR(求节点(前期规划!$C$28:$C$35,前期规划!E$28:E$35,$D102),0)</f>
        <v>8.4858283417639129</v>
      </c>
      <c r="H102" s="63">
        <f>IFERROR(求节点(前期规划!$C$28:$C$35,前期规划!F$28:F$35,$D102),0)</f>
        <v>5.4858283417639138</v>
      </c>
      <c r="I102" s="63">
        <f>IFERROR(求节点(前期规划!$C$28:$C$35,前期规划!G$28:G$35,$D102),0)</f>
        <v>0</v>
      </c>
      <c r="J102" s="63">
        <f>IFERROR(求节点(前期规划!$C$28:$C$35,前期规划!H$28:H$35,$D102),0)</f>
        <v>0</v>
      </c>
      <c r="K102" s="63">
        <f>IFERROR(求节点(前期规划!$C$28:$C$35,前期规划!I$28:I$35,$D102),0)</f>
        <v>0</v>
      </c>
      <c r="L102" s="63">
        <f>MIN($E102-SUM(M102:$Q102),F102)</f>
        <v>0</v>
      </c>
      <c r="M102" s="63">
        <f>MIN($E102-SUM(N102:$Q102),G102)</f>
        <v>3.2999334673043839</v>
      </c>
      <c r="N102" s="63">
        <f>MIN($E102-SUM(O102:$Q102),H102)</f>
        <v>5.4858283417639138</v>
      </c>
      <c r="O102" s="63">
        <f>MIN($E102-SUM(P102:$Q102),I102)</f>
        <v>0</v>
      </c>
      <c r="P102" s="63">
        <f>MIN($E102-SUM(Q102:$Q102),J102)</f>
        <v>0</v>
      </c>
      <c r="Q102" s="69">
        <f t="shared" si="23"/>
        <v>0</v>
      </c>
      <c r="R102" s="64">
        <f>活动投放!AC102+付费投放!AA102</f>
        <v>20.113636363636363</v>
      </c>
      <c r="S102" s="64">
        <f>活动投放!AD102+付费投放!AB102</f>
        <v>20.113636363636363</v>
      </c>
      <c r="T102" s="64">
        <f>活动投放!AE102+付费投放!AC102</f>
        <v>10.563636363636363</v>
      </c>
      <c r="U102" s="64">
        <f>活动投放!AF102+付费投放!AD102</f>
        <v>4.5272727272727273</v>
      </c>
      <c r="V102" s="64">
        <f>活动投放!AG102+付费投放!AE102</f>
        <v>0</v>
      </c>
      <c r="W102" s="64">
        <f>活动投放!AH102+付费投放!AF102</f>
        <v>0</v>
      </c>
      <c r="X102" s="63">
        <f>MIN(IFERROR(INDEX(真品获取算法!$C$6:$C$66,MATCH(R102,真品获取算法!D$6:D$66,1)),0)+付费投放!AG102,前期规划!D$8)</f>
        <v>6</v>
      </c>
      <c r="Y102" s="63">
        <f>MIN(IFERROR(INDEX(真品获取算法!$C$6:$C$66,MATCH(S102,真品获取算法!E$6:E$66,1)),0)+付费投放!AH102,前期规划!E$8)</f>
        <v>6</v>
      </c>
      <c r="Z102" s="63">
        <f>MIN(IFERROR(INDEX(真品获取算法!$C$6:$C$66,MATCH(T102,真品获取算法!F$6:F$66,1)),0)+付费投放!AI102,前期规划!F$8)</f>
        <v>6</v>
      </c>
      <c r="AA102" s="63">
        <f>MIN(IFERROR(INDEX(真品获取算法!$C$6:$C$66,MATCH(U102,真品获取算法!G$6:G$66,1)),0)+付费投放!AJ102,前期规划!G$8)</f>
        <v>1.2015151515151516</v>
      </c>
      <c r="AB102" s="63">
        <f>MIN(IFERROR(INDEX(真品获取算法!$C$6:$C$66,MATCH(V102,真品获取算法!H$6:H$66,1)),0)+付费投放!AK102,前期规划!H$8)</f>
        <v>0</v>
      </c>
      <c r="AC102" s="63">
        <f>MIN(IFERROR(INDEX(真品获取算法!$C$6:$C$66,MATCH(W102,真品获取算法!I$6:I$66,1)),0)+付费投放!AL102,前期规划!I$8)</f>
        <v>0</v>
      </c>
      <c r="AD102" s="63">
        <f t="shared" si="24"/>
        <v>0.66666666666666663</v>
      </c>
      <c r="AE102" s="63">
        <f t="shared" si="18"/>
        <v>0.70706120349740731</v>
      </c>
      <c r="AF102" s="63">
        <f t="shared" si="19"/>
        <v>1.0937272598053551</v>
      </c>
      <c r="AG102" s="63">
        <f t="shared" si="20"/>
        <v>0</v>
      </c>
      <c r="AH102" s="63">
        <f t="shared" si="21"/>
        <v>0</v>
      </c>
      <c r="AI102" s="63">
        <f t="shared" si="22"/>
        <v>0</v>
      </c>
      <c r="AK102" s="60">
        <f>活动投放!AF102/U102</f>
        <v>0.19879518072289154</v>
      </c>
      <c r="AL102" s="60">
        <f>付费投放!AD102/U102</f>
        <v>0.8012048192771084</v>
      </c>
      <c r="AM102" s="60" t="e">
        <f>活动投放!AH102/W102</f>
        <v>#DIV/0!</v>
      </c>
      <c r="AN102" s="60" t="e">
        <f>付费投放!AF102/W102</f>
        <v>#DIV/0!</v>
      </c>
      <c r="AO102" s="60">
        <f>IFERROR(INDEX(真品获取算法!$C$6:$C$66,MATCH(U102,真品获取算法!G$6:G$66,1)),0)*AK102/(IFERROR(INDEX(真品获取算法!$C$6:$C$66,MATCH(U102,真品获取算法!G$6:G$66,1)),0)+付费投放!AJ102)</f>
        <v>0.16545374435953139</v>
      </c>
      <c r="AP102" s="60">
        <f>(付费投放!AJ102+IFERROR(INDEX(真品获取算法!$C$6:$C$66,MATCH(U102,真品获取算法!G$6:G$66,1)),0)*AL102)/(IFERROR(INDEX(真品获取算法!$C$6:$C$66,MATCH(U102,真品获取算法!G$6:G$66,1)),0)+付费投放!AJ102)</f>
        <v>0.83454625564046836</v>
      </c>
      <c r="AQ102" s="60" t="e">
        <f>IFERROR(INDEX(真品获取算法!$C$6:$C$66,MATCH(W102,真品获取算法!I$6:I$66,1)),0)*AM102/(IFERROR(INDEX(真品获取算法!$C$6:$C$66,MATCH(W102,真品获取算法!I$6:I$66,1)),0)+付费投放!AL102)</f>
        <v>#DIV/0!</v>
      </c>
      <c r="AR102" s="60" t="e">
        <f>(付费投放!AL102+IFERROR(INDEX(真品获取算法!$C$6:$C$66,MATCH(W102,真品获取算法!I$6:I$66,1)),0)*AN102)/(IFERROR(INDEX(真品获取算法!$C$6:$C$66,MATCH(W102,真品获取算法!I$6:I$66,1)),0)+付费投放!AL102)</f>
        <v>#DIV/0!</v>
      </c>
    </row>
    <row r="103" spans="3:44" x14ac:dyDescent="0.15">
      <c r="C103" s="29">
        <f t="shared" si="25"/>
        <v>75</v>
      </c>
      <c r="D103" s="18">
        <f>求节点(节奏总纲!$F$4:$F$163,节奏总纲!$C$4:$C$163,$C103)</f>
        <v>67.344310856946692</v>
      </c>
      <c r="E103" s="18">
        <f>IFERROR(求节点(前期规划!$E$13:$E$23,前期规划!$B$13:$B$23,D103),0)</f>
        <v>9.5860777142366729</v>
      </c>
      <c r="F103" s="63">
        <f>IFERROR(求节点(前期规划!$C$28:$C$35,前期规划!D$28:D$35,$D103),0)</f>
        <v>9</v>
      </c>
      <c r="G103" s="63">
        <f>IFERROR(求节点(前期规划!$C$28:$C$35,前期规划!E$28:E$35,$D103),0)</f>
        <v>9</v>
      </c>
      <c r="H103" s="63">
        <f>IFERROR(求节点(前期规划!$C$28:$C$35,前期规划!F$28:F$35,$D103),0)</f>
        <v>10.923052799588053</v>
      </c>
      <c r="I103" s="63">
        <f>IFERROR(求节点(前期规划!$C$28:$C$35,前期规划!G$28:G$35,$D103),0)</f>
        <v>1.4065865141680149</v>
      </c>
      <c r="J103" s="63">
        <f>IFERROR(求节点(前期规划!$C$28:$C$35,前期规划!H$28:H$35,$D103),0)</f>
        <v>0</v>
      </c>
      <c r="K103" s="63">
        <f>IFERROR(求节点(前期规划!$C$28:$C$35,前期规划!I$28:I$35,$D103),0)</f>
        <v>0</v>
      </c>
      <c r="L103" s="63">
        <f>MIN($E103-SUM(M103:$Q103),F103)</f>
        <v>0</v>
      </c>
      <c r="M103" s="63">
        <f>MIN($E103-SUM(N103:$Q103),G103)</f>
        <v>0</v>
      </c>
      <c r="N103" s="63">
        <f>MIN($E103-SUM(O103:$Q103),H103)</f>
        <v>8.1794912000686573</v>
      </c>
      <c r="O103" s="63">
        <f>MIN($E103-SUM(P103:$Q103),I103)</f>
        <v>1.4065865141680149</v>
      </c>
      <c r="P103" s="63">
        <f>MIN($E103-SUM(Q103:$Q103),J103)</f>
        <v>0</v>
      </c>
      <c r="Q103" s="69">
        <f t="shared" si="23"/>
        <v>0</v>
      </c>
      <c r="R103" s="64">
        <f>活动投放!AC103+付费投放!AA103</f>
        <v>26.651515151515152</v>
      </c>
      <c r="S103" s="64">
        <f>活动投放!AD103+付费投放!AB103</f>
        <v>26.651515151515152</v>
      </c>
      <c r="T103" s="64">
        <f>活动投放!AE103+付费投放!AC103</f>
        <v>15.484848484848483</v>
      </c>
      <c r="U103" s="64">
        <f>活动投放!AF103+付费投放!AD103</f>
        <v>6.6363636363636358</v>
      </c>
      <c r="V103" s="64">
        <f>活动投放!AG103+付费投放!AE103</f>
        <v>0</v>
      </c>
      <c r="W103" s="64">
        <f>活动投放!AH103+付费投放!AF103</f>
        <v>0</v>
      </c>
      <c r="X103" s="63">
        <f>MIN(IFERROR(INDEX(真品获取算法!$C$6:$C$66,MATCH(R103,真品获取算法!D$6:D$66,1)),0)+付费投放!AG103,前期规划!D$8)</f>
        <v>7</v>
      </c>
      <c r="Y103" s="63">
        <f>MIN(IFERROR(INDEX(真品获取算法!$C$6:$C$66,MATCH(S103,真品获取算法!E$6:E$66,1)),0)+付费投放!AH103,前期规划!E$8)</f>
        <v>7</v>
      </c>
      <c r="Z103" s="63">
        <f>MIN(IFERROR(INDEX(真品获取算法!$C$6:$C$66,MATCH(T103,真品获取算法!F$6:F$66,1)),0)+付费投放!AI103,前期规划!F$8)</f>
        <v>9</v>
      </c>
      <c r="AA103" s="63">
        <f>MIN(IFERROR(INDEX(真品获取算法!$C$6:$C$66,MATCH(U103,真品获取算法!G$6:G$66,1)),0)+付费投放!AJ103,前期规划!G$8)</f>
        <v>1.2686868686868686</v>
      </c>
      <c r="AB103" s="63">
        <f>MIN(IFERROR(INDEX(真品获取算法!$C$6:$C$66,MATCH(V103,真品获取算法!H$6:H$66,1)),0)+付费投放!AK103,前期规划!H$8)</f>
        <v>0</v>
      </c>
      <c r="AC103" s="63">
        <f>MIN(IFERROR(INDEX(真品获取算法!$C$6:$C$66,MATCH(W103,真品获取算法!I$6:I$66,1)),0)+付费投放!AL103,前期规划!I$8)</f>
        <v>0</v>
      </c>
      <c r="AD103" s="63">
        <f t="shared" si="24"/>
        <v>0.77777777777777779</v>
      </c>
      <c r="AE103" s="63">
        <f t="shared" si="18"/>
        <v>0.77777777777777779</v>
      </c>
      <c r="AF103" s="63">
        <f t="shared" si="19"/>
        <v>0.82394548164588399</v>
      </c>
      <c r="AG103" s="63">
        <f t="shared" si="20"/>
        <v>0.90196149039384688</v>
      </c>
      <c r="AH103" s="63">
        <f t="shared" si="21"/>
        <v>0</v>
      </c>
      <c r="AI103" s="63">
        <f t="shared" si="22"/>
        <v>0</v>
      </c>
      <c r="AK103" s="60">
        <f>活动投放!AF103/U103</f>
        <v>0.27123287671232876</v>
      </c>
      <c r="AL103" s="60">
        <f>付费投放!AD103/U103</f>
        <v>0.72876712328767124</v>
      </c>
      <c r="AM103" s="60" t="e">
        <f>活动投放!AH103/W103</f>
        <v>#DIV/0!</v>
      </c>
      <c r="AN103" s="60" t="e">
        <f>付费投放!AF103/W103</f>
        <v>#DIV/0!</v>
      </c>
      <c r="AO103" s="60">
        <f>IFERROR(INDEX(真品获取算法!$C$6:$C$66,MATCH(U103,真品获取算法!G$6:G$66,1)),0)*AK103/(IFERROR(INDEX(真品获取算法!$C$6:$C$66,MATCH(U103,真品获取算法!G$6:G$66,1)),0)+付费投放!AJ103)</f>
        <v>0.21379024517930373</v>
      </c>
      <c r="AP103" s="60">
        <f>(付费投放!AJ103+IFERROR(INDEX(真品获取算法!$C$6:$C$66,MATCH(U103,真品获取算法!G$6:G$66,1)),0)*AL103)/(IFERROR(INDEX(真品获取算法!$C$6:$C$66,MATCH(U103,真品获取算法!G$6:G$66,1)),0)+付费投放!AJ103)</f>
        <v>0.78620975482069633</v>
      </c>
      <c r="AQ103" s="60" t="e">
        <f>IFERROR(INDEX(真品获取算法!$C$6:$C$66,MATCH(W103,真品获取算法!I$6:I$66,1)),0)*AM103/(IFERROR(INDEX(真品获取算法!$C$6:$C$66,MATCH(W103,真品获取算法!I$6:I$66,1)),0)+付费投放!AL103)</f>
        <v>#DIV/0!</v>
      </c>
      <c r="AR103" s="60" t="e">
        <f>(付费投放!AL103+IFERROR(INDEX(真品获取算法!$C$6:$C$66,MATCH(W103,真品获取算法!I$6:I$66,1)),0)*AN103)/(IFERROR(INDEX(真品获取算法!$C$6:$C$66,MATCH(W103,真品获取算法!I$6:I$66,1)),0)+付费投放!AL103)</f>
        <v>#DIV/0!</v>
      </c>
    </row>
    <row r="104" spans="3:44" x14ac:dyDescent="0.15">
      <c r="C104" s="29">
        <f t="shared" si="25"/>
        <v>90</v>
      </c>
      <c r="D104" s="18">
        <f>求节点(节奏总纲!$F$4:$F$163,节奏总纲!$C$4:$C$163,$C104)</f>
        <v>69.982855616450394</v>
      </c>
      <c r="E104" s="18">
        <f>IFERROR(求节点(前期规划!$E$13:$E$23,前期规划!$B$13:$B$23,D104),0)</f>
        <v>10.218412359211198</v>
      </c>
      <c r="F104" s="63">
        <f>IFERROR(求节点(前期规划!$C$28:$C$35,前期规划!D$28:D$35,$D104),0)</f>
        <v>9</v>
      </c>
      <c r="G104" s="63">
        <f>IFERROR(求节点(前期规划!$C$28:$C$35,前期规划!E$28:E$35,$D104),0)</f>
        <v>9</v>
      </c>
      <c r="H104" s="63">
        <f>IFERROR(求节点(前期规划!$C$28:$C$35,前期规划!F$28:F$35,$D104),0)</f>
        <v>16.463996794545828</v>
      </c>
      <c r="I104" s="63">
        <f>IFERROR(求节点(前期规划!$C$28:$C$35,前期规划!G$28:G$35,$D104),0)</f>
        <v>2.9897133698702363</v>
      </c>
      <c r="J104" s="63">
        <f>IFERROR(求节点(前期规划!$C$28:$C$35,前期规划!H$28:H$35,$D104),0)</f>
        <v>0</v>
      </c>
      <c r="K104" s="63">
        <f>IFERROR(求节点(前期规划!$C$28:$C$35,前期规划!I$28:I$35,$D104),0)</f>
        <v>0</v>
      </c>
      <c r="L104" s="63">
        <f>MIN($E104-SUM(M104:$Q104),F104)</f>
        <v>0</v>
      </c>
      <c r="M104" s="63">
        <f>MIN($E104-SUM(N104:$Q104),G104)</f>
        <v>0</v>
      </c>
      <c r="N104" s="63">
        <f>MIN($E104-SUM(O104:$Q104),H104)</f>
        <v>7.2286989893409626</v>
      </c>
      <c r="O104" s="63">
        <f>MIN($E104-SUM(P104:$Q104),I104)</f>
        <v>2.9897133698702363</v>
      </c>
      <c r="P104" s="63">
        <f>MIN($E104-SUM(Q104:$Q104),J104)</f>
        <v>0</v>
      </c>
      <c r="Q104" s="69">
        <f t="shared" si="23"/>
        <v>0</v>
      </c>
      <c r="R104" s="64">
        <f>活动投放!AC104+付费投放!AA104</f>
        <v>29.401515151515152</v>
      </c>
      <c r="S104" s="64">
        <f>活动投放!AD104+付费投放!AB104</f>
        <v>29.401515151515152</v>
      </c>
      <c r="T104" s="64">
        <f>活动投放!AE104+付费投放!AC104</f>
        <v>21.007070707070707</v>
      </c>
      <c r="U104" s="64">
        <f>活动投放!AF104+付费投放!AD104</f>
        <v>9.0030303030303021</v>
      </c>
      <c r="V104" s="64">
        <f>活动投放!AG104+付费投放!AE104</f>
        <v>0.8666666666666667</v>
      </c>
      <c r="W104" s="64">
        <f>活动投放!AH104+付费投放!AF104</f>
        <v>9.629629629629631E-2</v>
      </c>
      <c r="X104" s="63">
        <f>MIN(IFERROR(INDEX(真品获取算法!$C$6:$C$66,MATCH(R104,真品获取算法!D$6:D$66,1)),0)+付费投放!AG104,前期规划!D$8)</f>
        <v>7</v>
      </c>
      <c r="Y104" s="63">
        <f>MIN(IFERROR(INDEX(真品获取算法!$C$6:$C$66,MATCH(S104,真品获取算法!E$6:E$66,1)),0)+付费投放!AH104,前期规划!E$8)</f>
        <v>7</v>
      </c>
      <c r="Z104" s="63">
        <f>MIN(IFERROR(INDEX(真品获取算法!$C$6:$C$66,MATCH(T104,真品获取算法!F$6:F$66,1)),0)+付费投放!AI104,前期规划!F$8)</f>
        <v>11</v>
      </c>
      <c r="AA104" s="63">
        <f>MIN(IFERROR(INDEX(真品获取算法!$C$6:$C$66,MATCH(U104,真品获取算法!G$6:G$66,1)),0)+付费投放!AJ104,前期规划!G$8)</f>
        <v>2.2853535353535355</v>
      </c>
      <c r="AB104" s="63">
        <f>MIN(IFERROR(INDEX(真品获取算法!$C$6:$C$66,MATCH(V104,真品获取算法!H$6:H$66,1)),0)+付费投放!AK104,前期规划!H$8)</f>
        <v>0</v>
      </c>
      <c r="AC104" s="63">
        <f>MIN(IFERROR(INDEX(真品获取算法!$C$6:$C$66,MATCH(W104,真品获取算法!I$6:I$66,1)),0)+付费投放!AL104,前期规划!I$8)</f>
        <v>1.9259259259259261E-2</v>
      </c>
      <c r="AD104" s="63">
        <f t="shared" si="24"/>
        <v>0.77777777777777779</v>
      </c>
      <c r="AE104" s="63">
        <f t="shared" si="18"/>
        <v>0.77777777777777779</v>
      </c>
      <c r="AF104" s="63">
        <f t="shared" si="19"/>
        <v>0.66812452269451761</v>
      </c>
      <c r="AG104" s="63">
        <f t="shared" si="20"/>
        <v>0.76440556422060202</v>
      </c>
      <c r="AH104" s="63">
        <f t="shared" si="21"/>
        <v>0</v>
      </c>
      <c r="AI104" s="63">
        <f t="shared" si="22"/>
        <v>0</v>
      </c>
      <c r="AK104" s="60">
        <f>活动投放!AF104/U104</f>
        <v>0.33322113766408618</v>
      </c>
      <c r="AL104" s="60">
        <f>付费投放!AD104/U104</f>
        <v>0.66677886233591377</v>
      </c>
      <c r="AM104" s="60">
        <f>活动投放!AH104/W104</f>
        <v>0</v>
      </c>
      <c r="AN104" s="60">
        <f>付费投放!AF104/W104</f>
        <v>1</v>
      </c>
      <c r="AO104" s="60">
        <f>IFERROR(INDEX(真品获取算法!$C$6:$C$66,MATCH(U104,真品获取算法!G$6:G$66,1)),0)*AK104/(IFERROR(INDEX(真品获取算法!$C$6:$C$66,MATCH(U104,真品获取算法!G$6:G$66,1)),0)+付费投放!AJ104)</f>
        <v>0.29161452047508979</v>
      </c>
      <c r="AP104" s="60">
        <f>(付费投放!AJ104+IFERROR(INDEX(真品获取算法!$C$6:$C$66,MATCH(U104,真品获取算法!G$6:G$66,1)),0)*AL104)/(IFERROR(INDEX(真品获取算法!$C$6:$C$66,MATCH(U104,真品获取算法!G$6:G$66,1)),0)+付费投放!AJ104)</f>
        <v>0.70838547952491004</v>
      </c>
      <c r="AQ104" s="60">
        <f>IFERROR(INDEX(真品获取算法!$C$6:$C$66,MATCH(W104,真品获取算法!I$6:I$66,1)),0)*AM104/(IFERROR(INDEX(真品获取算法!$C$6:$C$66,MATCH(W104,真品获取算法!I$6:I$66,1)),0)+付费投放!AL104)</f>
        <v>0</v>
      </c>
      <c r="AR104" s="60">
        <f>(付费投放!AL104+IFERROR(INDEX(真品获取算法!$C$6:$C$66,MATCH(W104,真品获取算法!I$6:I$66,1)),0)*AN104)/(IFERROR(INDEX(真品获取算法!$C$6:$C$66,MATCH(W104,真品获取算法!I$6:I$66,1)),0)+付费投放!AL104)</f>
        <v>1</v>
      </c>
    </row>
    <row r="105" spans="3:44" x14ac:dyDescent="0.15">
      <c r="C105" s="29">
        <f t="shared" si="25"/>
        <v>105</v>
      </c>
      <c r="D105" s="18">
        <f>求节点(节奏总纲!$F$4:$F$163,节奏总纲!$C$4:$C$163,$C105)</f>
        <v>72.23150684883845</v>
      </c>
      <c r="E105" s="18">
        <f>IFERROR(求节点(前期规划!$E$13:$E$23,前期规划!$B$13:$B$23,D105),0)</f>
        <v>10.718112633075211</v>
      </c>
      <c r="F105" s="63">
        <f>IFERROR(求节点(前期规划!$C$28:$C$35,前期规划!D$28:D$35,$D105),0)</f>
        <v>9</v>
      </c>
      <c r="G105" s="63">
        <f>IFERROR(求节点(前期规划!$C$28:$C$35,前期规划!E$28:E$35,$D105),0)</f>
        <v>9</v>
      </c>
      <c r="H105" s="63">
        <f>IFERROR(求节点(前期规划!$C$28:$C$35,前期规划!F$28:F$35,$D105),0)</f>
        <v>21.186164382560747</v>
      </c>
      <c r="I105" s="63">
        <f>IFERROR(求节点(前期规划!$C$28:$C$35,前期规划!G$28:G$35,$D105),0)</f>
        <v>4.33890410930307</v>
      </c>
      <c r="J105" s="63">
        <f>IFERROR(求节点(前期规划!$C$28:$C$35,前期规划!H$28:H$35,$D105),0)</f>
        <v>0</v>
      </c>
      <c r="K105" s="63">
        <f>IFERROR(求节点(前期规划!$C$28:$C$35,前期规划!I$28:I$35,$D105),0)</f>
        <v>0</v>
      </c>
      <c r="L105" s="63">
        <f>MIN($E105-SUM(M105:$Q105),F105)</f>
        <v>0</v>
      </c>
      <c r="M105" s="63">
        <f>MIN($E105-SUM(N105:$Q105),G105)</f>
        <v>0</v>
      </c>
      <c r="N105" s="63">
        <f>MIN($E105-SUM(O105:$Q105),H105)</f>
        <v>6.3792085237721414</v>
      </c>
      <c r="O105" s="63">
        <f>MIN($E105-SUM(P105:$Q105),I105)</f>
        <v>4.33890410930307</v>
      </c>
      <c r="P105" s="63">
        <f>MIN($E105-SUM(Q105:$Q105),J105)</f>
        <v>0</v>
      </c>
      <c r="Q105" s="69">
        <f t="shared" si="23"/>
        <v>0</v>
      </c>
      <c r="R105" s="64">
        <f>活动投放!AC105+付费投放!AA105</f>
        <v>32.151515151515156</v>
      </c>
      <c r="S105" s="64">
        <f>活动投放!AD105+付费投放!AB105</f>
        <v>32.151515151515156</v>
      </c>
      <c r="T105" s="64">
        <f>活动投放!AE105+付费投放!AC105</f>
        <v>26.529292929292929</v>
      </c>
      <c r="U105" s="64">
        <f>活动投放!AF105+付费投放!AD105</f>
        <v>11.369696969696967</v>
      </c>
      <c r="V105" s="64">
        <f>活动投放!AG105+付费投放!AE105</f>
        <v>1.7333333333333334</v>
      </c>
      <c r="W105" s="64">
        <f>活动投放!AH105+付费投放!AF105</f>
        <v>0.19259259259259262</v>
      </c>
      <c r="X105" s="63">
        <f>MIN(IFERROR(INDEX(真品获取算法!$C$6:$C$66,MATCH(R105,真品获取算法!D$6:D$66,1)),0)+付费投放!AG105,前期规划!D$8)</f>
        <v>7</v>
      </c>
      <c r="Y105" s="63">
        <f>MIN(IFERROR(INDEX(真品获取算法!$C$6:$C$66,MATCH(S105,真品获取算法!E$6:E$66,1)),0)+付费投放!AH105,前期规划!E$8)</f>
        <v>7</v>
      </c>
      <c r="Z105" s="63">
        <f>MIN(IFERROR(INDEX(真品获取算法!$C$6:$C$66,MATCH(T105,真品获取算法!F$6:F$66,1)),0)+付费投放!AI105,前期规划!F$8)</f>
        <v>13</v>
      </c>
      <c r="AA105" s="63">
        <f>MIN(IFERROR(INDEX(真品获取算法!$C$6:$C$66,MATCH(U105,真品获取算法!G$6:G$66,1)),0)+付费投放!AJ105,前期规划!G$8)</f>
        <v>3.3020202020202021</v>
      </c>
      <c r="AB105" s="63">
        <f>MIN(IFERROR(INDEX(真品获取算法!$C$6:$C$66,MATCH(V105,真品获取算法!H$6:H$66,1)),0)+付费投放!AK105,前期规划!H$8)</f>
        <v>1</v>
      </c>
      <c r="AC105" s="63">
        <f>MIN(IFERROR(INDEX(真品获取算法!$C$6:$C$66,MATCH(W105,真品获取算法!I$6:I$66,1)),0)+付费投放!AL105,前期规划!I$8)</f>
        <v>3.8518518518518521E-2</v>
      </c>
      <c r="AD105" s="63">
        <f t="shared" si="24"/>
        <v>0.77777777777777779</v>
      </c>
      <c r="AE105" s="63">
        <f t="shared" si="18"/>
        <v>0.77777777777777779</v>
      </c>
      <c r="AF105" s="63">
        <f t="shared" si="19"/>
        <v>0.61360800214978339</v>
      </c>
      <c r="AG105" s="63">
        <f t="shared" si="20"/>
        <v>0.76102631421153577</v>
      </c>
      <c r="AH105" s="63">
        <f t="shared" si="21"/>
        <v>0</v>
      </c>
      <c r="AI105" s="63">
        <f t="shared" si="22"/>
        <v>0</v>
      </c>
      <c r="AK105" s="60">
        <f>活动投放!AF105/U105</f>
        <v>0.36940298507462693</v>
      </c>
      <c r="AL105" s="60">
        <f>付费投放!AD105/U105</f>
        <v>0.63059701492537312</v>
      </c>
      <c r="AM105" s="60">
        <f>活动投放!AH105/W105</f>
        <v>0</v>
      </c>
      <c r="AN105" s="60">
        <f>付费投放!AF105/W105</f>
        <v>1</v>
      </c>
      <c r="AO105" s="60">
        <f>IFERROR(INDEX(真品获取算法!$C$6:$C$66,MATCH(U105,真品获取算法!G$6:G$66,1)),0)*AK105/(IFERROR(INDEX(真品获取算法!$C$6:$C$66,MATCH(U105,真品获取算法!G$6:G$66,1)),0)+付费投放!AJ105)</f>
        <v>0.33561543764810092</v>
      </c>
      <c r="AP105" s="60">
        <f>(付费投放!AJ105+IFERROR(INDEX(真品获取算法!$C$6:$C$66,MATCH(U105,真品获取算法!G$6:G$66,1)),0)*AL105)/(IFERROR(INDEX(真品获取算法!$C$6:$C$66,MATCH(U105,真品获取算法!G$6:G$66,1)),0)+付费投放!AJ105)</f>
        <v>0.66438456235189913</v>
      </c>
      <c r="AQ105" s="60">
        <f>IFERROR(INDEX(真品获取算法!$C$6:$C$66,MATCH(W105,真品获取算法!I$6:I$66,1)),0)*AM105/(IFERROR(INDEX(真品获取算法!$C$6:$C$66,MATCH(W105,真品获取算法!I$6:I$66,1)),0)+付费投放!AL105)</f>
        <v>0</v>
      </c>
      <c r="AR105" s="60">
        <f>(付费投放!AL105+IFERROR(INDEX(真品获取算法!$C$6:$C$66,MATCH(W105,真品获取算法!I$6:I$66,1)),0)*AN105)/(IFERROR(INDEX(真品获取算法!$C$6:$C$66,MATCH(W105,真品获取算法!I$6:I$66,1)),0)+付费投放!AL105)</f>
        <v>1</v>
      </c>
    </row>
    <row r="106" spans="3:44" x14ac:dyDescent="0.15">
      <c r="C106" s="29">
        <f t="shared" si="25"/>
        <v>120</v>
      </c>
      <c r="D106" s="18">
        <f>求节点(节奏总纲!$F$4:$F$163,节奏总纲!$C$4:$C$163,$C106)</f>
        <v>74.149428238300118</v>
      </c>
      <c r="E106" s="18">
        <f>IFERROR(求节点(前期规划!$E$13:$E$23,前期规划!$B$13:$B$23,D106),0)</f>
        <v>11.144317386288915</v>
      </c>
      <c r="F106" s="63">
        <f>IFERROR(求节点(前期规划!$C$28:$C$35,前期规划!D$28:D$35,$D106),0)</f>
        <v>9</v>
      </c>
      <c r="G106" s="63">
        <f>IFERROR(求节点(前期规划!$C$28:$C$35,前期规划!E$28:E$35,$D106),0)</f>
        <v>9</v>
      </c>
      <c r="H106" s="63">
        <f>IFERROR(求节点(前期规划!$C$28:$C$35,前期规划!F$28:F$35,$D106),0)</f>
        <v>25.213799300430249</v>
      </c>
      <c r="I106" s="63">
        <f>IFERROR(求节点(前期规划!$C$28:$C$35,前期规划!G$28:G$35,$D106),0)</f>
        <v>5.4896569429800701</v>
      </c>
      <c r="J106" s="63">
        <f>IFERROR(求节点(前期规划!$C$28:$C$35,前期规划!H$28:H$35,$D106),0)</f>
        <v>0</v>
      </c>
      <c r="K106" s="63">
        <f>IFERROR(求节点(前期规划!$C$28:$C$35,前期规划!I$28:I$35,$D106),0)</f>
        <v>0</v>
      </c>
      <c r="L106" s="63">
        <f>MIN($E106-SUM(M106:$Q106),F106)</f>
        <v>0</v>
      </c>
      <c r="M106" s="63">
        <f>MIN($E106-SUM(N106:$Q106),G106)</f>
        <v>0</v>
      </c>
      <c r="N106" s="63">
        <f>MIN($E106-SUM(O106:$Q106),H106)</f>
        <v>5.6546604433088445</v>
      </c>
      <c r="O106" s="63">
        <f>MIN($E106-SUM(P106:$Q106),I106)</f>
        <v>5.4896569429800701</v>
      </c>
      <c r="P106" s="63">
        <f>MIN($E106-SUM(Q106:$Q106),J106)</f>
        <v>0</v>
      </c>
      <c r="Q106" s="69">
        <f t="shared" si="23"/>
        <v>0</v>
      </c>
      <c r="R106" s="64">
        <f>活动投放!AC106+付费投放!AA106</f>
        <v>34.901515151515156</v>
      </c>
      <c r="S106" s="64">
        <f>活动投放!AD106+付费投放!AB106</f>
        <v>34.901515151515156</v>
      </c>
      <c r="T106" s="64">
        <f>活动投放!AE106+付费投放!AC106</f>
        <v>32.75151515151515</v>
      </c>
      <c r="U106" s="64">
        <f>活动投放!AF106+付费投放!AD106</f>
        <v>14.036363636363635</v>
      </c>
      <c r="V106" s="64">
        <f>活动投放!AG106+付费投放!AE106</f>
        <v>2.6</v>
      </c>
      <c r="W106" s="64">
        <f>活动投放!AH106+付费投放!AF106</f>
        <v>0.28888888888888892</v>
      </c>
      <c r="X106" s="63">
        <f>MIN(IFERROR(INDEX(真品获取算法!$C$6:$C$66,MATCH(R106,真品获取算法!D$6:D$66,1)),0)+付费投放!AG106,前期规划!D$8)</f>
        <v>8</v>
      </c>
      <c r="Y106" s="63">
        <f>MIN(IFERROR(INDEX(真品获取算法!$C$6:$C$66,MATCH(S106,真品获取算法!E$6:E$66,1)),0)+付费投放!AH106,前期规划!E$8)</f>
        <v>8</v>
      </c>
      <c r="Z106" s="63">
        <f>MIN(IFERROR(INDEX(真品获取算法!$C$6:$C$66,MATCH(T106,真品获取算法!F$6:F$66,1)),0)+付费投放!AI106,前期规划!F$8)</f>
        <v>15</v>
      </c>
      <c r="AA106" s="63">
        <f>MIN(IFERROR(INDEX(真品获取算法!$C$6:$C$66,MATCH(U106,真品获取算法!G$6:G$66,1)),0)+付费投放!AJ106,前期规划!G$8)</f>
        <v>3.3186868686868687</v>
      </c>
      <c r="AB106" s="63">
        <f>MIN(IFERROR(INDEX(真品获取算法!$C$6:$C$66,MATCH(V106,真品获取算法!H$6:H$66,1)),0)+付费投放!AK106,前期规划!H$8)</f>
        <v>2</v>
      </c>
      <c r="AC106" s="63">
        <f>MIN(IFERROR(INDEX(真品获取算法!$C$6:$C$66,MATCH(W106,真品获取算法!I$6:I$66,1)),0)+付费投放!AL106,前期规划!I$8)</f>
        <v>5.7777777777777782E-2</v>
      </c>
      <c r="AD106" s="63">
        <f t="shared" si="24"/>
        <v>0.88888888888888884</v>
      </c>
      <c r="AE106" s="63">
        <f t="shared" si="18"/>
        <v>0.88888888888888884</v>
      </c>
      <c r="AF106" s="63">
        <f t="shared" si="19"/>
        <v>0.59491232643166314</v>
      </c>
      <c r="AG106" s="63">
        <f t="shared" si="20"/>
        <v>0.60453447331179011</v>
      </c>
      <c r="AH106" s="63">
        <f t="shared" si="21"/>
        <v>0</v>
      </c>
      <c r="AI106" s="63">
        <f t="shared" si="22"/>
        <v>0</v>
      </c>
      <c r="AK106" s="60">
        <f>活动投放!AF106/U106</f>
        <v>0.40608808290155446</v>
      </c>
      <c r="AL106" s="60">
        <f>付费投放!AD106/U106</f>
        <v>0.59391191709844549</v>
      </c>
      <c r="AM106" s="60">
        <f>活动投放!AH106/W106</f>
        <v>0</v>
      </c>
      <c r="AN106" s="60">
        <f>付费投放!AF106/W106</f>
        <v>1</v>
      </c>
      <c r="AO106" s="60">
        <f>IFERROR(INDEX(真品获取算法!$C$6:$C$66,MATCH(U106,真品获取算法!G$6:G$66,1)),0)*AK106/(IFERROR(INDEX(真品获取算法!$C$6:$C$66,MATCH(U106,真品获取算法!G$6:G$66,1)),0)+付费投放!AJ106)</f>
        <v>0.36709225573508347</v>
      </c>
      <c r="AP106" s="60">
        <f>(付费投放!AJ106+IFERROR(INDEX(真品获取算法!$C$6:$C$66,MATCH(U106,真品获取算法!G$6:G$66,1)),0)*AL106)/(IFERROR(INDEX(真品获取算法!$C$6:$C$66,MATCH(U106,真品获取算法!G$6:G$66,1)),0)+付费投放!AJ106)</f>
        <v>0.63290774426491647</v>
      </c>
      <c r="AQ106" s="60">
        <f>IFERROR(INDEX(真品获取算法!$C$6:$C$66,MATCH(W106,真品获取算法!I$6:I$66,1)),0)*AM106/(IFERROR(INDEX(真品获取算法!$C$6:$C$66,MATCH(W106,真品获取算法!I$6:I$66,1)),0)+付费投放!AL106)</f>
        <v>0</v>
      </c>
      <c r="AR106" s="60">
        <f>(付费投放!AL106+IFERROR(INDEX(真品获取算法!$C$6:$C$66,MATCH(W106,真品获取算法!I$6:I$66,1)),0)*AN106)/(IFERROR(INDEX(真品获取算法!$C$6:$C$66,MATCH(W106,真品获取算法!I$6:I$66,1)),0)+付费投放!AL106)</f>
        <v>1</v>
      </c>
    </row>
    <row r="107" spans="3:44" x14ac:dyDescent="0.15">
      <c r="C107" s="29">
        <f t="shared" si="25"/>
        <v>150</v>
      </c>
      <c r="D107" s="18">
        <f>求节点(节奏总纲!$F$4:$F$163,节奏总纲!$C$4:$C$163,$C107)</f>
        <v>77.324097991611154</v>
      </c>
      <c r="E107" s="18">
        <f>IFERROR(求节点(前期规划!$E$13:$E$23,前期规划!$B$13:$B$23,D107),0)</f>
        <v>11.849799553691367</v>
      </c>
      <c r="F107" s="63">
        <f>IFERROR(求节点(前期规划!$C$28:$C$35,前期规划!D$28:D$35,$D107),0)</f>
        <v>9</v>
      </c>
      <c r="G107" s="63">
        <f>IFERROR(求节点(前期规划!$C$28:$C$35,前期规划!E$28:E$35,$D107),0)</f>
        <v>9</v>
      </c>
      <c r="H107" s="63">
        <f>IFERROR(求节点(前期规划!$C$28:$C$35,前期规划!F$28:F$35,$D107),0)</f>
        <v>27</v>
      </c>
      <c r="I107" s="63">
        <f>IFERROR(求节点(前期规划!$C$28:$C$35,前期规划!G$28:G$35,$D107),0)</f>
        <v>10.880605782383423</v>
      </c>
      <c r="J107" s="63">
        <f>IFERROR(求节点(前期规划!$C$28:$C$35,前期规划!H$28:H$35,$D107),0)</f>
        <v>1.3944587949666924</v>
      </c>
      <c r="K107" s="63">
        <f>IFERROR(求节点(前期规划!$C$28:$C$35,前期规划!I$28:I$35,$D107),0)</f>
        <v>0</v>
      </c>
      <c r="L107" s="63">
        <f>MIN($E107-SUM(M107:$Q107),F107)</f>
        <v>0</v>
      </c>
      <c r="M107" s="63">
        <f>MIN($E107-SUM(N107:$Q107),G107)</f>
        <v>0</v>
      </c>
      <c r="N107" s="63">
        <f>MIN($E107-SUM(O107:$Q107),H107)</f>
        <v>0</v>
      </c>
      <c r="O107" s="63">
        <f>MIN($E107-SUM(P107:$Q107),I107)</f>
        <v>10.455340758724676</v>
      </c>
      <c r="P107" s="63">
        <f>MIN($E107-SUM(Q107:$Q107),J107)</f>
        <v>1.3944587949666924</v>
      </c>
      <c r="Q107" s="69">
        <f t="shared" si="23"/>
        <v>0</v>
      </c>
      <c r="R107" s="64">
        <f>活动投放!AC107+付费投放!AA107</f>
        <v>40.401515151515156</v>
      </c>
      <c r="S107" s="64">
        <f>活动投放!AD107+付费投放!AB107</f>
        <v>40.401515151515156</v>
      </c>
      <c r="T107" s="64">
        <f>活动投放!AE107+付费投放!AC107</f>
        <v>45.195959595959593</v>
      </c>
      <c r="U107" s="64">
        <f>活动投放!AF107+付费投放!AD107</f>
        <v>19.369696969696967</v>
      </c>
      <c r="V107" s="64">
        <f>活动投放!AG107+付费投放!AE107</f>
        <v>6.1333333333333337</v>
      </c>
      <c r="W107" s="64">
        <f>活动投放!AH107+付费投放!AF107</f>
        <v>0.68148148148148158</v>
      </c>
      <c r="X107" s="63">
        <f>MIN(IFERROR(INDEX(真品获取算法!$C$6:$C$66,MATCH(R107,真品获取算法!D$6:D$66,1)),0)+付费投放!AG107,前期规划!D$8)</f>
        <v>8</v>
      </c>
      <c r="Y107" s="63">
        <f>MIN(IFERROR(INDEX(真品获取算法!$C$6:$C$66,MATCH(S107,真品获取算法!E$6:E$66,1)),0)+付费投放!AH107,前期规划!E$8)</f>
        <v>8</v>
      </c>
      <c r="Z107" s="63">
        <f>MIN(IFERROR(INDEX(真品获取算法!$C$6:$C$66,MATCH(T107,真品获取算法!F$6:F$66,1)),0)+付费投放!AI107,前期规划!F$8)</f>
        <v>18</v>
      </c>
      <c r="AA107" s="63">
        <f>MIN(IFERROR(INDEX(真品获取算法!$C$6:$C$66,MATCH(U107,真品获取算法!G$6:G$66,1)),0)+付费投放!AJ107,前期规划!G$8)</f>
        <v>5.3520202020202019</v>
      </c>
      <c r="AB107" s="63">
        <f>MIN(IFERROR(INDEX(真品获取算法!$C$6:$C$66,MATCH(V107,真品获取算法!H$6:H$66,1)),0)+付费投放!AK107,前期规划!H$8)</f>
        <v>5</v>
      </c>
      <c r="AC107" s="63">
        <f>MIN(IFERROR(INDEX(真品获取算法!$C$6:$C$66,MATCH(W107,真品获取算法!I$6:I$66,1)),0)+付费投放!AL107,前期规划!I$8)</f>
        <v>9.6296296296296297E-2</v>
      </c>
      <c r="AD107" s="63">
        <f t="shared" si="24"/>
        <v>0.88888888888888884</v>
      </c>
      <c r="AE107" s="63">
        <f t="shared" si="18"/>
        <v>0.88888888888888884</v>
      </c>
      <c r="AF107" s="63">
        <f t="shared" si="19"/>
        <v>0.66666666666666663</v>
      </c>
      <c r="AG107" s="63">
        <f t="shared" si="20"/>
        <v>0.49188623400781173</v>
      </c>
      <c r="AH107" s="63">
        <f t="shared" si="21"/>
        <v>3.5856204701404808</v>
      </c>
      <c r="AI107" s="63">
        <f t="shared" si="22"/>
        <v>0</v>
      </c>
      <c r="AK107" s="60">
        <f>活动投放!AF107/U107</f>
        <v>0.44915519399249065</v>
      </c>
      <c r="AL107" s="60">
        <f>付费投放!AD107/U107</f>
        <v>0.5508448060075094</v>
      </c>
      <c r="AM107" s="60">
        <f>活动投放!AH107/W107</f>
        <v>0.29347826086956519</v>
      </c>
      <c r="AN107" s="60">
        <f>付费投放!AF107/W107</f>
        <v>0.7065217391304347</v>
      </c>
      <c r="AO107" s="60">
        <f>IFERROR(INDEX(真品获取算法!$C$6:$C$66,MATCH(U107,真品获取算法!G$6:G$66,1)),0)*AK107/(IFERROR(INDEX(真品获取算法!$C$6:$C$66,MATCH(U107,真品获取算法!G$6:G$66,1)),0)+付费投放!AJ107)</f>
        <v>0.41961276026475958</v>
      </c>
      <c r="AP107" s="60">
        <f>(付费投放!AJ107+IFERROR(INDEX(真品获取算法!$C$6:$C$66,MATCH(U107,真品获取算法!G$6:G$66,1)),0)*AL107)/(IFERROR(INDEX(真品获取算法!$C$6:$C$66,MATCH(U107,真品获取算法!G$6:G$66,1)),0)+付费投放!AJ107)</f>
        <v>0.58038723973524042</v>
      </c>
      <c r="AQ107" s="60">
        <f>IFERROR(INDEX(真品获取算法!$C$6:$C$66,MATCH(W107,真品获取算法!I$6:I$66,1)),0)*AM107/(IFERROR(INDEX(真品获取算法!$C$6:$C$66,MATCH(W107,真品获取算法!I$6:I$66,1)),0)+付费投放!AL107)</f>
        <v>0</v>
      </c>
      <c r="AR107" s="60">
        <f>(付费投放!AL107+IFERROR(INDEX(真品获取算法!$C$6:$C$66,MATCH(W107,真品获取算法!I$6:I$66,1)),0)*AN107)/(IFERROR(INDEX(真品获取算法!$C$6:$C$66,MATCH(W107,真品获取算法!I$6:I$66,1)),0)+付费投放!AL107)</f>
        <v>1</v>
      </c>
    </row>
    <row r="108" spans="3:44" x14ac:dyDescent="0.15">
      <c r="C108" s="29">
        <f t="shared" si="25"/>
        <v>180</v>
      </c>
      <c r="D108" s="18">
        <f>求节点(节奏总纲!$F$4:$F$163,节奏总纲!$C$4:$C$163,$C108)</f>
        <v>79.97103607409106</v>
      </c>
      <c r="E108" s="18">
        <f>IFERROR(求节点(前期规划!$E$13:$E$23,前期规划!$B$13:$B$23,D108),0)</f>
        <v>12.394207214818213</v>
      </c>
      <c r="F108" s="63">
        <f>IFERROR(求节点(前期规划!$C$28:$C$35,前期规划!D$28:D$35,$D108),0)</f>
        <v>9</v>
      </c>
      <c r="G108" s="63">
        <f>IFERROR(求节点(前期规划!$C$28:$C$35,前期规划!E$28:E$35,$D108),0)</f>
        <v>9</v>
      </c>
      <c r="H108" s="63">
        <f>IFERROR(求节点(前期规划!$C$28:$C$35,前期规划!F$28:F$35,$D108),0)</f>
        <v>27</v>
      </c>
      <c r="I108" s="63">
        <f>IFERROR(求节点(前期规划!$C$28:$C$35,前期规划!G$28:G$35,$D108),0)</f>
        <v>16.439175755591229</v>
      </c>
      <c r="J108" s="63">
        <f>IFERROR(求节点(前期规划!$C$28:$C$35,前期规划!H$28:H$35,$D108),0)</f>
        <v>2.9826216444546358</v>
      </c>
      <c r="K108" s="63">
        <f>IFERROR(求节点(前期规划!$C$28:$C$35,前期规划!I$28:I$35,$D108),0)</f>
        <v>0</v>
      </c>
      <c r="L108" s="63">
        <f>MIN($E108-SUM(M108:$Q108),F108)</f>
        <v>0</v>
      </c>
      <c r="M108" s="63">
        <f>MIN($E108-SUM(N108:$Q108),G108)</f>
        <v>0</v>
      </c>
      <c r="N108" s="63">
        <f>MIN($E108-SUM(O108:$Q108),H108)</f>
        <v>0</v>
      </c>
      <c r="O108" s="63">
        <f>MIN($E108-SUM(P108:$Q108),I108)</f>
        <v>9.4115855703635773</v>
      </c>
      <c r="P108" s="63">
        <f>MIN($E108-SUM(Q108:$Q108),J108)</f>
        <v>2.9826216444546358</v>
      </c>
      <c r="Q108" s="69">
        <f t="shared" si="23"/>
        <v>0</v>
      </c>
      <c r="R108" s="64">
        <f>活动投放!AC108+付费投放!AA108</f>
        <v>45.901515151515156</v>
      </c>
      <c r="S108" s="64">
        <f>活动投放!AD108+付费投放!AB108</f>
        <v>45.901515151515156</v>
      </c>
      <c r="T108" s="64">
        <f>活动投放!AE108+付费投放!AC108</f>
        <v>57.640404040404036</v>
      </c>
      <c r="U108" s="64">
        <f>活动投放!AF108+付费投放!AD108</f>
        <v>24.7030303030303</v>
      </c>
      <c r="V108" s="64">
        <f>活动投放!AG108+付费投放!AE108</f>
        <v>9.6666666666666679</v>
      </c>
      <c r="W108" s="64">
        <f>活动投放!AH108+付费投放!AF108</f>
        <v>1.0740740740740742</v>
      </c>
      <c r="X108" s="63">
        <f>MIN(IFERROR(INDEX(真品获取算法!$C$6:$C$66,MATCH(R108,真品获取算法!D$6:D$66,1)),0)+付费投放!AG108,前期规划!D$8)</f>
        <v>8</v>
      </c>
      <c r="Y108" s="63">
        <f>MIN(IFERROR(INDEX(真品获取算法!$C$6:$C$66,MATCH(S108,真品获取算法!E$6:E$66,1)),0)+付费投放!AH108,前期规划!E$8)</f>
        <v>8</v>
      </c>
      <c r="Z108" s="63">
        <f>MIN(IFERROR(INDEX(真品获取算法!$C$6:$C$66,MATCH(T108,真品获取算法!F$6:F$66,1)),0)+付费投放!AI108,前期规划!F$8)</f>
        <v>21</v>
      </c>
      <c r="AA108" s="63">
        <f>MIN(IFERROR(INDEX(真品获取算法!$C$6:$C$66,MATCH(U108,真品获取算法!G$6:G$66,1)),0)+付费投放!AJ108,前期规划!G$8)</f>
        <v>6.3853535353535351</v>
      </c>
      <c r="AB108" s="63">
        <f>MIN(IFERROR(INDEX(真品获取算法!$C$6:$C$66,MATCH(V108,真品获取算法!H$6:H$66,1)),0)+付费投放!AK108,前期规划!H$8)</f>
        <v>8</v>
      </c>
      <c r="AC108" s="63">
        <f>MIN(IFERROR(INDEX(真品获取算法!$C$6:$C$66,MATCH(W108,真品获取算法!I$6:I$66,1)),0)+付费投放!AL108,前期规划!I$8)</f>
        <v>0.13481481481481483</v>
      </c>
      <c r="AD108" s="63">
        <f t="shared" si="24"/>
        <v>0.88888888888888884</v>
      </c>
      <c r="AE108" s="63">
        <f t="shared" si="18"/>
        <v>0.88888888888888884</v>
      </c>
      <c r="AF108" s="63">
        <f t="shared" si="19"/>
        <v>0.77777777777777779</v>
      </c>
      <c r="AG108" s="63">
        <f t="shared" si="20"/>
        <v>0.38842297389403924</v>
      </c>
      <c r="AH108" s="63">
        <f t="shared" si="21"/>
        <v>2.6822040988248705</v>
      </c>
      <c r="AI108" s="63">
        <f t="shared" si="22"/>
        <v>0</v>
      </c>
      <c r="AK108" s="60">
        <f>活动投放!AF108/U108</f>
        <v>0.47362610402355254</v>
      </c>
      <c r="AL108" s="60">
        <f>付费投放!AD108/U108</f>
        <v>0.52637389597644746</v>
      </c>
      <c r="AM108" s="60">
        <f>活动投放!AH108/W108</f>
        <v>0.37241379310344824</v>
      </c>
      <c r="AN108" s="60">
        <f>付费投放!AF108/W108</f>
        <v>0.62758620689655176</v>
      </c>
      <c r="AO108" s="60">
        <f>IFERROR(INDEX(真品获取算法!$C$6:$C$66,MATCH(U108,真品获取算法!G$6:G$66,1)),0)*AK108/(IFERROR(INDEX(真品获取算法!$C$6:$C$66,MATCH(U108,真品获取算法!G$6:G$66,1)),0)+付费投放!AJ108)</f>
        <v>0.44504295782644976</v>
      </c>
      <c r="AP108" s="60">
        <f>(付费投放!AJ108+IFERROR(INDEX(真品获取算法!$C$6:$C$66,MATCH(U108,真品获取算法!G$6:G$66,1)),0)*AL108)/(IFERROR(INDEX(真品获取算法!$C$6:$C$66,MATCH(U108,真品获取算法!G$6:G$66,1)),0)+付费投放!AJ108)</f>
        <v>0.55495704217355035</v>
      </c>
      <c r="AQ108" s="60">
        <f>IFERROR(INDEX(真品获取算法!$C$6:$C$66,MATCH(W108,真品获取算法!I$6:I$66,1)),0)*AM108/(IFERROR(INDEX(真品获取算法!$C$6:$C$66,MATCH(W108,真品获取算法!I$6:I$66,1)),0)+付费投放!AL108)</f>
        <v>0</v>
      </c>
      <c r="AR108" s="60">
        <f>(付费投放!AL108+IFERROR(INDEX(真品获取算法!$C$6:$C$66,MATCH(W108,真品获取算法!I$6:I$66,1)),0)*AN108)/(IFERROR(INDEX(真品获取算法!$C$6:$C$66,MATCH(W108,真品获取算法!I$6:I$66,1)),0)+付费投放!AL108)</f>
        <v>1</v>
      </c>
    </row>
    <row r="109" spans="3:44" x14ac:dyDescent="0.15">
      <c r="C109" s="29">
        <f t="shared" si="25"/>
        <v>210</v>
      </c>
      <c r="D109" s="18">
        <f>求节点(节奏总纲!$F$4:$F$163,节奏总纲!$C$4:$C$163,$C109)</f>
        <v>82.238672852681816</v>
      </c>
      <c r="E109" s="18">
        <f>IFERROR(求节点(前期规划!$E$13:$E$23,前期规划!$B$13:$B$23,D109),0)</f>
        <v>12.847734570536364</v>
      </c>
      <c r="F109" s="63">
        <f>IFERROR(求节点(前期规划!$C$28:$C$35,前期规划!D$28:D$35,$D109),0)</f>
        <v>9</v>
      </c>
      <c r="G109" s="63">
        <f>IFERROR(求节点(前期规划!$C$28:$C$35,前期规划!E$28:E$35,$D109),0)</f>
        <v>9</v>
      </c>
      <c r="H109" s="63">
        <f>IFERROR(求节点(前期规划!$C$28:$C$35,前期规划!F$28:F$35,$D109),0)</f>
        <v>27</v>
      </c>
      <c r="I109" s="63">
        <f>IFERROR(求节点(前期规划!$C$28:$C$35,前期规划!G$28:G$35,$D109),0)</f>
        <v>21.201212990631817</v>
      </c>
      <c r="J109" s="63">
        <f>IFERROR(求节点(前期规划!$C$28:$C$35,前期规划!H$28:H$35,$D109),0)</f>
        <v>4.3432037116090898</v>
      </c>
      <c r="K109" s="63">
        <f>IFERROR(求节点(前期规划!$C$28:$C$35,前期规划!I$28:I$35,$D109),0)</f>
        <v>0</v>
      </c>
      <c r="L109" s="63">
        <f>MIN($E109-SUM(M109:$Q109),F109)</f>
        <v>0</v>
      </c>
      <c r="M109" s="63">
        <f>MIN($E109-SUM(N109:$Q109),G109)</f>
        <v>0</v>
      </c>
      <c r="N109" s="63">
        <f>MIN($E109-SUM(O109:$Q109),H109)</f>
        <v>0</v>
      </c>
      <c r="O109" s="63">
        <f>MIN($E109-SUM(P109:$Q109),I109)</f>
        <v>8.504530858927275</v>
      </c>
      <c r="P109" s="63">
        <f>MIN($E109-SUM(Q109:$Q109),J109)</f>
        <v>4.3432037116090898</v>
      </c>
      <c r="Q109" s="69">
        <f t="shared" si="23"/>
        <v>0</v>
      </c>
      <c r="R109" s="64">
        <f>活动投放!AC109+付费投放!AA109</f>
        <v>51.401515151515156</v>
      </c>
      <c r="S109" s="64">
        <f>活动投放!AD109+付费投放!AB109</f>
        <v>51.401515151515156</v>
      </c>
      <c r="T109" s="64">
        <f>活动投放!AE109+付费投放!AC109</f>
        <v>70.084848484848479</v>
      </c>
      <c r="U109" s="64">
        <f>活动投放!AF109+付费投放!AD109</f>
        <v>30.036363636363632</v>
      </c>
      <c r="V109" s="64">
        <f>活动投放!AG109+付费投放!AE109</f>
        <v>15</v>
      </c>
      <c r="W109" s="64">
        <f>活动投放!AH109+付费投放!AF109</f>
        <v>1.666666666666667</v>
      </c>
      <c r="X109" s="63">
        <f>MIN(IFERROR(INDEX(真品获取算法!$C$6:$C$66,MATCH(R109,真品获取算法!D$6:D$66,1)),0)+付费投放!AG109,前期规划!D$8)</f>
        <v>9</v>
      </c>
      <c r="Y109" s="63">
        <f>MIN(IFERROR(INDEX(真品获取算法!$C$6:$C$66,MATCH(S109,真品获取算法!E$6:E$66,1)),0)+付费投放!AH109,前期规划!E$8)</f>
        <v>9</v>
      </c>
      <c r="Z109" s="63">
        <f>MIN(IFERROR(INDEX(真品获取算法!$C$6:$C$66,MATCH(T109,真品获取算法!F$6:F$66,1)),0)+付费投放!AI109,前期规划!F$8)</f>
        <v>23</v>
      </c>
      <c r="AA109" s="63">
        <f>MIN(IFERROR(INDEX(真品获取算法!$C$6:$C$66,MATCH(U109,真品获取算法!G$6:G$66,1)),0)+付费投放!AJ109,前期规划!G$8)</f>
        <v>7.4186868686868683</v>
      </c>
      <c r="AB109" s="63">
        <f>MIN(IFERROR(INDEX(真品获取算法!$C$6:$C$66,MATCH(V109,真品获取算法!H$6:H$66,1)),0)+付费投放!AK109,前期规划!H$8)</f>
        <v>12</v>
      </c>
      <c r="AC109" s="63">
        <f>MIN(IFERROR(INDEX(真品获取算法!$C$6:$C$66,MATCH(W109,真品获取算法!I$6:I$66,1)),0)+付费投放!AL109,前期规划!I$8)</f>
        <v>0.17333333333333334</v>
      </c>
      <c r="AD109" s="63">
        <f t="shared" si="24"/>
        <v>1</v>
      </c>
      <c r="AE109" s="63">
        <f t="shared" si="18"/>
        <v>1</v>
      </c>
      <c r="AF109" s="63">
        <f t="shared" si="19"/>
        <v>0.85185185185185186</v>
      </c>
      <c r="AG109" s="63">
        <f t="shared" si="20"/>
        <v>0.34991803874452676</v>
      </c>
      <c r="AH109" s="63">
        <f t="shared" si="21"/>
        <v>2.7629374067637702</v>
      </c>
      <c r="AI109" s="63">
        <f t="shared" si="22"/>
        <v>0</v>
      </c>
      <c r="AK109" s="60">
        <f>活动投放!AF109/U109</f>
        <v>0.48940677966101698</v>
      </c>
      <c r="AL109" s="60">
        <f>付费投放!AD109/U109</f>
        <v>0.51059322033898302</v>
      </c>
      <c r="AM109" s="60">
        <f>活动投放!AH109/W109</f>
        <v>0.47999999999999993</v>
      </c>
      <c r="AN109" s="60">
        <f>付费投放!AF109/W109</f>
        <v>0.52</v>
      </c>
      <c r="AO109" s="60">
        <f>IFERROR(INDEX(真品获取算法!$C$6:$C$66,MATCH(U109,真品获取算法!G$6:G$66,1)),0)*AK109/(IFERROR(INDEX(真品获取算法!$C$6:$C$66,MATCH(U109,真品获取算法!G$6:G$66,1)),0)+付费投放!AJ109)</f>
        <v>0.46178623228958376</v>
      </c>
      <c r="AP109" s="60">
        <f>(付费投放!AJ109+IFERROR(INDEX(真品获取算法!$C$6:$C$66,MATCH(U109,真品获取算法!G$6:G$66,1)),0)*AL109)/(IFERROR(INDEX(真品获取算法!$C$6:$C$66,MATCH(U109,真品获取算法!G$6:G$66,1)),0)+付费投放!AJ109)</f>
        <v>0.53821376771041629</v>
      </c>
      <c r="AQ109" s="60">
        <f>IFERROR(INDEX(真品获取算法!$C$6:$C$66,MATCH(W109,真品获取算法!I$6:I$66,1)),0)*AM109/(IFERROR(INDEX(真品获取算法!$C$6:$C$66,MATCH(W109,真品获取算法!I$6:I$66,1)),0)+付费投放!AL109)</f>
        <v>0</v>
      </c>
      <c r="AR109" s="60">
        <f>(付费投放!AL109+IFERROR(INDEX(真品获取算法!$C$6:$C$66,MATCH(W109,真品获取算法!I$6:I$66,1)),0)*AN109)/(IFERROR(INDEX(真品获取算法!$C$6:$C$66,MATCH(W109,真品获取算法!I$6:I$66,1)),0)+付费投放!AL109)</f>
        <v>1</v>
      </c>
    </row>
    <row r="110" spans="3:44" x14ac:dyDescent="0.15">
      <c r="C110" s="29">
        <f t="shared" si="25"/>
        <v>240</v>
      </c>
      <c r="D110" s="18">
        <f>求节点(节奏总纲!$F$4:$F$163,节奏总纲!$C$4:$C$163,$C110)</f>
        <v>84.163908914135135</v>
      </c>
      <c r="E110" s="18">
        <f>IFERROR(求节点(前期规划!$E$13:$E$23,前期规划!$B$13:$B$23,D110),0)</f>
        <v>13.232781782827027</v>
      </c>
      <c r="F110" s="63">
        <f>IFERROR(求节点(前期规划!$C$28:$C$35,前期规划!D$28:D$35,$D110),0)</f>
        <v>9</v>
      </c>
      <c r="G110" s="63">
        <f>IFERROR(求节点(前期规划!$C$28:$C$35,前期规划!E$28:E$35,$D110),0)</f>
        <v>9</v>
      </c>
      <c r="H110" s="63">
        <f>IFERROR(求节点(前期规划!$C$28:$C$35,前期规划!F$28:F$35,$D110),0)</f>
        <v>27</v>
      </c>
      <c r="I110" s="63">
        <f>IFERROR(求节点(前期规划!$C$28:$C$35,前期规划!G$28:G$35,$D110),0)</f>
        <v>25.244208719683783</v>
      </c>
      <c r="J110" s="63">
        <f>IFERROR(求节点(前期规划!$C$28:$C$35,前期规划!H$28:H$35,$D110),0)</f>
        <v>5.4983453484810809</v>
      </c>
      <c r="K110" s="63">
        <f>IFERROR(求节点(前期规划!$C$28:$C$35,前期规划!I$28:I$35,$D110),0)</f>
        <v>0</v>
      </c>
      <c r="L110" s="63">
        <f>MIN($E110-SUM(M110:$Q110),F110)</f>
        <v>0</v>
      </c>
      <c r="M110" s="63">
        <f>MIN($E110-SUM(N110:$Q110),G110)</f>
        <v>0</v>
      </c>
      <c r="N110" s="63">
        <f>MIN($E110-SUM(O110:$Q110),H110)</f>
        <v>0</v>
      </c>
      <c r="O110" s="63">
        <f>MIN($E110-SUM(P110:$Q110),I110)</f>
        <v>7.7344364343459464</v>
      </c>
      <c r="P110" s="63">
        <f>MIN($E110-SUM(Q110:$Q110),J110)</f>
        <v>5.4983453484810809</v>
      </c>
      <c r="Q110" s="69">
        <f t="shared" si="23"/>
        <v>0</v>
      </c>
      <c r="R110" s="64">
        <f>活动投放!AC110+付费投放!AA110</f>
        <v>56.901515151515156</v>
      </c>
      <c r="S110" s="64">
        <f>活动投放!AD110+付费投放!AB110</f>
        <v>56.901515151515156</v>
      </c>
      <c r="T110" s="64">
        <f>活动投放!AE110+付费投放!AC110</f>
        <v>82.529292929292922</v>
      </c>
      <c r="U110" s="64">
        <f>活动投放!AF110+付费投放!AD110</f>
        <v>35.36969696969696</v>
      </c>
      <c r="V110" s="64">
        <f>活动投放!AG110+付费投放!AE110</f>
        <v>22.133333333333333</v>
      </c>
      <c r="W110" s="64">
        <f>活动投放!AH110+付费投放!AF110</f>
        <v>2.4592592592592597</v>
      </c>
      <c r="X110" s="63">
        <f>MIN(IFERROR(INDEX(真品获取算法!$C$6:$C$66,MATCH(R110,真品获取算法!D$6:D$66,1)),0)+付费投放!AG110,前期规划!D$8)</f>
        <v>9</v>
      </c>
      <c r="Y110" s="63">
        <f>MIN(IFERROR(INDEX(真品获取算法!$C$6:$C$66,MATCH(S110,真品获取算法!E$6:E$66,1)),0)+付费投放!AH110,前期规划!E$8)</f>
        <v>9</v>
      </c>
      <c r="Z110" s="63">
        <f>MIN(IFERROR(INDEX(真品获取算法!$C$6:$C$66,MATCH(T110,真品获取算法!F$6:F$66,1)),0)+付费投放!AI110,前期规划!F$8)</f>
        <v>24</v>
      </c>
      <c r="AA110" s="63">
        <f>MIN(IFERROR(INDEX(真品获取算法!$C$6:$C$66,MATCH(U110,真品获取算法!G$6:G$66,1)),0)+付费投放!AJ110,前期规划!G$8)</f>
        <v>8.4520202020202024</v>
      </c>
      <c r="AB110" s="63">
        <f>MIN(IFERROR(INDEX(真品获取算法!$C$6:$C$66,MATCH(V110,真品获取算法!H$6:H$66,1)),0)+付费投放!AK110,前期规划!H$8)</f>
        <v>17</v>
      </c>
      <c r="AC110" s="63">
        <f>MIN(IFERROR(INDEX(真品获取算法!$C$6:$C$66,MATCH(W110,真品获取算法!I$6:I$66,1)),0)+付费投放!AL110,前期规划!I$8)</f>
        <v>0.21185185185185185</v>
      </c>
      <c r="AD110" s="63">
        <f t="shared" si="24"/>
        <v>1</v>
      </c>
      <c r="AE110" s="63">
        <f t="shared" si="18"/>
        <v>1</v>
      </c>
      <c r="AF110" s="63">
        <f t="shared" si="19"/>
        <v>0.88888888888888884</v>
      </c>
      <c r="AG110" s="63">
        <f t="shared" si="20"/>
        <v>0.33481026463823638</v>
      </c>
      <c r="AH110" s="63">
        <f t="shared" si="21"/>
        <v>3.0918392575497742</v>
      </c>
      <c r="AI110" s="63">
        <f t="shared" si="22"/>
        <v>0</v>
      </c>
      <c r="AK110" s="60">
        <f>活动投放!AF110/U110</f>
        <v>0.50042837559972597</v>
      </c>
      <c r="AL110" s="60">
        <f>付费投放!AD110/U110</f>
        <v>0.49957162440027414</v>
      </c>
      <c r="AM110" s="60">
        <f>活动投放!AH110/W110</f>
        <v>0.56927710843373491</v>
      </c>
      <c r="AN110" s="60">
        <f>付费投放!AF110/W110</f>
        <v>0.43072289156626503</v>
      </c>
      <c r="AO110" s="60">
        <f>IFERROR(INDEX(真品获取算法!$C$6:$C$66,MATCH(U110,真品获取算法!G$6:G$66,1)),0)*AK110/(IFERROR(INDEX(真品获取算法!$C$6:$C$66,MATCH(U110,真品获取算法!G$6:G$66,1)),0)+付费投放!AJ110)</f>
        <v>0.47366510125483474</v>
      </c>
      <c r="AP110" s="60">
        <f>(付费投放!AJ110+IFERROR(INDEX(真品获取算法!$C$6:$C$66,MATCH(U110,真品获取算法!G$6:G$66,1)),0)*AL110)/(IFERROR(INDEX(真品获取算法!$C$6:$C$66,MATCH(U110,真品获取算法!G$6:G$66,1)),0)+付费投放!AJ110)</f>
        <v>0.52633489874516537</v>
      </c>
      <c r="AQ110" s="60">
        <f>IFERROR(INDEX(真品获取算法!$C$6:$C$66,MATCH(W110,真品获取算法!I$6:I$66,1)),0)*AM110/(IFERROR(INDEX(真品获取算法!$C$6:$C$66,MATCH(W110,真品获取算法!I$6:I$66,1)),0)+付费投放!AL110)</f>
        <v>0</v>
      </c>
      <c r="AR110" s="60">
        <f>(付费投放!AL110+IFERROR(INDEX(真品获取算法!$C$6:$C$66,MATCH(W110,真品获取算法!I$6:I$66,1)),0)*AN110)/(IFERROR(INDEX(真品获取算法!$C$6:$C$66,MATCH(W110,真品获取算法!I$6:I$66,1)),0)+付费投放!AL110)</f>
        <v>1</v>
      </c>
    </row>
    <row r="111" spans="3:44" x14ac:dyDescent="0.15">
      <c r="C111" s="29">
        <f t="shared" si="25"/>
        <v>270</v>
      </c>
      <c r="D111" s="18">
        <f>求节点(节奏总纲!$F$4:$F$163,节奏总纲!$C$4:$C$163,$C111)</f>
        <v>85.878108880436827</v>
      </c>
      <c r="E111" s="18">
        <f>IFERROR(求节点(前期规划!$E$13:$E$23,前期规划!$B$13:$B$23,D111),0)</f>
        <v>13.575621776087365</v>
      </c>
      <c r="F111" s="63">
        <f>IFERROR(求节点(前期规划!$C$28:$C$35,前期规划!D$28:D$35,$D111),0)</f>
        <v>9</v>
      </c>
      <c r="G111" s="63">
        <f>IFERROR(求节点(前期规划!$C$28:$C$35,前期规划!E$28:E$35,$D111),0)</f>
        <v>9</v>
      </c>
      <c r="H111" s="63">
        <f>IFERROR(求节点(前期规划!$C$28:$C$35,前期规划!F$28:F$35,$D111),0)</f>
        <v>27</v>
      </c>
      <c r="I111" s="63">
        <f>IFERROR(求节点(前期规划!$C$28:$C$35,前期规划!G$28:G$35,$D111),0)</f>
        <v>27</v>
      </c>
      <c r="J111" s="63">
        <f>IFERROR(求节点(前期规划!$C$28:$C$35,前期规划!H$28:H$35,$D111),0)</f>
        <v>10.741787954358864</v>
      </c>
      <c r="K111" s="63">
        <f>IFERROR(求节点(前期规划!$C$28:$C$35,前期规划!I$28:I$35,$D111),0)</f>
        <v>0.26343266413104799</v>
      </c>
      <c r="L111" s="63">
        <f>MIN($E111-SUM(M111:$Q111),F111)</f>
        <v>0</v>
      </c>
      <c r="M111" s="63">
        <f>MIN($E111-SUM(N111:$Q111),G111)</f>
        <v>0</v>
      </c>
      <c r="N111" s="63">
        <f>MIN($E111-SUM(O111:$Q111),H111)</f>
        <v>0</v>
      </c>
      <c r="O111" s="63">
        <f>MIN($E111-SUM(P111:$Q111),I111)</f>
        <v>2.5704011575974519</v>
      </c>
      <c r="P111" s="63">
        <f>MIN($E111-SUM(Q111:$Q111),J111)</f>
        <v>10.741787954358864</v>
      </c>
      <c r="Q111" s="69">
        <f t="shared" si="23"/>
        <v>0.26343266413104799</v>
      </c>
      <c r="R111" s="64">
        <f>活动投放!AC111+付费投放!AA111</f>
        <v>62.401515151515156</v>
      </c>
      <c r="S111" s="64">
        <f>活动投放!AD111+付费投放!AB111</f>
        <v>62.401515151515156</v>
      </c>
      <c r="T111" s="64">
        <f>活动投放!AE111+付费投放!AC111</f>
        <v>94.973737373737364</v>
      </c>
      <c r="U111" s="64">
        <f>活动投放!AF111+付费投放!AD111</f>
        <v>40.703030303030296</v>
      </c>
      <c r="V111" s="64">
        <f>活动投放!AG111+付费投放!AE111</f>
        <v>29.266666666666669</v>
      </c>
      <c r="W111" s="64">
        <f>活动投放!AH111+付费投放!AF111</f>
        <v>3.251851851851852</v>
      </c>
      <c r="X111" s="63">
        <f>MIN(IFERROR(INDEX(真品获取算法!$C$6:$C$66,MATCH(R111,真品获取算法!D$6:D$66,1)),0)+付费投放!AG111,前期规划!D$8)</f>
        <v>9</v>
      </c>
      <c r="Y111" s="63">
        <f>MIN(IFERROR(INDEX(真品获取算法!$C$6:$C$66,MATCH(S111,真品获取算法!E$6:E$66,1)),0)+付费投放!AH111,前期规划!E$8)</f>
        <v>9</v>
      </c>
      <c r="Z111" s="63">
        <f>MIN(IFERROR(INDEX(真品获取算法!$C$6:$C$66,MATCH(T111,真品获取算法!F$6:F$66,1)),0)+付费投放!AI111,前期规划!F$8)</f>
        <v>25</v>
      </c>
      <c r="AA111" s="63">
        <f>MIN(IFERROR(INDEX(真品获取算法!$C$6:$C$66,MATCH(U111,真品获取算法!G$6:G$66,1)),0)+付费投放!AJ111,前期规划!G$8)</f>
        <v>10.485353535353536</v>
      </c>
      <c r="AB111" s="63">
        <f>MIN(IFERROR(INDEX(真品获取算法!$C$6:$C$66,MATCH(V111,真品获取算法!H$6:H$66,1)),0)+付费投放!AK111,前期规划!H$8)</f>
        <v>21</v>
      </c>
      <c r="AC111" s="63">
        <f>MIN(IFERROR(INDEX(真品获取算法!$C$6:$C$66,MATCH(W111,真品获取算法!I$6:I$66,1)),0)+付费投放!AL111,前期规划!I$8)</f>
        <v>0.25037037037037035</v>
      </c>
      <c r="AD111" s="63">
        <f t="shared" si="24"/>
        <v>1</v>
      </c>
      <c r="AE111" s="63">
        <f t="shared" si="18"/>
        <v>1</v>
      </c>
      <c r="AF111" s="63">
        <f t="shared" si="19"/>
        <v>0.92592592592592593</v>
      </c>
      <c r="AG111" s="63">
        <f t="shared" si="20"/>
        <v>0.38834642723531615</v>
      </c>
      <c r="AH111" s="63">
        <f t="shared" si="21"/>
        <v>1.9549818046332315</v>
      </c>
      <c r="AI111" s="63">
        <f t="shared" si="22"/>
        <v>0.9504150565239714</v>
      </c>
      <c r="AK111" s="60">
        <f>活动投放!AF111/U111</f>
        <v>0.50856164383561653</v>
      </c>
      <c r="AL111" s="60">
        <f>付费投放!AD111/U111</f>
        <v>0.49143835616438347</v>
      </c>
      <c r="AM111" s="60">
        <f>活动投放!AH111/W111</f>
        <v>0.61503416856492021</v>
      </c>
      <c r="AN111" s="60">
        <f>付费投放!AF111/W111</f>
        <v>0.38496583143507973</v>
      </c>
      <c r="AO111" s="60">
        <f>IFERROR(INDEX(真品获取算法!$C$6:$C$66,MATCH(U111,真品获取算法!G$6:G$66,1)),0)*AK111/(IFERROR(INDEX(真品获取算法!$C$6:$C$66,MATCH(U111,真品获取算法!G$6:G$66,1)),0)+付费投放!AJ111)</f>
        <v>0.48502097914094733</v>
      </c>
      <c r="AP111" s="60">
        <f>(付费投放!AJ111+IFERROR(INDEX(真品获取算法!$C$6:$C$66,MATCH(U111,真品获取算法!G$6:G$66,1)),0)*AL111)/(IFERROR(INDEX(真品获取算法!$C$6:$C$66,MATCH(U111,真品获取算法!G$6:G$66,1)),0)+付费投放!AJ111)</f>
        <v>0.51497902085905267</v>
      </c>
      <c r="AQ111" s="60">
        <f>IFERROR(INDEX(真品获取算法!$C$6:$C$66,MATCH(W111,真品获取算法!I$6:I$66,1)),0)*AM111/(IFERROR(INDEX(真品获取算法!$C$6:$C$66,MATCH(W111,真品获取算法!I$6:I$66,1)),0)+付费投放!AL111)</f>
        <v>0</v>
      </c>
      <c r="AR111" s="60">
        <f>(付费投放!AL111+IFERROR(INDEX(真品获取算法!$C$6:$C$66,MATCH(W111,真品获取算法!I$6:I$66,1)),0)*AN111)/(IFERROR(INDEX(真品获取算法!$C$6:$C$66,MATCH(W111,真品获取算法!I$6:I$66,1)),0)+付费投放!AL111)</f>
        <v>1</v>
      </c>
    </row>
    <row r="112" spans="3:44" x14ac:dyDescent="0.15">
      <c r="C112" s="29">
        <f t="shared" si="25"/>
        <v>300</v>
      </c>
      <c r="D112" s="18">
        <f>求节点(节奏总纲!$F$4:$F$163,节奏总纲!$C$4:$C$163,$C112)</f>
        <v>87.370536081129359</v>
      </c>
      <c r="E112" s="18">
        <f>IFERROR(求节点(前期规划!$E$13:$E$23,前期规划!$B$13:$B$23,D112),0)</f>
        <v>13.874107216225871</v>
      </c>
      <c r="F112" s="63">
        <f>IFERROR(求节点(前期规划!$C$28:$C$35,前期规划!D$28:D$35,$D112),0)</f>
        <v>9</v>
      </c>
      <c r="G112" s="63">
        <f>IFERROR(求节点(前期规划!$C$28:$C$35,前期规划!E$28:E$35,$D112),0)</f>
        <v>9</v>
      </c>
      <c r="H112" s="63">
        <f>IFERROR(求节点(前期规划!$C$28:$C$35,前期规划!F$28:F$35,$D112),0)</f>
        <v>27</v>
      </c>
      <c r="I112" s="63">
        <f>IFERROR(求节点(前期规划!$C$28:$C$35,前期规划!G$28:G$35,$D112),0)</f>
        <v>27</v>
      </c>
      <c r="J112" s="63">
        <f>IFERROR(求节点(前期规划!$C$28:$C$35,前期规划!H$28:H$35,$D112),0)</f>
        <v>18.800894838098536</v>
      </c>
      <c r="K112" s="63">
        <f>IFERROR(求节点(前期规划!$C$28:$C$35,前期规划!I$28:I$35,$D112),0)</f>
        <v>0.71116082433880756</v>
      </c>
      <c r="L112" s="63">
        <f>MIN($E112-SUM(M112:$Q112),F112)</f>
        <v>0</v>
      </c>
      <c r="M112" s="63">
        <f>MIN($E112-SUM(N112:$Q112),G112)</f>
        <v>0</v>
      </c>
      <c r="N112" s="63">
        <f>MIN($E112-SUM(O112:$Q112),H112)</f>
        <v>0</v>
      </c>
      <c r="O112" s="63">
        <f>MIN($E112-SUM(P112:$Q112),I112)</f>
        <v>0</v>
      </c>
      <c r="P112" s="63">
        <f>MIN($E112-SUM(Q112:$Q112),J112)</f>
        <v>13.162946391887063</v>
      </c>
      <c r="Q112" s="69">
        <f t="shared" si="23"/>
        <v>0.71116082433880756</v>
      </c>
      <c r="R112" s="64">
        <f>活动投放!AC112+付费投放!AA112</f>
        <v>67.901515151515156</v>
      </c>
      <c r="S112" s="64">
        <f>活动投放!AD112+付费投放!AB112</f>
        <v>67.901515151515156</v>
      </c>
      <c r="T112" s="64">
        <f>活动投放!AE112+付费投放!AC112</f>
        <v>107.41818181818181</v>
      </c>
      <c r="U112" s="64">
        <f>活动投放!AF112+付费投放!AD112</f>
        <v>46.036363636363632</v>
      </c>
      <c r="V112" s="64">
        <f>活动投放!AG112+付费投放!AE112</f>
        <v>38.200000000000003</v>
      </c>
      <c r="W112" s="64">
        <f>活动投放!AH112+付费投放!AF112</f>
        <v>4.2444444444444454</v>
      </c>
      <c r="X112" s="63">
        <f>MIN(IFERROR(INDEX(真品获取算法!$C$6:$C$66,MATCH(R112,真品获取算法!D$6:D$66,1)),0)+付费投放!AG112,前期规划!D$8)</f>
        <v>9</v>
      </c>
      <c r="Y112" s="63">
        <f>MIN(IFERROR(INDEX(真品获取算法!$C$6:$C$66,MATCH(S112,真品获取算法!E$6:E$66,1)),0)+付费投放!AH112,前期规划!E$8)</f>
        <v>9</v>
      </c>
      <c r="Z112" s="63">
        <f>MIN(IFERROR(INDEX(真品获取算法!$C$6:$C$66,MATCH(T112,真品获取算法!F$6:F$66,1)),0)+付费投放!AI112,前期规划!F$8)</f>
        <v>25</v>
      </c>
      <c r="AA112" s="63">
        <f>MIN(IFERROR(INDEX(真品获取算法!$C$6:$C$66,MATCH(U112,真品获取算法!G$6:G$66,1)),0)+付费投放!AJ112,前期规划!G$8)</f>
        <v>11.518686868686869</v>
      </c>
      <c r="AB112" s="63">
        <f>MIN(IFERROR(INDEX(真品获取算法!$C$6:$C$66,MATCH(V112,真品获取算法!H$6:H$66,1)),0)+付费投放!AK112,前期规划!H$8)</f>
        <v>26</v>
      </c>
      <c r="AC112" s="63">
        <f>MIN(IFERROR(INDEX(真品获取算法!$C$6:$C$66,MATCH(W112,真品获取算法!I$6:I$66,1)),0)+付费投放!AL112,前期规划!I$8)</f>
        <v>0.28888888888888886</v>
      </c>
      <c r="AD112" s="63">
        <f t="shared" si="24"/>
        <v>1</v>
      </c>
      <c r="AE112" s="63">
        <f t="shared" si="18"/>
        <v>1</v>
      </c>
      <c r="AF112" s="63">
        <f t="shared" si="19"/>
        <v>0.92592592592592593</v>
      </c>
      <c r="AG112" s="63">
        <f t="shared" si="20"/>
        <v>0.42661803217358774</v>
      </c>
      <c r="AH112" s="63">
        <f t="shared" si="21"/>
        <v>1.3829128998324614</v>
      </c>
      <c r="AI112" s="63">
        <f t="shared" si="22"/>
        <v>0.40622160136208224</v>
      </c>
      <c r="AK112" s="60">
        <f>活动投放!AF112/U112</f>
        <v>0.51481042654028442</v>
      </c>
      <c r="AL112" s="60">
        <f>付费投放!AD112/U112</f>
        <v>0.48518957345971553</v>
      </c>
      <c r="AM112" s="60">
        <f>活动投放!AH112/W112</f>
        <v>0.65968586387434547</v>
      </c>
      <c r="AN112" s="60">
        <f>付费投放!AF112/W112</f>
        <v>0.34031413612565442</v>
      </c>
      <c r="AO112" s="60">
        <f>IFERROR(INDEX(真品获取算法!$C$6:$C$66,MATCH(U112,真品获取算法!G$6:G$66,1)),0)*AK112/(IFERROR(INDEX(真品获取算法!$C$6:$C$66,MATCH(U112,真品获取算法!G$6:G$66,1)),0)+付费投放!AJ112)</f>
        <v>0.4916284952009205</v>
      </c>
      <c r="AP112" s="60">
        <f>(付费投放!AJ112+IFERROR(INDEX(真品获取算法!$C$6:$C$66,MATCH(U112,真品获取算法!G$6:G$66,1)),0)*AL112)/(IFERROR(INDEX(真品获取算法!$C$6:$C$66,MATCH(U112,真品获取算法!G$6:G$66,1)),0)+付费投放!AJ112)</f>
        <v>0.50837150479907944</v>
      </c>
      <c r="AQ112" s="60">
        <f>IFERROR(INDEX(真品获取算法!$C$6:$C$66,MATCH(W112,真品获取算法!I$6:I$66,1)),0)*AM112/(IFERROR(INDEX(真品获取算法!$C$6:$C$66,MATCH(W112,真品获取算法!I$6:I$66,1)),0)+付费投放!AL112)</f>
        <v>0</v>
      </c>
      <c r="AR112" s="60">
        <f>(付费投放!AL112+IFERROR(INDEX(真品获取算法!$C$6:$C$66,MATCH(W112,真品获取算法!I$6:I$66,1)),0)*AN112)/(IFERROR(INDEX(真品获取算法!$C$6:$C$66,MATCH(W112,真品获取算法!I$6:I$66,1)),0)+付费投放!AL112)</f>
        <v>1</v>
      </c>
    </row>
    <row r="113" spans="3:44" x14ac:dyDescent="0.15">
      <c r="C113" s="29">
        <f t="shared" si="25"/>
        <v>360</v>
      </c>
      <c r="D113" s="18">
        <f>求节点(节奏总纲!$F$4:$F$163,节奏总纲!$C$4:$C$163,$C113)</f>
        <v>90.241691698216215</v>
      </c>
      <c r="E113" s="18">
        <f>IFERROR(求节点(前期规划!$E$13:$E$23,前期规划!$B$13:$B$23,D113),0)</f>
        <v>14.407580308766585</v>
      </c>
      <c r="F113" s="63">
        <f>IFERROR(求节点(前期规划!$C$28:$C$35,前期规划!D$28:D$35,$D113),0)</f>
        <v>9</v>
      </c>
      <c r="G113" s="63">
        <f>IFERROR(求节点(前期规划!$C$28:$C$35,前期规划!E$28:E$35,$D113),0)</f>
        <v>9</v>
      </c>
      <c r="H113" s="63">
        <f>IFERROR(求节点(前期规划!$C$28:$C$35,前期规划!F$28:F$35,$D113),0)</f>
        <v>27</v>
      </c>
      <c r="I113" s="63">
        <f>IFERROR(求节点(前期规划!$C$28:$C$35,前期规划!G$28:G$35,$D113),0)</f>
        <v>27</v>
      </c>
      <c r="J113" s="63">
        <f>IFERROR(求节点(前期规划!$C$28:$C$35,前期规划!H$28:H$35,$D113),0)</f>
        <v>34.305135170367564</v>
      </c>
      <c r="K113" s="63">
        <f>IFERROR(求节点(前期规划!$C$28:$C$35,前期规划!I$28:I$35,$D113),0)</f>
        <v>1.5725075094648644</v>
      </c>
      <c r="L113" s="63">
        <f>MIN($E113-SUM(M113:$Q113),F113)</f>
        <v>0</v>
      </c>
      <c r="M113" s="63">
        <f>MIN($E113-SUM(N113:$Q113),G113)</f>
        <v>0</v>
      </c>
      <c r="N113" s="63">
        <f>MIN($E113-SUM(O113:$Q113),H113)</f>
        <v>0</v>
      </c>
      <c r="O113" s="63">
        <f>MIN($E113-SUM(P113:$Q113),I113)</f>
        <v>0</v>
      </c>
      <c r="P113" s="63">
        <f>MIN($E113-SUM(Q113:$Q113),J113)</f>
        <v>12.83507279930172</v>
      </c>
      <c r="Q113" s="69">
        <f t="shared" si="23"/>
        <v>1.5725075094648644</v>
      </c>
      <c r="R113" s="64">
        <f>活动投放!AC113+付费投放!AA113</f>
        <v>78.901515151515156</v>
      </c>
      <c r="S113" s="64">
        <f>活动投放!AD113+付费投放!AB113</f>
        <v>78.901515151515156</v>
      </c>
      <c r="T113" s="64">
        <f>活动投放!AE113+付费投放!AC113</f>
        <v>132.30707070707069</v>
      </c>
      <c r="U113" s="64">
        <f>活动投放!AF113+付费投放!AD113</f>
        <v>56.703030303030289</v>
      </c>
      <c r="V113" s="64">
        <f>活动投放!AG113+付费投放!AE113</f>
        <v>63.266666666666673</v>
      </c>
      <c r="W113" s="64">
        <f>活动投放!AH113+付费投放!AF113</f>
        <v>7.0296296296296301</v>
      </c>
      <c r="X113" s="63">
        <f>MIN(IFERROR(INDEX(真品获取算法!$C$6:$C$66,MATCH(R113,真品获取算法!D$6:D$66,1)),0)+付费投放!AG113,前期规划!D$8)</f>
        <v>9</v>
      </c>
      <c r="Y113" s="63">
        <f>MIN(IFERROR(INDEX(真品获取算法!$C$6:$C$66,MATCH(S113,真品获取算法!E$6:E$66,1)),0)+付费投放!AH113,前期规划!E$8)</f>
        <v>9</v>
      </c>
      <c r="Z113" s="63">
        <f>MIN(IFERROR(INDEX(真品获取算法!$C$6:$C$66,MATCH(T113,真品获取算法!F$6:F$66,1)),0)+付费投放!AI113,前期规划!F$8)</f>
        <v>26</v>
      </c>
      <c r="AA113" s="63">
        <f>MIN(IFERROR(INDEX(真品获取算法!$C$6:$C$66,MATCH(U113,真品获取算法!G$6:G$66,1)),0)+付费投放!AJ113,前期规划!G$8)</f>
        <v>12.585353535353535</v>
      </c>
      <c r="AB113" s="63">
        <f>MIN(IFERROR(INDEX(真品获取算法!$C$6:$C$66,MATCH(V113,真品获取算法!H$6:H$66,1)),0)+付费投放!AK113,前期规划!H$8)</f>
        <v>37</v>
      </c>
      <c r="AC113" s="63">
        <f>MIN(IFERROR(INDEX(真品获取算法!$C$6:$C$66,MATCH(W113,真品获取算法!I$6:I$66,1)),0)+付费投放!AL113,前期规划!I$8)</f>
        <v>0.36592592592592588</v>
      </c>
      <c r="AD113" s="63">
        <f t="shared" si="24"/>
        <v>1</v>
      </c>
      <c r="AE113" s="63">
        <f t="shared" si="18"/>
        <v>1</v>
      </c>
      <c r="AF113" s="63">
        <f t="shared" si="19"/>
        <v>0.96296296296296291</v>
      </c>
      <c r="AG113" s="63">
        <f t="shared" si="20"/>
        <v>0.46612420501309387</v>
      </c>
      <c r="AH113" s="63">
        <f t="shared" si="21"/>
        <v>1.0785557268977104</v>
      </c>
      <c r="AI113" s="63">
        <f t="shared" si="22"/>
        <v>0.23270218025887399</v>
      </c>
      <c r="AK113" s="60">
        <f>活动投放!AF113/U113</f>
        <v>0.5237815305686192</v>
      </c>
      <c r="AL113" s="60">
        <f>付费投放!AD113/U113</f>
        <v>0.47621846943138085</v>
      </c>
      <c r="AM113" s="60">
        <f>活动投放!AH113/W113</f>
        <v>0.73972602739726023</v>
      </c>
      <c r="AN113" s="60">
        <f>付费投放!AF113/W113</f>
        <v>0.26027397260273977</v>
      </c>
      <c r="AO113" s="60">
        <f>IFERROR(INDEX(真品获取算法!$C$6:$C$66,MATCH(U113,真品获取算法!G$6:G$66,1)),0)*AK113/(IFERROR(INDEX(真品获取算法!$C$6:$C$66,MATCH(U113,真品获取算法!G$6:G$66,1)),0)+付费投放!AJ113)</f>
        <v>0.49942008773668251</v>
      </c>
      <c r="AP113" s="60">
        <f>(付费投放!AJ113+IFERROR(INDEX(真品获取算法!$C$6:$C$66,MATCH(U113,真品获取算法!G$6:G$66,1)),0)*AL113)/(IFERROR(INDEX(真品获取算法!$C$6:$C$66,MATCH(U113,真品获取算法!G$6:G$66,1)),0)+付费投放!AJ113)</f>
        <v>0.50057991226331744</v>
      </c>
      <c r="AQ113" s="60">
        <f>IFERROR(INDEX(真品获取算法!$C$6:$C$66,MATCH(W113,真品获取算法!I$6:I$66,1)),0)*AM113/(IFERROR(INDEX(真品获取算法!$C$6:$C$66,MATCH(W113,真品获取算法!I$6:I$66,1)),0)+付费投放!AL113)</f>
        <v>0</v>
      </c>
      <c r="AR113" s="60">
        <f>(付费投放!AL113+IFERROR(INDEX(真品获取算法!$C$6:$C$66,MATCH(W113,真品获取算法!I$6:I$66,1)),0)*AN113)/(IFERROR(INDEX(真品获取算法!$C$6:$C$66,MATCH(W113,真品获取算法!I$6:I$66,1)),0)+付费投放!AL113)</f>
        <v>1</v>
      </c>
    </row>
    <row r="114" spans="3:44" x14ac:dyDescent="0.15">
      <c r="C114" s="29">
        <f t="shared" si="25"/>
        <v>420</v>
      </c>
      <c r="D114" s="18">
        <f>求节点(节奏总纲!$F$4:$F$163,节奏总纲!$C$4:$C$163,$C114)</f>
        <v>92.520930542961992</v>
      </c>
      <c r="E114" s="18">
        <f>IFERROR(求节点(前期规划!$E$13:$E$23,前期规划!$B$13:$B$23,D114),0)</f>
        <v>14.821987371447635</v>
      </c>
      <c r="F114" s="63">
        <f>IFERROR(求节点(前期规划!$C$28:$C$35,前期规划!D$28:D$35,$D114),0)</f>
        <v>9</v>
      </c>
      <c r="G114" s="63">
        <f>IFERROR(求节点(前期规划!$C$28:$C$35,前期规划!E$28:E$35,$D114),0)</f>
        <v>9</v>
      </c>
      <c r="H114" s="63">
        <f>IFERROR(求节点(前期规划!$C$28:$C$35,前期规划!F$28:F$35,$D114),0)</f>
        <v>27</v>
      </c>
      <c r="I114" s="63">
        <f>IFERROR(求节点(前期规划!$C$28:$C$35,前期规划!G$28:G$35,$D114),0)</f>
        <v>27</v>
      </c>
      <c r="J114" s="63">
        <f>IFERROR(求节点(前期规划!$C$28:$C$35,前期规划!H$28:H$35,$D114),0)</f>
        <v>46.613024931994758</v>
      </c>
      <c r="K114" s="63">
        <f>IFERROR(求节点(前期规划!$C$28:$C$35,前期规划!I$28:I$35,$D114),0)</f>
        <v>2.2562791628885974</v>
      </c>
      <c r="L114" s="63">
        <f>MIN($E114-SUM(M114:$Q114),F114)</f>
        <v>0</v>
      </c>
      <c r="M114" s="63">
        <f>MIN($E114-SUM(N114:$Q114),G114)</f>
        <v>0</v>
      </c>
      <c r="N114" s="63">
        <f>MIN($E114-SUM(O114:$Q114),H114)</f>
        <v>0</v>
      </c>
      <c r="O114" s="63">
        <f>MIN($E114-SUM(P114:$Q114),I114)</f>
        <v>0</v>
      </c>
      <c r="P114" s="63">
        <f>MIN($E114-SUM(Q114:$Q114),J114)</f>
        <v>12.565708208559037</v>
      </c>
      <c r="Q114" s="69">
        <f t="shared" si="23"/>
        <v>2.2562791628885974</v>
      </c>
      <c r="R114" s="64">
        <f>活动投放!AC114+付费投放!AA114</f>
        <v>89.901515151515156</v>
      </c>
      <c r="S114" s="64">
        <f>活动投放!AD114+付费投放!AB114</f>
        <v>89.901515151515156</v>
      </c>
      <c r="T114" s="64">
        <f>活动投放!AE114+付费投放!AC114</f>
        <v>157.19595959595958</v>
      </c>
      <c r="U114" s="64">
        <f>活动投放!AF114+付费投放!AD114</f>
        <v>67.369696969696946</v>
      </c>
      <c r="V114" s="64">
        <f>活动投放!AG114+付费投放!AE114</f>
        <v>91.933333333333337</v>
      </c>
      <c r="W114" s="64">
        <f>活动投放!AH114+付费投放!AF114</f>
        <v>10.214814814814815</v>
      </c>
      <c r="X114" s="63">
        <f>MIN(IFERROR(INDEX(真品获取算法!$C$6:$C$66,MATCH(R114,真品获取算法!D$6:D$66,1)),0)+付费投放!AG114,前期规划!D$8)</f>
        <v>9</v>
      </c>
      <c r="Y114" s="63">
        <f>MIN(IFERROR(INDEX(真品获取算法!$C$6:$C$66,MATCH(S114,真品获取算法!E$6:E$66,1)),0)+付费投放!AH114,前期规划!E$8)</f>
        <v>9</v>
      </c>
      <c r="Z114" s="63">
        <f>MIN(IFERROR(INDEX(真品获取算法!$C$6:$C$66,MATCH(T114,真品获取算法!F$6:F$66,1)),0)+付费投放!AI114,前期规划!F$8)</f>
        <v>27</v>
      </c>
      <c r="AA114" s="63">
        <f>MIN(IFERROR(INDEX(真品获取算法!$C$6:$C$66,MATCH(U114,真品获取算法!G$6:G$66,1)),0)+付费投放!AJ114,前期规划!G$8)</f>
        <v>14.652020202020202</v>
      </c>
      <c r="AB114" s="63">
        <f>MIN(IFERROR(INDEX(真品获取算法!$C$6:$C$66,MATCH(V114,真品获取算法!H$6:H$66,1)),0)+付费投放!AK114,前期规划!H$8)</f>
        <v>45</v>
      </c>
      <c r="AC114" s="63">
        <f>MIN(IFERROR(INDEX(真品获取算法!$C$6:$C$66,MATCH(W114,真品获取算法!I$6:I$66,1)),0)+付费投放!AL114,前期规划!I$8)</f>
        <v>1.4429629629629628</v>
      </c>
      <c r="AD114" s="63">
        <f t="shared" si="24"/>
        <v>1</v>
      </c>
      <c r="AE114" s="63">
        <f t="shared" si="18"/>
        <v>1</v>
      </c>
      <c r="AF114" s="63">
        <f t="shared" si="19"/>
        <v>1</v>
      </c>
      <c r="AG114" s="63">
        <f t="shared" si="20"/>
        <v>0.5426674148896371</v>
      </c>
      <c r="AH114" s="63">
        <f t="shared" si="21"/>
        <v>0.9653954032301475</v>
      </c>
      <c r="AI114" s="63">
        <f t="shared" si="22"/>
        <v>0.63953210520085291</v>
      </c>
      <c r="AK114" s="60">
        <f>活动投放!AF114/U114</f>
        <v>0.52991183879093207</v>
      </c>
      <c r="AL114" s="60">
        <f>付费投放!AD114/U114</f>
        <v>0.47008816120906799</v>
      </c>
      <c r="AM114" s="60">
        <f>活动投放!AH114/W114</f>
        <v>0.78317621464829579</v>
      </c>
      <c r="AN114" s="60">
        <f>付费投放!AF114/W114</f>
        <v>0.21682378535170416</v>
      </c>
      <c r="AO114" s="60">
        <f>IFERROR(INDEX(真品获取算法!$C$6:$C$66,MATCH(U114,真品获取算法!G$6:G$66,1)),0)*AK114/(IFERROR(INDEX(真品获取算法!$C$6:$C$66,MATCH(U114,真品获取算法!G$6:G$66,1)),0)+付费投放!AJ114)</f>
        <v>0.50633057017285299</v>
      </c>
      <c r="AP114" s="60">
        <f>(付费投放!AJ114+IFERROR(INDEX(真品获取算法!$C$6:$C$66,MATCH(U114,真品获取算法!G$6:G$66,1)),0)*AL114)/(IFERROR(INDEX(真品获取算法!$C$6:$C$66,MATCH(U114,真品获取算法!G$6:G$66,1)),0)+付费投放!AJ114)</f>
        <v>0.49366942982714712</v>
      </c>
      <c r="AQ114" s="60">
        <f>IFERROR(INDEX(真品获取算法!$C$6:$C$66,MATCH(W114,真品获取算法!I$6:I$66,1)),0)*AM114/(IFERROR(INDEX(真品获取算法!$C$6:$C$66,MATCH(W114,真品获取算法!I$6:I$66,1)),0)+付费投放!AL114)</f>
        <v>0.54275559023367526</v>
      </c>
      <c r="AR114" s="60">
        <f>(付费投放!AL114+IFERROR(INDEX(真品获取算法!$C$6:$C$66,MATCH(W114,真品获取算法!I$6:I$66,1)),0)*AN114)/(IFERROR(INDEX(真品获取算法!$C$6:$C$66,MATCH(W114,真品获取算法!I$6:I$66,1)),0)+付费投放!AL114)</f>
        <v>0.4572444097663248</v>
      </c>
    </row>
    <row r="115" spans="3:44" x14ac:dyDescent="0.15">
      <c r="C115" s="29">
        <f t="shared" si="25"/>
        <v>480</v>
      </c>
      <c r="D115" s="18">
        <f>求节点(节奏总纲!$F$4:$F$163,节奏总纲!$C$4:$C$163,$C115)</f>
        <v>94.499876682726793</v>
      </c>
      <c r="E115" s="18">
        <f>IFERROR(求节点(前期规划!$E$13:$E$23,前期规划!$B$13:$B$23,D115),0)</f>
        <v>15.181795760495781</v>
      </c>
      <c r="F115" s="63">
        <f>IFERROR(求节点(前期规划!$C$28:$C$35,前期规划!D$28:D$35,$D115),0)</f>
        <v>9</v>
      </c>
      <c r="G115" s="63">
        <f>IFERROR(求节点(前期规划!$C$28:$C$35,前期规划!E$28:E$35,$D115),0)</f>
        <v>9</v>
      </c>
      <c r="H115" s="63">
        <f>IFERROR(求节点(前期规划!$C$28:$C$35,前期规划!F$28:F$35,$D115),0)</f>
        <v>27</v>
      </c>
      <c r="I115" s="63">
        <f>IFERROR(求节点(前期规划!$C$28:$C$35,前期规划!G$28:G$35,$D115),0)</f>
        <v>27</v>
      </c>
      <c r="J115" s="63">
        <f>IFERROR(求节点(前期规划!$C$28:$C$35,前期规划!H$28:H$35,$D115),0)</f>
        <v>57.299334086724684</v>
      </c>
      <c r="K115" s="63">
        <f>IFERROR(求节点(前期规划!$C$28:$C$35,前期规划!I$28:I$35,$D115),0)</f>
        <v>2.8499630048180378</v>
      </c>
      <c r="L115" s="63">
        <f>MIN($E115-SUM(M115:$Q115),F115)</f>
        <v>0</v>
      </c>
      <c r="M115" s="63">
        <f>MIN($E115-SUM(N115:$Q115),G115)</f>
        <v>0</v>
      </c>
      <c r="N115" s="63">
        <f>MIN($E115-SUM(O115:$Q115),H115)</f>
        <v>0</v>
      </c>
      <c r="O115" s="63">
        <f>MIN($E115-SUM(P115:$Q115),I115)</f>
        <v>0</v>
      </c>
      <c r="P115" s="63">
        <f>MIN($E115-SUM(Q115:$Q115),J115)</f>
        <v>12.331832755677743</v>
      </c>
      <c r="Q115" s="69">
        <f t="shared" si="23"/>
        <v>2.8499630048180378</v>
      </c>
      <c r="R115" s="64">
        <f>活动投放!AC115+付费投放!AA115</f>
        <v>100.90151515151516</v>
      </c>
      <c r="S115" s="64">
        <f>活动投放!AD115+付费投放!AB115</f>
        <v>100.90151515151516</v>
      </c>
      <c r="T115" s="64">
        <f>活动投放!AE115+付费投放!AC115</f>
        <v>182.08484848484846</v>
      </c>
      <c r="U115" s="64">
        <f>活动投放!AF115+付费投放!AD115</f>
        <v>78.036363636363618</v>
      </c>
      <c r="V115" s="64">
        <f>活动投放!AG115+付费投放!AE115</f>
        <v>120.60000000000001</v>
      </c>
      <c r="W115" s="64">
        <f>活动投放!AH115+付费投放!AF115</f>
        <v>13.400000000000002</v>
      </c>
      <c r="X115" s="63">
        <f>MIN(IFERROR(INDEX(真品获取算法!$C$6:$C$66,MATCH(R115,真品获取算法!D$6:D$66,1)),0)+付费投放!AG115,前期规划!D$8)</f>
        <v>9</v>
      </c>
      <c r="Y115" s="63">
        <f>MIN(IFERROR(INDEX(真品获取算法!$C$6:$C$66,MATCH(S115,真品获取算法!E$6:E$66,1)),0)+付费投放!AH115,前期规划!E$8)</f>
        <v>9</v>
      </c>
      <c r="Z115" s="63">
        <f>MIN(IFERROR(INDEX(真品获取算法!$C$6:$C$66,MATCH(T115,真品获取算法!F$6:F$66,1)),0)+付费投放!AI115,前期规划!F$8)</f>
        <v>27</v>
      </c>
      <c r="AA115" s="63">
        <f>MIN(IFERROR(INDEX(真品获取算法!$C$6:$C$66,MATCH(U115,真品获取算法!G$6:G$66,1)),0)+付费投放!AJ115,前期规划!G$8)</f>
        <v>15.718686868686868</v>
      </c>
      <c r="AB115" s="63">
        <f>MIN(IFERROR(INDEX(真品获取算法!$C$6:$C$66,MATCH(V115,真品获取算法!H$6:H$66,1)),0)+付费投放!AK115,前期规划!H$8)</f>
        <v>50</v>
      </c>
      <c r="AC115" s="63">
        <f>MIN(IFERROR(INDEX(真品获取算法!$C$6:$C$66,MATCH(W115,真品获取算法!I$6:I$66,1)),0)+付费投放!AL115,前期规划!I$8)</f>
        <v>1.52</v>
      </c>
      <c r="AD115" s="63">
        <f t="shared" si="24"/>
        <v>1</v>
      </c>
      <c r="AE115" s="63">
        <f t="shared" si="18"/>
        <v>1</v>
      </c>
      <c r="AF115" s="63">
        <f t="shared" si="19"/>
        <v>1</v>
      </c>
      <c r="AG115" s="63">
        <f t="shared" si="20"/>
        <v>0.58217358772914329</v>
      </c>
      <c r="AH115" s="63">
        <f t="shared" si="21"/>
        <v>0.8726104901031333</v>
      </c>
      <c r="AI115" s="63">
        <f t="shared" si="22"/>
        <v>0.53334025649818839</v>
      </c>
      <c r="AK115" s="60">
        <f>活动投放!AF115/U115</f>
        <v>0.53436626281453881</v>
      </c>
      <c r="AL115" s="60">
        <f>付费投放!AD115/U115</f>
        <v>0.46563373718546125</v>
      </c>
      <c r="AM115" s="60">
        <f>活动投放!AH115/W115</f>
        <v>0.80597014925373123</v>
      </c>
      <c r="AN115" s="60">
        <f>付费投放!AF115/W115</f>
        <v>0.19402985074626866</v>
      </c>
      <c r="AO115" s="60">
        <f>IFERROR(INDEX(真品获取算法!$C$6:$C$66,MATCH(U115,真品获取算法!G$6:G$66,1)),0)*AK115/(IFERROR(INDEX(真品获取算法!$C$6:$C$66,MATCH(U115,真品获取算法!G$6:G$66,1)),0)+付费投放!AJ115)</f>
        <v>0.50993406823223353</v>
      </c>
      <c r="AP115" s="60">
        <f>(付费投放!AJ115+IFERROR(INDEX(真品获取算法!$C$6:$C$66,MATCH(U115,真品获取算法!G$6:G$66,1)),0)*AL115)/(IFERROR(INDEX(真品获取算法!$C$6:$C$66,MATCH(U115,真品获取算法!G$6:G$66,1)),0)+付费投放!AJ115)</f>
        <v>0.49006593176776658</v>
      </c>
      <c r="AQ115" s="60">
        <f>IFERROR(INDEX(真品获取算法!$C$6:$C$66,MATCH(W115,真品获取算法!I$6:I$66,1)),0)*AM115/(IFERROR(INDEX(真品获取算法!$C$6:$C$66,MATCH(W115,真品获取算法!I$6:I$66,1)),0)+付费投放!AL115)</f>
        <v>0.53024351924587576</v>
      </c>
      <c r="AR115" s="60">
        <f>(付费投放!AL115+IFERROR(INDEX(真品获取算法!$C$6:$C$66,MATCH(W115,真品获取算法!I$6:I$66,1)),0)*AN115)/(IFERROR(INDEX(真品获取算法!$C$6:$C$66,MATCH(W115,真品获取算法!I$6:I$66,1)),0)+付费投放!AL115)</f>
        <v>0.46975648075412407</v>
      </c>
    </row>
    <row r="116" spans="3:44" x14ac:dyDescent="0.15">
      <c r="C116" s="29">
        <f t="shared" si="25"/>
        <v>540</v>
      </c>
      <c r="D116" s="18">
        <f>求节点(节奏总纲!$F$4:$F$163,节奏总纲!$C$4:$C$163,$C116)</f>
        <v>96.254819565842766</v>
      </c>
      <c r="E116" s="18">
        <f>IFERROR(求节点(前期规划!$E$13:$E$23,前期规划!$B$13:$B$23,D116),0)</f>
        <v>15.500876284698684</v>
      </c>
      <c r="F116" s="63">
        <f>IFERROR(求节点(前期规划!$C$28:$C$35,前期规划!D$28:D$35,$D116),0)</f>
        <v>9</v>
      </c>
      <c r="G116" s="63">
        <f>IFERROR(求节点(前期规划!$C$28:$C$35,前期规划!E$28:E$35,$D116),0)</f>
        <v>9</v>
      </c>
      <c r="H116" s="63">
        <f>IFERROR(求节点(前期规划!$C$28:$C$35,前期规划!F$28:F$35,$D116),0)</f>
        <v>27</v>
      </c>
      <c r="I116" s="63">
        <f>IFERROR(求节点(前期规划!$C$28:$C$35,前期规划!G$28:G$35,$D116),0)</f>
        <v>27</v>
      </c>
      <c r="J116" s="63">
        <f>IFERROR(求节点(前期规划!$C$28:$C$35,前期规划!H$28:H$35,$D116),0)</f>
        <v>60</v>
      </c>
      <c r="K116" s="63">
        <f>IFERROR(求节点(前期规划!$C$28:$C$35,前期规划!I$28:I$35,$D116),0)</f>
        <v>3.7528917395056594</v>
      </c>
      <c r="L116" s="63">
        <f>MIN($E116-SUM(M116:$Q116),F116)</f>
        <v>0</v>
      </c>
      <c r="M116" s="63">
        <f>MIN($E116-SUM(N116:$Q116),G116)</f>
        <v>0</v>
      </c>
      <c r="N116" s="63">
        <f>MIN($E116-SUM(O116:$Q116),H116)</f>
        <v>0</v>
      </c>
      <c r="O116" s="63">
        <f>MIN($E116-SUM(P116:$Q116),I116)</f>
        <v>0</v>
      </c>
      <c r="P116" s="63">
        <f>MIN($E116-SUM(Q116:$Q116),J116)</f>
        <v>11.747984545193024</v>
      </c>
      <c r="Q116" s="69">
        <f t="shared" si="23"/>
        <v>3.7528917395056594</v>
      </c>
      <c r="R116" s="64">
        <f>活动投放!AC116+付费投放!AA116</f>
        <v>111.90151515151516</v>
      </c>
      <c r="S116" s="64">
        <f>活动投放!AD116+付费投放!AB116</f>
        <v>111.90151515151516</v>
      </c>
      <c r="T116" s="64">
        <f>活动投放!AE116+付费投放!AC116</f>
        <v>206.97373737373735</v>
      </c>
      <c r="U116" s="64">
        <f>活动投放!AF116+付费投放!AD116</f>
        <v>88.703030303030289</v>
      </c>
      <c r="V116" s="64">
        <f>活动投放!AG116+付费投放!AE116</f>
        <v>152.86666666666667</v>
      </c>
      <c r="W116" s="64">
        <f>活动投放!AH116+付费投放!AF116</f>
        <v>16.985185185185188</v>
      </c>
      <c r="X116" s="63">
        <f>MIN(IFERROR(INDEX(真品获取算法!$C$6:$C$66,MATCH(R116,真品获取算法!D$6:D$66,1)),0)+付费投放!AG116,前期规划!D$8)</f>
        <v>9</v>
      </c>
      <c r="Y116" s="63">
        <f>MIN(IFERROR(INDEX(真品获取算法!$C$6:$C$66,MATCH(S116,真品获取算法!E$6:E$66,1)),0)+付费投放!AH116,前期规划!E$8)</f>
        <v>9</v>
      </c>
      <c r="Z116" s="63">
        <f>MIN(IFERROR(INDEX(真品获取算法!$C$6:$C$66,MATCH(T116,真品获取算法!F$6:F$66,1)),0)+付费投放!AI116,前期规划!F$8)</f>
        <v>27</v>
      </c>
      <c r="AA116" s="63">
        <f>MIN(IFERROR(INDEX(真品获取算法!$C$6:$C$66,MATCH(U116,真品获取算法!G$6:G$66,1)),0)+付费投放!AJ116,前期规划!G$8)</f>
        <v>17.785353535353536</v>
      </c>
      <c r="AB116" s="63">
        <f>MIN(IFERROR(INDEX(真品获取算法!$C$6:$C$66,MATCH(V116,真品获取算法!H$6:H$66,1)),0)+付费投放!AK116,前期规划!H$8)</f>
        <v>54</v>
      </c>
      <c r="AC116" s="63">
        <f>MIN(IFERROR(INDEX(真品获取算法!$C$6:$C$66,MATCH(W116,真品获取算法!I$6:I$66,1)),0)+付费投放!AL116,前期规划!I$8)</f>
        <v>1.5970370370370368</v>
      </c>
      <c r="AD116" s="63">
        <f t="shared" si="24"/>
        <v>1</v>
      </c>
      <c r="AE116" s="63">
        <f t="shared" si="18"/>
        <v>1</v>
      </c>
      <c r="AF116" s="63">
        <f t="shared" si="19"/>
        <v>1</v>
      </c>
      <c r="AG116" s="63">
        <f t="shared" si="20"/>
        <v>0.65871679760568658</v>
      </c>
      <c r="AH116" s="63">
        <f t="shared" si="21"/>
        <v>0.9</v>
      </c>
      <c r="AI116" s="63">
        <f t="shared" si="22"/>
        <v>0.42554838985240823</v>
      </c>
      <c r="AK116" s="60">
        <f>活动投放!AF116/U116</f>
        <v>0.53774938507789016</v>
      </c>
      <c r="AL116" s="60">
        <f>付费投放!AD116/U116</f>
        <v>0.46225061492210973</v>
      </c>
      <c r="AM116" s="60">
        <f>活动投放!AH116/W116</f>
        <v>0.82424771042302647</v>
      </c>
      <c r="AN116" s="60">
        <f>付费投放!AF116/W116</f>
        <v>0.17575228957697342</v>
      </c>
      <c r="AO116" s="60">
        <f>IFERROR(INDEX(真品获取算法!$C$6:$C$66,MATCH(U116,真品获取算法!G$6:G$66,1)),0)*AK116/(IFERROR(INDEX(真品获取算法!$C$6:$C$66,MATCH(U116,真品获取算法!G$6:G$66,1)),0)+付费投放!AJ116)</f>
        <v>0.51400381376463955</v>
      </c>
      <c r="AP116" s="60">
        <f>(付费投放!AJ116+IFERROR(INDEX(真品获取算法!$C$6:$C$66,MATCH(U116,真品获取算法!G$6:G$66,1)),0)*AL116)/(IFERROR(INDEX(真品获取算法!$C$6:$C$66,MATCH(U116,真品获取算法!G$6:G$66,1)),0)+付费投放!AJ116)</f>
        <v>0.48599618623536028</v>
      </c>
      <c r="AQ116" s="60">
        <f>IFERROR(INDEX(真品获取算法!$C$6:$C$66,MATCH(W116,真品获取算法!I$6:I$66,1)),0)*AM116/(IFERROR(INDEX(真品获取算法!$C$6:$C$66,MATCH(W116,真品获取算法!I$6:I$66,1)),0)+付费投放!AL116)</f>
        <v>0.51611057934651483</v>
      </c>
      <c r="AR116" s="60">
        <f>(付费投放!AL116+IFERROR(INDEX(真品获取算法!$C$6:$C$66,MATCH(W116,真品获取算法!I$6:I$66,1)),0)*AN116)/(IFERROR(INDEX(真品获取算法!$C$6:$C$66,MATCH(W116,真品获取算法!I$6:I$66,1)),0)+付费投放!AL116)</f>
        <v>0.48388942065348522</v>
      </c>
    </row>
    <row r="117" spans="3:44" x14ac:dyDescent="0.15">
      <c r="C117" s="29">
        <f t="shared" si="25"/>
        <v>600</v>
      </c>
      <c r="D117" s="18">
        <f>求节点(节奏总纲!$F$4:$F$163,节奏总纲!$C$4:$C$163,$C117)</f>
        <v>97.702742999048837</v>
      </c>
      <c r="E117" s="18">
        <f>IFERROR(求节点(前期规划!$E$13:$E$23,前期规划!$B$13:$B$23,D117),0)</f>
        <v>15.764135090736152</v>
      </c>
      <c r="F117" s="63">
        <f>IFERROR(求节点(前期规划!$C$28:$C$35,前期规划!D$28:D$35,$D117),0)</f>
        <v>9</v>
      </c>
      <c r="G117" s="63">
        <f>IFERROR(求节点(前期规划!$C$28:$C$35,前期规划!E$28:E$35,$D117),0)</f>
        <v>9</v>
      </c>
      <c r="H117" s="63">
        <f>IFERROR(求节点(前期规划!$C$28:$C$35,前期规划!F$28:F$35,$D117),0)</f>
        <v>27</v>
      </c>
      <c r="I117" s="63">
        <f>IFERROR(求节点(前期规划!$C$28:$C$35,前期规划!G$28:G$35,$D117),0)</f>
        <v>27</v>
      </c>
      <c r="J117" s="63">
        <f>IFERROR(求节点(前期规划!$C$28:$C$35,前期规划!H$28:H$35,$D117),0)</f>
        <v>60</v>
      </c>
      <c r="K117" s="63">
        <f>IFERROR(求节点(前期规划!$C$28:$C$35,前期规划!I$28:I$35,$D117),0)</f>
        <v>4.6216457994293023</v>
      </c>
      <c r="L117" s="63">
        <f>MIN($E117-SUM(M117:$Q117),F117)</f>
        <v>0</v>
      </c>
      <c r="M117" s="63">
        <f>MIN($E117-SUM(N117:$Q117),G117)</f>
        <v>0</v>
      </c>
      <c r="N117" s="63">
        <f>MIN($E117-SUM(O117:$Q117),H117)</f>
        <v>0</v>
      </c>
      <c r="O117" s="63">
        <f>MIN($E117-SUM(P117:$Q117),I117)</f>
        <v>0</v>
      </c>
      <c r="P117" s="63">
        <f>MIN($E117-SUM(Q117:$Q117),J117)</f>
        <v>11.14248929130685</v>
      </c>
      <c r="Q117" s="69">
        <f t="shared" si="23"/>
        <v>4.6216457994293023</v>
      </c>
      <c r="R117" s="64">
        <f>活动投放!AC117+付费投放!AA117</f>
        <v>122.90151515151516</v>
      </c>
      <c r="S117" s="64">
        <f>活动投放!AD117+付费投放!AB117</f>
        <v>122.90151515151516</v>
      </c>
      <c r="T117" s="64">
        <f>活动投放!AE117+付费投放!AC117</f>
        <v>231.86262626262624</v>
      </c>
      <c r="U117" s="64">
        <f>活动投放!AF117+付费投放!AD117</f>
        <v>99.369696969696946</v>
      </c>
      <c r="V117" s="64">
        <f>活动投放!AG117+付费投放!AE117</f>
        <v>188.73333333333335</v>
      </c>
      <c r="W117" s="64">
        <f>活动投放!AH117+付费投放!AF117</f>
        <v>20.970370370370372</v>
      </c>
      <c r="X117" s="63">
        <f>MIN(IFERROR(INDEX(真品获取算法!$C$6:$C$66,MATCH(R117,真品获取算法!D$6:D$66,1)),0)+付费投放!AG117,前期规划!D$8)</f>
        <v>9</v>
      </c>
      <c r="Y117" s="63">
        <f>MIN(IFERROR(INDEX(真品获取算法!$C$6:$C$66,MATCH(S117,真品获取算法!E$6:E$66,1)),0)+付费投放!AH117,前期规划!E$8)</f>
        <v>9</v>
      </c>
      <c r="Z117" s="63">
        <f>MIN(IFERROR(INDEX(真品获取算法!$C$6:$C$66,MATCH(T117,真品获取算法!F$6:F$66,1)),0)+付费投放!AI117,前期规划!F$8)</f>
        <v>27</v>
      </c>
      <c r="AA117" s="63">
        <f>MIN(IFERROR(INDEX(真品获取算法!$C$6:$C$66,MATCH(U117,真品获取算法!G$6:G$66,1)),0)+付费投放!AJ117,前期规划!G$8)</f>
        <v>18.852020202020203</v>
      </c>
      <c r="AB117" s="63">
        <f>MIN(IFERROR(INDEX(真品获取算法!$C$6:$C$66,MATCH(V117,真品获取算法!H$6:H$66,1)),0)+付费投放!AK117,前期规划!H$8)</f>
        <v>56</v>
      </c>
      <c r="AC117" s="63">
        <f>MIN(IFERROR(INDEX(真品获取算法!$C$6:$C$66,MATCH(W117,真品获取算法!I$6:I$66,1)),0)+付费投放!AL117,前期规划!I$8)</f>
        <v>2.674074074074074</v>
      </c>
      <c r="AD117" s="63">
        <f t="shared" si="24"/>
        <v>1</v>
      </c>
      <c r="AE117" s="63">
        <f t="shared" si="18"/>
        <v>1</v>
      </c>
      <c r="AF117" s="63">
        <f t="shared" si="19"/>
        <v>1</v>
      </c>
      <c r="AG117" s="63">
        <f t="shared" si="20"/>
        <v>0.69822297044519266</v>
      </c>
      <c r="AH117" s="63">
        <f t="shared" si="21"/>
        <v>0.93333333333333335</v>
      </c>
      <c r="AI117" s="63">
        <f t="shared" si="22"/>
        <v>0.57859779613666595</v>
      </c>
      <c r="AK117" s="60">
        <f>活动投放!AF117/U117</f>
        <v>0.54040619663332534</v>
      </c>
      <c r="AL117" s="60">
        <f>付费投放!AD117/U117</f>
        <v>0.45959380336667471</v>
      </c>
      <c r="AM117" s="60">
        <f>活动投放!AH117/W117</f>
        <v>0.83927940657011657</v>
      </c>
      <c r="AN117" s="60">
        <f>付费投放!AF117/W117</f>
        <v>0.16072059342988346</v>
      </c>
      <c r="AO117" s="60">
        <f>IFERROR(INDEX(真品获取算法!$C$6:$C$66,MATCH(U117,真品获取算法!G$6:G$66,1)),0)*AK117/(IFERROR(INDEX(真品获取算法!$C$6:$C$66,MATCH(U117,真品获取算法!G$6:G$66,1)),0)+付费投放!AJ117)</f>
        <v>0.51598244830850903</v>
      </c>
      <c r="AP117" s="60">
        <f>(付费投放!AJ117+IFERROR(INDEX(真品获取算法!$C$6:$C$66,MATCH(U117,真品获取算法!G$6:G$66,1)),0)*AL117)/(IFERROR(INDEX(真品获取算法!$C$6:$C$66,MATCH(U117,真品获取算法!G$6:G$66,1)),0)+付费投放!AJ117)</f>
        <v>0.48401755169149102</v>
      </c>
      <c r="AQ117" s="60">
        <f>IFERROR(INDEX(真品获取算法!$C$6:$C$66,MATCH(W117,真品获取算法!I$6:I$66,1)),0)*AM117/(IFERROR(INDEX(真品获取算法!$C$6:$C$66,MATCH(W117,真品获取算法!I$6:I$66,1)),0)+付费投放!AL117)</f>
        <v>0.62771589965077967</v>
      </c>
      <c r="AR117" s="60">
        <f>(付费投放!AL117+IFERROR(INDEX(真品获取算法!$C$6:$C$66,MATCH(W117,真品获取算法!I$6:I$66,1)),0)*AN117)/(IFERROR(INDEX(真品获取算法!$C$6:$C$66,MATCH(W117,真品获取算法!I$6:I$66,1)),0)+付费投放!AL117)</f>
        <v>0.37228410034922027</v>
      </c>
    </row>
    <row r="118" spans="3:44" x14ac:dyDescent="0.15">
      <c r="C118" s="29">
        <f t="shared" si="25"/>
        <v>660</v>
      </c>
      <c r="D118" s="18">
        <f>求节点(节奏总纲!$F$4:$F$163,节奏总纲!$C$4:$C$163,$C118)</f>
        <v>99.028118033845786</v>
      </c>
      <c r="E118" s="18">
        <f>IFERROR(求节点(前期规划!$E$13:$E$23,前期规划!$B$13:$B$23,D118),0)</f>
        <v>16.004686338974299</v>
      </c>
      <c r="F118" s="63">
        <f>IFERROR(求节点(前期规划!$C$28:$C$35,前期规划!D$28:D$35,$D118),0)</f>
        <v>9</v>
      </c>
      <c r="G118" s="63">
        <f>IFERROR(求节点(前期规划!$C$28:$C$35,前期规划!E$28:E$35,$D118),0)</f>
        <v>9</v>
      </c>
      <c r="H118" s="63">
        <f>IFERROR(求节点(前期规划!$C$28:$C$35,前期规划!F$28:F$35,$D118),0)</f>
        <v>27</v>
      </c>
      <c r="I118" s="63">
        <f>IFERROR(求节点(前期规划!$C$28:$C$35,前期规划!G$28:G$35,$D118),0)</f>
        <v>27</v>
      </c>
      <c r="J118" s="63">
        <f>IFERROR(求节点(前期规划!$C$28:$C$35,前期规划!H$28:H$35,$D118),0)</f>
        <v>60</v>
      </c>
      <c r="K118" s="63">
        <f>IFERROR(求节点(前期规划!$C$28:$C$35,前期规划!I$28:I$35,$D118),0)</f>
        <v>5.4168708203074711</v>
      </c>
      <c r="L118" s="63">
        <f>MIN($E118-SUM(M118:$Q118),F118)</f>
        <v>0</v>
      </c>
      <c r="M118" s="63">
        <f>MIN($E118-SUM(N118:$Q118),G118)</f>
        <v>0</v>
      </c>
      <c r="N118" s="63">
        <f>MIN($E118-SUM(O118:$Q118),H118)</f>
        <v>0</v>
      </c>
      <c r="O118" s="63">
        <f>MIN($E118-SUM(P118:$Q118),I118)</f>
        <v>0</v>
      </c>
      <c r="P118" s="63">
        <f>MIN($E118-SUM(Q118:$Q118),J118)</f>
        <v>10.587815518666828</v>
      </c>
      <c r="Q118" s="69">
        <f t="shared" si="23"/>
        <v>5.4168708203074711</v>
      </c>
      <c r="R118" s="64">
        <f>活动投放!AC118+付费投放!AA118</f>
        <v>133.90151515151516</v>
      </c>
      <c r="S118" s="64">
        <f>活动投放!AD118+付费投放!AB118</f>
        <v>133.90151515151516</v>
      </c>
      <c r="T118" s="64">
        <f>活动投放!AE118+付费投放!AC118</f>
        <v>256.75151515151509</v>
      </c>
      <c r="U118" s="64">
        <f>活动投放!AF118+付费投放!AD118</f>
        <v>110.0363636363636</v>
      </c>
      <c r="V118" s="64">
        <f>活动投放!AG118+付费投放!AE118</f>
        <v>224.60000000000002</v>
      </c>
      <c r="W118" s="64">
        <f>活动投放!AH118+付费投放!AF118</f>
        <v>24.955555555555559</v>
      </c>
      <c r="X118" s="63">
        <f>MIN(IFERROR(INDEX(真品获取算法!$C$6:$C$66,MATCH(R118,真品获取算法!D$6:D$66,1)),0)+付费投放!AG118,前期规划!D$8)</f>
        <v>9</v>
      </c>
      <c r="Y118" s="63">
        <f>MIN(IFERROR(INDEX(真品获取算法!$C$6:$C$66,MATCH(S118,真品获取算法!E$6:E$66,1)),0)+付费投放!AH118,前期规划!E$8)</f>
        <v>9</v>
      </c>
      <c r="Z118" s="63">
        <f>MIN(IFERROR(INDEX(真品获取算法!$C$6:$C$66,MATCH(T118,真品获取算法!F$6:F$66,1)),0)+付费投放!AI118,前期规划!F$8)</f>
        <v>27</v>
      </c>
      <c r="AA118" s="63">
        <f>MIN(IFERROR(INDEX(真品获取算法!$C$6:$C$66,MATCH(U118,真品获取算法!G$6:G$66,1)),0)+付费投放!AJ118,前期规划!G$8)</f>
        <v>19.918686868686869</v>
      </c>
      <c r="AB118" s="63">
        <f>MIN(IFERROR(INDEX(真品获取算法!$C$6:$C$66,MATCH(V118,真品获取算法!H$6:H$66,1)),0)+付费投放!AK118,前期规划!H$8)</f>
        <v>58</v>
      </c>
      <c r="AC118" s="63">
        <f>MIN(IFERROR(INDEX(真品获取算法!$C$6:$C$66,MATCH(W118,真品获取算法!I$6:I$66,1)),0)+付费投放!AL118,前期规划!I$8)</f>
        <v>2.7511111111111108</v>
      </c>
      <c r="AD118" s="63">
        <f t="shared" si="24"/>
        <v>1</v>
      </c>
      <c r="AE118" s="63">
        <f t="shared" si="18"/>
        <v>1</v>
      </c>
      <c r="AF118" s="63">
        <f t="shared" si="19"/>
        <v>1</v>
      </c>
      <c r="AG118" s="63">
        <f t="shared" si="20"/>
        <v>0.73772914328469885</v>
      </c>
      <c r="AH118" s="63">
        <f t="shared" si="21"/>
        <v>0.96666666666666667</v>
      </c>
      <c r="AI118" s="63">
        <f t="shared" si="22"/>
        <v>0.50787829401384044</v>
      </c>
      <c r="AK118" s="60">
        <f>活动投放!AF118/U118</f>
        <v>0.54254791804362201</v>
      </c>
      <c r="AL118" s="60">
        <f>付费投放!AD118/U118</f>
        <v>0.45745208195637799</v>
      </c>
      <c r="AM118" s="60">
        <f>活动投放!AH118/W118</f>
        <v>0.84951024042742651</v>
      </c>
      <c r="AN118" s="60">
        <f>付费投放!AF118/W118</f>
        <v>0.15048975957257349</v>
      </c>
      <c r="AO118" s="60">
        <f>IFERROR(INDEX(真品获取算法!$C$6:$C$66,MATCH(U118,真品获取算法!G$6:G$66,1)),0)*AK118/(IFERROR(INDEX(真品获取算法!$C$6:$C$66,MATCH(U118,真品获取算法!G$6:G$66,1)),0)+付费投放!AJ118)</f>
        <v>0.51752459942699003</v>
      </c>
      <c r="AP118" s="60">
        <f>(付费投放!AJ118+IFERROR(INDEX(真品获取算法!$C$6:$C$66,MATCH(U118,真品获取算法!G$6:G$66,1)),0)*AL118)/(IFERROR(INDEX(真品获取算法!$C$6:$C$66,MATCH(U118,真品获取算法!G$6:G$66,1)),0)+付费投放!AJ118)</f>
        <v>0.48247540057301003</v>
      </c>
      <c r="AQ118" s="60">
        <f>IFERROR(INDEX(真品获取算法!$C$6:$C$66,MATCH(W118,真品获取算法!I$6:I$66,1)),0)*AM118/(IFERROR(INDEX(真品获取算法!$C$6:$C$66,MATCH(W118,真品获取算法!I$6:I$66,1)),0)+付费投放!AL118)</f>
        <v>0.61757610370329885</v>
      </c>
      <c r="AR118" s="60">
        <f>(付费投放!AL118+IFERROR(INDEX(真品获取算法!$C$6:$C$66,MATCH(W118,真品获取算法!I$6:I$66,1)),0)*AN118)/(IFERROR(INDEX(真品获取算法!$C$6:$C$66,MATCH(W118,真品获取算法!I$6:I$66,1)),0)+付费投放!AL118)</f>
        <v>0.38242389629670126</v>
      </c>
    </row>
    <row r="119" spans="3:44" x14ac:dyDescent="0.15">
      <c r="C119" s="29">
        <f t="shared" si="25"/>
        <v>720</v>
      </c>
      <c r="D119" s="18">
        <f>求节点(节奏总纲!$F$4:$F$163,节奏总纲!$C$4:$C$163,$C119)</f>
        <v>100.26856904007842</v>
      </c>
      <c r="E119" s="18">
        <f>IFERROR(求节点(前期规划!$E$13:$E$23,前期规划!$B$13:$B$23,D119),0)</f>
        <v>16.211428173346402</v>
      </c>
      <c r="F119" s="63">
        <f>IFERROR(求节点(前期规划!$C$28:$C$35,前期规划!D$28:D$35,$D119),0)</f>
        <v>9</v>
      </c>
      <c r="G119" s="63">
        <f>IFERROR(求节点(前期规划!$C$28:$C$35,前期规划!E$28:E$35,$D119),0)</f>
        <v>9</v>
      </c>
      <c r="H119" s="63">
        <f>IFERROR(求节点(前期规划!$C$28:$C$35,前期规划!F$28:F$35,$D119),0)</f>
        <v>27</v>
      </c>
      <c r="I119" s="63">
        <f>IFERROR(求节点(前期规划!$C$28:$C$35,前期规划!G$28:G$35,$D119),0)</f>
        <v>27</v>
      </c>
      <c r="J119" s="63">
        <f>IFERROR(求节点(前期规划!$C$28:$C$35,前期规划!H$28:H$35,$D119),0)</f>
        <v>60</v>
      </c>
      <c r="K119" s="63">
        <f>IFERROR(求节点(前期规划!$C$28:$C$35,前期规划!I$28:I$35,$D119),0)</f>
        <v>6.1611414240470506</v>
      </c>
      <c r="L119" s="63">
        <f>MIN($E119-SUM(M119:$Q119),F119)</f>
        <v>0</v>
      </c>
      <c r="M119" s="63">
        <f>MIN($E119-SUM(N119:$Q119),G119)</f>
        <v>0</v>
      </c>
      <c r="N119" s="63">
        <f>MIN($E119-SUM(O119:$Q119),H119)</f>
        <v>0</v>
      </c>
      <c r="O119" s="63">
        <f>MIN($E119-SUM(P119:$Q119),I119)</f>
        <v>0</v>
      </c>
      <c r="P119" s="63">
        <f>MIN($E119-SUM(Q119:$Q119),J119)</f>
        <v>10.050286749299351</v>
      </c>
      <c r="Q119" s="69">
        <f t="shared" si="23"/>
        <v>6.1611414240470506</v>
      </c>
      <c r="R119" s="64">
        <f>活动投放!AC119+付费投放!AA119</f>
        <v>144.90151515151516</v>
      </c>
      <c r="S119" s="64">
        <f>活动投放!AD119+付费投放!AB119</f>
        <v>144.90151515151516</v>
      </c>
      <c r="T119" s="64">
        <f>活动投放!AE119+付费投放!AC119</f>
        <v>281.64040404040401</v>
      </c>
      <c r="U119" s="64">
        <f>活动投放!AF119+付费投放!AD119</f>
        <v>120.70303030303029</v>
      </c>
      <c r="V119" s="64">
        <f>活动投放!AG119+付费投放!AE119</f>
        <v>264.06666666666672</v>
      </c>
      <c r="W119" s="64">
        <f>活动投放!AH119+付费投放!AF119</f>
        <v>29.340740740740745</v>
      </c>
      <c r="X119" s="63">
        <f>MIN(IFERROR(INDEX(真品获取算法!$C$6:$C$66,MATCH(R119,真品获取算法!D$6:D$66,1)),0)+付费投放!AG119,前期规划!D$8)</f>
        <v>9</v>
      </c>
      <c r="Y119" s="63">
        <f>MIN(IFERROR(INDEX(真品获取算法!$C$6:$C$66,MATCH(S119,真品获取算法!E$6:E$66,1)),0)+付费投放!AH119,前期规划!E$8)</f>
        <v>9</v>
      </c>
      <c r="Z119" s="63">
        <f>MIN(IFERROR(INDEX(真品获取算法!$C$6:$C$66,MATCH(T119,真品获取算法!F$6:F$66,1)),0)+付费投放!AI119,前期规划!F$8)</f>
        <v>27</v>
      </c>
      <c r="AA119" s="63">
        <f>MIN(IFERROR(INDEX(真品获取算法!$C$6:$C$66,MATCH(U119,真品获取算法!G$6:G$66,1)),0)+付费投放!AJ119,前期规划!G$8)</f>
        <v>20.985353535353536</v>
      </c>
      <c r="AB119" s="63">
        <f>MIN(IFERROR(INDEX(真品获取算法!$C$6:$C$66,MATCH(V119,真品获取算法!H$6:H$66,1)),0)+付费投放!AK119,前期规划!H$8)</f>
        <v>59</v>
      </c>
      <c r="AC119" s="63">
        <f>MIN(IFERROR(INDEX(真品获取算法!$C$6:$C$66,MATCH(W119,真品获取算法!I$6:I$66,1)),0)+付费投放!AL119,前期规划!I$8)</f>
        <v>2.8281481481481481</v>
      </c>
      <c r="AD119" s="63">
        <f t="shared" si="24"/>
        <v>1</v>
      </c>
      <c r="AE119" s="63">
        <f t="shared" si="18"/>
        <v>1</v>
      </c>
      <c r="AF119" s="63">
        <f t="shared" si="19"/>
        <v>1</v>
      </c>
      <c r="AG119" s="63">
        <f t="shared" si="20"/>
        <v>0.77723531612420504</v>
      </c>
      <c r="AH119" s="63">
        <f t="shared" si="21"/>
        <v>0.98333333333333328</v>
      </c>
      <c r="AI119" s="63">
        <f t="shared" si="22"/>
        <v>0.45902990265891846</v>
      </c>
      <c r="AK119" s="60">
        <f>活动投放!AF119/U119</f>
        <v>0.54431110664792137</v>
      </c>
      <c r="AL119" s="60">
        <f>付费投放!AD119/U119</f>
        <v>0.45568889335207857</v>
      </c>
      <c r="AM119" s="60">
        <f>活动投放!AH119/W119</f>
        <v>0.85887402171168892</v>
      </c>
      <c r="AN119" s="60">
        <f>付费投放!AF119/W119</f>
        <v>0.14112597828831105</v>
      </c>
      <c r="AO119" s="60">
        <f>IFERROR(INDEX(真品获取算法!$C$6:$C$66,MATCH(U119,真品获取算法!G$6:G$66,1)),0)*AK119/(IFERROR(INDEX(真品获取算法!$C$6:$C$66,MATCH(U119,真品获取算法!G$6:G$66,1)),0)+付费投放!AJ119)</f>
        <v>0.51875333501618937</v>
      </c>
      <c r="AP119" s="60">
        <f>(付费投放!AJ119+IFERROR(INDEX(真品获取算法!$C$6:$C$66,MATCH(U119,真品获取算法!G$6:G$66,1)),0)*AL119)/(IFERROR(INDEX(真品获取算法!$C$6:$C$66,MATCH(U119,真品获取算法!G$6:G$66,1)),0)+付费投放!AJ119)</f>
        <v>0.48124666498381052</v>
      </c>
      <c r="AQ119" s="60">
        <f>IFERROR(INDEX(真品获取算法!$C$6:$C$66,MATCH(W119,真品获取算法!I$6:I$66,1)),0)*AM119/(IFERROR(INDEX(真品获取算法!$C$6:$C$66,MATCH(W119,真品获取算法!I$6:I$66,1)),0)+付费投放!AL119)</f>
        <v>0.60737555228432694</v>
      </c>
      <c r="AR119" s="60">
        <f>(付费投放!AL119+IFERROR(INDEX(真品获取算法!$C$6:$C$66,MATCH(W119,真品获取算法!I$6:I$66,1)),0)*AN119)/(IFERROR(INDEX(真品获取算法!$C$6:$C$66,MATCH(W119,真品获取算法!I$6:I$66,1)),0)+付费投放!AL119)</f>
        <v>0.39262444771567301</v>
      </c>
    </row>
    <row r="120" spans="3:44" x14ac:dyDescent="0.15">
      <c r="C120" s="29">
        <f t="shared" si="25"/>
        <v>780</v>
      </c>
      <c r="D120" s="18">
        <f>求节点(节奏总纲!$F$4:$F$163,节奏总纲!$C$4:$C$163,$C120)</f>
        <v>101.47512451488986</v>
      </c>
      <c r="E120" s="18">
        <f>IFERROR(求节点(前期规划!$E$13:$E$23,前期规划!$B$13:$B$23,D120),0)</f>
        <v>16.412520752481644</v>
      </c>
      <c r="F120" s="63">
        <f>IFERROR(求节点(前期规划!$C$28:$C$35,前期规划!D$28:D$35,$D120),0)</f>
        <v>9</v>
      </c>
      <c r="G120" s="63">
        <f>IFERROR(求节点(前期规划!$C$28:$C$35,前期规划!E$28:E$35,$D120),0)</f>
        <v>9</v>
      </c>
      <c r="H120" s="63">
        <f>IFERROR(求节点(前期规划!$C$28:$C$35,前期规划!F$28:F$35,$D120),0)</f>
        <v>27</v>
      </c>
      <c r="I120" s="63">
        <f>IFERROR(求节点(前期规划!$C$28:$C$35,前期规划!G$28:G$35,$D120),0)</f>
        <v>27</v>
      </c>
      <c r="J120" s="63">
        <f>IFERROR(求节点(前期规划!$C$28:$C$35,前期规划!H$28:H$35,$D120),0)</f>
        <v>60</v>
      </c>
      <c r="K120" s="63">
        <f>IFERROR(求节点(前期规划!$C$28:$C$35,前期规划!I$28:I$35,$D120),0)</f>
        <v>6.8850747089339137</v>
      </c>
      <c r="L120" s="63">
        <f>MIN($E120-SUM(M120:$Q120),F120)</f>
        <v>0</v>
      </c>
      <c r="M120" s="63">
        <f>MIN($E120-SUM(N120:$Q120),G120)</f>
        <v>0</v>
      </c>
      <c r="N120" s="63">
        <f>MIN($E120-SUM(O120:$Q120),H120)</f>
        <v>0</v>
      </c>
      <c r="O120" s="63">
        <f>MIN($E120-SUM(P120:$Q120),I120)</f>
        <v>0</v>
      </c>
      <c r="P120" s="63">
        <f>MIN($E120-SUM(Q120:$Q120),J120)</f>
        <v>9.5274460435477302</v>
      </c>
      <c r="Q120" s="69">
        <f t="shared" si="23"/>
        <v>6.8850747089339137</v>
      </c>
      <c r="R120" s="64">
        <f>活动投放!AC120+付费投放!AA120</f>
        <v>155.90151515151516</v>
      </c>
      <c r="S120" s="64">
        <f>活动投放!AD120+付费投放!AB120</f>
        <v>155.90151515151516</v>
      </c>
      <c r="T120" s="64">
        <f>活动投放!AE120+付费投放!AC120</f>
        <v>306.52929292929286</v>
      </c>
      <c r="U120" s="64">
        <f>活动投放!AF120+付费投放!AD120</f>
        <v>131.36969696969695</v>
      </c>
      <c r="V120" s="64">
        <f>活动投放!AG120+付费投放!AE120</f>
        <v>303.53333333333336</v>
      </c>
      <c r="W120" s="64">
        <f>活动投放!AH120+付费投放!AF120</f>
        <v>33.725925925925928</v>
      </c>
      <c r="X120" s="63">
        <f>MIN(IFERROR(INDEX(真品获取算法!$C$6:$C$66,MATCH(R120,真品获取算法!D$6:D$66,1)),0)+付费投放!AG120,前期规划!D$8)</f>
        <v>9</v>
      </c>
      <c r="Y120" s="63">
        <f>MIN(IFERROR(INDEX(真品获取算法!$C$6:$C$66,MATCH(S120,真品获取算法!E$6:E$66,1)),0)+付费投放!AH120,前期规划!E$8)</f>
        <v>9</v>
      </c>
      <c r="Z120" s="63">
        <f>MIN(IFERROR(INDEX(真品获取算法!$C$6:$C$66,MATCH(T120,真品获取算法!F$6:F$66,1)),0)+付费投放!AI120,前期规划!F$8)</f>
        <v>27</v>
      </c>
      <c r="AA120" s="63">
        <f>MIN(IFERROR(INDEX(真品获取算法!$C$6:$C$66,MATCH(U120,真品获取算法!G$6:G$66,1)),0)+付费投放!AJ120,前期规划!G$8)</f>
        <v>22.052020202020202</v>
      </c>
      <c r="AB120" s="63">
        <f>MIN(IFERROR(INDEX(真品获取算法!$C$6:$C$66,MATCH(V120,真品获取算法!H$6:H$66,1)),0)+付费投放!AK120,前期规划!H$8)</f>
        <v>59</v>
      </c>
      <c r="AC120" s="63">
        <f>MIN(IFERROR(INDEX(真品获取算法!$C$6:$C$66,MATCH(W120,真品获取算法!I$6:I$66,1)),0)+付费投放!AL120,前期规划!I$8)</f>
        <v>3.9051851851851849</v>
      </c>
      <c r="AD120" s="63">
        <f t="shared" si="24"/>
        <v>1</v>
      </c>
      <c r="AE120" s="63">
        <f t="shared" si="18"/>
        <v>1</v>
      </c>
      <c r="AF120" s="63">
        <f t="shared" si="19"/>
        <v>1</v>
      </c>
      <c r="AG120" s="63">
        <f t="shared" si="20"/>
        <v>0.81674148896371124</v>
      </c>
      <c r="AH120" s="63">
        <f t="shared" si="21"/>
        <v>0.98333333333333328</v>
      </c>
      <c r="AI120" s="63">
        <f t="shared" si="22"/>
        <v>0.56719576043494591</v>
      </c>
      <c r="AK120" s="60">
        <f>活动投放!AF120/U120</f>
        <v>0.54578796825982667</v>
      </c>
      <c r="AL120" s="60">
        <f>付费投放!AD120/U120</f>
        <v>0.45421203174017333</v>
      </c>
      <c r="AM120" s="60">
        <f>活动投放!AH120/W120</f>
        <v>0.86580276740610584</v>
      </c>
      <c r="AN120" s="60">
        <f>付费投放!AF120/W120</f>
        <v>0.13419723259389416</v>
      </c>
      <c r="AO120" s="60">
        <f>IFERROR(INDEX(真品获取算法!$C$6:$C$66,MATCH(U120,真品获取算法!G$6:G$66,1)),0)*AK120/(IFERROR(INDEX(真品获取算法!$C$6:$C$66,MATCH(U120,真品获取算法!G$6:G$66,1)),0)+付费投放!AJ120)</f>
        <v>0.51975044592088482</v>
      </c>
      <c r="AP120" s="60">
        <f>(付费投放!AJ120+IFERROR(INDEX(真品获取算法!$C$6:$C$66,MATCH(U120,真品获取算法!G$6:G$66,1)),0)*AL120)/(IFERROR(INDEX(真品获取算法!$C$6:$C$66,MATCH(U120,真品获取算法!G$6:G$66,1)),0)+付费投放!AJ120)</f>
        <v>0.48024955407911518</v>
      </c>
      <c r="AQ120" s="60">
        <f>IFERROR(INDEX(真品获取算法!$C$6:$C$66,MATCH(W120,真品获取算法!I$6:I$66,1)),0)*AM120/(IFERROR(INDEX(真品获取算法!$C$6:$C$66,MATCH(W120,真品获取算法!I$6:I$66,1)),0)+付费投放!AL120)</f>
        <v>0.66511783156197446</v>
      </c>
      <c r="AR120" s="60">
        <f>(付费投放!AL120+IFERROR(INDEX(真品获取算法!$C$6:$C$66,MATCH(W120,真品获取算法!I$6:I$66,1)),0)*AN120)/(IFERROR(INDEX(真品获取算法!$C$6:$C$66,MATCH(W120,真品获取算法!I$6:I$66,1)),0)+付费投放!AL120)</f>
        <v>0.33488216843802565</v>
      </c>
    </row>
    <row r="121" spans="3:44" x14ac:dyDescent="0.15">
      <c r="C121" s="29">
        <f t="shared" si="25"/>
        <v>840</v>
      </c>
      <c r="D121" s="18">
        <f>求节点(节奏总纲!$F$4:$F$163,节奏总纲!$C$4:$C$163,$C121)</f>
        <v>102.61094151224314</v>
      </c>
      <c r="E121" s="18">
        <f>IFERROR(求节点(前期规划!$E$13:$E$23,前期规划!$B$13:$B$23,D121),0)</f>
        <v>16.601823585373857</v>
      </c>
      <c r="F121" s="63">
        <f>IFERROR(求节点(前期规划!$C$28:$C$35,前期规划!D$28:D$35,$D121),0)</f>
        <v>9</v>
      </c>
      <c r="G121" s="63">
        <f>IFERROR(求节点(前期规划!$C$28:$C$35,前期规划!E$28:E$35,$D121),0)</f>
        <v>9</v>
      </c>
      <c r="H121" s="63">
        <f>IFERROR(求节点(前期规划!$C$28:$C$35,前期规划!F$28:F$35,$D121),0)</f>
        <v>27</v>
      </c>
      <c r="I121" s="63">
        <f>IFERROR(求节点(前期规划!$C$28:$C$35,前期规划!G$28:G$35,$D121),0)</f>
        <v>27</v>
      </c>
      <c r="J121" s="63">
        <f>IFERROR(求节点(前期规划!$C$28:$C$35,前期规划!H$28:H$35,$D121),0)</f>
        <v>60</v>
      </c>
      <c r="K121" s="63">
        <f>IFERROR(求节点(前期规划!$C$28:$C$35,前期规划!I$28:I$35,$D121),0)</f>
        <v>7.566564907345886</v>
      </c>
      <c r="L121" s="63">
        <f>MIN($E121-SUM(M121:$Q121),F121)</f>
        <v>0</v>
      </c>
      <c r="M121" s="63">
        <f>MIN($E121-SUM(N121:$Q121),G121)</f>
        <v>0</v>
      </c>
      <c r="N121" s="63">
        <f>MIN($E121-SUM(O121:$Q121),H121)</f>
        <v>0</v>
      </c>
      <c r="O121" s="63">
        <f>MIN($E121-SUM(P121:$Q121),I121)</f>
        <v>0</v>
      </c>
      <c r="P121" s="63">
        <f>MIN($E121-SUM(Q121:$Q121),J121)</f>
        <v>9.0352586780279722</v>
      </c>
      <c r="Q121" s="69">
        <f t="shared" si="23"/>
        <v>7.566564907345886</v>
      </c>
      <c r="R121" s="64">
        <f>活动投放!AC121+付费投放!AA121</f>
        <v>166.90151515151516</v>
      </c>
      <c r="S121" s="64">
        <f>活动投放!AD121+付费投放!AB121</f>
        <v>166.90151515151516</v>
      </c>
      <c r="T121" s="64">
        <f>活动投放!AE121+付费投放!AC121</f>
        <v>331.41818181818178</v>
      </c>
      <c r="U121" s="64">
        <f>活动投放!AF121+付费投放!AD121</f>
        <v>142.0363636363636</v>
      </c>
      <c r="V121" s="64">
        <f>活动投放!AG121+付费投放!AE121</f>
        <v>346.6</v>
      </c>
      <c r="W121" s="64">
        <f>活动投放!AH121+付费投放!AF121</f>
        <v>38.511111111111113</v>
      </c>
      <c r="X121" s="63">
        <f>MIN(IFERROR(INDEX(真品获取算法!$C$6:$C$66,MATCH(R121,真品获取算法!D$6:D$66,1)),0)+付费投放!AG121,前期规划!D$8)</f>
        <v>9</v>
      </c>
      <c r="Y121" s="63">
        <f>MIN(IFERROR(INDEX(真品获取算法!$C$6:$C$66,MATCH(S121,真品获取算法!E$6:E$66,1)),0)+付费投放!AH121,前期规划!E$8)</f>
        <v>9</v>
      </c>
      <c r="Z121" s="63">
        <f>MIN(IFERROR(INDEX(真品获取算法!$C$6:$C$66,MATCH(T121,真品获取算法!F$6:F$66,1)),0)+付费投放!AI121,前期规划!F$8)</f>
        <v>27</v>
      </c>
      <c r="AA121" s="63">
        <f>MIN(IFERROR(INDEX(真品获取算法!$C$6:$C$66,MATCH(U121,真品获取算法!G$6:G$66,1)),0)+付费投放!AJ121,前期规划!G$8)</f>
        <v>22.118686868686869</v>
      </c>
      <c r="AB121" s="63">
        <f>MIN(IFERROR(INDEX(真品获取算法!$C$6:$C$66,MATCH(V121,真品获取算法!H$6:H$66,1)),0)+付费投放!AK121,前期规划!H$8)</f>
        <v>60</v>
      </c>
      <c r="AC121" s="63">
        <f>MIN(IFERROR(INDEX(真品获取算法!$C$6:$C$66,MATCH(W121,真品获取算法!I$6:I$66,1)),0)+付费投放!AL121,前期规划!I$8)</f>
        <v>3.9822222222222221</v>
      </c>
      <c r="AD121" s="63">
        <f t="shared" si="24"/>
        <v>1</v>
      </c>
      <c r="AE121" s="63">
        <f t="shared" si="18"/>
        <v>1</v>
      </c>
      <c r="AF121" s="63">
        <f t="shared" si="19"/>
        <v>1</v>
      </c>
      <c r="AG121" s="63">
        <f t="shared" si="20"/>
        <v>0.81921062476618034</v>
      </c>
      <c r="AH121" s="63">
        <f t="shared" si="21"/>
        <v>1</v>
      </c>
      <c r="AI121" s="63">
        <f t="shared" si="22"/>
        <v>0.52629195295161502</v>
      </c>
      <c r="AK121" s="60">
        <f>活动投放!AF121/U121</f>
        <v>0.54704301075268835</v>
      </c>
      <c r="AL121" s="60">
        <f>付费投放!AD121/U121</f>
        <v>0.45295698924731176</v>
      </c>
      <c r="AM121" s="60">
        <f>活动投放!AH121/W121</f>
        <v>0.87247547605308717</v>
      </c>
      <c r="AN121" s="60">
        <f>付费投放!AF121/W121</f>
        <v>0.12752452394691288</v>
      </c>
      <c r="AO121" s="60">
        <f>IFERROR(INDEX(真品获取算法!$C$6:$C$66,MATCH(U121,真品获取算法!G$6:G$66,1)),0)*AK121/(IFERROR(INDEX(真品获取算法!$C$6:$C$66,MATCH(U121,真品获取算法!G$6:G$66,1)),0)+付费投放!AJ121)</f>
        <v>0.51937546265776413</v>
      </c>
      <c r="AP121" s="60">
        <f>(付费投放!AJ121+IFERROR(INDEX(真品获取算法!$C$6:$C$66,MATCH(U121,真品获取算法!G$6:G$66,1)),0)*AL121)/(IFERROR(INDEX(真品获取算法!$C$6:$C$66,MATCH(U121,真品获取算法!G$6:G$66,1)),0)+付费投放!AJ121)</f>
        <v>0.48062453734223592</v>
      </c>
      <c r="AQ121" s="60">
        <f>IFERROR(INDEX(真品获取算法!$C$6:$C$66,MATCH(W121,真品获取算法!I$6:I$66,1)),0)*AM121/(IFERROR(INDEX(真品获取算法!$C$6:$C$66,MATCH(W121,真品获取算法!I$6:I$66,1)),0)+付费投放!AL121)</f>
        <v>0.65727784189267169</v>
      </c>
      <c r="AR121" s="60">
        <f>(付费投放!AL121+IFERROR(INDEX(真品获取算法!$C$6:$C$66,MATCH(W121,真品获取算法!I$6:I$66,1)),0)*AN121)/(IFERROR(INDEX(真品获取算法!$C$6:$C$66,MATCH(W121,真品获取算法!I$6:I$66,1)),0)+付费投放!AL121)</f>
        <v>0.34272215810732831</v>
      </c>
    </row>
    <row r="122" spans="3:44" x14ac:dyDescent="0.15">
      <c r="C122" s="29">
        <f t="shared" si="25"/>
        <v>900</v>
      </c>
      <c r="D122" s="18">
        <f>求节点(节奏总纲!$F$4:$F$163,节奏总纲!$C$4:$C$163,$C122)</f>
        <v>103.60238266350056</v>
      </c>
      <c r="E122" s="18">
        <f>IFERROR(求节点(前期规划!$E$13:$E$23,前期规划!$B$13:$B$23,D122),0)</f>
        <v>16.767063777250094</v>
      </c>
      <c r="F122" s="63">
        <f>IFERROR(求节点(前期规划!$C$28:$C$35,前期规划!D$28:D$35,$D122),0)</f>
        <v>9</v>
      </c>
      <c r="G122" s="63">
        <f>IFERROR(求节点(前期规划!$C$28:$C$35,前期规划!E$28:E$35,$D122),0)</f>
        <v>9</v>
      </c>
      <c r="H122" s="63">
        <f>IFERROR(求节点(前期规划!$C$28:$C$35,前期规划!F$28:F$35,$D122),0)</f>
        <v>27</v>
      </c>
      <c r="I122" s="63">
        <f>IFERROR(求节点(前期规划!$C$28:$C$35,前期规划!G$28:G$35,$D122),0)</f>
        <v>27</v>
      </c>
      <c r="J122" s="63">
        <f>IFERROR(求节点(前期规划!$C$28:$C$35,前期规划!H$28:H$35,$D122),0)</f>
        <v>60</v>
      </c>
      <c r="K122" s="63">
        <f>IFERROR(求节点(前期规划!$C$28:$C$35,前期规划!I$28:I$35,$D122),0)</f>
        <v>8.1614295981003373</v>
      </c>
      <c r="L122" s="63">
        <f>MIN($E122-SUM(M122:$Q122),F122)</f>
        <v>0</v>
      </c>
      <c r="M122" s="63">
        <f>MIN($E122-SUM(N122:$Q122),G122)</f>
        <v>0</v>
      </c>
      <c r="N122" s="63">
        <f>MIN($E122-SUM(O122:$Q122),H122)</f>
        <v>0</v>
      </c>
      <c r="O122" s="63">
        <f>MIN($E122-SUM(P122:$Q122),I122)</f>
        <v>0</v>
      </c>
      <c r="P122" s="63">
        <f>MIN($E122-SUM(Q122:$Q122),J122)</f>
        <v>8.6056341791497566</v>
      </c>
      <c r="Q122" s="69">
        <f t="shared" si="23"/>
        <v>8.1614295981003373</v>
      </c>
      <c r="R122" s="64">
        <f>活动投放!AC122+付费投放!AA122</f>
        <v>177.90151515151516</v>
      </c>
      <c r="S122" s="64">
        <f>活动投放!AD122+付费投放!AB122</f>
        <v>177.90151515151516</v>
      </c>
      <c r="T122" s="64">
        <f>活动投放!AE122+付费投放!AC122</f>
        <v>356.30707070707069</v>
      </c>
      <c r="U122" s="64">
        <f>活动投放!AF122+付费投放!AD122</f>
        <v>152.70303030303029</v>
      </c>
      <c r="V122" s="64">
        <f>活动投放!AG122+付费投放!AE122</f>
        <v>389.66666666666669</v>
      </c>
      <c r="W122" s="64">
        <f>活动投放!AH122+付费投放!AF122</f>
        <v>43.296296296296298</v>
      </c>
      <c r="X122" s="63">
        <f>MIN(IFERROR(INDEX(真品获取算法!$C$6:$C$66,MATCH(R122,真品获取算法!D$6:D$66,1)),0)+付费投放!AG122,前期规划!D$8)</f>
        <v>9</v>
      </c>
      <c r="Y122" s="63">
        <f>MIN(IFERROR(INDEX(真品获取算法!$C$6:$C$66,MATCH(S122,真品获取算法!E$6:E$66,1)),0)+付费投放!AH122,前期规划!E$8)</f>
        <v>9</v>
      </c>
      <c r="Z122" s="63">
        <f>MIN(IFERROR(INDEX(真品获取算法!$C$6:$C$66,MATCH(T122,真品获取算法!F$6:F$66,1)),0)+付费投放!AI122,前期规划!F$8)</f>
        <v>27</v>
      </c>
      <c r="AA122" s="63">
        <f>MIN(IFERROR(INDEX(真品获取算法!$C$6:$C$66,MATCH(U122,真品获取算法!G$6:G$66,1)),0)+付费投放!AJ122,前期规划!G$8)</f>
        <v>23.185353535353535</v>
      </c>
      <c r="AB122" s="63">
        <f>MIN(IFERROR(INDEX(真品获取算法!$C$6:$C$66,MATCH(V122,真品获取算法!H$6:H$66,1)),0)+付费投放!AK122,前期规划!H$8)</f>
        <v>60</v>
      </c>
      <c r="AC122" s="63">
        <f>MIN(IFERROR(INDEX(真品获取算法!$C$6:$C$66,MATCH(W122,真品获取算法!I$6:I$66,1)),0)+付费投放!AL122,前期规划!I$8)</f>
        <v>5.0592592592592593</v>
      </c>
      <c r="AD122" s="63">
        <f t="shared" si="24"/>
        <v>1</v>
      </c>
      <c r="AE122" s="63">
        <f t="shared" si="18"/>
        <v>1</v>
      </c>
      <c r="AF122" s="63">
        <f t="shared" si="19"/>
        <v>1</v>
      </c>
      <c r="AG122" s="63">
        <f t="shared" si="20"/>
        <v>0.85871679760568653</v>
      </c>
      <c r="AH122" s="63">
        <f t="shared" si="21"/>
        <v>1</v>
      </c>
      <c r="AI122" s="63">
        <f t="shared" si="22"/>
        <v>0.61989865849444536</v>
      </c>
      <c r="AK122" s="60">
        <f>活动投放!AF122/U122</f>
        <v>0.54812271789172895</v>
      </c>
      <c r="AL122" s="60">
        <f>付费投放!AD122/U122</f>
        <v>0.45187728210827111</v>
      </c>
      <c r="AM122" s="60">
        <f>活动投放!AH122/W122</f>
        <v>0.87767322497861422</v>
      </c>
      <c r="AN122" s="60">
        <f>付费投放!AF122/W122</f>
        <v>0.12232677502138582</v>
      </c>
      <c r="AO122" s="60">
        <f>IFERROR(INDEX(真品获取算法!$C$6:$C$66,MATCH(U122,真品获取算法!G$6:G$66,1)),0)*AK122/(IFERROR(INDEX(真品获取算法!$C$6:$C$66,MATCH(U122,真品获取算法!G$6:G$66,1)),0)+付费投放!AJ122)</f>
        <v>0.52009988871770563</v>
      </c>
      <c r="AP122" s="60">
        <f>(付费投放!AJ122+IFERROR(INDEX(真品获取算法!$C$6:$C$66,MATCH(U122,真品获取算法!G$6:G$66,1)),0)*AL122)/(IFERROR(INDEX(真品获取算法!$C$6:$C$66,MATCH(U122,真品获取算法!G$6:G$66,1)),0)+付费投放!AJ122)</f>
        <v>0.47990011128229437</v>
      </c>
      <c r="AQ122" s="60">
        <f>IFERROR(INDEX(真品获取算法!$C$6:$C$66,MATCH(W122,真品获取算法!I$6:I$66,1)),0)*AM122/(IFERROR(INDEX(真品获取算法!$C$6:$C$66,MATCH(W122,真品获取算法!I$6:I$66,1)),0)+付费投放!AL122)</f>
        <v>0.69391440920710346</v>
      </c>
      <c r="AR122" s="60">
        <f>(付费投放!AL122+IFERROR(INDEX(真品获取算法!$C$6:$C$66,MATCH(W122,真品获取算法!I$6:I$66,1)),0)*AN122)/(IFERROR(INDEX(真品获取算法!$C$6:$C$66,MATCH(W122,真品获取算法!I$6:I$66,1)),0)+付费投放!AL122)</f>
        <v>0.30608559079289654</v>
      </c>
    </row>
    <row r="123" spans="3:44" x14ac:dyDescent="0.15">
      <c r="C123" s="29">
        <f t="shared" si="25"/>
        <v>1020</v>
      </c>
      <c r="D123" s="18">
        <f>求节点(节奏总纲!$F$4:$F$163,节奏总纲!$C$4:$C$163,$C123)</f>
        <v>105.37513360458028</v>
      </c>
      <c r="E123" s="18">
        <f>IFERROR(求节点(前期规划!$E$13:$E$23,前期规划!$B$13:$B$23,D123),0)</f>
        <v>17.062522267430047</v>
      </c>
      <c r="F123" s="63">
        <f>IFERROR(求节点(前期规划!$C$28:$C$35,前期规划!D$28:D$35,$D123),0)</f>
        <v>9</v>
      </c>
      <c r="G123" s="63">
        <f>IFERROR(求节点(前期规划!$C$28:$C$35,前期规划!E$28:E$35,$D123),0)</f>
        <v>9</v>
      </c>
      <c r="H123" s="63">
        <f>IFERROR(求节点(前期规划!$C$28:$C$35,前期规划!F$28:F$35,$D123),0)</f>
        <v>27</v>
      </c>
      <c r="I123" s="63">
        <f>IFERROR(求节点(前期规划!$C$28:$C$35,前期规划!G$28:G$35,$D123),0)</f>
        <v>27</v>
      </c>
      <c r="J123" s="63">
        <f>IFERROR(求节点(前期规划!$C$28:$C$35,前期规划!H$28:H$35,$D123),0)</f>
        <v>60</v>
      </c>
      <c r="K123" s="63">
        <f>IFERROR(求节点(前期规划!$C$28:$C$35,前期规划!I$28:I$35,$D123),0)</f>
        <v>9.3478511606108086</v>
      </c>
      <c r="L123" s="63">
        <f>MIN($E123-SUM(M123:$Q123),F123)</f>
        <v>0</v>
      </c>
      <c r="M123" s="63">
        <f>MIN($E123-SUM(N123:$Q123),G123)</f>
        <v>0</v>
      </c>
      <c r="N123" s="63">
        <f>MIN($E123-SUM(O123:$Q123),H123)</f>
        <v>0</v>
      </c>
      <c r="O123" s="63">
        <f>MIN($E123-SUM(P123:$Q123),I123)</f>
        <v>0</v>
      </c>
      <c r="P123" s="63">
        <f>MIN($E123-SUM(Q123:$Q123),J123)</f>
        <v>7.7146711068192388</v>
      </c>
      <c r="Q123" s="69">
        <f t="shared" si="23"/>
        <v>9.3478511606108086</v>
      </c>
      <c r="R123" s="64">
        <f>活动投放!AC123+付费投放!AA123</f>
        <v>199.90151515151516</v>
      </c>
      <c r="S123" s="64">
        <f>活动投放!AD123+付费投放!AB123</f>
        <v>199.90151515151516</v>
      </c>
      <c r="T123" s="64">
        <f>活动投放!AE123+付费投放!AC123</f>
        <v>406.08484848484841</v>
      </c>
      <c r="U123" s="64">
        <f>活动投放!AF123+付费投放!AD123</f>
        <v>174.0363636363636</v>
      </c>
      <c r="V123" s="64">
        <f>活动投放!AG123+付费投放!AE123</f>
        <v>475.8</v>
      </c>
      <c r="W123" s="64">
        <f>活动投放!AH123+付费投放!AF123</f>
        <v>52.866666666666674</v>
      </c>
      <c r="X123" s="63">
        <f>MIN(IFERROR(INDEX(真品获取算法!$C$6:$C$66,MATCH(R123,真品获取算法!D$6:D$66,1)),0)+付费投放!AG123,前期规划!D$8)</f>
        <v>9</v>
      </c>
      <c r="Y123" s="63">
        <f>MIN(IFERROR(INDEX(真品获取算法!$C$6:$C$66,MATCH(S123,真品获取算法!E$6:E$66,1)),0)+付费投放!AH123,前期规划!E$8)</f>
        <v>9</v>
      </c>
      <c r="Z123" s="63">
        <f>MIN(IFERROR(INDEX(真品获取算法!$C$6:$C$66,MATCH(T123,真品获取算法!F$6:F$66,1)),0)+付费投放!AI123,前期规划!F$8)</f>
        <v>27</v>
      </c>
      <c r="AA123" s="63">
        <f>MIN(IFERROR(INDEX(真品获取算法!$C$6:$C$66,MATCH(U123,真品获取算法!G$6:G$66,1)),0)+付费投放!AJ123,前期规划!G$8)</f>
        <v>24.318686868686868</v>
      </c>
      <c r="AB123" s="63">
        <f>MIN(IFERROR(INDEX(真品获取算法!$C$6:$C$66,MATCH(V123,真品获取算法!H$6:H$66,1)),0)+付费投放!AK123,前期规划!H$8)</f>
        <v>60</v>
      </c>
      <c r="AC123" s="63">
        <f>MIN(IFERROR(INDEX(真品获取算法!$C$6:$C$66,MATCH(W123,真品获取算法!I$6:I$66,1)),0)+付费投放!AL123,前期规划!I$8)</f>
        <v>6.2133333333333329</v>
      </c>
      <c r="AD123" s="63">
        <f t="shared" si="24"/>
        <v>1</v>
      </c>
      <c r="AE123" s="63">
        <f t="shared" si="18"/>
        <v>1</v>
      </c>
      <c r="AF123" s="63">
        <f t="shared" si="19"/>
        <v>1</v>
      </c>
      <c r="AG123" s="63">
        <f t="shared" si="20"/>
        <v>0.90069210624766172</v>
      </c>
      <c r="AH123" s="63">
        <f t="shared" si="21"/>
        <v>1</v>
      </c>
      <c r="AI123" s="63">
        <f t="shared" si="22"/>
        <v>0.66468038767182724</v>
      </c>
      <c r="AK123" s="60">
        <f>活动投放!AF123/U123</f>
        <v>0.54988508148767246</v>
      </c>
      <c r="AL123" s="60">
        <f>付费投放!AD123/U123</f>
        <v>0.4501149185123276</v>
      </c>
      <c r="AM123" s="60">
        <f>活动投放!AH123/W123</f>
        <v>0.88524590163934425</v>
      </c>
      <c r="AN123" s="60">
        <f>付费投放!AF123/W123</f>
        <v>0.11475409836065575</v>
      </c>
      <c r="AO123" s="60">
        <f>IFERROR(INDEX(真品获取算法!$C$6:$C$66,MATCH(U123,真品获取算法!G$6:G$66,1)),0)*AK123/(IFERROR(INDEX(真品获取算法!$C$6:$C$66,MATCH(U123,真品获取算法!G$6:G$66,1)),0)+付费投放!AJ123)</f>
        <v>0.5200674256183383</v>
      </c>
      <c r="AP123" s="60">
        <f>(付费投放!AJ123+IFERROR(INDEX(真品获取算法!$C$6:$C$66,MATCH(U123,真品获取算法!G$6:G$66,1)),0)*AL123)/(IFERROR(INDEX(真品获取算法!$C$6:$C$66,MATCH(U123,真品获取算法!G$6:G$66,1)),0)+付费投放!AJ123)</f>
        <v>0.47993257438166181</v>
      </c>
      <c r="AQ123" s="60">
        <f>IFERROR(INDEX(真品获取算法!$C$6:$C$66,MATCH(W123,真品获取算法!I$6:I$66,1)),0)*AM123/(IFERROR(INDEX(真品获取算法!$C$6:$C$66,MATCH(W123,真品获取算法!I$6:I$66,1)),0)+付费投放!AL123)</f>
        <v>0.71237599380848526</v>
      </c>
      <c r="AR123" s="60">
        <f>(付费投放!AL123+IFERROR(INDEX(真品获取算法!$C$6:$C$66,MATCH(W123,真品获取算法!I$6:I$66,1)),0)*AN123)/(IFERROR(INDEX(真品获取算法!$C$6:$C$66,MATCH(W123,真品获取算法!I$6:I$66,1)),0)+付费投放!AL123)</f>
        <v>0.28762400619151485</v>
      </c>
    </row>
    <row r="124" spans="3:44" x14ac:dyDescent="0.15">
      <c r="C124" s="29">
        <f t="shared" si="25"/>
        <v>1140</v>
      </c>
      <c r="D124" s="18">
        <f>求节点(节奏总纲!$F$4:$F$163,节奏总纲!$C$4:$C$163,$C124)</f>
        <v>106.97877061452158</v>
      </c>
      <c r="E124" s="18">
        <f>IFERROR(求节点(前期规划!$E$13:$E$23,前期规划!$B$13:$B$23,D124),0)</f>
        <v>17.329795102420263</v>
      </c>
      <c r="F124" s="63">
        <f>IFERROR(求节点(前期规划!$C$28:$C$35,前期规划!D$28:D$35,$D124),0)</f>
        <v>9</v>
      </c>
      <c r="G124" s="63">
        <f>IFERROR(求节点(前期规划!$C$28:$C$35,前期规划!E$28:E$35,$D124),0)</f>
        <v>9</v>
      </c>
      <c r="H124" s="63">
        <f>IFERROR(求节点(前期规划!$C$28:$C$35,前期规划!F$28:F$35,$D124),0)</f>
        <v>27</v>
      </c>
      <c r="I124" s="63">
        <f>IFERROR(求节点(前期规划!$C$28:$C$35,前期规划!G$28:G$35,$D124),0)</f>
        <v>27</v>
      </c>
      <c r="J124" s="63">
        <f>IFERROR(求节点(前期规划!$C$28:$C$35,前期规划!H$28:H$35,$D124),0)</f>
        <v>60</v>
      </c>
      <c r="K124" s="63">
        <f>IFERROR(求节点(前期规划!$C$28:$C$35,前期规划!I$28:I$35,$D124),0)</f>
        <v>10.834860024374555</v>
      </c>
      <c r="L124" s="63">
        <f>MIN($E124-SUM(M124:$Q124),F124)</f>
        <v>0</v>
      </c>
      <c r="M124" s="63">
        <f>MIN($E124-SUM(N124:$Q124),G124)</f>
        <v>0</v>
      </c>
      <c r="N124" s="63">
        <f>MIN($E124-SUM(O124:$Q124),H124)</f>
        <v>0</v>
      </c>
      <c r="O124" s="63">
        <f>MIN($E124-SUM(P124:$Q124),I124)</f>
        <v>0</v>
      </c>
      <c r="P124" s="63">
        <f>MIN($E124-SUM(Q124:$Q124),J124)</f>
        <v>6.4949350780457085</v>
      </c>
      <c r="Q124" s="69">
        <f t="shared" si="23"/>
        <v>10.834860024374555</v>
      </c>
      <c r="R124" s="64">
        <f>活动投放!AC124+付费投放!AA124</f>
        <v>221.90151515151516</v>
      </c>
      <c r="S124" s="64">
        <f>活动投放!AD124+付费投放!AB124</f>
        <v>221.90151515151516</v>
      </c>
      <c r="T124" s="64">
        <f>活动投放!AE124+付费投放!AC124</f>
        <v>455.86262626262624</v>
      </c>
      <c r="U124" s="64">
        <f>活动投放!AF124+付费投放!AD124</f>
        <v>195.36969696969695</v>
      </c>
      <c r="V124" s="64">
        <f>活动投放!AG124+付费投放!AE124</f>
        <v>569.13333333333344</v>
      </c>
      <c r="W124" s="64">
        <f>活动投放!AH124+付费投放!AF124</f>
        <v>63.237037037037041</v>
      </c>
      <c r="X124" s="63">
        <f>MIN(IFERROR(INDEX(真品获取算法!$C$6:$C$66,MATCH(R124,真品获取算法!D$6:D$66,1)),0)+付费投放!AG124,前期规划!D$8)</f>
        <v>9</v>
      </c>
      <c r="Y124" s="63">
        <f>MIN(IFERROR(INDEX(真品获取算法!$C$6:$C$66,MATCH(S124,真品获取算法!E$6:E$66,1)),0)+付费投放!AH124,前期规划!E$8)</f>
        <v>9</v>
      </c>
      <c r="Z124" s="63">
        <f>MIN(IFERROR(INDEX(真品获取算法!$C$6:$C$66,MATCH(T124,真品获取算法!F$6:F$66,1)),0)+付费投放!AI124,前期规划!F$8)</f>
        <v>27</v>
      </c>
      <c r="AA124" s="63">
        <f>MIN(IFERROR(INDEX(真品获取算法!$C$6:$C$66,MATCH(U124,真品获取算法!G$6:G$66,1)),0)+付费投放!AJ124,前期规划!G$8)</f>
        <v>25.452020202020201</v>
      </c>
      <c r="AB124" s="63">
        <f>MIN(IFERROR(INDEX(真品获取算法!$C$6:$C$66,MATCH(V124,真品获取算法!H$6:H$66,1)),0)+付费投放!AK124,前期规划!H$8)</f>
        <v>60</v>
      </c>
      <c r="AC124" s="63">
        <f>MIN(IFERROR(INDEX(真品获取算法!$C$6:$C$66,MATCH(W124,真品获取算法!I$6:I$66,1)),0)+付费投放!AL124,前期规划!I$8)</f>
        <v>7.3674074074074074</v>
      </c>
      <c r="AD124" s="63">
        <f t="shared" si="24"/>
        <v>1</v>
      </c>
      <c r="AE124" s="63">
        <f t="shared" si="18"/>
        <v>1</v>
      </c>
      <c r="AF124" s="63">
        <f t="shared" si="19"/>
        <v>1</v>
      </c>
      <c r="AG124" s="63">
        <f t="shared" si="20"/>
        <v>0.94266741488963701</v>
      </c>
      <c r="AH124" s="63">
        <f t="shared" si="21"/>
        <v>1</v>
      </c>
      <c r="AI124" s="63">
        <f t="shared" si="22"/>
        <v>0.67997255071439588</v>
      </c>
      <c r="AK124" s="60">
        <f>活动投放!AF124/U124</f>
        <v>0.55126256359349801</v>
      </c>
      <c r="AL124" s="60">
        <f>付费投放!AD124/U124</f>
        <v>0.44873743640650199</v>
      </c>
      <c r="AM124" s="60">
        <f>活动投放!AH124/W124</f>
        <v>0.8918823942837063</v>
      </c>
      <c r="AN124" s="60">
        <f>付费投放!AF124/W124</f>
        <v>0.10811760571629381</v>
      </c>
      <c r="AO124" s="60">
        <f>IFERROR(INDEX(真品获取算法!$C$6:$C$66,MATCH(U124,真品获取算法!G$6:G$66,1)),0)*AK124/(IFERROR(INDEX(真品获取算法!$C$6:$C$66,MATCH(U124,真品获取算法!G$6:G$66,1)),0)+付费投放!AJ124)</f>
        <v>0.51981341446498719</v>
      </c>
      <c r="AP124" s="60">
        <f>(付费投放!AJ124+IFERROR(INDEX(真品获取算法!$C$6:$C$66,MATCH(U124,真品获取算法!G$6:G$66,1)),0)*AL124)/(IFERROR(INDEX(真品获取算法!$C$6:$C$66,MATCH(U124,真品获取算法!G$6:G$66,1)),0)+付费投放!AJ124)</f>
        <v>0.48018658553501292</v>
      </c>
      <c r="AQ124" s="60">
        <f>IFERROR(INDEX(真品获取算法!$C$6:$C$66,MATCH(W124,真品获取算法!I$6:I$66,1)),0)*AM124/(IFERROR(INDEX(真品获取算法!$C$6:$C$66,MATCH(W124,真品获取算法!I$6:I$66,1)),0)+付费投放!AL124)</f>
        <v>0.72634701324130513</v>
      </c>
      <c r="AR124" s="60">
        <f>(付费投放!AL124+IFERROR(INDEX(真品获取算法!$C$6:$C$66,MATCH(W124,真品获取算法!I$6:I$66,1)),0)*AN124)/(IFERROR(INDEX(真品获取算法!$C$6:$C$66,MATCH(W124,真品获取算法!I$6:I$66,1)),0)+付费投放!AL124)</f>
        <v>0.27365298675869487</v>
      </c>
    </row>
    <row r="125" spans="3:44" x14ac:dyDescent="0.15">
      <c r="C125" s="29">
        <f t="shared" si="25"/>
        <v>1260</v>
      </c>
      <c r="D125" s="18">
        <f>求节点(节奏总纲!$F$4:$F$163,节奏总纲!$C$4:$C$163,$C125)</f>
        <v>108.50202374400071</v>
      </c>
      <c r="E125" s="18">
        <f>IFERROR(求节点(前期规划!$E$13:$E$23,前期规划!$B$13:$B$23,D125),0)</f>
        <v>17.583670624000117</v>
      </c>
      <c r="F125" s="63">
        <f>IFERROR(求节点(前期规划!$C$28:$C$35,前期规划!D$28:D$35,$D125),0)</f>
        <v>9</v>
      </c>
      <c r="G125" s="63">
        <f>IFERROR(求节点(前期规划!$C$28:$C$35,前期规划!E$28:E$35,$D125),0)</f>
        <v>9</v>
      </c>
      <c r="H125" s="63">
        <f>IFERROR(求节点(前期规划!$C$28:$C$35,前期规划!F$28:F$35,$D125),0)</f>
        <v>27</v>
      </c>
      <c r="I125" s="63">
        <f>IFERROR(求节点(前期规划!$C$28:$C$35,前期规划!G$28:G$35,$D125),0)</f>
        <v>27</v>
      </c>
      <c r="J125" s="63">
        <f>IFERROR(求节点(前期规划!$C$28:$C$35,前期规划!H$28:H$35,$D125),0)</f>
        <v>60</v>
      </c>
      <c r="K125" s="63">
        <f>IFERROR(求节点(前期规划!$C$28:$C$35,前期规划!I$28:I$35,$D125),0)</f>
        <v>12.247331108073386</v>
      </c>
      <c r="L125" s="63">
        <f>MIN($E125-SUM(M125:$Q125),F125)</f>
        <v>0</v>
      </c>
      <c r="M125" s="63">
        <f>MIN($E125-SUM(N125:$Q125),G125)</f>
        <v>0</v>
      </c>
      <c r="N125" s="63">
        <f>MIN($E125-SUM(O125:$Q125),H125)</f>
        <v>0</v>
      </c>
      <c r="O125" s="63">
        <f>MIN($E125-SUM(P125:$Q125),I125)</f>
        <v>0</v>
      </c>
      <c r="P125" s="63">
        <f>MIN($E125-SUM(Q125:$Q125),J125)</f>
        <v>5.3363395159267313</v>
      </c>
      <c r="Q125" s="69">
        <f t="shared" si="23"/>
        <v>12.247331108073386</v>
      </c>
      <c r="R125" s="64">
        <f>活动投放!AC125+付费投放!AA125</f>
        <v>243.90151515151516</v>
      </c>
      <c r="S125" s="64">
        <f>活动投放!AD125+付费投放!AB125</f>
        <v>243.90151515151516</v>
      </c>
      <c r="T125" s="64">
        <f>活动投放!AE125+付费投放!AC125</f>
        <v>505.64040404040395</v>
      </c>
      <c r="U125" s="64">
        <f>活动投放!AF125+付费投放!AD125</f>
        <v>216.70303030303026</v>
      </c>
      <c r="V125" s="64">
        <f>活动投放!AG125+付费投放!AE125</f>
        <v>662.4666666666667</v>
      </c>
      <c r="W125" s="64">
        <f>活动投放!AH125+付费投放!AF125</f>
        <v>73.607407407407408</v>
      </c>
      <c r="X125" s="63">
        <f>MIN(IFERROR(INDEX(真品获取算法!$C$6:$C$66,MATCH(R125,真品获取算法!D$6:D$66,1)),0)+付费投放!AG125,前期规划!D$8)</f>
        <v>9</v>
      </c>
      <c r="Y125" s="63">
        <f>MIN(IFERROR(INDEX(真品获取算法!$C$6:$C$66,MATCH(S125,真品获取算法!E$6:E$66,1)),0)+付费投放!AH125,前期规划!E$8)</f>
        <v>9</v>
      </c>
      <c r="Z125" s="63">
        <f>MIN(IFERROR(INDEX(真品获取算法!$C$6:$C$66,MATCH(T125,真品获取算法!F$6:F$66,1)),0)+付费投放!AI125,前期规划!F$8)</f>
        <v>27</v>
      </c>
      <c r="AA125" s="63">
        <f>MIN(IFERROR(INDEX(真品获取算法!$C$6:$C$66,MATCH(U125,真品获取算法!G$6:G$66,1)),0)+付费投放!AJ125,前期规划!G$8)</f>
        <v>26.585353535353534</v>
      </c>
      <c r="AB125" s="63">
        <f>MIN(IFERROR(INDEX(真品获取算法!$C$6:$C$66,MATCH(V125,真品获取算法!H$6:H$66,1)),0)+付费投放!AK125,前期规划!H$8)</f>
        <v>60</v>
      </c>
      <c r="AC125" s="63">
        <f>MIN(IFERROR(INDEX(真品获取算法!$C$6:$C$66,MATCH(W125,真品获取算法!I$6:I$66,1)),0)+付费投放!AL125,前期规划!I$8)</f>
        <v>7.521481481481481</v>
      </c>
      <c r="AD125" s="63">
        <f t="shared" si="24"/>
        <v>1</v>
      </c>
      <c r="AE125" s="63">
        <f t="shared" si="18"/>
        <v>1</v>
      </c>
      <c r="AF125" s="63">
        <f t="shared" si="19"/>
        <v>1</v>
      </c>
      <c r="AG125" s="63">
        <f t="shared" si="20"/>
        <v>0.98464272353161231</v>
      </c>
      <c r="AH125" s="63">
        <f t="shared" si="21"/>
        <v>1</v>
      </c>
      <c r="AI125" s="63">
        <f t="shared" si="22"/>
        <v>0.61413228850515478</v>
      </c>
      <c r="AK125" s="60">
        <f>活动投放!AF125/U125</f>
        <v>0.55236883320281915</v>
      </c>
      <c r="AL125" s="60">
        <f>付费投放!AD125/U125</f>
        <v>0.44763116679718085</v>
      </c>
      <c r="AM125" s="60">
        <f>活动投放!AH125/W125</f>
        <v>0.89664888799436449</v>
      </c>
      <c r="AN125" s="60">
        <f>付费投放!AF125/W125</f>
        <v>0.10335111200563553</v>
      </c>
      <c r="AO125" s="60">
        <f>IFERROR(INDEX(真品获取算法!$C$6:$C$66,MATCH(U125,真品获取算法!G$6:G$66,1)),0)*AK125/(IFERROR(INDEX(真品获取算法!$C$6:$C$66,MATCH(U125,真品获取算法!G$6:G$66,1)),0)+付费投放!AJ125)</f>
        <v>0.51942964804687686</v>
      </c>
      <c r="AP125" s="60">
        <f>(付费投放!AJ125+IFERROR(INDEX(真品获取算法!$C$6:$C$66,MATCH(U125,真品获取算法!G$6:G$66,1)),0)*AL125)/(IFERROR(INDEX(真品获取算法!$C$6:$C$66,MATCH(U125,真品获取算法!G$6:G$66,1)),0)+付费投放!AJ125)</f>
        <v>0.4805703519531232</v>
      </c>
      <c r="AQ125" s="60">
        <f>IFERROR(INDEX(真品获取算法!$C$6:$C$66,MATCH(W125,真品获取算法!I$6:I$66,1)),0)*AM125/(IFERROR(INDEX(真品获取算法!$C$6:$C$66,MATCH(W125,真品获取算法!I$6:I$66,1)),0)+付费投放!AL125)</f>
        <v>0.71527043458285922</v>
      </c>
      <c r="AR125" s="60">
        <f>(付费投放!AL125+IFERROR(INDEX(真品获取算法!$C$6:$C$66,MATCH(W125,真品获取算法!I$6:I$66,1)),0)*AN125)/(IFERROR(INDEX(真品获取算法!$C$6:$C$66,MATCH(W125,真品获取算法!I$6:I$66,1)),0)+付费投放!AL125)</f>
        <v>0.28472956541714078</v>
      </c>
    </row>
    <row r="126" spans="3:44" x14ac:dyDescent="0.15">
      <c r="C126" s="29">
        <f t="shared" si="25"/>
        <v>1380</v>
      </c>
      <c r="D126" s="18">
        <f>求节点(节奏总纲!$F$4:$F$163,节奏总纲!$C$4:$C$163,$C126)</f>
        <v>109.8194473820428</v>
      </c>
      <c r="E126" s="18">
        <f>IFERROR(求节点(前期规划!$E$13:$E$23,前期规划!$B$13:$B$23,D126),0)</f>
        <v>17.803241230340465</v>
      </c>
      <c r="F126" s="63">
        <f>IFERROR(求节点(前期规划!$C$28:$C$35,前期规划!D$28:D$35,$D126),0)</f>
        <v>9</v>
      </c>
      <c r="G126" s="63">
        <f>IFERROR(求节点(前期规划!$C$28:$C$35,前期规划!E$28:E$35,$D126),0)</f>
        <v>9</v>
      </c>
      <c r="H126" s="63">
        <f>IFERROR(求节点(前期规划!$C$28:$C$35,前期规划!F$28:F$35,$D126),0)</f>
        <v>27</v>
      </c>
      <c r="I126" s="63">
        <f>IFERROR(求节点(前期规划!$C$28:$C$35,前期规划!G$28:G$35,$D126),0)</f>
        <v>27</v>
      </c>
      <c r="J126" s="63">
        <f>IFERROR(求节点(前期规划!$C$28:$C$35,前期规划!H$28:H$35,$D126),0)</f>
        <v>60</v>
      </c>
      <c r="K126" s="63">
        <f>IFERROR(求节点(前期规划!$C$28:$C$35,前期规划!I$28:I$35,$D126),0)</f>
        <v>13.46894211789423</v>
      </c>
      <c r="L126" s="63">
        <f>MIN($E126-SUM(M126:$Q126),F126)</f>
        <v>0</v>
      </c>
      <c r="M126" s="63">
        <f>MIN($E126-SUM(N126:$Q126),G126)</f>
        <v>0</v>
      </c>
      <c r="N126" s="63">
        <f>MIN($E126-SUM(O126:$Q126),H126)</f>
        <v>0</v>
      </c>
      <c r="O126" s="63">
        <f>MIN($E126-SUM(P126:$Q126),I126)</f>
        <v>0</v>
      </c>
      <c r="P126" s="63">
        <f>MIN($E126-SUM(Q126:$Q126),J126)</f>
        <v>4.3342991124462351</v>
      </c>
      <c r="Q126" s="69">
        <f t="shared" si="23"/>
        <v>13.46894211789423</v>
      </c>
      <c r="R126" s="64">
        <f>活动投放!AC126+付费投放!AA126</f>
        <v>265.90151515151513</v>
      </c>
      <c r="S126" s="64">
        <f>活动投放!AD126+付费投放!AB126</f>
        <v>265.90151515151513</v>
      </c>
      <c r="T126" s="64">
        <f>活动投放!AE126+付费投放!AC126</f>
        <v>555.41818181818167</v>
      </c>
      <c r="U126" s="64">
        <f>活动投放!AF126+付费投放!AD126</f>
        <v>238.0363636363636</v>
      </c>
      <c r="V126" s="64">
        <f>活动投放!AG126+付费投放!AE126</f>
        <v>763</v>
      </c>
      <c r="W126" s="64">
        <f>活动投放!AH126+付费投放!AF126</f>
        <v>84.777777777777786</v>
      </c>
      <c r="X126" s="63">
        <f>MIN(IFERROR(INDEX(真品获取算法!$C$6:$C$66,MATCH(R126,真品获取算法!D$6:D$66,1)),0)+付费投放!AG126,前期规划!D$8)</f>
        <v>9</v>
      </c>
      <c r="Y126" s="63">
        <f>MIN(IFERROR(INDEX(真品获取算法!$C$6:$C$66,MATCH(S126,真品获取算法!E$6:E$66,1)),0)+付费投放!AH126,前期规划!E$8)</f>
        <v>9</v>
      </c>
      <c r="Z126" s="63">
        <f>MIN(IFERROR(INDEX(真品获取算法!$C$6:$C$66,MATCH(T126,真品获取算法!F$6:F$66,1)),0)+付费投放!AI126,前期规划!F$8)</f>
        <v>27</v>
      </c>
      <c r="AA126" s="63">
        <f>MIN(IFERROR(INDEX(真品获取算法!$C$6:$C$66,MATCH(U126,真品获取算法!G$6:G$66,1)),0)+付费投放!AJ126,前期规划!G$8)</f>
        <v>26.71868686868687</v>
      </c>
      <c r="AB126" s="63">
        <f>MIN(IFERROR(INDEX(真品获取算法!$C$6:$C$66,MATCH(V126,真品获取算法!H$6:H$66,1)),0)+付费投放!AK126,前期规划!H$8)</f>
        <v>60</v>
      </c>
      <c r="AC126" s="63">
        <f>MIN(IFERROR(INDEX(真品获取算法!$C$6:$C$66,MATCH(W126,真品获取算法!I$6:I$66,1)),0)+付费投放!AL126,前期规划!I$8)</f>
        <v>8.6755555555555546</v>
      </c>
      <c r="AD126" s="63">
        <f t="shared" si="24"/>
        <v>1</v>
      </c>
      <c r="AE126" s="63">
        <f t="shared" si="18"/>
        <v>1</v>
      </c>
      <c r="AF126" s="63">
        <f t="shared" si="19"/>
        <v>1</v>
      </c>
      <c r="AG126" s="63">
        <f t="shared" si="20"/>
        <v>0.98958099513655073</v>
      </c>
      <c r="AH126" s="63">
        <f t="shared" si="21"/>
        <v>1</v>
      </c>
      <c r="AI126" s="63">
        <f t="shared" si="22"/>
        <v>0.64411558677868264</v>
      </c>
      <c r="AK126" s="60">
        <f>活动投放!AF126/U126</f>
        <v>0.55327681026581121</v>
      </c>
      <c r="AL126" s="60">
        <f>付费投放!AD126/U126</f>
        <v>0.44672318973418873</v>
      </c>
      <c r="AM126" s="60">
        <f>活动投放!AH126/W126</f>
        <v>0.90117955439056352</v>
      </c>
      <c r="AN126" s="60">
        <f>付费投放!AF126/W126</f>
        <v>9.8820445609436453E-2</v>
      </c>
      <c r="AO126" s="60">
        <f>IFERROR(INDEX(真品获取算法!$C$6:$C$66,MATCH(U126,真品获取算法!G$6:G$66,1)),0)*AK126/(IFERROR(INDEX(真品获取算法!$C$6:$C$66,MATCH(U126,真品获取算法!G$6:G$66,1)),0)+付费投放!AJ126)</f>
        <v>0.5176871275382805</v>
      </c>
      <c r="AP126" s="60">
        <f>(付费投放!AJ126+IFERROR(INDEX(真品获取算法!$C$6:$C$66,MATCH(U126,真品获取算法!G$6:G$66,1)),0)*AL126)/(IFERROR(INDEX(真品获取算法!$C$6:$C$66,MATCH(U126,真品获取算法!G$6:G$66,1)),0)+付费投放!AJ126)</f>
        <v>0.48231287246171939</v>
      </c>
      <c r="AQ126" s="60">
        <f>IFERROR(INDEX(真品获取算法!$C$6:$C$66,MATCH(W126,真品获取算法!I$6:I$66,1)),0)*AM126/(IFERROR(INDEX(真品获取算法!$C$6:$C$66,MATCH(W126,真品获取算法!I$6:I$66,1)),0)+付费投放!AL126)</f>
        <v>0.72713001955181233</v>
      </c>
      <c r="AR126" s="60">
        <f>(付费投放!AL126+IFERROR(INDEX(真品获取算法!$C$6:$C$66,MATCH(W126,真品获取算法!I$6:I$66,1)),0)*AN126)/(IFERROR(INDEX(真品获取算法!$C$6:$C$66,MATCH(W126,真品获取算法!I$6:I$66,1)),0)+付费投放!AL126)</f>
        <v>0.27286998044818772</v>
      </c>
    </row>
    <row r="127" spans="3:44" x14ac:dyDescent="0.15">
      <c r="C127" s="29">
        <f t="shared" si="25"/>
        <v>1500</v>
      </c>
      <c r="D127" s="18">
        <f>求节点(节奏总纲!$F$4:$F$163,节奏总纲!$C$4:$C$163,$C127)</f>
        <v>110.99543397036992</v>
      </c>
      <c r="E127" s="18">
        <f>IFERROR(求节点(前期规划!$E$13:$E$23,前期规划!$B$13:$B$23,D127),0)</f>
        <v>17.999238995061653</v>
      </c>
      <c r="F127" s="63">
        <f>IFERROR(求节点(前期规划!$C$28:$C$35,前期规划!D$28:D$35,$D127),0)</f>
        <v>9</v>
      </c>
      <c r="G127" s="63">
        <f>IFERROR(求节点(前期规划!$C$28:$C$35,前期规划!E$28:E$35,$D127),0)</f>
        <v>9</v>
      </c>
      <c r="H127" s="63">
        <f>IFERROR(求节点(前期规划!$C$28:$C$35,前期规划!F$28:F$35,$D127),0)</f>
        <v>27</v>
      </c>
      <c r="I127" s="63">
        <f>IFERROR(求节点(前期规划!$C$28:$C$35,前期规划!G$28:G$35,$D127),0)</f>
        <v>27</v>
      </c>
      <c r="J127" s="63">
        <f>IFERROR(求节点(前期规划!$C$28:$C$35,前期规划!H$28:H$35,$D127),0)</f>
        <v>60</v>
      </c>
      <c r="K127" s="63">
        <f>IFERROR(求节点(前期规划!$C$28:$C$35,前期规划!I$28:I$35,$D127),0)</f>
        <v>14.559402408888467</v>
      </c>
      <c r="L127" s="63">
        <f>MIN($E127-SUM(M127:$Q127),F127)</f>
        <v>0</v>
      </c>
      <c r="M127" s="63">
        <f>MIN($E127-SUM(N127:$Q127),G127)</f>
        <v>0</v>
      </c>
      <c r="N127" s="63">
        <f>MIN($E127-SUM(O127:$Q127),H127)</f>
        <v>0</v>
      </c>
      <c r="O127" s="63">
        <f>MIN($E127-SUM(P127:$Q127),I127)</f>
        <v>0</v>
      </c>
      <c r="P127" s="63">
        <f>MIN($E127-SUM(Q127:$Q127),J127)</f>
        <v>3.4398365861731861</v>
      </c>
      <c r="Q127" s="69">
        <f t="shared" si="23"/>
        <v>14.559402408888467</v>
      </c>
      <c r="R127" s="64">
        <f>活动投放!AC127+付费投放!AA127</f>
        <v>287.90151515151513</v>
      </c>
      <c r="S127" s="64">
        <f>活动投放!AD127+付费投放!AB127</f>
        <v>287.90151515151513</v>
      </c>
      <c r="T127" s="64">
        <f>活动投放!AE127+付费投放!AC127</f>
        <v>605.19595959595949</v>
      </c>
      <c r="U127" s="64">
        <f>活动投放!AF127+付费投放!AD127</f>
        <v>259.36969696969692</v>
      </c>
      <c r="V127" s="64">
        <f>活动投放!AG127+付费投放!AE127</f>
        <v>863.53333333333342</v>
      </c>
      <c r="W127" s="64">
        <f>活动投放!AH127+付费投放!AF127</f>
        <v>95.948148148148164</v>
      </c>
      <c r="X127" s="63">
        <f>MIN(IFERROR(INDEX(真品获取算法!$C$6:$C$66,MATCH(R127,真品获取算法!D$6:D$66,1)),0)+付费投放!AG127,前期规划!D$8)</f>
        <v>9</v>
      </c>
      <c r="Y127" s="63">
        <f>MIN(IFERROR(INDEX(真品获取算法!$C$6:$C$66,MATCH(S127,真品获取算法!E$6:E$66,1)),0)+付费投放!AH127,前期规划!E$8)</f>
        <v>9</v>
      </c>
      <c r="Z127" s="63">
        <f>MIN(IFERROR(INDEX(真品获取算法!$C$6:$C$66,MATCH(T127,真品获取算法!F$6:F$66,1)),0)+付费投放!AI127,前期规划!F$8)</f>
        <v>27</v>
      </c>
      <c r="AA127" s="63">
        <f>MIN(IFERROR(INDEX(真品获取算法!$C$6:$C$66,MATCH(U127,真品获取算法!G$6:G$66,1)),0)+付费投放!AJ127,前期规划!G$8)</f>
        <v>26.852020202020203</v>
      </c>
      <c r="AB127" s="63">
        <f>MIN(IFERROR(INDEX(真品获取算法!$C$6:$C$66,MATCH(V127,真品获取算法!H$6:H$66,1)),0)+付费投放!AK127,前期规划!H$8)</f>
        <v>60</v>
      </c>
      <c r="AC127" s="63">
        <f>MIN(IFERROR(INDEX(真品获取算法!$C$6:$C$66,MATCH(W127,真品获取算法!I$6:I$66,1)),0)+付费投放!AL127,前期规划!I$8)</f>
        <v>9.8296296296296291</v>
      </c>
      <c r="AD127" s="63">
        <f t="shared" si="24"/>
        <v>1</v>
      </c>
      <c r="AE127" s="63">
        <f t="shared" si="18"/>
        <v>1</v>
      </c>
      <c r="AF127" s="63">
        <f t="shared" si="19"/>
        <v>1</v>
      </c>
      <c r="AG127" s="63">
        <f t="shared" si="20"/>
        <v>0.99451926674148894</v>
      </c>
      <c r="AH127" s="63">
        <f t="shared" si="21"/>
        <v>1</v>
      </c>
      <c r="AI127" s="63">
        <f t="shared" si="22"/>
        <v>0.67513963510127817</v>
      </c>
      <c r="AK127" s="60">
        <f>活动投放!AF127/U127</f>
        <v>0.55403542387138993</v>
      </c>
      <c r="AL127" s="60">
        <f>付费投放!AD127/U127</f>
        <v>0.44596457612861007</v>
      </c>
      <c r="AM127" s="60">
        <f>活动投放!AH127/W127</f>
        <v>0.90465529221029872</v>
      </c>
      <c r="AN127" s="60">
        <f>付费投放!AF127/W127</f>
        <v>9.5344707789701236E-2</v>
      </c>
      <c r="AO127" s="60">
        <f>IFERROR(INDEX(真品获取算法!$C$6:$C$66,MATCH(U127,真品获取算法!G$6:G$66,1)),0)*AK127/(IFERROR(INDEX(真品获取算法!$C$6:$C$66,MATCH(U127,真品获取算法!G$6:G$66,1)),0)+付费投放!AJ127)</f>
        <v>0.5158228502949912</v>
      </c>
      <c r="AP127" s="60">
        <f>(付费投放!AJ127+IFERROR(INDEX(真品获取算法!$C$6:$C$66,MATCH(U127,真品获取算法!G$6:G$66,1)),0)*AL127)/(IFERROR(INDEX(真品获取算法!$C$6:$C$66,MATCH(U127,真品获取算法!G$6:G$66,1)),0)+付费投放!AJ127)</f>
        <v>0.48417714970500869</v>
      </c>
      <c r="AQ127" s="60">
        <f>IFERROR(INDEX(真品获取算法!$C$6:$C$66,MATCH(W127,真品获取算法!I$6:I$66,1)),0)*AM127/(IFERROR(INDEX(真品获取算法!$C$6:$C$66,MATCH(W127,真品获取算法!I$6:I$66,1)),0)+付费投放!AL127)</f>
        <v>0.73626805997522438</v>
      </c>
      <c r="AR127" s="60">
        <f>(付费投放!AL127+IFERROR(INDEX(真品获取算法!$C$6:$C$66,MATCH(W127,真品获取算法!I$6:I$66,1)),0)*AN127)/(IFERROR(INDEX(真品获取算法!$C$6:$C$66,MATCH(W127,真品获取算法!I$6:I$66,1)),0)+付费投放!AL127)</f>
        <v>0.26373194002477568</v>
      </c>
    </row>
    <row r="128" spans="3:44" x14ac:dyDescent="0.15">
      <c r="C128" s="29">
        <f t="shared" si="25"/>
        <v>1800</v>
      </c>
      <c r="D128" s="18">
        <f>求节点(节奏总纲!$F$4:$F$163,节奏总纲!$C$4:$C$163,$C128)</f>
        <v>113.61244781532119</v>
      </c>
      <c r="E128" s="18">
        <f>IFERROR(求节点(前期规划!$E$13:$E$23,前期规划!$B$13:$B$23,D128),0)</f>
        <v>18.401915048510951</v>
      </c>
      <c r="F128" s="63">
        <f>IFERROR(求节点(前期规划!$C$28:$C$35,前期规划!D$28:D$35,$D128),0)</f>
        <v>9</v>
      </c>
      <c r="G128" s="63">
        <f>IFERROR(求节点(前期规划!$C$28:$C$35,前期规划!E$28:E$35,$D128),0)</f>
        <v>9</v>
      </c>
      <c r="H128" s="63">
        <f>IFERROR(求节点(前期规划!$C$28:$C$35,前期规划!F$28:F$35,$D128),0)</f>
        <v>27</v>
      </c>
      <c r="I128" s="63">
        <f>IFERROR(求节点(前期规划!$C$28:$C$35,前期规划!G$28:G$35,$D128),0)</f>
        <v>27</v>
      </c>
      <c r="J128" s="63">
        <f>IFERROR(求节点(前期规划!$C$28:$C$35,前期规划!H$28:H$35,$D128),0)</f>
        <v>60</v>
      </c>
      <c r="K128" s="63">
        <f>IFERROR(求节点(前期规划!$C$28:$C$35,前期规划!I$28:I$35,$D128),0)</f>
        <v>16.986087974206921</v>
      </c>
      <c r="L128" s="63">
        <f>MIN($E128-SUM(M128:$Q128),F128)</f>
        <v>0</v>
      </c>
      <c r="M128" s="63">
        <f>MIN($E128-SUM(N128:$Q128),G128)</f>
        <v>0</v>
      </c>
      <c r="N128" s="63">
        <f>MIN($E128-SUM(O128:$Q128),H128)</f>
        <v>0</v>
      </c>
      <c r="O128" s="63">
        <f>MIN($E128-SUM(P128:$Q128),I128)</f>
        <v>0</v>
      </c>
      <c r="P128" s="63">
        <f>MIN($E128-SUM(Q128:$Q128),J128)</f>
        <v>1.4158270743040298</v>
      </c>
      <c r="Q128" s="69">
        <f t="shared" si="23"/>
        <v>16.986087974206921</v>
      </c>
      <c r="R128" s="64">
        <f>活动投放!AC128+付费投放!AA128</f>
        <v>342.90151515151513</v>
      </c>
      <c r="S128" s="64">
        <f>活动投放!AD128+付费投放!AB128</f>
        <v>342.90151515151513</v>
      </c>
      <c r="T128" s="64">
        <f>活动投放!AE128+付费投放!AC128</f>
        <v>729.64040404040395</v>
      </c>
      <c r="U128" s="64">
        <f>活动投放!AF128+付费投放!AD128</f>
        <v>312.70303030303023</v>
      </c>
      <c r="V128" s="64">
        <f>活动投放!AG128+付费投放!AE128</f>
        <v>1114.8666666666668</v>
      </c>
      <c r="W128" s="64">
        <f>活动投放!AH128+付费投放!AF128</f>
        <v>123.87407407407409</v>
      </c>
      <c r="X128" s="63">
        <f>MIN(IFERROR(INDEX(真品获取算法!$C$6:$C$66,MATCH(R128,真品获取算法!D$6:D$66,1)),0)+付费投放!AG128,前期规划!D$8)</f>
        <v>9</v>
      </c>
      <c r="Y128" s="63">
        <f>MIN(IFERROR(INDEX(真品获取算法!$C$6:$C$66,MATCH(S128,真品获取算法!E$6:E$66,1)),0)+付费投放!AH128,前期规划!E$8)</f>
        <v>9</v>
      </c>
      <c r="Z128" s="63">
        <f>MIN(IFERROR(INDEX(真品获取算法!$C$6:$C$66,MATCH(T128,真品获取算法!F$6:F$66,1)),0)+付费投放!AI128,前期规划!F$8)</f>
        <v>27</v>
      </c>
      <c r="AA128" s="63">
        <f>MIN(IFERROR(INDEX(真品获取算法!$C$6:$C$66,MATCH(U128,真品获取算法!G$6:G$66,1)),0)+付费投放!AJ128,前期规划!G$8)</f>
        <v>27</v>
      </c>
      <c r="AB128" s="63">
        <f>MIN(IFERROR(INDEX(真品获取算法!$C$6:$C$66,MATCH(V128,真品获取算法!H$6:H$66,1)),0)+付费投放!AK128,前期规划!H$8)</f>
        <v>60</v>
      </c>
      <c r="AC128" s="63">
        <f>MIN(IFERROR(INDEX(真品获取算法!$C$6:$C$66,MATCH(W128,真品获取算法!I$6:I$66,1)),0)+付费投放!AL128,前期规划!I$8)</f>
        <v>13.214814814814815</v>
      </c>
      <c r="AD128" s="63">
        <f t="shared" si="24"/>
        <v>1</v>
      </c>
      <c r="AE128" s="63">
        <f t="shared" si="18"/>
        <v>1</v>
      </c>
      <c r="AF128" s="63">
        <f t="shared" si="19"/>
        <v>1</v>
      </c>
      <c r="AG128" s="63">
        <f t="shared" si="20"/>
        <v>1</v>
      </c>
      <c r="AH128" s="63">
        <f t="shared" si="21"/>
        <v>1</v>
      </c>
      <c r="AI128" s="63">
        <f t="shared" si="22"/>
        <v>0.77797871027639098</v>
      </c>
      <c r="AK128" s="60">
        <f>活动投放!AF128/U128</f>
        <v>0.55547910690751234</v>
      </c>
      <c r="AL128" s="60">
        <f>付费投放!AD128/U128</f>
        <v>0.44452089309248777</v>
      </c>
      <c r="AM128" s="60">
        <f>活动投放!AH128/W128</f>
        <v>0.91060216468337019</v>
      </c>
      <c r="AN128" s="60">
        <f>付费投放!AF128/W128</f>
        <v>8.9397835316629801E-2</v>
      </c>
      <c r="AO128" s="60">
        <f>IFERROR(INDEX(真品获取算法!$C$6:$C$66,MATCH(U128,真品获取算法!G$6:G$66,1)),0)*AK128/(IFERROR(INDEX(真品获取算法!$C$6:$C$66,MATCH(U128,真品获取算法!G$6:G$66,1)),0)+付费投放!AJ128)</f>
        <v>0.51240999200098081</v>
      </c>
      <c r="AP128" s="60">
        <f>(付费投放!AJ128+IFERROR(INDEX(真品获取算法!$C$6:$C$66,MATCH(U128,真品获取算法!G$6:G$66,1)),0)*AL128)/(IFERROR(INDEX(真品获取算法!$C$6:$C$66,MATCH(U128,真品获取算法!G$6:G$66,1)),0)+付费投放!AJ128)</f>
        <v>0.4875900079990193</v>
      </c>
      <c r="AQ128" s="60">
        <f>IFERROR(INDEX(真品获取算法!$C$6:$C$66,MATCH(W128,真品获取算法!I$6:I$66,1)),0)*AM128/(IFERROR(INDEX(真品获取算法!$C$6:$C$66,MATCH(W128,真品获取算法!I$6:I$66,1)),0)+付费投放!AL128)</f>
        <v>0.75798442519888154</v>
      </c>
      <c r="AR128" s="60">
        <f>(付费投放!AL128+IFERROR(INDEX(真品获取算法!$C$6:$C$66,MATCH(W128,真品获取算法!I$6:I$66,1)),0)*AN128)/(IFERROR(INDEX(真品获取算法!$C$6:$C$66,MATCH(W128,真品获取算法!I$6:I$66,1)),0)+付费投放!AL128)</f>
        <v>0.24201557480111838</v>
      </c>
    </row>
    <row r="129" spans="3:44" x14ac:dyDescent="0.15">
      <c r="C129" s="29">
        <f t="shared" si="25"/>
        <v>2100</v>
      </c>
      <c r="D129" s="18">
        <f>求节点(节奏总纲!$F$4:$F$163,节奏总纲!$C$4:$C$163,$C129)</f>
        <v>115.93576288835948</v>
      </c>
      <c r="E129" s="18">
        <f>IFERROR(求节点(前期规划!$E$13:$E$23,前期规划!$B$13:$B$23,D129),0)</f>
        <v>18.759348136670688</v>
      </c>
      <c r="F129" s="63">
        <f>IFERROR(求节点(前期规划!$C$28:$C$35,前期规划!D$28:D$35,$D129),0)</f>
        <v>9</v>
      </c>
      <c r="G129" s="63">
        <f>IFERROR(求节点(前期规划!$C$28:$C$35,前期规划!E$28:E$35,$D129),0)</f>
        <v>9</v>
      </c>
      <c r="H129" s="63">
        <f>IFERROR(求节点(前期规划!$C$28:$C$35,前期规划!F$28:F$35,$D129),0)</f>
        <v>27</v>
      </c>
      <c r="I129" s="63">
        <f>IFERROR(求节点(前期规划!$C$28:$C$35,前期规划!G$28:G$35,$D129),0)</f>
        <v>27</v>
      </c>
      <c r="J129" s="63">
        <f>IFERROR(求节点(前期规划!$C$28:$C$35,前期规划!H$28:H$35,$D129),0)</f>
        <v>60</v>
      </c>
      <c r="K129" s="63">
        <f>IFERROR(求节点(前期规划!$C$28:$C$35,前期规划!I$28:I$35,$D129),0)</f>
        <v>19.14043467829697</v>
      </c>
      <c r="L129" s="63">
        <f>MIN($E129-SUM(M129:$Q129),F129)</f>
        <v>0</v>
      </c>
      <c r="M129" s="63">
        <f>MIN($E129-SUM(N129:$Q129),G129)</f>
        <v>0</v>
      </c>
      <c r="N129" s="63">
        <f>MIN($E129-SUM(O129:$Q129),H129)</f>
        <v>0</v>
      </c>
      <c r="O129" s="63">
        <f>MIN($E129-SUM(P129:$Q129),I129)</f>
        <v>0</v>
      </c>
      <c r="P129" s="63">
        <f>MIN($E129-SUM(Q129:$Q129),J129)</f>
        <v>0</v>
      </c>
      <c r="Q129" s="69">
        <f t="shared" si="23"/>
        <v>18.759348136670688</v>
      </c>
      <c r="R129" s="64">
        <f>活动投放!AC129+付费投放!AA129</f>
        <v>397.90151515151513</v>
      </c>
      <c r="S129" s="64">
        <f>活动投放!AD129+付费投放!AB129</f>
        <v>397.90151515151513</v>
      </c>
      <c r="T129" s="64">
        <f>活动投放!AE129+付费投放!AC129</f>
        <v>854.08484848484841</v>
      </c>
      <c r="U129" s="64">
        <f>活动投放!AF129+付费投放!AD129</f>
        <v>366.0363636363636</v>
      </c>
      <c r="V129" s="64">
        <f>活动投放!AG129+付费投放!AE129</f>
        <v>1366.2</v>
      </c>
      <c r="W129" s="64">
        <f>活动投放!AH129+付费投放!AF129</f>
        <v>151.80000000000001</v>
      </c>
      <c r="X129" s="63">
        <f>MIN(IFERROR(INDEX(真品获取算法!$C$6:$C$66,MATCH(R129,真品获取算法!D$6:D$66,1)),0)+付费投放!AG129,前期规划!D$8)</f>
        <v>9</v>
      </c>
      <c r="Y129" s="63">
        <f>MIN(IFERROR(INDEX(真品获取算法!$C$6:$C$66,MATCH(S129,真品获取算法!E$6:E$66,1)),0)+付费投放!AH129,前期规划!E$8)</f>
        <v>9</v>
      </c>
      <c r="Z129" s="63">
        <f>MIN(IFERROR(INDEX(真品获取算法!$C$6:$C$66,MATCH(T129,真品获取算法!F$6:F$66,1)),0)+付费投放!AI129,前期规划!F$8)</f>
        <v>27</v>
      </c>
      <c r="AA129" s="63">
        <f>MIN(IFERROR(INDEX(真品获取算法!$C$6:$C$66,MATCH(U129,真品获取算法!G$6:G$66,1)),0)+付费投放!AJ129,前期规划!G$8)</f>
        <v>27</v>
      </c>
      <c r="AB129" s="63">
        <f>MIN(IFERROR(INDEX(真品获取算法!$C$6:$C$66,MATCH(V129,真品获取算法!H$6:H$66,1)),0)+付费投放!AK129,前期规划!H$8)</f>
        <v>60</v>
      </c>
      <c r="AC129" s="63">
        <f>MIN(IFERROR(INDEX(真品获取算法!$C$6:$C$66,MATCH(W129,真品获取算法!I$6:I$66,1)),0)+付费投放!AL129,前期规划!I$8)</f>
        <v>15.6</v>
      </c>
      <c r="AD129" s="63">
        <f t="shared" si="24"/>
        <v>1</v>
      </c>
      <c r="AE129" s="63">
        <f t="shared" si="18"/>
        <v>1</v>
      </c>
      <c r="AF129" s="63">
        <f t="shared" si="19"/>
        <v>1</v>
      </c>
      <c r="AG129" s="63">
        <f t="shared" si="20"/>
        <v>1</v>
      </c>
      <c r="AH129" s="63">
        <f t="shared" si="21"/>
        <v>1</v>
      </c>
      <c r="AI129" s="63">
        <f t="shared" si="22"/>
        <v>0.81502851226720507</v>
      </c>
      <c r="AK129" s="60">
        <f>活动投放!AF129/U129</f>
        <v>0.55650208623087627</v>
      </c>
      <c r="AL129" s="60">
        <f>付费投放!AD129/U129</f>
        <v>0.44349791376912379</v>
      </c>
      <c r="AM129" s="60">
        <f>活动投放!AH129/W129</f>
        <v>0.91436100131752307</v>
      </c>
      <c r="AN129" s="60">
        <f>付费投放!AF129/W129</f>
        <v>8.5638998682476944E-2</v>
      </c>
      <c r="AO129" s="60">
        <f>IFERROR(INDEX(真品获取算法!$C$6:$C$66,MATCH(U129,真品获取算法!G$6:G$66,1)),0)*AK129/(IFERROR(INDEX(真品获取算法!$C$6:$C$66,MATCH(U129,真品获取算法!G$6:G$66,1)),0)+付费投放!AJ129)</f>
        <v>0.50901845312680971</v>
      </c>
      <c r="AP129" s="60">
        <f>(付费投放!AJ129+IFERROR(INDEX(真品获取算法!$C$6:$C$66,MATCH(U129,真品获取算法!G$6:G$66,1)),0)*AL129)/(IFERROR(INDEX(真品获取算法!$C$6:$C$66,MATCH(U129,真品获取算法!G$6:G$66,1)),0)+付费投放!AJ129)</f>
        <v>0.49098154687319046</v>
      </c>
      <c r="AQ129" s="60">
        <f>IFERROR(INDEX(真品获取算法!$C$6:$C$66,MATCH(W129,真品获取算法!I$6:I$66,1)),0)*AM129/(IFERROR(INDEX(真品获取算法!$C$6:$C$66,MATCH(W129,真品获取算法!I$6:I$66,1)),0)+付费投放!AL129)</f>
        <v>0.76196750109793598</v>
      </c>
      <c r="AR129" s="60">
        <f>(付费投放!AL129+IFERROR(INDEX(真品获取算法!$C$6:$C$66,MATCH(W129,真品获取算法!I$6:I$66,1)),0)*AN129)/(IFERROR(INDEX(真品获取算法!$C$6:$C$66,MATCH(W129,真品获取算法!I$6:I$66,1)),0)+付费投放!AL129)</f>
        <v>0.2380324989020641</v>
      </c>
    </row>
    <row r="130" spans="3:44" x14ac:dyDescent="0.15">
      <c r="C130" s="29">
        <f t="shared" si="25"/>
        <v>2400</v>
      </c>
      <c r="D130" s="18">
        <f>求节点(节奏总纲!$F$4:$F$163,节奏总纲!$C$4:$C$163,$C130)</f>
        <v>117.8398587801079</v>
      </c>
      <c r="E130" s="18">
        <f>IFERROR(求节点(前期规划!$E$13:$E$23,前期规划!$B$13:$B$23,D130),0)</f>
        <v>19.052285966170448</v>
      </c>
      <c r="F130" s="63">
        <f>IFERROR(求节点(前期规划!$C$28:$C$35,前期规划!D$28:D$35,$D130),0)</f>
        <v>9</v>
      </c>
      <c r="G130" s="63">
        <f>IFERROR(求节点(前期规划!$C$28:$C$35,前期规划!E$28:E$35,$D130),0)</f>
        <v>9</v>
      </c>
      <c r="H130" s="63">
        <f>IFERROR(求节点(前期规划!$C$28:$C$35,前期规划!F$28:F$35,$D130),0)</f>
        <v>27</v>
      </c>
      <c r="I130" s="63">
        <f>IFERROR(求节点(前期规划!$C$28:$C$35,前期规划!G$28:G$35,$D130),0)</f>
        <v>27</v>
      </c>
      <c r="J130" s="63">
        <f>IFERROR(求节点(前期规划!$C$28:$C$35,前期规划!H$28:H$35,$D130),0)</f>
        <v>60</v>
      </c>
      <c r="K130" s="63">
        <f>IFERROR(求节点(前期规划!$C$28:$C$35,前期规划!I$28:I$35,$D130),0)</f>
        <v>20.906050868827329</v>
      </c>
      <c r="L130" s="63">
        <f>MIN($E130-SUM(M130:$Q130),F130)</f>
        <v>0</v>
      </c>
      <c r="M130" s="63">
        <f>MIN($E130-SUM(N130:$Q130),G130)</f>
        <v>0</v>
      </c>
      <c r="N130" s="63">
        <f>MIN($E130-SUM(O130:$Q130),H130)</f>
        <v>0</v>
      </c>
      <c r="O130" s="63">
        <f>MIN($E130-SUM(P130:$Q130),I130)</f>
        <v>0</v>
      </c>
      <c r="P130" s="63">
        <f>MIN($E130-SUM(Q130:$Q130),J130)</f>
        <v>0</v>
      </c>
      <c r="Q130" s="69">
        <f t="shared" si="23"/>
        <v>19.052285966170448</v>
      </c>
      <c r="R130" s="64">
        <f>活动投放!AC130+付费投放!AA130</f>
        <v>452.90151515151513</v>
      </c>
      <c r="S130" s="64">
        <f>活动投放!AD130+付费投放!AB130</f>
        <v>452.90151515151513</v>
      </c>
      <c r="T130" s="64">
        <f>活动投放!AE130+付费投放!AC130</f>
        <v>978.52929292929286</v>
      </c>
      <c r="U130" s="64">
        <f>活动投放!AF130+付费投放!AD130</f>
        <v>419.36969696969697</v>
      </c>
      <c r="V130" s="64">
        <f>活动投放!AG130+付费投放!AE130</f>
        <v>1617.5333333333335</v>
      </c>
      <c r="W130" s="64">
        <f>活动投放!AH130+付费投放!AF130</f>
        <v>179.72592592592594</v>
      </c>
      <c r="X130" s="63">
        <f>MIN(IFERROR(INDEX(真品获取算法!$C$6:$C$66,MATCH(R130,真品获取算法!D$6:D$66,1)),0)+付费投放!AG130,前期规划!D$8)</f>
        <v>9</v>
      </c>
      <c r="Y130" s="63">
        <f>MIN(IFERROR(INDEX(真品获取算法!$C$6:$C$66,MATCH(S130,真品获取算法!E$6:E$66,1)),0)+付费投放!AH130,前期规划!E$8)</f>
        <v>9</v>
      </c>
      <c r="Z130" s="63">
        <f>MIN(IFERROR(INDEX(真品获取算法!$C$6:$C$66,MATCH(T130,真品获取算法!F$6:F$66,1)),0)+付费投放!AI130,前期规划!F$8)</f>
        <v>27</v>
      </c>
      <c r="AA130" s="63">
        <f>MIN(IFERROR(INDEX(真品获取算法!$C$6:$C$66,MATCH(U130,真品获取算法!G$6:G$66,1)),0)+付费投放!AJ130,前期规划!G$8)</f>
        <v>27</v>
      </c>
      <c r="AB130" s="63">
        <f>MIN(IFERROR(INDEX(真品获取算法!$C$6:$C$66,MATCH(V130,真品获取算法!H$6:H$66,1)),0)+付费投放!AK130,前期规划!H$8)</f>
        <v>60</v>
      </c>
      <c r="AC130" s="63">
        <f>MIN(IFERROR(INDEX(真品获取算法!$C$6:$C$66,MATCH(W130,真品获取算法!I$6:I$66,1)),0)+付费投放!AL130,前期规划!I$8)</f>
        <v>17.985185185185184</v>
      </c>
      <c r="AD130" s="63">
        <f t="shared" si="24"/>
        <v>1</v>
      </c>
      <c r="AE130" s="63">
        <f t="shared" si="18"/>
        <v>1</v>
      </c>
      <c r="AF130" s="63">
        <f t="shared" si="19"/>
        <v>1</v>
      </c>
      <c r="AG130" s="63">
        <f t="shared" si="20"/>
        <v>1</v>
      </c>
      <c r="AH130" s="63">
        <f t="shared" si="21"/>
        <v>1</v>
      </c>
      <c r="AI130" s="63">
        <f t="shared" si="22"/>
        <v>0.86028611037212199</v>
      </c>
      <c r="AK130" s="60">
        <f>活动投放!AF130/U130</f>
        <v>0.55726487080178044</v>
      </c>
      <c r="AL130" s="60">
        <f>付费投放!AD130/U130</f>
        <v>0.4427351291982195</v>
      </c>
      <c r="AM130" s="60">
        <f>活动投放!AH130/W130</f>
        <v>0.91695173721304046</v>
      </c>
      <c r="AN130" s="60">
        <f>付费投放!AF130/W130</f>
        <v>8.3048262786959579E-2</v>
      </c>
      <c r="AO130" s="60">
        <f>IFERROR(INDEX(真品获取算法!$C$6:$C$66,MATCH(U130,真品获取算法!G$6:G$66,1)),0)*AK130/(IFERROR(INDEX(真品获取算法!$C$6:$C$66,MATCH(U130,真品获取算法!G$6:G$66,1)),0)+付费投放!AJ130)</f>
        <v>0.50402456550092511</v>
      </c>
      <c r="AP130" s="60">
        <f>(付费投放!AJ130+IFERROR(INDEX(真品获取算法!$C$6:$C$66,MATCH(U130,真品获取算法!G$6:G$66,1)),0)*AL130)/(IFERROR(INDEX(真品获取算法!$C$6:$C$66,MATCH(U130,真品获取算法!G$6:G$66,1)),0)+付费投放!AJ130)</f>
        <v>0.49597543449907483</v>
      </c>
      <c r="AQ130" s="60">
        <f>IFERROR(INDEX(真品获取算法!$C$6:$C$66,MATCH(W130,真品获取算法!I$6:I$66,1)),0)*AM130/(IFERROR(INDEX(真品获取算法!$C$6:$C$66,MATCH(W130,真品获取算法!I$6:I$66,1)),0)+付费投放!AL130)</f>
        <v>0.7647558763823753</v>
      </c>
      <c r="AR130" s="60">
        <f>(付费投放!AL130+IFERROR(INDEX(真品获取算法!$C$6:$C$66,MATCH(W130,真品获取算法!I$6:I$66,1)),0)*AN130)/(IFERROR(INDEX(真品获取算法!$C$6:$C$66,MATCH(W130,真品获取算法!I$6:I$66,1)),0)+付费投放!AL130)</f>
        <v>0.23524412361762484</v>
      </c>
    </row>
    <row r="131" spans="3:44" x14ac:dyDescent="0.15">
      <c r="C131" s="29">
        <f t="shared" si="25"/>
        <v>2700</v>
      </c>
      <c r="D131" s="18">
        <f>求节点(节奏总纲!$F$4:$F$163,节奏总纲!$C$4:$C$163,$C131)</f>
        <v>119.50922016248074</v>
      </c>
      <c r="E131" s="18">
        <f>IFERROR(求节点(前期规划!$E$13:$E$23,前期规划!$B$13:$B$23,D131),0)</f>
        <v>19.309110794227806</v>
      </c>
      <c r="F131" s="63">
        <f>IFERROR(求节点(前期规划!$C$28:$C$35,前期规划!D$28:D$35,$D131),0)</f>
        <v>9</v>
      </c>
      <c r="G131" s="63">
        <f>IFERROR(求节点(前期规划!$C$28:$C$35,前期规划!E$28:E$35,$D131),0)</f>
        <v>9</v>
      </c>
      <c r="H131" s="63">
        <f>IFERROR(求节点(前期规划!$C$28:$C$35,前期规划!F$28:F$35,$D131),0)</f>
        <v>27</v>
      </c>
      <c r="I131" s="63">
        <f>IFERROR(求节点(前期规划!$C$28:$C$35,前期规划!G$28:G$35,$D131),0)</f>
        <v>27</v>
      </c>
      <c r="J131" s="63">
        <f>IFERROR(求节点(前期规划!$C$28:$C$35,前期规划!H$28:H$35,$D131),0)</f>
        <v>60</v>
      </c>
      <c r="K131" s="63">
        <f>IFERROR(求节点(前期规划!$C$28:$C$35,前期规划!I$28:I$35,$D131),0)</f>
        <v>22.454004150663962</v>
      </c>
      <c r="L131" s="63">
        <f>MIN($E131-SUM(M131:$Q131),F131)</f>
        <v>0</v>
      </c>
      <c r="M131" s="63">
        <f>MIN($E131-SUM(N131:$Q131),G131)</f>
        <v>0</v>
      </c>
      <c r="N131" s="63">
        <f>MIN($E131-SUM(O131:$Q131),H131)</f>
        <v>0</v>
      </c>
      <c r="O131" s="63">
        <f>MIN($E131-SUM(P131:$Q131),I131)</f>
        <v>0</v>
      </c>
      <c r="P131" s="63">
        <f>MIN($E131-SUM(Q131:$Q131),J131)</f>
        <v>0</v>
      </c>
      <c r="Q131" s="69">
        <f t="shared" si="23"/>
        <v>19.309110794227806</v>
      </c>
      <c r="R131" s="64">
        <f>活动投放!AC131+付费投放!AA131</f>
        <v>507.90151515151513</v>
      </c>
      <c r="S131" s="64">
        <f>活动投放!AD131+付费投放!AB131</f>
        <v>507.90151515151513</v>
      </c>
      <c r="T131" s="64">
        <f>活动投放!AE131+付费投放!AC131</f>
        <v>1102.9737373737373</v>
      </c>
      <c r="U131" s="64">
        <f>活动投放!AF131+付费投放!AD131</f>
        <v>472.70303030303029</v>
      </c>
      <c r="V131" s="64">
        <f>活动投放!AG131+付费投放!AE131</f>
        <v>1868.8666666666668</v>
      </c>
      <c r="W131" s="64">
        <f>活动投放!AH131+付费投放!AF131</f>
        <v>207.65185185185186</v>
      </c>
      <c r="X131" s="63">
        <f>MIN(IFERROR(INDEX(真品获取算法!$C$6:$C$66,MATCH(R131,真品获取算法!D$6:D$66,1)),0)+付费投放!AG131,前期规划!D$8)</f>
        <v>9</v>
      </c>
      <c r="Y131" s="63">
        <f>MIN(IFERROR(INDEX(真品获取算法!$C$6:$C$66,MATCH(S131,真品获取算法!E$6:E$66,1)),0)+付费投放!AH131,前期规划!E$8)</f>
        <v>9</v>
      </c>
      <c r="Z131" s="63">
        <f>MIN(IFERROR(INDEX(真品获取算法!$C$6:$C$66,MATCH(T131,真品获取算法!F$6:F$66,1)),0)+付费投放!AI131,前期规划!F$8)</f>
        <v>27</v>
      </c>
      <c r="AA131" s="63">
        <f>MIN(IFERROR(INDEX(真品获取算法!$C$6:$C$66,MATCH(U131,真品获取算法!G$6:G$66,1)),0)+付费投放!AJ131,前期规划!G$8)</f>
        <v>27</v>
      </c>
      <c r="AB131" s="63">
        <f>MIN(IFERROR(INDEX(真品获取算法!$C$6:$C$66,MATCH(V131,真品获取算法!H$6:H$66,1)),0)+付费投放!AK131,前期规划!H$8)</f>
        <v>60</v>
      </c>
      <c r="AC131" s="63">
        <f>MIN(IFERROR(INDEX(真品获取算法!$C$6:$C$66,MATCH(W131,真品获取算法!I$6:I$66,1)),0)+付费投放!AL131,前期规划!I$8)</f>
        <v>20.37037037037037</v>
      </c>
      <c r="AD131" s="63">
        <f t="shared" si="24"/>
        <v>1</v>
      </c>
      <c r="AE131" s="63">
        <f t="shared" si="18"/>
        <v>1</v>
      </c>
      <c r="AF131" s="63">
        <f t="shared" si="19"/>
        <v>1</v>
      </c>
      <c r="AG131" s="63">
        <f t="shared" si="20"/>
        <v>1</v>
      </c>
      <c r="AH131" s="63">
        <f t="shared" si="21"/>
        <v>1</v>
      </c>
      <c r="AI131" s="63">
        <f t="shared" si="22"/>
        <v>0.90720435578827574</v>
      </c>
      <c r="AK131" s="60">
        <f>活动投放!AF131/U131</f>
        <v>0.55785553105287455</v>
      </c>
      <c r="AL131" s="60">
        <f>付费投放!AD131/U131</f>
        <v>0.4421444689471255</v>
      </c>
      <c r="AM131" s="60">
        <f>活动投放!AH131/W131</f>
        <v>0.91884564620268971</v>
      </c>
      <c r="AN131" s="60">
        <f>付费投放!AF131/W131</f>
        <v>8.1154353797310327E-2</v>
      </c>
      <c r="AO131" s="60">
        <f>IFERROR(INDEX(真品获取算法!$C$6:$C$66,MATCH(U131,真品获取算法!G$6:G$66,1)),0)*AK131/(IFERROR(INDEX(真品获取算法!$C$6:$C$66,MATCH(U131,真品获取算法!G$6:G$66,1)),0)+付费投放!AJ131)</f>
        <v>0.49898701106106502</v>
      </c>
      <c r="AP131" s="60">
        <f>(付费投放!AJ131+IFERROR(INDEX(真品获取算法!$C$6:$C$66,MATCH(U131,真品获取算法!G$6:G$66,1)),0)*AL131)/(IFERROR(INDEX(真品获取算法!$C$6:$C$66,MATCH(U131,真品获取算法!G$6:G$66,1)),0)+付费投放!AJ131)</f>
        <v>0.50101298893893498</v>
      </c>
      <c r="AQ131" s="60">
        <f>IFERROR(INDEX(真品获取算法!$C$6:$C$66,MATCH(W131,真品获取算法!I$6:I$66,1)),0)*AM131/(IFERROR(INDEX(真品获取算法!$C$6:$C$66,MATCH(W131,真品获取算法!I$6:I$66,1)),0)+付费投放!AL131)</f>
        <v>0.76681845746733568</v>
      </c>
      <c r="AR131" s="60">
        <f>(付费投放!AL131+IFERROR(INDEX(真品获取算法!$C$6:$C$66,MATCH(W131,真品获取算法!I$6:I$66,1)),0)*AN131)/(IFERROR(INDEX(真品获取算法!$C$6:$C$66,MATCH(W131,真品获取算法!I$6:I$66,1)),0)+付费投放!AL131)</f>
        <v>0.23318154253266443</v>
      </c>
    </row>
    <row r="132" spans="3:44" x14ac:dyDescent="0.15">
      <c r="C132" s="29">
        <f t="shared" si="25"/>
        <v>3000</v>
      </c>
      <c r="D132" s="18">
        <f>求节点(节奏总纲!$F$4:$F$163,节奏总纲!$C$4:$C$163,$C132)</f>
        <v>121.10344291172865</v>
      </c>
      <c r="E132" s="18">
        <f>IFERROR(求节点(前期规划!$E$13:$E$23,前期规划!$B$13:$B$23,D132),0)</f>
        <v>19.554375832573637</v>
      </c>
      <c r="F132" s="63">
        <f>IFERROR(求节点(前期规划!$C$28:$C$35,前期规划!D$28:D$35,$D132),0)</f>
        <v>9</v>
      </c>
      <c r="G132" s="63">
        <f>IFERROR(求节点(前期规划!$C$28:$C$35,前期规划!E$28:E$35,$D132),0)</f>
        <v>9</v>
      </c>
      <c r="H132" s="63">
        <f>IFERROR(求节点(前期规划!$C$28:$C$35,前期规划!F$28:F$35,$D132),0)</f>
        <v>27</v>
      </c>
      <c r="I132" s="63">
        <f>IFERROR(求节点(前期规划!$C$28:$C$35,前期规划!G$28:G$35,$D132),0)</f>
        <v>27</v>
      </c>
      <c r="J132" s="63">
        <f>IFERROR(求节点(前期规划!$C$28:$C$35,前期规划!H$28:H$35,$D132),0)</f>
        <v>60</v>
      </c>
      <c r="K132" s="63">
        <f>IFERROR(求节点(前期规划!$C$28:$C$35,前期规划!I$28:I$35,$D132),0)</f>
        <v>23.932283427239291</v>
      </c>
      <c r="L132" s="63">
        <f>MIN($E132-SUM(M132:$Q132),F132)</f>
        <v>0</v>
      </c>
      <c r="M132" s="63">
        <f>MIN($E132-SUM(N132:$Q132),G132)</f>
        <v>0</v>
      </c>
      <c r="N132" s="63">
        <f>MIN($E132-SUM(O132:$Q132),H132)</f>
        <v>0</v>
      </c>
      <c r="O132" s="63">
        <f>MIN($E132-SUM(P132:$Q132),I132)</f>
        <v>0</v>
      </c>
      <c r="P132" s="63">
        <f>MIN($E132-SUM(Q132:$Q132),J132)</f>
        <v>0</v>
      </c>
      <c r="Q132" s="69">
        <f t="shared" si="23"/>
        <v>19.554375832573637</v>
      </c>
      <c r="R132" s="64">
        <f>活动投放!AC132+付费投放!AA132</f>
        <v>562.90151515151513</v>
      </c>
      <c r="S132" s="64">
        <f>活动投放!AD132+付费投放!AB132</f>
        <v>562.90151515151513</v>
      </c>
      <c r="T132" s="64">
        <f>活动投放!AE132+付费投放!AC132</f>
        <v>1227.4181818181819</v>
      </c>
      <c r="U132" s="64">
        <f>活动投放!AF132+付费投放!AD132</f>
        <v>526.0363636363636</v>
      </c>
      <c r="V132" s="64">
        <f>活动投放!AG132+付费投放!AE132</f>
        <v>2120.2000000000003</v>
      </c>
      <c r="W132" s="64">
        <f>活动投放!AH132+付费投放!AF132</f>
        <v>235.57777777777778</v>
      </c>
      <c r="X132" s="63">
        <f>MIN(IFERROR(INDEX(真品获取算法!$C$6:$C$66,MATCH(R132,真品获取算法!D$6:D$66,1)),0)+付费投放!AG132,前期规划!D$8)</f>
        <v>9</v>
      </c>
      <c r="Y132" s="63">
        <f>MIN(IFERROR(INDEX(真品获取算法!$C$6:$C$66,MATCH(S132,真品获取算法!E$6:E$66,1)),0)+付费投放!AH132,前期规划!E$8)</f>
        <v>9</v>
      </c>
      <c r="Z132" s="63">
        <f>MIN(IFERROR(INDEX(真品获取算法!$C$6:$C$66,MATCH(T132,真品获取算法!F$6:F$66,1)),0)+付费投放!AI132,前期规划!F$8)</f>
        <v>27</v>
      </c>
      <c r="AA132" s="63">
        <f>MIN(IFERROR(INDEX(真品获取算法!$C$6:$C$66,MATCH(U132,真品获取算法!G$6:G$66,1)),0)+付费投放!AJ132,前期规划!G$8)</f>
        <v>27</v>
      </c>
      <c r="AB132" s="63">
        <f>MIN(IFERROR(INDEX(真品获取算法!$C$6:$C$66,MATCH(V132,真品获取算法!H$6:H$66,1)),0)+付费投放!AK132,前期规划!H$8)</f>
        <v>60</v>
      </c>
      <c r="AC132" s="63">
        <f>MIN(IFERROR(INDEX(真品获取算法!$C$6:$C$66,MATCH(W132,真品获取算法!I$6:I$66,1)),0)+付费投放!AL132,前期规划!I$8)</f>
        <v>22.755555555555556</v>
      </c>
      <c r="AD132" s="63">
        <f t="shared" si="24"/>
        <v>1</v>
      </c>
      <c r="AE132" s="63">
        <f t="shared" si="18"/>
        <v>1</v>
      </c>
      <c r="AF132" s="63">
        <f t="shared" si="19"/>
        <v>1</v>
      </c>
      <c r="AG132" s="63">
        <f t="shared" si="20"/>
        <v>1</v>
      </c>
      <c r="AH132" s="63">
        <f t="shared" si="21"/>
        <v>1</v>
      </c>
      <c r="AI132" s="63">
        <f t="shared" si="22"/>
        <v>0.95083094033792015</v>
      </c>
      <c r="AK132" s="60">
        <f>活动投放!AF132/U132</f>
        <v>0.55832642057237658</v>
      </c>
      <c r="AL132" s="60">
        <f>付费投放!AD132/U132</f>
        <v>0.44167357942762342</v>
      </c>
      <c r="AM132" s="60">
        <f>活动投放!AH132/W132</f>
        <v>0.92029053862843135</v>
      </c>
      <c r="AN132" s="60">
        <f>付费投放!AF132/W132</f>
        <v>7.9709461371568743E-2</v>
      </c>
      <c r="AO132" s="60">
        <f>IFERROR(INDEX(真品获取算法!$C$6:$C$66,MATCH(U132,真品获取算法!G$6:G$66,1)),0)*AK132/(IFERROR(INDEX(真品获取算法!$C$6:$C$66,MATCH(U132,真品获取算法!G$6:G$66,1)),0)+付费投放!AJ132)</f>
        <v>0.4939535380508589</v>
      </c>
      <c r="AP132" s="60">
        <f>(付费投放!AJ132+IFERROR(INDEX(真品获取算法!$C$6:$C$66,MATCH(U132,真品获取算法!G$6:G$66,1)),0)*AL132)/(IFERROR(INDEX(真品获取算法!$C$6:$C$66,MATCH(U132,真品获取算法!G$6:G$66,1)),0)+付费投放!AJ132)</f>
        <v>0.50604646194914105</v>
      </c>
      <c r="AQ132" s="60">
        <f>IFERROR(INDEX(真品获取算法!$C$6:$C$66,MATCH(W132,真品获取算法!I$6:I$66,1)),0)*AM132/(IFERROR(INDEX(真品获取算法!$C$6:$C$66,MATCH(W132,真品获取算法!I$6:I$66,1)),0)+付费投放!AL132)</f>
        <v>0.76840665090557503</v>
      </c>
      <c r="AR132" s="60">
        <f>(付费投放!AL132+IFERROR(INDEX(真品获取算法!$C$6:$C$66,MATCH(W132,真品获取算法!I$6:I$66,1)),0)*AN132)/(IFERROR(INDEX(真品获取算法!$C$6:$C$66,MATCH(W132,真品获取算法!I$6:I$66,1)),0)+付费投放!AL132)</f>
        <v>0.23159334909442508</v>
      </c>
    </row>
    <row r="133" spans="3:44" x14ac:dyDescent="0.15">
      <c r="C133" s="29">
        <f t="shared" si="25"/>
        <v>3300</v>
      </c>
      <c r="D133" s="18">
        <f>求节点(节奏总纲!$F$4:$F$163,节奏总纲!$C$4:$C$163,$C133)</f>
        <v>122.49249432194588</v>
      </c>
      <c r="E133" s="18">
        <f>IFERROR(求节点(前期规划!$E$13:$E$23,前期规划!$B$13:$B$23,D133),0)</f>
        <v>19.768076049530137</v>
      </c>
      <c r="F133" s="63">
        <f>IFERROR(求节点(前期规划!$C$28:$C$35,前期规划!D$28:D$35,$D133),0)</f>
        <v>9</v>
      </c>
      <c r="G133" s="63">
        <f>IFERROR(求节点(前期规划!$C$28:$C$35,前期规划!E$28:E$35,$D133),0)</f>
        <v>9</v>
      </c>
      <c r="H133" s="63">
        <f>IFERROR(求节点(前期规划!$C$28:$C$35,前期规划!F$28:F$35,$D133),0)</f>
        <v>27</v>
      </c>
      <c r="I133" s="63">
        <f>IFERROR(求节点(前期规划!$C$28:$C$35,前期规划!G$28:G$35,$D133),0)</f>
        <v>27</v>
      </c>
      <c r="J133" s="63">
        <f>IFERROR(求节点(前期规划!$C$28:$C$35,前期规划!H$28:H$35,$D133),0)</f>
        <v>60</v>
      </c>
      <c r="K133" s="63">
        <f>IFERROR(求节点(前期规划!$C$28:$C$35,前期规划!I$28:I$35,$D133),0)</f>
        <v>25.220312916713457</v>
      </c>
      <c r="L133" s="63">
        <f>MIN($E133-SUM(M133:$Q133),F133)</f>
        <v>0</v>
      </c>
      <c r="M133" s="63">
        <f>MIN($E133-SUM(N133:$Q133),G133)</f>
        <v>0</v>
      </c>
      <c r="N133" s="63">
        <f>MIN($E133-SUM(O133:$Q133),H133)</f>
        <v>0</v>
      </c>
      <c r="O133" s="63">
        <f>MIN($E133-SUM(P133:$Q133),I133)</f>
        <v>0</v>
      </c>
      <c r="P133" s="63">
        <f>MIN($E133-SUM(Q133:$Q133),J133)</f>
        <v>0</v>
      </c>
      <c r="Q133" s="69">
        <f t="shared" si="23"/>
        <v>19.768076049530137</v>
      </c>
      <c r="R133" s="64">
        <f>活动投放!AC133+付费投放!AA133</f>
        <v>617.90151515151513</v>
      </c>
      <c r="S133" s="64">
        <f>活动投放!AD133+付费投放!AB133</f>
        <v>617.90151515151513</v>
      </c>
      <c r="T133" s="64">
        <f>活动投放!AE133+付费投放!AC133</f>
        <v>1351.8626262626262</v>
      </c>
      <c r="U133" s="64">
        <f>活动投放!AF133+付费投放!AD133</f>
        <v>579.36969696969697</v>
      </c>
      <c r="V133" s="64">
        <f>活动投放!AG133+付费投放!AE133</f>
        <v>2371.5333333333338</v>
      </c>
      <c r="W133" s="64">
        <f>活动投放!AH133+付费投放!AF133</f>
        <v>263.50370370370371</v>
      </c>
      <c r="X133" s="63">
        <f>MIN(IFERROR(INDEX(真品获取算法!$C$6:$C$66,MATCH(R133,真品获取算法!D$6:D$66,1)),0)+付费投放!AG133,前期规划!D$8)</f>
        <v>9</v>
      </c>
      <c r="Y133" s="63">
        <f>MIN(IFERROR(INDEX(真品获取算法!$C$6:$C$66,MATCH(S133,真品获取算法!E$6:E$66,1)),0)+付费投放!AH133,前期规划!E$8)</f>
        <v>9</v>
      </c>
      <c r="Z133" s="63">
        <f>MIN(IFERROR(INDEX(真品获取算法!$C$6:$C$66,MATCH(T133,真品获取算法!F$6:F$66,1)),0)+付费投放!AI133,前期规划!F$8)</f>
        <v>27</v>
      </c>
      <c r="AA133" s="63">
        <f>MIN(IFERROR(INDEX(真品获取算法!$C$6:$C$66,MATCH(U133,真品获取算法!G$6:G$66,1)),0)+付费投放!AJ133,前期规划!G$8)</f>
        <v>27</v>
      </c>
      <c r="AB133" s="63">
        <f>MIN(IFERROR(INDEX(真品获取算法!$C$6:$C$66,MATCH(V133,真品获取算法!H$6:H$66,1)),0)+付费投放!AK133,前期规划!H$8)</f>
        <v>60</v>
      </c>
      <c r="AC133" s="63">
        <f>MIN(IFERROR(INDEX(真品获取算法!$C$6:$C$66,MATCH(W133,真品获取算法!I$6:I$66,1)),0)+付费投放!AL133,前期规划!I$8)</f>
        <v>25.140740740740739</v>
      </c>
      <c r="AD133" s="63">
        <f t="shared" si="24"/>
        <v>1</v>
      </c>
      <c r="AE133" s="63">
        <f t="shared" si="18"/>
        <v>1</v>
      </c>
      <c r="AF133" s="63">
        <f t="shared" si="19"/>
        <v>1</v>
      </c>
      <c r="AG133" s="63">
        <f t="shared" si="20"/>
        <v>1</v>
      </c>
      <c r="AH133" s="63">
        <f t="shared" si="21"/>
        <v>1</v>
      </c>
      <c r="AI133" s="63">
        <f t="shared" si="22"/>
        <v>0.99684491718102408</v>
      </c>
      <c r="AK133" s="60">
        <f>活动投放!AF133/U133</f>
        <v>0.55871061550692491</v>
      </c>
      <c r="AL133" s="60">
        <f>付费投放!AD133/U133</f>
        <v>0.44128938449307503</v>
      </c>
      <c r="AM133" s="60">
        <f>活动投放!AH133/W133</f>
        <v>0.92142917381159872</v>
      </c>
      <c r="AN133" s="60">
        <f>付费投放!AF133/W133</f>
        <v>7.8570826188401333E-2</v>
      </c>
      <c r="AO133" s="60">
        <f>IFERROR(INDEX(真品获取算法!$C$6:$C$66,MATCH(U133,真品获取算法!G$6:G$66,1)),0)*AK133/(IFERROR(INDEX(真品获取算法!$C$6:$C$66,MATCH(U133,真品获取算法!G$6:G$66,1)),0)+付费投放!AJ133)</f>
        <v>0.48895296061355448</v>
      </c>
      <c r="AP133" s="60">
        <f>(付费投放!AJ133+IFERROR(INDEX(真品获取算法!$C$6:$C$66,MATCH(U133,真品获取算法!G$6:G$66,1)),0)*AL133)/(IFERROR(INDEX(真品获取算法!$C$6:$C$66,MATCH(U133,真品获取算法!G$6:G$66,1)),0)+付费投放!AJ133)</f>
        <v>0.51104703938644547</v>
      </c>
      <c r="AQ133" s="60">
        <f>IFERROR(INDEX(真品获取算法!$C$6:$C$66,MATCH(W133,真品获取算法!I$6:I$66,1)),0)*AM133/(IFERROR(INDEX(真品获取算法!$C$6:$C$66,MATCH(W133,真品获取算法!I$6:I$66,1)),0)+付费投放!AL133)</f>
        <v>0.76966756268588177</v>
      </c>
      <c r="AR133" s="60">
        <f>(付费投放!AL133+IFERROR(INDEX(真品获取算法!$C$6:$C$66,MATCH(W133,真品获取算法!I$6:I$66,1)),0)*AN133)/(IFERROR(INDEX(真品获取算法!$C$6:$C$66,MATCH(W133,真品获取算法!I$6:I$66,1)),0)+付费投放!AL133)</f>
        <v>0.2303324373141184</v>
      </c>
    </row>
    <row r="134" spans="3:44" x14ac:dyDescent="0.15">
      <c r="C134" s="29">
        <f t="shared" si="25"/>
        <v>3600</v>
      </c>
      <c r="D134" s="18">
        <f>求节点(节奏总纲!$F$4:$F$163,节奏总纲!$C$4:$C$163,$C134)</f>
        <v>123.71653233872999</v>
      </c>
      <c r="E134" s="18">
        <f>IFERROR(求节点(前期规划!$E$13:$E$23,前期规划!$B$13:$B$23,D134),0)</f>
        <v>19.956389590573846</v>
      </c>
      <c r="F134" s="63">
        <f>IFERROR(求节点(前期规划!$C$28:$C$35,前期规划!D$28:D$35,$D134),0)</f>
        <v>9</v>
      </c>
      <c r="G134" s="63">
        <f>IFERROR(求节点(前期规划!$C$28:$C$35,前期规划!E$28:E$35,$D134),0)</f>
        <v>9</v>
      </c>
      <c r="H134" s="63">
        <f>IFERROR(求节点(前期规划!$C$28:$C$35,前期规划!F$28:F$35,$D134),0)</f>
        <v>27</v>
      </c>
      <c r="I134" s="63">
        <f>IFERROR(求节点(前期规划!$C$28:$C$35,前期规划!G$28:G$35,$D134),0)</f>
        <v>27</v>
      </c>
      <c r="J134" s="63">
        <f>IFERROR(求节点(前期规划!$C$28:$C$35,前期规划!H$28:H$35,$D134),0)</f>
        <v>60</v>
      </c>
      <c r="K134" s="63">
        <f>IFERROR(求节点(前期规划!$C$28:$C$35,前期规划!I$28:I$35,$D134),0)</f>
        <v>26.355329986822355</v>
      </c>
      <c r="L134" s="63">
        <f>MIN($E134-SUM(M134:$Q134),F134)</f>
        <v>0</v>
      </c>
      <c r="M134" s="63">
        <f>MIN($E134-SUM(N134:$Q134),G134)</f>
        <v>0</v>
      </c>
      <c r="N134" s="63">
        <f>MIN($E134-SUM(O134:$Q134),H134)</f>
        <v>0</v>
      </c>
      <c r="O134" s="63">
        <f>MIN($E134-SUM(P134:$Q134),I134)</f>
        <v>0</v>
      </c>
      <c r="P134" s="63">
        <f>MIN($E134-SUM(Q134:$Q134),J134)</f>
        <v>0</v>
      </c>
      <c r="Q134" s="69">
        <f t="shared" si="23"/>
        <v>19.956389590573846</v>
      </c>
      <c r="R134" s="64">
        <f>活动投放!AC134+付费投放!AA134</f>
        <v>672.90151515151513</v>
      </c>
      <c r="S134" s="64">
        <f>活动投放!AD134+付费投放!AB134</f>
        <v>672.90151515151513</v>
      </c>
      <c r="T134" s="64">
        <f>活动投放!AE134+付费投放!AC134</f>
        <v>1476.3070707070706</v>
      </c>
      <c r="U134" s="64">
        <f>活动投放!AF134+付费投放!AD134</f>
        <v>632.70303030303035</v>
      </c>
      <c r="V134" s="64">
        <f>活动投放!AG134+付费投放!AE134</f>
        <v>2622.8666666666672</v>
      </c>
      <c r="W134" s="64">
        <f>活动投放!AH134+付费投放!AF134</f>
        <v>291.42962962962963</v>
      </c>
      <c r="X134" s="63">
        <f>MIN(IFERROR(INDEX(真品获取算法!$C$6:$C$66,MATCH(R134,真品获取算法!D$6:D$66,1)),0)+付费投放!AG134,前期规划!D$8)</f>
        <v>9</v>
      </c>
      <c r="Y134" s="63">
        <f>MIN(IFERROR(INDEX(真品获取算法!$C$6:$C$66,MATCH(S134,真品获取算法!E$6:E$66,1)),0)+付费投放!AH134,前期规划!E$8)</f>
        <v>9</v>
      </c>
      <c r="Z134" s="63">
        <f>MIN(IFERROR(INDEX(真品获取算法!$C$6:$C$66,MATCH(T134,真品获取算法!F$6:F$66,1)),0)+付费投放!AI134,前期规划!F$8)</f>
        <v>27</v>
      </c>
      <c r="AA134" s="63">
        <f>MIN(IFERROR(INDEX(真品获取算法!$C$6:$C$66,MATCH(U134,真品获取算法!G$6:G$66,1)),0)+付费投放!AJ134,前期规划!G$8)</f>
        <v>27</v>
      </c>
      <c r="AB134" s="63">
        <f>MIN(IFERROR(INDEX(真品获取算法!$C$6:$C$66,MATCH(V134,真品获取算法!H$6:H$66,1)),0)+付费投放!AK134,前期规划!H$8)</f>
        <v>60</v>
      </c>
      <c r="AC134" s="63">
        <f>MIN(IFERROR(INDEX(真品获取算法!$C$6:$C$66,MATCH(W134,真品获取算法!I$6:I$66,1)),0)+付费投放!AL134,前期规划!I$8)</f>
        <v>27.525925925925925</v>
      </c>
      <c r="AD134" s="63">
        <f t="shared" si="24"/>
        <v>1</v>
      </c>
      <c r="AE134" s="63">
        <f t="shared" si="18"/>
        <v>1</v>
      </c>
      <c r="AF134" s="63">
        <f t="shared" si="19"/>
        <v>1</v>
      </c>
      <c r="AG134" s="63">
        <f t="shared" si="20"/>
        <v>1</v>
      </c>
      <c r="AH134" s="63">
        <f t="shared" si="21"/>
        <v>1</v>
      </c>
      <c r="AI134" s="63">
        <f t="shared" si="22"/>
        <v>1.0444159090282257</v>
      </c>
      <c r="AK134" s="60">
        <f>活动投放!AF134/U134</f>
        <v>0.55903003946511354</v>
      </c>
      <c r="AL134" s="60">
        <f>付费投放!AD134/U134</f>
        <v>0.44096996053488635</v>
      </c>
      <c r="AM134" s="60">
        <f>活动投放!AH134/W134</f>
        <v>0.92234959204941158</v>
      </c>
      <c r="AN134" s="60">
        <f>付费投放!AF134/W134</f>
        <v>7.7650407950588446E-2</v>
      </c>
      <c r="AO134" s="60">
        <f>IFERROR(INDEX(真品获取算法!$C$6:$C$66,MATCH(U134,真品获取算法!G$6:G$66,1)),0)*AK134/(IFERROR(INDEX(真品获取算法!$C$6:$C$66,MATCH(U134,真品获取算法!G$6:G$66,1)),0)+付费投放!AJ134)</f>
        <v>0.48400320517280143</v>
      </c>
      <c r="AP134" s="60">
        <f>(付费投放!AJ134+IFERROR(INDEX(真品获取算法!$C$6:$C$66,MATCH(U134,真品获取算法!G$6:G$66,1)),0)*AL134)/(IFERROR(INDEX(真品获取算法!$C$6:$C$66,MATCH(U134,真品获取算法!G$6:G$66,1)),0)+付费投放!AJ134)</f>
        <v>0.51599679482719851</v>
      </c>
      <c r="AQ134" s="60">
        <f>IFERROR(INDEX(真品获取算法!$C$6:$C$66,MATCH(W134,真品获取算法!I$6:I$66,1)),0)*AM134/(IFERROR(INDEX(真品获取算法!$C$6:$C$66,MATCH(W134,真品获取算法!I$6:I$66,1)),0)+付费投放!AL134)</f>
        <v>0.77069307947078114</v>
      </c>
      <c r="AR134" s="60">
        <f>(付费投放!AL134+IFERROR(INDEX(真品获取算法!$C$6:$C$66,MATCH(W134,真品获取算法!I$6:I$66,1)),0)*AN134)/(IFERROR(INDEX(真品获取算法!$C$6:$C$66,MATCH(W134,真品获取算法!I$6:I$66,1)),0)+付费投放!AL134)</f>
        <v>0.22930692052921881</v>
      </c>
    </row>
    <row r="135" spans="3:44" x14ac:dyDescent="0.15">
      <c r="C135" s="29">
        <f t="shared" si="25"/>
        <v>3900</v>
      </c>
      <c r="D135" s="18">
        <f>求节点(节奏总纲!$F$4:$F$163,节奏总纲!$C$4:$C$163,$C135)</f>
        <v>124.85102687042894</v>
      </c>
      <c r="E135" s="18">
        <f>IFERROR(求节点(前期规划!$E$13:$E$23,前期规划!$B$13:$B$23,D135),0)</f>
        <v>20</v>
      </c>
      <c r="F135" s="63">
        <f>IFERROR(求节点(前期规划!$C$28:$C$35,前期规划!D$28:D$35,$D135),0)</f>
        <v>9</v>
      </c>
      <c r="G135" s="63">
        <f>IFERROR(求节点(前期规划!$C$28:$C$35,前期规划!E$28:E$35,$D135),0)</f>
        <v>9</v>
      </c>
      <c r="H135" s="63">
        <f>IFERROR(求节点(前期规划!$C$28:$C$35,前期规划!F$28:F$35,$D135),0)</f>
        <v>27</v>
      </c>
      <c r="I135" s="63">
        <f>IFERROR(求节点(前期规划!$C$28:$C$35,前期规划!G$28:G$35,$D135),0)</f>
        <v>27</v>
      </c>
      <c r="J135" s="63">
        <f>IFERROR(求节点(前期规划!$C$28:$C$35,前期规划!H$28:H$35,$D135),0)</f>
        <v>60</v>
      </c>
      <c r="K135" s="63">
        <f>IFERROR(求节点(前期规划!$C$28:$C$35,前期规划!I$28:I$35,$D135),0)</f>
        <v>27.407315825306835</v>
      </c>
      <c r="L135" s="63">
        <f>MIN($E135-SUM(M135:$Q135),F135)</f>
        <v>0</v>
      </c>
      <c r="M135" s="63">
        <f>MIN($E135-SUM(N135:$Q135),G135)</f>
        <v>0</v>
      </c>
      <c r="N135" s="63">
        <f>MIN($E135-SUM(O135:$Q135),H135)</f>
        <v>0</v>
      </c>
      <c r="O135" s="63">
        <f>MIN($E135-SUM(P135:$Q135),I135)</f>
        <v>0</v>
      </c>
      <c r="P135" s="63">
        <f>MIN($E135-SUM(Q135:$Q135),J135)</f>
        <v>0</v>
      </c>
      <c r="Q135" s="69">
        <f t="shared" si="23"/>
        <v>20</v>
      </c>
      <c r="R135" s="64">
        <f>活动投放!AC135+付费投放!AA135</f>
        <v>727.90151515151513</v>
      </c>
      <c r="S135" s="64">
        <f>活动投放!AD135+付费投放!AB135</f>
        <v>727.90151515151513</v>
      </c>
      <c r="T135" s="64">
        <f>活动投放!AE135+付费投放!AC135</f>
        <v>1600.7515151515152</v>
      </c>
      <c r="U135" s="64">
        <f>活动投放!AF135+付费投放!AD135</f>
        <v>686.0363636363636</v>
      </c>
      <c r="V135" s="64">
        <f>活动投放!AG135+付费投放!AE135</f>
        <v>2874.2000000000003</v>
      </c>
      <c r="W135" s="64">
        <f>活动投放!AH135+付费投放!AF135</f>
        <v>319.35555555555555</v>
      </c>
      <c r="X135" s="63">
        <f>MIN(IFERROR(INDEX(真品获取算法!$C$6:$C$66,MATCH(R135,真品获取算法!D$6:D$66,1)),0)+付费投放!AG135,前期规划!D$8)</f>
        <v>9</v>
      </c>
      <c r="Y135" s="63">
        <f>MIN(IFERROR(INDEX(真品获取算法!$C$6:$C$66,MATCH(S135,真品获取算法!E$6:E$66,1)),0)+付费投放!AH135,前期规划!E$8)</f>
        <v>9</v>
      </c>
      <c r="Z135" s="63">
        <f>MIN(IFERROR(INDEX(真品获取算法!$C$6:$C$66,MATCH(T135,真品获取算法!F$6:F$66,1)),0)+付费投放!AI135,前期规划!F$8)</f>
        <v>27</v>
      </c>
      <c r="AA135" s="63">
        <f>MIN(IFERROR(INDEX(真品获取算法!$C$6:$C$66,MATCH(U135,真品获取算法!G$6:G$66,1)),0)+付费投放!AJ135,前期规划!G$8)</f>
        <v>27</v>
      </c>
      <c r="AB135" s="63">
        <f>MIN(IFERROR(INDEX(真品获取算法!$C$6:$C$66,MATCH(V135,真品获取算法!H$6:H$66,1)),0)+付费投放!AK135,前期规划!H$8)</f>
        <v>60</v>
      </c>
      <c r="AC135" s="63">
        <f>MIN(IFERROR(INDEX(真品获取算法!$C$6:$C$66,MATCH(W135,真品获取算法!I$6:I$66,1)),0)+付费投放!AL135,前期规划!I$8)</f>
        <v>28.911111111111111</v>
      </c>
      <c r="AD135" s="63">
        <f t="shared" si="24"/>
        <v>1</v>
      </c>
      <c r="AE135" s="63">
        <f t="shared" si="18"/>
        <v>1</v>
      </c>
      <c r="AF135" s="63">
        <f t="shared" si="19"/>
        <v>1</v>
      </c>
      <c r="AG135" s="63">
        <f t="shared" si="20"/>
        <v>1</v>
      </c>
      <c r="AH135" s="63">
        <f t="shared" si="21"/>
        <v>1</v>
      </c>
      <c r="AI135" s="63">
        <f t="shared" si="22"/>
        <v>1.054868389717162</v>
      </c>
      <c r="AK135" s="60">
        <f>活动投放!AF135/U135</f>
        <v>0.55929979857945511</v>
      </c>
      <c r="AL135" s="60">
        <f>付费投放!AD135/U135</f>
        <v>0.44070020142054489</v>
      </c>
      <c r="AM135" s="60">
        <f>活动投放!AH135/W135</f>
        <v>0.92310903903694941</v>
      </c>
      <c r="AN135" s="60">
        <f>付费投放!AF135/W135</f>
        <v>7.689096096305062E-2</v>
      </c>
      <c r="AO135" s="60">
        <f>IFERROR(INDEX(真品获取算法!$C$6:$C$66,MATCH(U135,真品获取算法!G$6:G$66,1)),0)*AK135/(IFERROR(INDEX(真品获取算法!$C$6:$C$66,MATCH(U135,真品获取算法!G$6:G$66,1)),0)+付费投放!AJ135)</f>
        <v>0.47911559972531398</v>
      </c>
      <c r="AP135" s="60">
        <f>(付费投放!AJ135+IFERROR(INDEX(真品获取算法!$C$6:$C$66,MATCH(U135,真品获取算法!G$6:G$66,1)),0)*AL135)/(IFERROR(INDEX(真品获取算法!$C$6:$C$66,MATCH(U135,真品获取算法!G$6:G$66,1)),0)+付费投放!AJ135)</f>
        <v>0.52088440027468597</v>
      </c>
      <c r="AQ135" s="60">
        <f>IFERROR(INDEX(真品获取算法!$C$6:$C$66,MATCH(W135,真品获取算法!I$6:I$66,1)),0)*AM135/(IFERROR(INDEX(真品获取算法!$C$6:$C$66,MATCH(W135,真品获取算法!I$6:I$66,1)),0)+付费投放!AL135)</f>
        <v>0.76630112387387039</v>
      </c>
      <c r="AR135" s="60">
        <f>(付费投放!AL135+IFERROR(INDEX(真品获取算法!$C$6:$C$66,MATCH(W135,真品获取算法!I$6:I$66,1)),0)*AN135)/(IFERROR(INDEX(真品获取算法!$C$6:$C$66,MATCH(W135,真品获取算法!I$6:I$66,1)),0)+付费投放!AL135)</f>
        <v>0.23369887612612966</v>
      </c>
    </row>
    <row r="136" spans="3:44" x14ac:dyDescent="0.15">
      <c r="C136" s="29">
        <f t="shared" si="25"/>
        <v>4200</v>
      </c>
      <c r="D136" s="18">
        <f>求节点(节奏总纲!$F$4:$F$163,节奏总纲!$C$4:$C$163,$C136)</f>
        <v>125.90913935465674</v>
      </c>
      <c r="E136" s="18">
        <f>IFERROR(求节点(前期规划!$E$13:$E$23,前期规划!$B$13:$B$23,D136),0)</f>
        <v>20</v>
      </c>
      <c r="F136" s="63">
        <f>IFERROR(求节点(前期规划!$C$28:$C$35,前期规划!D$28:D$35,$D136),0)</f>
        <v>9</v>
      </c>
      <c r="G136" s="63">
        <f>IFERROR(求节点(前期规划!$C$28:$C$35,前期规划!E$28:E$35,$D136),0)</f>
        <v>9</v>
      </c>
      <c r="H136" s="63">
        <f>IFERROR(求节点(前期规划!$C$28:$C$35,前期规划!F$28:F$35,$D136),0)</f>
        <v>27</v>
      </c>
      <c r="I136" s="63">
        <f>IFERROR(求节点(前期规划!$C$28:$C$35,前期规划!G$28:G$35,$D136),0)</f>
        <v>27</v>
      </c>
      <c r="J136" s="63">
        <f>IFERROR(求节点(前期规划!$C$28:$C$35,前期规划!H$28:H$35,$D136),0)</f>
        <v>60</v>
      </c>
      <c r="K136" s="63">
        <f>IFERROR(求节点(前期规划!$C$28:$C$35,前期规划!I$28:I$35,$D136),0)</f>
        <v>28.388474674318072</v>
      </c>
      <c r="L136" s="63">
        <f>MIN($E136-SUM(M136:$Q136),F136)</f>
        <v>0</v>
      </c>
      <c r="M136" s="63">
        <f>MIN($E136-SUM(N136:$Q136),G136)</f>
        <v>0</v>
      </c>
      <c r="N136" s="63">
        <f>MIN($E136-SUM(O136:$Q136),H136)</f>
        <v>0</v>
      </c>
      <c r="O136" s="63">
        <f>MIN($E136-SUM(P136:$Q136),I136)</f>
        <v>0</v>
      </c>
      <c r="P136" s="63">
        <f>MIN($E136-SUM(Q136:$Q136),J136)</f>
        <v>0</v>
      </c>
      <c r="Q136" s="69">
        <f t="shared" si="23"/>
        <v>20</v>
      </c>
      <c r="R136" s="64">
        <f>活动投放!AC136+付费投放!AA136</f>
        <v>782.90151515151513</v>
      </c>
      <c r="S136" s="64">
        <f>活动投放!AD136+付费投放!AB136</f>
        <v>782.90151515151513</v>
      </c>
      <c r="T136" s="64">
        <f>活动投放!AE136+付费投放!AC136</f>
        <v>1725.1959595959597</v>
      </c>
      <c r="U136" s="64">
        <f>活动投放!AF136+付费投放!AD136</f>
        <v>739.36969696969686</v>
      </c>
      <c r="V136" s="64">
        <f>活动投放!AG136+付费投放!AE136</f>
        <v>3125.5333333333338</v>
      </c>
      <c r="W136" s="64">
        <f>活动投放!AH136+付费投放!AF136</f>
        <v>347.28148148148148</v>
      </c>
      <c r="X136" s="63">
        <f>MIN(IFERROR(INDEX(真品获取算法!$C$6:$C$66,MATCH(R136,真品获取算法!D$6:D$66,1)),0)+付费投放!AG136,前期规划!D$8)</f>
        <v>9</v>
      </c>
      <c r="Y136" s="63">
        <f>MIN(IFERROR(INDEX(真品获取算法!$C$6:$C$66,MATCH(S136,真品获取算法!E$6:E$66,1)),0)+付费投放!AH136,前期规划!E$8)</f>
        <v>9</v>
      </c>
      <c r="Z136" s="63">
        <f>MIN(IFERROR(INDEX(真品获取算法!$C$6:$C$66,MATCH(T136,真品获取算法!F$6:F$66,1)),0)+付费投放!AI136,前期规划!F$8)</f>
        <v>27</v>
      </c>
      <c r="AA136" s="63">
        <f>MIN(IFERROR(INDEX(真品获取算法!$C$6:$C$66,MATCH(U136,真品获取算法!G$6:G$66,1)),0)+付费投放!AJ136,前期规划!G$8)</f>
        <v>27</v>
      </c>
      <c r="AB136" s="63">
        <f>MIN(IFERROR(INDEX(真品获取算法!$C$6:$C$66,MATCH(V136,真品获取算法!H$6:H$66,1)),0)+付费投放!AK136,前期规划!H$8)</f>
        <v>60</v>
      </c>
      <c r="AC136" s="63">
        <f>MIN(IFERROR(INDEX(真品获取算法!$C$6:$C$66,MATCH(W136,真品获取算法!I$6:I$66,1)),0)+付费投放!AL136,前期规划!I$8)</f>
        <v>31.296296296296298</v>
      </c>
      <c r="AD136" s="63">
        <f t="shared" si="24"/>
        <v>1</v>
      </c>
      <c r="AE136" s="63">
        <f t="shared" si="18"/>
        <v>1</v>
      </c>
      <c r="AF136" s="63">
        <f t="shared" si="19"/>
        <v>1</v>
      </c>
      <c r="AG136" s="63">
        <f t="shared" si="20"/>
        <v>1</v>
      </c>
      <c r="AH136" s="63">
        <f t="shared" si="21"/>
        <v>1</v>
      </c>
      <c r="AI136" s="63">
        <f t="shared" si="22"/>
        <v>1.1024296534187805</v>
      </c>
      <c r="AK136" s="60">
        <f>活动投放!AF136/U136</f>
        <v>0.55953064034886402</v>
      </c>
      <c r="AL136" s="60">
        <f>付费投放!AD136/U136</f>
        <v>0.44046935965113609</v>
      </c>
      <c r="AM136" s="60">
        <f>活动投放!AH136/W136</f>
        <v>0.92374634729006255</v>
      </c>
      <c r="AN136" s="60">
        <f>付费投放!AF136/W136</f>
        <v>7.6253652709937531E-2</v>
      </c>
      <c r="AO136" s="60">
        <f>IFERROR(INDEX(真品获取算法!$C$6:$C$66,MATCH(U136,真品获取算法!G$6:G$66,1)),0)*AK136/(IFERROR(INDEX(真品获取算法!$C$6:$C$66,MATCH(U136,真品获取算法!G$6:G$66,1)),0)+付费投放!AJ136)</f>
        <v>0.4742973033924282</v>
      </c>
      <c r="AP136" s="60">
        <f>(付费投放!AJ136+IFERROR(INDEX(真品获取算法!$C$6:$C$66,MATCH(U136,真品获取算法!G$6:G$66,1)),0)*AL136)/(IFERROR(INDEX(真品获取算法!$C$6:$C$66,MATCH(U136,真品获取算法!G$6:G$66,1)),0)+付费投放!AJ136)</f>
        <v>0.52570269660757185</v>
      </c>
      <c r="AQ136" s="60">
        <f>IFERROR(INDEX(真品获取算法!$C$6:$C$66,MATCH(W136,真品获取算法!I$6:I$66,1)),0)*AM136/(IFERROR(INDEX(真品获取算法!$C$6:$C$66,MATCH(W136,真品获取算法!I$6:I$66,1)),0)+付费投放!AL136)</f>
        <v>0.76742004236405204</v>
      </c>
      <c r="AR136" s="60">
        <f>(付费投放!AL136+IFERROR(INDEX(真品获取算法!$C$6:$C$66,MATCH(W136,真品获取算法!I$6:I$66,1)),0)*AN136)/(IFERROR(INDEX(真品获取算法!$C$6:$C$66,MATCH(W136,真品获取算法!I$6:I$66,1)),0)+付费投放!AL136)</f>
        <v>0.2325799576359481</v>
      </c>
    </row>
    <row r="137" spans="3:44" x14ac:dyDescent="0.15">
      <c r="C137" s="29">
        <f t="shared" si="25"/>
        <v>4500</v>
      </c>
      <c r="D137" s="18">
        <f>求节点(节奏总纲!$F$4:$F$163,节奏总纲!$C$4:$C$163,$C137)</f>
        <v>126.96916270090227</v>
      </c>
      <c r="E137" s="18">
        <f>IFERROR(求节点(前期规划!$E$13:$E$23,前期规划!$B$13:$B$23,D137),0)</f>
        <v>20</v>
      </c>
      <c r="F137" s="63">
        <f>IFERROR(求节点(前期规划!$C$28:$C$35,前期规划!D$28:D$35,$D137),0)</f>
        <v>9</v>
      </c>
      <c r="G137" s="63">
        <f>IFERROR(求节点(前期规划!$C$28:$C$35,前期规划!E$28:E$35,$D137),0)</f>
        <v>9</v>
      </c>
      <c r="H137" s="63">
        <f>IFERROR(求节点(前期规划!$C$28:$C$35,前期规划!F$28:F$35,$D137),0)</f>
        <v>27</v>
      </c>
      <c r="I137" s="63">
        <f>IFERROR(求节点(前期规划!$C$28:$C$35,前期规划!G$28:G$35,$D137),0)</f>
        <v>27</v>
      </c>
      <c r="J137" s="63">
        <f>IFERROR(求节点(前期规划!$C$28:$C$35,前期规划!H$28:H$35,$D137),0)</f>
        <v>60</v>
      </c>
      <c r="K137" s="63">
        <f>IFERROR(求节点(前期规划!$C$28:$C$35,前期规划!I$28:I$35,$D137),0)</f>
        <v>29.371405413563927</v>
      </c>
      <c r="L137" s="63">
        <f>MIN($E137-SUM(M137:$Q137),F137)</f>
        <v>0</v>
      </c>
      <c r="M137" s="63">
        <f>MIN($E137-SUM(N137:$Q137),G137)</f>
        <v>0</v>
      </c>
      <c r="N137" s="63">
        <f>MIN($E137-SUM(O137:$Q137),H137)</f>
        <v>0</v>
      </c>
      <c r="O137" s="63">
        <f>MIN($E137-SUM(P137:$Q137),I137)</f>
        <v>0</v>
      </c>
      <c r="P137" s="63">
        <f>MIN($E137-SUM(Q137:$Q137),J137)</f>
        <v>0</v>
      </c>
      <c r="Q137" s="69">
        <f t="shared" si="23"/>
        <v>20</v>
      </c>
      <c r="R137" s="64">
        <f>活动投放!AC137+付费投放!AA137</f>
        <v>837.90151515151513</v>
      </c>
      <c r="S137" s="64">
        <f>活动投放!AD137+付费投放!AB137</f>
        <v>837.90151515151513</v>
      </c>
      <c r="T137" s="64">
        <f>活动投放!AE137+付费投放!AC137</f>
        <v>1849.6404040404041</v>
      </c>
      <c r="U137" s="64">
        <f>活动投放!AF137+付费投放!AD137</f>
        <v>792.70303030303023</v>
      </c>
      <c r="V137" s="64">
        <f>活动投放!AG137+付费投放!AE137</f>
        <v>3376.8666666666672</v>
      </c>
      <c r="W137" s="64">
        <f>活动投放!AH137+付费投放!AF137</f>
        <v>375.20740740740746</v>
      </c>
      <c r="X137" s="63">
        <f>MIN(IFERROR(INDEX(真品获取算法!$C$6:$C$66,MATCH(R137,真品获取算法!D$6:D$66,1)),0)+付费投放!AG137,前期规划!D$8)</f>
        <v>9</v>
      </c>
      <c r="Y137" s="63">
        <f>MIN(IFERROR(INDEX(真品获取算法!$C$6:$C$66,MATCH(S137,真品获取算法!E$6:E$66,1)),0)+付费投放!AH137,前期规划!E$8)</f>
        <v>9</v>
      </c>
      <c r="Z137" s="63">
        <f>MIN(IFERROR(INDEX(真品获取算法!$C$6:$C$66,MATCH(T137,真品获取算法!F$6:F$66,1)),0)+付费投放!AI137,前期规划!F$8)</f>
        <v>27</v>
      </c>
      <c r="AA137" s="63">
        <f>MIN(IFERROR(INDEX(真品获取算法!$C$6:$C$66,MATCH(U137,真品获取算法!G$6:G$66,1)),0)+付费投放!AJ137,前期规划!G$8)</f>
        <v>27</v>
      </c>
      <c r="AB137" s="63">
        <f>MIN(IFERROR(INDEX(真品获取算法!$C$6:$C$66,MATCH(V137,真品获取算法!H$6:H$66,1)),0)+付费投放!AK137,前期规划!H$8)</f>
        <v>60</v>
      </c>
      <c r="AC137" s="63">
        <f>MIN(IFERROR(INDEX(真品获取算法!$C$6:$C$66,MATCH(W137,真品获取算法!I$6:I$66,1)),0)+付费投放!AL137,前期规划!I$8)</f>
        <v>33.681481481481484</v>
      </c>
      <c r="AD137" s="63">
        <f t="shared" si="24"/>
        <v>1</v>
      </c>
      <c r="AE137" s="63">
        <f t="shared" si="18"/>
        <v>1</v>
      </c>
      <c r="AF137" s="63">
        <f t="shared" si="19"/>
        <v>1</v>
      </c>
      <c r="AG137" s="63">
        <f t="shared" si="20"/>
        <v>1</v>
      </c>
      <c r="AH137" s="63">
        <f t="shared" si="21"/>
        <v>1</v>
      </c>
      <c r="AI137" s="63">
        <f t="shared" si="22"/>
        <v>1.1467439506972701</v>
      </c>
      <c r="AK137" s="60">
        <f>活动投放!AF137/U137</f>
        <v>0.55973041989051653</v>
      </c>
      <c r="AL137" s="60">
        <f>付费投放!AD137/U137</f>
        <v>0.44026958010948342</v>
      </c>
      <c r="AM137" s="60">
        <f>活动投放!AH137/W137</f>
        <v>0.92428878842319295</v>
      </c>
      <c r="AN137" s="60">
        <f>付费投放!AF137/W137</f>
        <v>7.5711211576806922E-2</v>
      </c>
      <c r="AO137" s="60">
        <f>IFERROR(INDEX(真品获取算法!$C$6:$C$66,MATCH(U137,真品获取算法!G$6:G$66,1)),0)*AK137/(IFERROR(INDEX(真品获取算法!$C$6:$C$66,MATCH(U137,真品获取算法!G$6:G$66,1)),0)+付费投放!AJ137)</f>
        <v>0.4695527523239289</v>
      </c>
      <c r="AP137" s="60">
        <f>(付费投放!AJ137+IFERROR(INDEX(真品获取算法!$C$6:$C$66,MATCH(U137,真品获取算法!G$6:G$66,1)),0)*AL137)/(IFERROR(INDEX(真品获取算法!$C$6:$C$66,MATCH(U137,真品获取算法!G$6:G$66,1)),0)+付费投放!AJ137)</f>
        <v>0.5304472476760711</v>
      </c>
      <c r="AQ137" s="60">
        <f>IFERROR(INDEX(真品获取算法!$C$6:$C$66,MATCH(W137,真品获取算法!I$6:I$66,1)),0)*AM137/(IFERROR(INDEX(真品获取算法!$C$6:$C$66,MATCH(W137,真品获取算法!I$6:I$66,1)),0)+付费投放!AL137)</f>
        <v>0.76837730816795002</v>
      </c>
      <c r="AR137" s="60">
        <f>(付费投放!AL137+IFERROR(INDEX(真品获取算法!$C$6:$C$66,MATCH(W137,真品获取算法!I$6:I$66,1)),0)*AN137)/(IFERROR(INDEX(真品获取算法!$C$6:$C$66,MATCH(W137,真品获取算法!I$6:I$66,1)),0)+付费投放!AL137)</f>
        <v>0.23162269183204973</v>
      </c>
    </row>
    <row r="138" spans="3:44" x14ac:dyDescent="0.15">
      <c r="C138" s="29">
        <f t="shared" si="25"/>
        <v>4800</v>
      </c>
      <c r="D138" s="18">
        <f>求节点(节奏总纲!$F$4:$F$163,节奏总纲!$C$4:$C$163,$C138)</f>
        <v>127.97984726046715</v>
      </c>
      <c r="E138" s="18">
        <f>IFERROR(求节点(前期规划!$E$13:$E$23,前期规划!$B$13:$B$23,D138),0)</f>
        <v>20</v>
      </c>
      <c r="F138" s="63">
        <f>IFERROR(求节点(前期规划!$C$28:$C$35,前期规划!D$28:D$35,$D138),0)</f>
        <v>9</v>
      </c>
      <c r="G138" s="63">
        <f>IFERROR(求节点(前期规划!$C$28:$C$35,前期规划!E$28:E$35,$D138),0)</f>
        <v>9</v>
      </c>
      <c r="H138" s="63">
        <f>IFERROR(求节点(前期规划!$C$28:$C$35,前期规划!F$28:F$35,$D138),0)</f>
        <v>27</v>
      </c>
      <c r="I138" s="63">
        <f>IFERROR(求节点(前期规划!$C$28:$C$35,前期规划!G$28:G$35,$D138),0)</f>
        <v>27</v>
      </c>
      <c r="J138" s="63">
        <f>IFERROR(求节点(前期规划!$C$28:$C$35,前期规划!H$28:H$35,$D138),0)</f>
        <v>60</v>
      </c>
      <c r="K138" s="63">
        <f>IFERROR(求节点(前期规划!$C$28:$C$35,前期规划!I$28:I$35,$D138),0)</f>
        <v>30.308585641524086</v>
      </c>
      <c r="L138" s="63">
        <f>MIN($E138-SUM(M138:$Q138),F138)</f>
        <v>0</v>
      </c>
      <c r="M138" s="63">
        <f>MIN($E138-SUM(N138:$Q138),G138)</f>
        <v>0</v>
      </c>
      <c r="N138" s="63">
        <f>MIN($E138-SUM(O138:$Q138),H138)</f>
        <v>0</v>
      </c>
      <c r="O138" s="63">
        <f>MIN($E138-SUM(P138:$Q138),I138)</f>
        <v>0</v>
      </c>
      <c r="P138" s="63">
        <f>MIN($E138-SUM(Q138:$Q138),J138)</f>
        <v>0</v>
      </c>
      <c r="Q138" s="69">
        <f t="shared" si="23"/>
        <v>20</v>
      </c>
      <c r="R138" s="64">
        <f>活动投放!AC138+付费投放!AA138</f>
        <v>892.90151515151513</v>
      </c>
      <c r="S138" s="64">
        <f>活动投放!AD138+付费投放!AB138</f>
        <v>892.90151515151513</v>
      </c>
      <c r="T138" s="64">
        <f>活动投放!AE138+付费投放!AC138</f>
        <v>1974.0848484848484</v>
      </c>
      <c r="U138" s="64">
        <f>活动投放!AF138+付费投放!AD138</f>
        <v>846.0363636363636</v>
      </c>
      <c r="V138" s="64">
        <f>活动投放!AG138+付费投放!AE138</f>
        <v>3628.2000000000003</v>
      </c>
      <c r="W138" s="64">
        <f>活动投放!AH138+付费投放!AF138</f>
        <v>403.13333333333338</v>
      </c>
      <c r="X138" s="63">
        <f>MIN(IFERROR(INDEX(真品获取算法!$C$6:$C$66,MATCH(R138,真品获取算法!D$6:D$66,1)),0)+付费投放!AG138,前期规划!D$8)</f>
        <v>9</v>
      </c>
      <c r="Y138" s="63">
        <f>MIN(IFERROR(INDEX(真品获取算法!$C$6:$C$66,MATCH(S138,真品获取算法!E$6:E$66,1)),0)+付费投放!AH138,前期规划!E$8)</f>
        <v>9</v>
      </c>
      <c r="Z138" s="63">
        <f>MIN(IFERROR(INDEX(真品获取算法!$C$6:$C$66,MATCH(T138,真品获取算法!F$6:F$66,1)),0)+付费投放!AI138,前期规划!F$8)</f>
        <v>27</v>
      </c>
      <c r="AA138" s="63">
        <f>MIN(IFERROR(INDEX(真品获取算法!$C$6:$C$66,MATCH(U138,真品获取算法!G$6:G$66,1)),0)+付费投放!AJ138,前期规划!G$8)</f>
        <v>27</v>
      </c>
      <c r="AB138" s="63">
        <f>MIN(IFERROR(INDEX(真品获取算法!$C$6:$C$66,MATCH(V138,真品获取算法!H$6:H$66,1)),0)+付费投放!AK138,前期规划!H$8)</f>
        <v>60</v>
      </c>
      <c r="AC138" s="63">
        <f>MIN(IFERROR(INDEX(真品获取算法!$C$6:$C$66,MATCH(W138,真品获取算法!I$6:I$66,1)),0)+付费投放!AL138,前期规划!I$8)</f>
        <v>35.06666666666667</v>
      </c>
      <c r="AD138" s="63">
        <f t="shared" si="24"/>
        <v>1</v>
      </c>
      <c r="AE138" s="63">
        <f t="shared" si="18"/>
        <v>1</v>
      </c>
      <c r="AF138" s="63">
        <f t="shared" si="19"/>
        <v>1</v>
      </c>
      <c r="AG138" s="63">
        <f t="shared" si="20"/>
        <v>1</v>
      </c>
      <c r="AH138" s="63">
        <f t="shared" si="21"/>
        <v>1</v>
      </c>
      <c r="AI138" s="63">
        <f t="shared" si="22"/>
        <v>1.1569878938403448</v>
      </c>
      <c r="AK138" s="60">
        <f>活动投放!AF138/U138</f>
        <v>0.55990501160491701</v>
      </c>
      <c r="AL138" s="60">
        <f>付费投放!AD138/U138</f>
        <v>0.44009498839508288</v>
      </c>
      <c r="AM138" s="60">
        <f>活动投放!AH138/W138</f>
        <v>0.92475607739374888</v>
      </c>
      <c r="AN138" s="60">
        <f>付费投放!AF138/W138</f>
        <v>7.5243922606251054E-2</v>
      </c>
      <c r="AO138" s="60">
        <f>IFERROR(INDEX(真品获取算法!$C$6:$C$66,MATCH(U138,真品获取算法!G$6:G$66,1)),0)*AK138/(IFERROR(INDEX(真品获取算法!$C$6:$C$66,MATCH(U138,真品获取算法!G$6:G$66,1)),0)+付费投放!AJ138)</f>
        <v>0.46488455620542751</v>
      </c>
      <c r="AP138" s="60">
        <f>(付费投放!AJ138+IFERROR(INDEX(真品获取算法!$C$6:$C$66,MATCH(U138,真品获取算法!G$6:G$66,1)),0)*AL138)/(IFERROR(INDEX(真品获取算法!$C$6:$C$66,MATCH(U138,真品获取算法!G$6:G$66,1)),0)+付费投放!AJ138)</f>
        <v>0.53511544379457221</v>
      </c>
      <c r="AQ138" s="60">
        <f>IFERROR(INDEX(真品获取算法!$C$6:$C$66,MATCH(W138,真品获取算法!I$6:I$66,1)),0)*AM138/(IFERROR(INDEX(真品获取算法!$C$6:$C$66,MATCH(W138,真品获取算法!I$6:I$66,1)),0)+付费投放!AL138)</f>
        <v>0.76476975982182649</v>
      </c>
      <c r="AR138" s="60">
        <f>(付费投放!AL138+IFERROR(INDEX(真品获取算法!$C$6:$C$66,MATCH(W138,真品获取算法!I$6:I$66,1)),0)*AN138)/(IFERROR(INDEX(真品获取算法!$C$6:$C$66,MATCH(W138,真品获取算法!I$6:I$66,1)),0)+付费投放!AL138)</f>
        <v>0.2352302401781734</v>
      </c>
    </row>
    <row r="139" spans="3:44" x14ac:dyDescent="0.15">
      <c r="C139" s="29">
        <f t="shared" si="25"/>
        <v>65535</v>
      </c>
      <c r="D139" s="41">
        <v>160</v>
      </c>
      <c r="E139" s="18">
        <f>IFERROR(求节点(前期规划!$E$13:$E$23,前期规划!$B$13:$B$23,D139),0)</f>
        <v>20</v>
      </c>
      <c r="F139" s="63">
        <f>IFERROR(求节点(前期规划!$C$28:$C$35,前期规划!D$28:D$35,$D139),0)</f>
        <v>9</v>
      </c>
      <c r="G139" s="63">
        <f>IFERROR(求节点(前期规划!$C$28:$C$35,前期规划!E$28:E$35,$D139),0)</f>
        <v>9</v>
      </c>
      <c r="H139" s="63">
        <f>IFERROR(求节点(前期规划!$C$28:$C$35,前期规划!F$28:F$35,$D139),0)</f>
        <v>27</v>
      </c>
      <c r="I139" s="63">
        <f>IFERROR(求节点(前期规划!$C$28:$C$35,前期规划!G$28:G$35,$D139),0)</f>
        <v>27</v>
      </c>
      <c r="J139" s="63">
        <f>IFERROR(求节点(前期规划!$C$28:$C$35,前期规划!H$28:H$35,$D139),0)</f>
        <v>60</v>
      </c>
      <c r="K139" s="63">
        <f>IFERROR(求节点(前期规划!$C$28:$C$35,前期规划!I$28:I$35,$D139),0)</f>
        <v>60</v>
      </c>
      <c r="L139" s="63">
        <f>MIN($E139-SUM(M139:$Q139),F139)</f>
        <v>0</v>
      </c>
      <c r="M139" s="63">
        <f>MIN($E139-SUM(N139:$Q139),G139)</f>
        <v>0</v>
      </c>
      <c r="N139" s="63">
        <f>MIN($E139-SUM(O139:$Q139),H139)</f>
        <v>0</v>
      </c>
      <c r="O139" s="63">
        <f>MIN($E139-SUM(P139:$Q139),I139)</f>
        <v>0</v>
      </c>
      <c r="P139" s="63">
        <f>MIN($E139-SUM(Q139:$Q139),J139)</f>
        <v>0</v>
      </c>
      <c r="Q139" s="69">
        <f t="shared" ref="Q139" si="26">MIN($E139,K139)</f>
        <v>20</v>
      </c>
      <c r="R139" s="64">
        <f>活动投放!AC139+付费投放!AA139</f>
        <v>12027.651515151516</v>
      </c>
      <c r="S139" s="64">
        <f>活动投放!AD139+付费投放!AB139</f>
        <v>12027.651515151516</v>
      </c>
      <c r="T139" s="64">
        <f>活动投放!AE139+付费投放!AC139</f>
        <v>27167.862626262628</v>
      </c>
      <c r="U139" s="64">
        <f>活动投放!AF139+付费投放!AD139</f>
        <v>11643.369696969698</v>
      </c>
      <c r="V139" s="64">
        <f>活动投放!AG139+付费投放!AE139</f>
        <v>54510.633333333331</v>
      </c>
      <c r="W139" s="64">
        <f>活动投放!AH139+付费投放!AF139</f>
        <v>6056.7370370370372</v>
      </c>
      <c r="X139" s="63">
        <f>MIN(IFERROR(INDEX(真品获取算法!$C$6:$C$66,MATCH(R139,真品获取算法!D$6:D$66,1)),0)+付费投放!AG139,前期规划!D$8)</f>
        <v>9</v>
      </c>
      <c r="Y139" s="63">
        <f>MIN(IFERROR(INDEX(真品获取算法!$C$6:$C$66,MATCH(S139,真品获取算法!E$6:E$66,1)),0)+付费投放!AH139,前期规划!E$8)</f>
        <v>9</v>
      </c>
      <c r="Z139" s="63">
        <f>MIN(IFERROR(INDEX(真品获取算法!$C$6:$C$66,MATCH(T139,真品获取算法!F$6:F$66,1)),0)+付费投放!AI139,前期规划!F$8)</f>
        <v>27</v>
      </c>
      <c r="AA139" s="63">
        <f>MIN(IFERROR(INDEX(真品获取算法!$C$6:$C$66,MATCH(U139,真品获取算法!G$6:G$66,1)),0)+付费投放!AJ139,前期规划!G$8)</f>
        <v>27</v>
      </c>
      <c r="AB139" s="63">
        <f>MIN(IFERROR(INDEX(真品获取算法!$C$6:$C$66,MATCH(V139,真品获取算法!H$6:H$66,1)),0)+付费投放!AK139,前期规划!H$8)</f>
        <v>60</v>
      </c>
      <c r="AC139" s="63">
        <f>MIN(IFERROR(INDEX(真品获取算法!$C$6:$C$66,MATCH(W139,真品获取算法!I$6:I$66,1)),0)+付费投放!AL139,前期规划!I$8)</f>
        <v>60</v>
      </c>
      <c r="AD139" s="63">
        <f t="shared" si="24"/>
        <v>1</v>
      </c>
      <c r="AE139" s="63">
        <f t="shared" si="18"/>
        <v>1</v>
      </c>
      <c r="AF139" s="63">
        <f t="shared" si="19"/>
        <v>1</v>
      </c>
      <c r="AG139" s="63">
        <f t="shared" si="20"/>
        <v>1</v>
      </c>
      <c r="AH139" s="63">
        <f t="shared" si="21"/>
        <v>1</v>
      </c>
      <c r="AI139" s="63">
        <f t="shared" si="22"/>
        <v>1</v>
      </c>
      <c r="AK139" s="60">
        <f>活动投放!AF139/U139</f>
        <v>0.5623114416528382</v>
      </c>
      <c r="AL139" s="60">
        <f>付费投放!AD139/U139</f>
        <v>0.4376885583471618</v>
      </c>
      <c r="AM139" s="60">
        <f>活动投放!AH139/W139</f>
        <v>0.93061659529425145</v>
      </c>
      <c r="AN139" s="60">
        <f>付费投放!AF139/W139</f>
        <v>6.9383404705748553E-2</v>
      </c>
      <c r="AO139" s="60">
        <f>IFERROR(INDEX(真品获取算法!$C$6:$C$66,MATCH(U139,真品获取算法!G$6:G$66,1)),0)*AK139/(IFERROR(INDEX(真品获取算法!$C$6:$C$66,MATCH(U139,真品获取算法!G$6:G$66,1)),0)+付费投放!AJ139)</f>
        <v>0.15182102215490964</v>
      </c>
      <c r="AP139" s="60">
        <f>(付费投放!AJ139+IFERROR(INDEX(真品获取算法!$C$6:$C$66,MATCH(U139,真品获取算法!G$6:G$66,1)),0)*AL139)/(IFERROR(INDEX(真品获取算法!$C$6:$C$66,MATCH(U139,真品获取算法!G$6:G$66,1)),0)+付费投放!AJ139)</f>
        <v>0.84817897784509033</v>
      </c>
      <c r="AQ139" s="60">
        <f>IFERROR(INDEX(真品获取算法!$C$6:$C$66,MATCH(W139,真品获取算法!I$6:I$66,1)),0)*AM139/(IFERROR(INDEX(真品获取算法!$C$6:$C$66,MATCH(W139,真品获取算法!I$6:I$66,1)),0)+付费投放!AL139)</f>
        <v>0.38762930012153585</v>
      </c>
      <c r="AR139" s="60">
        <f>(付费投放!AL139+IFERROR(INDEX(真品获取算法!$C$6:$C$66,MATCH(W139,真品获取算法!I$6:I$66,1)),0)*AN139)/(IFERROR(INDEX(真品获取算法!$C$6:$C$66,MATCH(W139,真品获取算法!I$6:I$66,1)),0)+付费投放!AL139)</f>
        <v>0.61237069987846404</v>
      </c>
    </row>
    <row r="141" spans="3:44" x14ac:dyDescent="0.15">
      <c r="C141" s="25" t="s">
        <v>20</v>
      </c>
      <c r="D141" s="26"/>
      <c r="E141" s="27"/>
      <c r="F141" s="88" t="s">
        <v>51</v>
      </c>
      <c r="G141" s="89"/>
      <c r="H141" s="89"/>
      <c r="I141" s="89"/>
      <c r="J141" s="89"/>
      <c r="K141" s="90"/>
      <c r="L141" s="88" t="s">
        <v>52</v>
      </c>
      <c r="M141" s="89"/>
      <c r="N141" s="89"/>
      <c r="O141" s="89"/>
      <c r="P141" s="89"/>
      <c r="Q141" s="90"/>
      <c r="R141" s="88" t="s">
        <v>122</v>
      </c>
      <c r="S141" s="89"/>
      <c r="T141" s="89"/>
      <c r="U141" s="89"/>
      <c r="V141" s="89"/>
      <c r="W141" s="90"/>
      <c r="X141" s="88" t="s">
        <v>132</v>
      </c>
      <c r="Y141" s="89"/>
      <c r="Z141" s="89"/>
      <c r="AA141" s="89"/>
      <c r="AB141" s="89"/>
      <c r="AC141" s="90"/>
      <c r="AD141" s="88" t="s">
        <v>133</v>
      </c>
      <c r="AE141" s="89"/>
      <c r="AF141" s="89"/>
      <c r="AG141" s="89"/>
      <c r="AH141" s="89"/>
      <c r="AI141" s="90"/>
      <c r="AK141" s="91" t="s">
        <v>187</v>
      </c>
      <c r="AL141" s="91"/>
      <c r="AM141" s="91" t="s">
        <v>188</v>
      </c>
      <c r="AN141" s="91"/>
      <c r="AO141" s="91" t="s">
        <v>191</v>
      </c>
      <c r="AP141" s="91"/>
      <c r="AQ141" s="91" t="s">
        <v>192</v>
      </c>
      <c r="AR141" s="91"/>
    </row>
    <row r="142" spans="3:44" x14ac:dyDescent="0.15">
      <c r="C142" s="27" t="s">
        <v>31</v>
      </c>
      <c r="D142" s="27" t="s">
        <v>25</v>
      </c>
      <c r="E142" s="27" t="s">
        <v>30</v>
      </c>
      <c r="F142" s="64" t="s">
        <v>26</v>
      </c>
      <c r="G142" s="64" t="s">
        <v>38</v>
      </c>
      <c r="H142" s="64" t="s">
        <v>27</v>
      </c>
      <c r="I142" s="64" t="s">
        <v>29</v>
      </c>
      <c r="J142" s="64" t="s">
        <v>28</v>
      </c>
      <c r="K142" s="64" t="s">
        <v>43</v>
      </c>
      <c r="L142" s="64" t="s">
        <v>26</v>
      </c>
      <c r="M142" s="64" t="s">
        <v>38</v>
      </c>
      <c r="N142" s="64" t="s">
        <v>27</v>
      </c>
      <c r="O142" s="64" t="s">
        <v>29</v>
      </c>
      <c r="P142" s="64" t="s">
        <v>28</v>
      </c>
      <c r="Q142" s="64" t="s">
        <v>43</v>
      </c>
      <c r="R142" s="64" t="s">
        <v>26</v>
      </c>
      <c r="S142" s="64" t="s">
        <v>38</v>
      </c>
      <c r="T142" s="64" t="s">
        <v>27</v>
      </c>
      <c r="U142" s="64" t="s">
        <v>29</v>
      </c>
      <c r="V142" s="64" t="s">
        <v>28</v>
      </c>
      <c r="W142" s="64" t="s">
        <v>43</v>
      </c>
      <c r="X142" s="64" t="s">
        <v>26</v>
      </c>
      <c r="Y142" s="64" t="s">
        <v>38</v>
      </c>
      <c r="Z142" s="64" t="s">
        <v>27</v>
      </c>
      <c r="AA142" s="64" t="s">
        <v>29</v>
      </c>
      <c r="AB142" s="64" t="s">
        <v>28</v>
      </c>
      <c r="AC142" s="64" t="s">
        <v>43</v>
      </c>
      <c r="AD142" s="64" t="s">
        <v>26</v>
      </c>
      <c r="AE142" s="64" t="s">
        <v>38</v>
      </c>
      <c r="AF142" s="64" t="s">
        <v>27</v>
      </c>
      <c r="AG142" s="64" t="s">
        <v>29</v>
      </c>
      <c r="AH142" s="64" t="s">
        <v>28</v>
      </c>
      <c r="AI142" s="64" t="s">
        <v>43</v>
      </c>
      <c r="AK142" s="60" t="s">
        <v>189</v>
      </c>
      <c r="AL142" s="60" t="s">
        <v>190</v>
      </c>
      <c r="AM142" s="60" t="s">
        <v>189</v>
      </c>
      <c r="AN142" s="60" t="s">
        <v>190</v>
      </c>
      <c r="AO142" s="60" t="s">
        <v>189</v>
      </c>
      <c r="AP142" s="60" t="s">
        <v>190</v>
      </c>
      <c r="AQ142" s="60" t="s">
        <v>189</v>
      </c>
      <c r="AR142" s="60" t="s">
        <v>190</v>
      </c>
    </row>
    <row r="143" spans="3:44" x14ac:dyDescent="0.15">
      <c r="C143" s="29">
        <f>C99</f>
        <v>15</v>
      </c>
      <c r="D143" s="18">
        <f>求节点(节奏总纲!$G$4:$G$163,节奏总纲!$C$4:$C$163,$C143)</f>
        <v>48.731413734867289</v>
      </c>
      <c r="E143" s="18">
        <f>IFERROR(求节点(前期规划!$F$13:$F$23,前期规划!$B$13:$B$23,D143),0)</f>
        <v>4.5771379116224296</v>
      </c>
      <c r="F143" s="63">
        <f>IFERROR(求节点(前期规划!$C$28:$C$35,前期规划!D$28:D$35,$D143),0)</f>
        <v>3.3582723613805601</v>
      </c>
      <c r="G143" s="63">
        <f>IFERROR(求节点(前期规划!$C$28:$C$35,前期规划!E$28:E$35,$D143),0)</f>
        <v>1.1194241204601865</v>
      </c>
      <c r="H143" s="63">
        <f>IFERROR(求节点(前期规划!$C$28:$C$35,前期规划!F$28:F$35,$D143),0)</f>
        <v>0</v>
      </c>
      <c r="I143" s="63">
        <f>IFERROR(求节点(前期规划!$C$28:$C$35,前期规划!G$28:G$35,$D143),0)</f>
        <v>0</v>
      </c>
      <c r="J143" s="63">
        <f>IFERROR(求节点(前期规划!$C$28:$C$35,前期规划!H$28:H$35,$D143),0)</f>
        <v>0</v>
      </c>
      <c r="K143" s="63">
        <f>IFERROR(求节点(前期规划!$C$28:$C$35,前期规划!I$28:I$35,$D143),0)</f>
        <v>0</v>
      </c>
      <c r="L143" s="63">
        <f>MIN($E143-SUM(M143:$Q143),F143)</f>
        <v>3.3582723613805601</v>
      </c>
      <c r="M143" s="63">
        <f>MIN($E143-SUM(N143:$Q143),G143)</f>
        <v>1.1194241204601865</v>
      </c>
      <c r="N143" s="63">
        <f>MIN($E143-SUM(O143:$Q143),H143)</f>
        <v>0</v>
      </c>
      <c r="O143" s="63">
        <f>MIN($E143-SUM(P143:$Q143),I143)</f>
        <v>0</v>
      </c>
      <c r="P143" s="63">
        <f>MIN($E143-SUM(Q143:$Q143),J143)</f>
        <v>0</v>
      </c>
      <c r="Q143" s="69">
        <f>MIN($E143,K143)</f>
        <v>0</v>
      </c>
      <c r="R143" s="64">
        <f>活动投放!AC143+付费投放!AA143</f>
        <v>1.5</v>
      </c>
      <c r="S143" s="64">
        <f>活动投放!AD143+付费投放!AB143</f>
        <v>1.5</v>
      </c>
      <c r="T143" s="64">
        <f>活动投放!AE143+付费投放!AC143</f>
        <v>0</v>
      </c>
      <c r="U143" s="64">
        <f>活动投放!AF143+付费投放!AD143</f>
        <v>0</v>
      </c>
      <c r="V143" s="64">
        <f>活动投放!AG143+付费投放!AE143</f>
        <v>0</v>
      </c>
      <c r="W143" s="64">
        <f>活动投放!AH143+付费投放!AF143</f>
        <v>0</v>
      </c>
      <c r="X143" s="63">
        <f>MIN(IFERROR(INDEX(真品获取算法!$C$6:$C$66,MATCH(R143,真品获取算法!D$6:D$66,1)),0)+付费投放!AG143,前期规划!D$8)</f>
        <v>0</v>
      </c>
      <c r="Y143" s="63">
        <f>MIN(IFERROR(INDEX(真品获取算法!$C$6:$C$66,MATCH(S143,真品获取算法!E$6:E$66,1)),0)+付费投放!AH143,前期规划!E$8)</f>
        <v>0</v>
      </c>
      <c r="Z143" s="63">
        <f>MIN(IFERROR(INDEX(真品获取算法!$C$6:$C$66,MATCH(T143,真品获取算法!F$6:F$66,1)),0)+付费投放!AI143,前期规划!F$8)</f>
        <v>0</v>
      </c>
      <c r="AA143" s="63">
        <f>MIN(IFERROR(INDEX(真品获取算法!$C$6:$C$66,MATCH(U143,真品获取算法!G$6:G$66,1)),0)+付费投放!AJ143,前期规划!G$8)</f>
        <v>0</v>
      </c>
      <c r="AB143" s="63">
        <f>MIN(IFERROR(INDEX(真品获取算法!$C$6:$C$66,MATCH(V143,真品获取算法!H$6:H$66,1)),0)+付费投放!AK143,前期规划!H$8)</f>
        <v>0</v>
      </c>
      <c r="AC143" s="63">
        <f>MIN(IFERROR(INDEX(真品获取算法!$C$6:$C$66,MATCH(W143,真品获取算法!I$6:I$66,1)),0)+付费投放!AL143,前期规划!I$8)</f>
        <v>0</v>
      </c>
      <c r="AD143" s="63">
        <f>IFERROR(X143/F143,0)</f>
        <v>0</v>
      </c>
      <c r="AE143" s="63">
        <f t="shared" ref="AE143:AE183" si="27">IFERROR(Y143/G143,0)</f>
        <v>0</v>
      </c>
      <c r="AF143" s="63">
        <f t="shared" ref="AF143:AF183" si="28">IFERROR(Z143/H143,0)</f>
        <v>0</v>
      </c>
      <c r="AG143" s="63">
        <f t="shared" ref="AG143:AG183" si="29">IFERROR(AA143/I143,0)</f>
        <v>0</v>
      </c>
      <c r="AH143" s="63">
        <f t="shared" ref="AH143:AH183" si="30">IFERROR(AB143/J143,0)</f>
        <v>0</v>
      </c>
      <c r="AI143" s="63">
        <f t="shared" ref="AI143:AI183" si="31">IFERROR(AC143/K143,0)</f>
        <v>0</v>
      </c>
      <c r="AK143" s="60" t="e">
        <f>活动投放!AF143/U143</f>
        <v>#DIV/0!</v>
      </c>
      <c r="AL143" s="60" t="e">
        <f>付费投放!AD143/U143</f>
        <v>#DIV/0!</v>
      </c>
      <c r="AM143" s="60" t="e">
        <f>活动投放!AH143/W143</f>
        <v>#DIV/0!</v>
      </c>
      <c r="AN143" s="60" t="e">
        <f>付费投放!AF143/W143</f>
        <v>#DIV/0!</v>
      </c>
      <c r="AO143" s="60" t="e">
        <f>IFERROR(INDEX(真品获取算法!$C$6:$C$66,MATCH(U143,真品获取算法!G$6:G$66,1)),0)*AK143/(IFERROR(INDEX(真品获取算法!$C$6:$C$66,MATCH(U143,真品获取算法!G$6:G$66,1)),0)+付费投放!AJ143)</f>
        <v>#DIV/0!</v>
      </c>
      <c r="AP143" s="60" t="e">
        <f>(付费投放!AJ143+IFERROR(INDEX(真品获取算法!$C$6:$C$66,MATCH(U143,真品获取算法!G$6:G$66,1)),0)*AL143)/(IFERROR(INDEX(真品获取算法!$C$6:$C$66,MATCH(U143,真品获取算法!G$6:G$66,1)),0)+付费投放!AJ143)</f>
        <v>#DIV/0!</v>
      </c>
      <c r="AQ143" s="60" t="e">
        <f>IFERROR(INDEX(真品获取算法!$C$6:$C$66,MATCH(W143,真品获取算法!I$6:I$66,1)),0)*AM143/(IFERROR(INDEX(真品获取算法!$C$6:$C$66,MATCH(W143,真品获取算法!I$6:I$66,1)),0)+付费投放!AL143)</f>
        <v>#DIV/0!</v>
      </c>
      <c r="AR143" s="60" t="e">
        <f>(付费投放!AL143+IFERROR(INDEX(真品获取算法!$C$6:$C$66,MATCH(W143,真品获取算法!I$6:I$66,1)),0)*AN143)/(IFERROR(INDEX(真品获取算法!$C$6:$C$66,MATCH(W143,真品获取算法!I$6:I$66,1)),0)+付费投放!AL143)</f>
        <v>#DIV/0!</v>
      </c>
    </row>
    <row r="144" spans="3:44" x14ac:dyDescent="0.15">
      <c r="C144" s="29">
        <f>C100</f>
        <v>30</v>
      </c>
      <c r="D144" s="18">
        <f>求节点(节奏总纲!$G$4:$G$163,节奏总纲!$C$4:$C$163,$C144)</f>
        <v>58.701446767877648</v>
      </c>
      <c r="E144" s="18">
        <f>IFERROR(求节点(前期规划!$F$13:$F$23,前期规划!$B$13:$B$23,D144),0)</f>
        <v>7.6289847908221855</v>
      </c>
      <c r="F144" s="63">
        <f>IFERROR(求节点(前期规划!$C$28:$C$35,前期规划!D$28:D$35,$D144),0)</f>
        <v>9</v>
      </c>
      <c r="G144" s="63">
        <f>IFERROR(求节点(前期规划!$C$28:$C$35,前期规划!E$28:E$35,$D144),0)</f>
        <v>5.2208680607265894</v>
      </c>
      <c r="H144" s="63">
        <f>IFERROR(求节点(前期规划!$C$28:$C$35,前期规划!F$28:F$35,$D144),0)</f>
        <v>2.2208680607265889</v>
      </c>
      <c r="I144" s="63">
        <f>IFERROR(求节点(前期规划!$C$28:$C$35,前期规划!G$28:G$35,$D144),0)</f>
        <v>0</v>
      </c>
      <c r="J144" s="63">
        <f>IFERROR(求节点(前期规划!$C$28:$C$35,前期规划!H$28:H$35,$D144),0)</f>
        <v>0</v>
      </c>
      <c r="K144" s="63">
        <f>IFERROR(求节点(前期规划!$C$28:$C$35,前期规划!I$28:I$35,$D144),0)</f>
        <v>0</v>
      </c>
      <c r="L144" s="63">
        <f>MIN($E144-SUM(M144:$Q144),F144)</f>
        <v>0.18724866936900675</v>
      </c>
      <c r="M144" s="63">
        <f>MIN($E144-SUM(N144:$Q144),G144)</f>
        <v>5.2208680607265894</v>
      </c>
      <c r="N144" s="63">
        <f>MIN($E144-SUM(O144:$Q144),H144)</f>
        <v>2.2208680607265889</v>
      </c>
      <c r="O144" s="63">
        <f>MIN($E144-SUM(P144:$Q144),I144)</f>
        <v>0</v>
      </c>
      <c r="P144" s="63">
        <f>MIN($E144-SUM(Q144:$Q144),J144)</f>
        <v>0</v>
      </c>
      <c r="Q144" s="69">
        <f t="shared" ref="Q144:Q182" si="32">MIN($E144,K144)</f>
        <v>0</v>
      </c>
      <c r="R144" s="64">
        <f>活动投放!AC144+付费投放!AA144</f>
        <v>30.5</v>
      </c>
      <c r="S144" s="64">
        <f>活动投放!AD144+付费投放!AB144</f>
        <v>30.5</v>
      </c>
      <c r="T144" s="64">
        <f>活动投放!AE144+付费投放!AC144</f>
        <v>16.099999999999998</v>
      </c>
      <c r="U144" s="64">
        <f>活动投放!AF144+付费投放!AD144</f>
        <v>6.8999999999999995</v>
      </c>
      <c r="V144" s="64">
        <f>活动投放!AG144+付费投放!AE144</f>
        <v>0</v>
      </c>
      <c r="W144" s="64">
        <f>活动投放!AH144+付费投放!AF144</f>
        <v>0</v>
      </c>
      <c r="X144" s="63">
        <f>MIN(IFERROR(INDEX(真品获取算法!$C$6:$C$66,MATCH(R144,真品获取算法!D$6:D$66,1)),0)+付费投放!AG144,前期规划!D$8)</f>
        <v>7</v>
      </c>
      <c r="Y144" s="63">
        <f>MIN(IFERROR(INDEX(真品获取算法!$C$6:$C$66,MATCH(S144,真品获取算法!E$6:E$66,1)),0)+付费投放!AH144,前期规划!E$8)</f>
        <v>7</v>
      </c>
      <c r="Z144" s="63">
        <f>MIN(IFERROR(INDEX(真品获取算法!$C$6:$C$66,MATCH(T144,真品获取算法!F$6:F$66,1)),0)+付费投放!AI144,前期规划!F$8)</f>
        <v>9</v>
      </c>
      <c r="AA144" s="63">
        <f>MIN(IFERROR(INDEX(真品获取算法!$C$6:$C$66,MATCH(U144,真品获取算法!G$6:G$66,1)),0)+付费投放!AJ144,前期规划!G$8)</f>
        <v>2.3666666666666667</v>
      </c>
      <c r="AB144" s="63">
        <f>MIN(IFERROR(INDEX(真品获取算法!$C$6:$C$66,MATCH(V144,真品获取算法!H$6:H$66,1)),0)+付费投放!AK144,前期规划!H$8)</f>
        <v>0</v>
      </c>
      <c r="AC144" s="63">
        <f>MIN(IFERROR(INDEX(真品获取算法!$C$6:$C$66,MATCH(W144,真品获取算法!I$6:I$66,1)),0)+付费投放!AL144,前期规划!I$8)</f>
        <v>0</v>
      </c>
      <c r="AD144" s="63">
        <f t="shared" ref="AD144:AD183" si="33">IFERROR(X144/F144,0)</f>
        <v>0.77777777777777779</v>
      </c>
      <c r="AE144" s="63">
        <f t="shared" si="27"/>
        <v>1.3407732044900227</v>
      </c>
      <c r="AF144" s="63">
        <f t="shared" si="28"/>
        <v>4.0524694641497616</v>
      </c>
      <c r="AG144" s="63">
        <f t="shared" si="29"/>
        <v>0</v>
      </c>
      <c r="AH144" s="63">
        <f t="shared" si="30"/>
        <v>0</v>
      </c>
      <c r="AI144" s="63">
        <f t="shared" si="31"/>
        <v>0</v>
      </c>
      <c r="AK144" s="60">
        <f>活动投放!AF144/U144</f>
        <v>4.3478260869565216E-2</v>
      </c>
      <c r="AL144" s="60">
        <f>付费投放!AD144/U144</f>
        <v>0.95652173913043481</v>
      </c>
      <c r="AM144" s="60" t="e">
        <f>活动投放!AH144/W144</f>
        <v>#DIV/0!</v>
      </c>
      <c r="AN144" s="60" t="e">
        <f>付费投放!AF144/W144</f>
        <v>#DIV/0!</v>
      </c>
      <c r="AO144" s="60">
        <f>IFERROR(INDEX(真品获取算法!$C$6:$C$66,MATCH(U144,真品获取算法!G$6:G$66,1)),0)*AK144/(IFERROR(INDEX(真品获取算法!$C$6:$C$66,MATCH(U144,真品获取算法!G$6:G$66,1)),0)+付费投放!AJ144)</f>
        <v>3.6742192284139621E-2</v>
      </c>
      <c r="AP144" s="60">
        <f>(付费投放!AJ144+IFERROR(INDEX(真品获取算法!$C$6:$C$66,MATCH(U144,真品获取算法!G$6:G$66,1)),0)*AL144)/(IFERROR(INDEX(真品获取算法!$C$6:$C$66,MATCH(U144,真品获取算法!G$6:G$66,1)),0)+付费投放!AJ144)</f>
        <v>0.96325780771586045</v>
      </c>
      <c r="AQ144" s="60" t="e">
        <f>IFERROR(INDEX(真品获取算法!$C$6:$C$66,MATCH(W144,真品获取算法!I$6:I$66,1)),0)*AM144/(IFERROR(INDEX(真品获取算法!$C$6:$C$66,MATCH(W144,真品获取算法!I$6:I$66,1)),0)+付费投放!AL144)</f>
        <v>#DIV/0!</v>
      </c>
      <c r="AR144" s="60" t="e">
        <f>(付费投放!AL144+IFERROR(INDEX(真品获取算法!$C$6:$C$66,MATCH(W144,真品获取算法!I$6:I$66,1)),0)*AN144)/(IFERROR(INDEX(真品获取算法!$C$6:$C$66,MATCH(W144,真品获取算法!I$6:I$66,1)),0)+付费投放!AL144)</f>
        <v>#DIV/0!</v>
      </c>
    </row>
    <row r="145" spans="3:44" x14ac:dyDescent="0.15">
      <c r="C145" s="29">
        <f t="shared" ref="C145:C183" si="34">C101</f>
        <v>45</v>
      </c>
      <c r="D145" s="18">
        <f>求节点(节奏总纲!$G$4:$G$163,节奏总纲!$C$4:$C$163,$C145)</f>
        <v>64.399012521055653</v>
      </c>
      <c r="E145" s="18">
        <f>IFERROR(求节点(前期规划!$F$13:$F$23,前期规划!$B$13:$B$23,D145),0)</f>
        <v>9.0997531302639132</v>
      </c>
      <c r="F145" s="63">
        <f>IFERROR(求节点(前期规划!$C$28:$C$35,前期规划!D$28:D$35,$D145),0)</f>
        <v>9</v>
      </c>
      <c r="G145" s="63">
        <f>IFERROR(求节点(前期规划!$C$28:$C$35,前期规划!E$28:E$35,$D145),0)</f>
        <v>8.6394075126333902</v>
      </c>
      <c r="H145" s="63">
        <f>IFERROR(求节点(前期规划!$C$28:$C$35,前期规划!F$28:F$35,$D145),0)</f>
        <v>5.6394075126333911</v>
      </c>
      <c r="I145" s="63">
        <f>IFERROR(求节点(前期规划!$C$28:$C$35,前期规划!G$28:G$35,$D145),0)</f>
        <v>0</v>
      </c>
      <c r="J145" s="63">
        <f>IFERROR(求节点(前期规划!$C$28:$C$35,前期规划!H$28:H$35,$D145),0)</f>
        <v>0</v>
      </c>
      <c r="K145" s="63">
        <f>IFERROR(求节点(前期规划!$C$28:$C$35,前期规划!I$28:I$35,$D145),0)</f>
        <v>0</v>
      </c>
      <c r="L145" s="63">
        <f>MIN($E145-SUM(M145:$Q145),F145)</f>
        <v>0</v>
      </c>
      <c r="M145" s="63">
        <f>MIN($E145-SUM(N145:$Q145),G145)</f>
        <v>3.4603456176305221</v>
      </c>
      <c r="N145" s="63">
        <f>MIN($E145-SUM(O145:$Q145),H145)</f>
        <v>5.6394075126333911</v>
      </c>
      <c r="O145" s="63">
        <f>MIN($E145-SUM(P145:$Q145),I145)</f>
        <v>0</v>
      </c>
      <c r="P145" s="63">
        <f>MIN($E145-SUM(Q145:$Q145),J145)</f>
        <v>0</v>
      </c>
      <c r="Q145" s="69">
        <f t="shared" si="32"/>
        <v>0</v>
      </c>
      <c r="R145" s="64">
        <f>活动投放!AC145+付费投放!AA145</f>
        <v>59.5</v>
      </c>
      <c r="S145" s="64">
        <f>活动投放!AD145+付费投放!AB145</f>
        <v>59.5</v>
      </c>
      <c r="T145" s="64">
        <f>活动投放!AE145+付费投放!AC145</f>
        <v>33.599999999999994</v>
      </c>
      <c r="U145" s="64">
        <f>活动投放!AF145+付费投放!AD145</f>
        <v>14.399999999999999</v>
      </c>
      <c r="V145" s="64">
        <f>活动投放!AG145+付费投放!AE145</f>
        <v>0</v>
      </c>
      <c r="W145" s="64">
        <f>活动投放!AH145+付费投放!AF145</f>
        <v>0</v>
      </c>
      <c r="X145" s="63">
        <f>MIN(IFERROR(INDEX(真品获取算法!$C$6:$C$66,MATCH(R145,真品获取算法!D$6:D$66,1)),0)+付费投放!AG145,前期规划!D$8)</f>
        <v>9</v>
      </c>
      <c r="Y145" s="63">
        <f>MIN(IFERROR(INDEX(真品获取算法!$C$6:$C$66,MATCH(S145,真品获取算法!E$6:E$66,1)),0)+付费投放!AH145,前期规划!E$8)</f>
        <v>9</v>
      </c>
      <c r="Z145" s="63">
        <f>MIN(IFERROR(INDEX(真品获取算法!$C$6:$C$66,MATCH(T145,真品获取算法!F$6:F$66,1)),0)+付费投放!AI145,前期规划!F$8)</f>
        <v>15</v>
      </c>
      <c r="AA145" s="63">
        <f>MIN(IFERROR(INDEX(真品获取算法!$C$6:$C$66,MATCH(U145,真品获取算法!G$6:G$66,1)),0)+付费投放!AJ145,前期规划!G$8)</f>
        <v>4.7333333333333334</v>
      </c>
      <c r="AB145" s="63">
        <f>MIN(IFERROR(INDEX(真品获取算法!$C$6:$C$66,MATCH(V145,真品获取算法!H$6:H$66,1)),0)+付费投放!AK145,前期规划!H$8)</f>
        <v>0</v>
      </c>
      <c r="AC145" s="63">
        <f>MIN(IFERROR(INDEX(真品获取算法!$C$6:$C$66,MATCH(W145,真品获取算法!I$6:I$66,1)),0)+付费投放!AL145,前期规划!I$8)</f>
        <v>0</v>
      </c>
      <c r="AD145" s="63">
        <f t="shared" si="33"/>
        <v>1</v>
      </c>
      <c r="AE145" s="63">
        <f t="shared" si="27"/>
        <v>1.0417381037807647</v>
      </c>
      <c r="AF145" s="63">
        <f t="shared" si="28"/>
        <v>2.6598538882669902</v>
      </c>
      <c r="AG145" s="63">
        <f t="shared" si="29"/>
        <v>0</v>
      </c>
      <c r="AH145" s="63">
        <f t="shared" si="30"/>
        <v>0</v>
      </c>
      <c r="AI145" s="63">
        <f t="shared" si="31"/>
        <v>0</v>
      </c>
      <c r="AK145" s="60">
        <f>活动投放!AF145/U145</f>
        <v>8.3333333333333343E-2</v>
      </c>
      <c r="AL145" s="60">
        <f>付费投放!AD145/U145</f>
        <v>0.91666666666666674</v>
      </c>
      <c r="AM145" s="60" t="e">
        <f>活动投放!AH145/W145</f>
        <v>#DIV/0!</v>
      </c>
      <c r="AN145" s="60" t="e">
        <f>付费投放!AF145/W145</f>
        <v>#DIV/0!</v>
      </c>
      <c r="AO145" s="60">
        <f>IFERROR(INDEX(真品获取算法!$C$6:$C$66,MATCH(U145,真品获取算法!G$6:G$66,1)),0)*AK145/(IFERROR(INDEX(真品获取算法!$C$6:$C$66,MATCH(U145,真品获取算法!G$6:G$66,1)),0)+付费投放!AJ145)</f>
        <v>7.0422535211267609E-2</v>
      </c>
      <c r="AP145" s="60">
        <f>(付费投放!AJ145+IFERROR(INDEX(真品获取算法!$C$6:$C$66,MATCH(U145,真品获取算法!G$6:G$66,1)),0)*AL145)/(IFERROR(INDEX(真品获取算法!$C$6:$C$66,MATCH(U145,真品获取算法!G$6:G$66,1)),0)+付费投放!AJ145)</f>
        <v>0.92957746478873249</v>
      </c>
      <c r="AQ145" s="60" t="e">
        <f>IFERROR(INDEX(真品获取算法!$C$6:$C$66,MATCH(W145,真品获取算法!I$6:I$66,1)),0)*AM145/(IFERROR(INDEX(真品获取算法!$C$6:$C$66,MATCH(W145,真品获取算法!I$6:I$66,1)),0)+付费投放!AL145)</f>
        <v>#DIV/0!</v>
      </c>
      <c r="AR145" s="60" t="e">
        <f>(付费投放!AL145+IFERROR(INDEX(真品获取算法!$C$6:$C$66,MATCH(W145,真品获取算法!I$6:I$66,1)),0)*AN145)/(IFERROR(INDEX(真品获取算法!$C$6:$C$66,MATCH(W145,真品获取算法!I$6:I$66,1)),0)+付费投放!AL145)</f>
        <v>#DIV/0!</v>
      </c>
    </row>
    <row r="146" spans="3:44" x14ac:dyDescent="0.15">
      <c r="C146" s="29">
        <f t="shared" si="34"/>
        <v>60</v>
      </c>
      <c r="D146" s="18">
        <f>求节点(节奏总纲!$G$4:$G$163,节奏总纲!$C$4:$C$163,$C146)</f>
        <v>68.627579426319684</v>
      </c>
      <c r="E146" s="18">
        <f>IFERROR(求节点(前期规划!$F$13:$F$23,前期规划!$B$13:$B$23,D146),0)</f>
        <v>10.139462094737707</v>
      </c>
      <c r="F146" s="63">
        <f>IFERROR(求节点(前期规划!$C$28:$C$35,前期规划!D$28:D$35,$D146),0)</f>
        <v>9</v>
      </c>
      <c r="G146" s="63">
        <f>IFERROR(求节点(前期规划!$C$28:$C$35,前期规划!E$28:E$35,$D146),0)</f>
        <v>9</v>
      </c>
      <c r="H146" s="63">
        <f>IFERROR(求节点(前期规划!$C$28:$C$35,前期规划!F$28:F$35,$D146),0)</f>
        <v>13.617916795271338</v>
      </c>
      <c r="I146" s="63">
        <f>IFERROR(求节点(前期规划!$C$28:$C$35,前期规划!G$28:G$35,$D146),0)</f>
        <v>2.1765476557918104</v>
      </c>
      <c r="J146" s="63">
        <f>IFERROR(求节点(前期规划!$C$28:$C$35,前期规划!H$28:H$35,$D146),0)</f>
        <v>0</v>
      </c>
      <c r="K146" s="63">
        <f>IFERROR(求节点(前期规划!$C$28:$C$35,前期规划!I$28:I$35,$D146),0)</f>
        <v>0</v>
      </c>
      <c r="L146" s="63">
        <f>MIN($E146-SUM(M146:$Q146),F146)</f>
        <v>0</v>
      </c>
      <c r="M146" s="63">
        <f>MIN($E146-SUM(N146:$Q146),G146)</f>
        <v>0</v>
      </c>
      <c r="N146" s="63">
        <f>MIN($E146-SUM(O146:$Q146),H146)</f>
        <v>7.962914438945897</v>
      </c>
      <c r="O146" s="63">
        <f>MIN($E146-SUM(P146:$Q146),I146)</f>
        <v>2.1765476557918104</v>
      </c>
      <c r="P146" s="63">
        <f>MIN($E146-SUM(Q146:$Q146),J146)</f>
        <v>0</v>
      </c>
      <c r="Q146" s="69">
        <f t="shared" si="32"/>
        <v>0</v>
      </c>
      <c r="R146" s="64">
        <f>活动投放!AC146+付费投放!AA146</f>
        <v>88.5</v>
      </c>
      <c r="S146" s="64">
        <f>活动投放!AD146+付费投放!AB146</f>
        <v>88.5</v>
      </c>
      <c r="T146" s="64">
        <f>活动投放!AE146+付费投放!AC146</f>
        <v>51.8</v>
      </c>
      <c r="U146" s="64">
        <f>活动投放!AF146+付费投放!AD146</f>
        <v>22.199999999999996</v>
      </c>
      <c r="V146" s="64">
        <f>活动投放!AG146+付费投放!AE146</f>
        <v>0</v>
      </c>
      <c r="W146" s="64">
        <f>活动投放!AH146+付费投放!AF146</f>
        <v>0</v>
      </c>
      <c r="X146" s="63">
        <f>MIN(IFERROR(INDEX(真品获取算法!$C$6:$C$66,MATCH(R146,真品获取算法!D$6:D$66,1)),0)+付费投放!AG146,前期规划!D$8)</f>
        <v>9</v>
      </c>
      <c r="Y146" s="63">
        <f>MIN(IFERROR(INDEX(真品获取算法!$C$6:$C$66,MATCH(S146,真品获取算法!E$6:E$66,1)),0)+付费投放!AH146,前期规划!E$8)</f>
        <v>9</v>
      </c>
      <c r="Z146" s="63">
        <f>MIN(IFERROR(INDEX(真品获取算法!$C$6:$C$66,MATCH(T146,真品获取算法!F$6:F$66,1)),0)+付费投放!AI146,前期规划!F$8)</f>
        <v>20</v>
      </c>
      <c r="AA146" s="63">
        <f>MIN(IFERROR(INDEX(真品获取算法!$C$6:$C$66,MATCH(U146,真品获取算法!G$6:G$66,1)),0)+付费投放!AJ146,前期规划!G$8)</f>
        <v>7.1</v>
      </c>
      <c r="AB146" s="63">
        <f>MIN(IFERROR(INDEX(真品获取算法!$C$6:$C$66,MATCH(V146,真品获取算法!H$6:H$66,1)),0)+付费投放!AK146,前期规划!H$8)</f>
        <v>0</v>
      </c>
      <c r="AC146" s="63">
        <f>MIN(IFERROR(INDEX(真品获取算法!$C$6:$C$66,MATCH(W146,真品获取算法!I$6:I$66,1)),0)+付费投放!AL146,前期规划!I$8)</f>
        <v>0</v>
      </c>
      <c r="AD146" s="63">
        <f t="shared" si="33"/>
        <v>1</v>
      </c>
      <c r="AE146" s="63">
        <f t="shared" si="27"/>
        <v>1</v>
      </c>
      <c r="AF146" s="63">
        <f t="shared" si="28"/>
        <v>1.4686534145182004</v>
      </c>
      <c r="AG146" s="63">
        <f t="shared" si="29"/>
        <v>3.2620466549890805</v>
      </c>
      <c r="AH146" s="63">
        <f t="shared" si="30"/>
        <v>0</v>
      </c>
      <c r="AI146" s="63">
        <f t="shared" si="31"/>
        <v>0</v>
      </c>
      <c r="AK146" s="60">
        <f>活动投放!AF146/U146</f>
        <v>0.10810810810810813</v>
      </c>
      <c r="AL146" s="60">
        <f>付费投放!AD146/U146</f>
        <v>0.89189189189189189</v>
      </c>
      <c r="AM146" s="60" t="e">
        <f>活动投放!AH146/W146</f>
        <v>#DIV/0!</v>
      </c>
      <c r="AN146" s="60" t="e">
        <f>付费投放!AF146/W146</f>
        <v>#DIV/0!</v>
      </c>
      <c r="AO146" s="60">
        <f>IFERROR(INDEX(真品获取算法!$C$6:$C$66,MATCH(U146,真品获取算法!G$6:G$66,1)),0)*AK146/(IFERROR(INDEX(真品获取算法!$C$6:$C$66,MATCH(U146,真品获取算法!G$6:G$66,1)),0)+付费投放!AJ146)</f>
        <v>9.1358964598401246E-2</v>
      </c>
      <c r="AP146" s="60">
        <f>(付费投放!AJ146+IFERROR(INDEX(真品获取算法!$C$6:$C$66,MATCH(U146,真品获取算法!G$6:G$66,1)),0)*AL146)/(IFERROR(INDEX(真品获取算法!$C$6:$C$66,MATCH(U146,真品获取算法!G$6:G$66,1)),0)+付费投放!AJ146)</f>
        <v>0.90864103540159868</v>
      </c>
      <c r="AQ146" s="60" t="e">
        <f>IFERROR(INDEX(真品获取算法!$C$6:$C$66,MATCH(W146,真品获取算法!I$6:I$66,1)),0)*AM146/(IFERROR(INDEX(真品获取算法!$C$6:$C$66,MATCH(W146,真品获取算法!I$6:I$66,1)),0)+付费投放!AL146)</f>
        <v>#DIV/0!</v>
      </c>
      <c r="AR146" s="60" t="e">
        <f>(付费投放!AL146+IFERROR(INDEX(真品获取算法!$C$6:$C$66,MATCH(W146,真品获取算法!I$6:I$66,1)),0)*AN146)/(IFERROR(INDEX(真品获取算法!$C$6:$C$66,MATCH(W146,真品获取算法!I$6:I$66,1)),0)+付费投放!AL146)</f>
        <v>#DIV/0!</v>
      </c>
    </row>
    <row r="147" spans="3:44" x14ac:dyDescent="0.15">
      <c r="C147" s="29">
        <f t="shared" si="34"/>
        <v>75</v>
      </c>
      <c r="D147" s="18">
        <f>求节点(节奏总纲!$G$4:$G$163,节奏总纲!$C$4:$C$163,$C147)</f>
        <v>71.882008108111634</v>
      </c>
      <c r="E147" s="18">
        <f>IFERROR(求节点(前期规划!$F$13:$F$23,前期规划!$B$13:$B$23,D147),0)</f>
        <v>10.862668468469252</v>
      </c>
      <c r="F147" s="63">
        <f>IFERROR(求节点(前期规划!$C$28:$C$35,前期规划!D$28:D$35,$D147),0)</f>
        <v>9</v>
      </c>
      <c r="G147" s="63">
        <f>IFERROR(求节点(前期规划!$C$28:$C$35,前期规划!E$28:E$35,$D147),0)</f>
        <v>9</v>
      </c>
      <c r="H147" s="63">
        <f>IFERROR(求节点(前期规划!$C$28:$C$35,前期规划!F$28:F$35,$D147),0)</f>
        <v>20.452217027034433</v>
      </c>
      <c r="I147" s="63">
        <f>IFERROR(求节点(前期规划!$C$28:$C$35,前期规划!G$28:G$35,$D147),0)</f>
        <v>4.1292048648669804</v>
      </c>
      <c r="J147" s="63">
        <f>IFERROR(求节点(前期规划!$C$28:$C$35,前期规划!H$28:H$35,$D147),0)</f>
        <v>0</v>
      </c>
      <c r="K147" s="63">
        <f>IFERROR(求节点(前期规划!$C$28:$C$35,前期规划!I$28:I$35,$D147),0)</f>
        <v>0</v>
      </c>
      <c r="L147" s="63">
        <f>MIN($E147-SUM(M147:$Q147),F147)</f>
        <v>0</v>
      </c>
      <c r="M147" s="63">
        <f>MIN($E147-SUM(N147:$Q147),G147)</f>
        <v>0</v>
      </c>
      <c r="N147" s="63">
        <f>MIN($E147-SUM(O147:$Q147),H147)</f>
        <v>6.7334636036022717</v>
      </c>
      <c r="O147" s="63">
        <f>MIN($E147-SUM(P147:$Q147),I147)</f>
        <v>4.1292048648669804</v>
      </c>
      <c r="P147" s="63">
        <f>MIN($E147-SUM(Q147:$Q147),J147)</f>
        <v>0</v>
      </c>
      <c r="Q147" s="69">
        <f t="shared" si="32"/>
        <v>0</v>
      </c>
      <c r="R147" s="64">
        <f>活动投放!AC147+付费投放!AA147</f>
        <v>117.5</v>
      </c>
      <c r="S147" s="64">
        <f>活动投放!AD147+付费投放!AB147</f>
        <v>117.5</v>
      </c>
      <c r="T147" s="64">
        <f>活动投放!AE147+付费投放!AC147</f>
        <v>70.699999999999989</v>
      </c>
      <c r="U147" s="64">
        <f>活动投放!AF147+付费投放!AD147</f>
        <v>30.299999999999997</v>
      </c>
      <c r="V147" s="64">
        <f>活动投放!AG147+付费投放!AE147</f>
        <v>0</v>
      </c>
      <c r="W147" s="64">
        <f>活动投放!AH147+付费投放!AF147</f>
        <v>0</v>
      </c>
      <c r="X147" s="63">
        <f>MIN(IFERROR(INDEX(真品获取算法!$C$6:$C$66,MATCH(R147,真品获取算法!D$6:D$66,1)),0)+付费投放!AG147,前期规划!D$8)</f>
        <v>9</v>
      </c>
      <c r="Y147" s="63">
        <f>MIN(IFERROR(INDEX(真品获取算法!$C$6:$C$66,MATCH(S147,真品获取算法!E$6:E$66,1)),0)+付费投放!AH147,前期规划!E$8)</f>
        <v>9</v>
      </c>
      <c r="Z147" s="63">
        <f>MIN(IFERROR(INDEX(真品获取算法!$C$6:$C$66,MATCH(T147,真品获取算法!F$6:F$66,1)),0)+付费投放!AI147,前期规划!F$8)</f>
        <v>23</v>
      </c>
      <c r="AA147" s="63">
        <f>MIN(IFERROR(INDEX(真品获取算法!$C$6:$C$66,MATCH(U147,真品获取算法!G$6:G$66,1)),0)+付费投放!AJ147,前期规划!G$8)</f>
        <v>8.4666666666666668</v>
      </c>
      <c r="AB147" s="63">
        <f>MIN(IFERROR(INDEX(真品获取算法!$C$6:$C$66,MATCH(V147,真品获取算法!H$6:H$66,1)),0)+付费投放!AK147,前期规划!H$8)</f>
        <v>0</v>
      </c>
      <c r="AC147" s="63">
        <f>MIN(IFERROR(INDEX(真品获取算法!$C$6:$C$66,MATCH(W147,真品获取算法!I$6:I$66,1)),0)+付费投放!AL147,前期规划!I$8)</f>
        <v>0</v>
      </c>
      <c r="AD147" s="63">
        <f t="shared" si="33"/>
        <v>1</v>
      </c>
      <c r="AE147" s="63">
        <f t="shared" si="27"/>
        <v>1</v>
      </c>
      <c r="AF147" s="63">
        <f t="shared" si="28"/>
        <v>1.1245724592887814</v>
      </c>
      <c r="AG147" s="63">
        <f t="shared" si="29"/>
        <v>2.0504351185635383</v>
      </c>
      <c r="AH147" s="63">
        <f t="shared" si="30"/>
        <v>0</v>
      </c>
      <c r="AI147" s="63">
        <f t="shared" si="31"/>
        <v>0</v>
      </c>
      <c r="AK147" s="60">
        <f>活动投放!AF147/U147</f>
        <v>0.12871287128712872</v>
      </c>
      <c r="AL147" s="60">
        <f>付费投放!AD147/U147</f>
        <v>0.87128712871287128</v>
      </c>
      <c r="AM147" s="60" t="e">
        <f>活动投放!AH147/W147</f>
        <v>#DIV/0!</v>
      </c>
      <c r="AN147" s="60" t="e">
        <f>付费投放!AF147/W147</f>
        <v>#DIV/0!</v>
      </c>
      <c r="AO147" s="60">
        <f>IFERROR(INDEX(真品获取算法!$C$6:$C$66,MATCH(U147,真品获取算法!G$6:G$66,1)),0)*AK147/(IFERROR(INDEX(真品获取算法!$C$6:$C$66,MATCH(U147,真品获取算法!G$6:G$66,1)),0)+付费投放!AJ147)</f>
        <v>0.10641615342636626</v>
      </c>
      <c r="AP147" s="60">
        <f>(付费投放!AJ147+IFERROR(INDEX(真品获取算法!$C$6:$C$66,MATCH(U147,真品获取算法!G$6:G$66,1)),0)*AL147)/(IFERROR(INDEX(真品获取算法!$C$6:$C$66,MATCH(U147,真品获取算法!G$6:G$66,1)),0)+付费投放!AJ147)</f>
        <v>0.89358384657363377</v>
      </c>
      <c r="AQ147" s="60" t="e">
        <f>IFERROR(INDEX(真品获取算法!$C$6:$C$66,MATCH(W147,真品获取算法!I$6:I$66,1)),0)*AM147/(IFERROR(INDEX(真品获取算法!$C$6:$C$66,MATCH(W147,真品获取算法!I$6:I$66,1)),0)+付费投放!AL147)</f>
        <v>#DIV/0!</v>
      </c>
      <c r="AR147" s="60" t="e">
        <f>(付费投放!AL147+IFERROR(INDEX(真品获取算法!$C$6:$C$66,MATCH(W147,真品获取算法!I$6:I$66,1)),0)*AN147)/(IFERROR(INDEX(真品获取算法!$C$6:$C$66,MATCH(W147,真品获取算法!I$6:I$66,1)),0)+付费投放!AL147)</f>
        <v>#DIV/0!</v>
      </c>
    </row>
    <row r="148" spans="3:44" x14ac:dyDescent="0.15">
      <c r="C148" s="29">
        <f t="shared" si="34"/>
        <v>90</v>
      </c>
      <c r="D148" s="18">
        <f>求节点(节奏总纲!$G$4:$G$163,节奏总纲!$C$4:$C$163,$C148)</f>
        <v>74.493385467679886</v>
      </c>
      <c r="E148" s="18">
        <f>IFERROR(求节点(前期规划!$F$13:$F$23,前期规划!$B$13:$B$23,D148),0)</f>
        <v>11.442974548373307</v>
      </c>
      <c r="F148" s="63">
        <f>IFERROR(求节点(前期规划!$C$28:$C$35,前期规划!D$28:D$35,$D148),0)</f>
        <v>9</v>
      </c>
      <c r="G148" s="63">
        <f>IFERROR(求节点(前期规划!$C$28:$C$35,前期规划!E$28:E$35,$D148),0)</f>
        <v>9</v>
      </c>
      <c r="H148" s="63">
        <f>IFERROR(求节点(前期规划!$C$28:$C$35,前期规划!F$28:F$35,$D148),0)</f>
        <v>25.936109482127762</v>
      </c>
      <c r="I148" s="63">
        <f>IFERROR(求节点(前期规划!$C$28:$C$35,前期规划!G$28:G$35,$D148),0)</f>
        <v>5.6960312806079312</v>
      </c>
      <c r="J148" s="63">
        <f>IFERROR(求节点(前期规划!$C$28:$C$35,前期规划!H$28:H$35,$D148),0)</f>
        <v>0</v>
      </c>
      <c r="K148" s="63">
        <f>IFERROR(求节点(前期规划!$C$28:$C$35,前期规划!I$28:I$35,$D148),0)</f>
        <v>0</v>
      </c>
      <c r="L148" s="63">
        <f>MIN($E148-SUM(M148:$Q148),F148)</f>
        <v>0</v>
      </c>
      <c r="M148" s="63">
        <f>MIN($E148-SUM(N148:$Q148),G148)</f>
        <v>0</v>
      </c>
      <c r="N148" s="63">
        <f>MIN($E148-SUM(O148:$Q148),H148)</f>
        <v>5.746943267765376</v>
      </c>
      <c r="O148" s="63">
        <f>MIN($E148-SUM(P148:$Q148),I148)</f>
        <v>5.6960312806079312</v>
      </c>
      <c r="P148" s="63">
        <f>MIN($E148-SUM(Q148:$Q148),J148)</f>
        <v>0</v>
      </c>
      <c r="Q148" s="69">
        <f t="shared" si="32"/>
        <v>0</v>
      </c>
      <c r="R148" s="64">
        <f>活动投放!AC148+付费投放!AA148</f>
        <v>121.5</v>
      </c>
      <c r="S148" s="64">
        <f>活动投放!AD148+付费投放!AB148</f>
        <v>121.5</v>
      </c>
      <c r="T148" s="64">
        <f>活动投放!AE148+付费投放!AC148</f>
        <v>84.505555555555546</v>
      </c>
      <c r="U148" s="64">
        <f>活动投放!AF148+付费投放!AD148</f>
        <v>36.216666666666661</v>
      </c>
      <c r="V148" s="64">
        <f>活动投放!AG148+付费投放!AE148</f>
        <v>4.7166666666666668</v>
      </c>
      <c r="W148" s="64">
        <f>活动投放!AH148+付费投放!AF148</f>
        <v>0.52407407407407403</v>
      </c>
      <c r="X148" s="63">
        <f>MIN(IFERROR(INDEX(真品获取算法!$C$6:$C$66,MATCH(R148,真品获取算法!D$6:D$66,1)),0)+付费投放!AG148,前期规划!D$8)</f>
        <v>9</v>
      </c>
      <c r="Y148" s="63">
        <f>MIN(IFERROR(INDEX(真品获取算法!$C$6:$C$66,MATCH(S148,真品获取算法!E$6:E$66,1)),0)+付费投放!AH148,前期规划!E$8)</f>
        <v>9</v>
      </c>
      <c r="Z148" s="63">
        <f>MIN(IFERROR(INDEX(真品获取算法!$C$6:$C$66,MATCH(T148,真品获取算法!F$6:F$66,1)),0)+付费投放!AI148,前期规划!F$8)</f>
        <v>24</v>
      </c>
      <c r="AA148" s="63">
        <f>MIN(IFERROR(INDEX(真品获取算法!$C$6:$C$66,MATCH(U148,真品获取算法!G$6:G$66,1)),0)+付费投放!AJ148,前期规划!G$8)</f>
        <v>10.5</v>
      </c>
      <c r="AB148" s="63">
        <f>MIN(IFERROR(INDEX(真品获取算法!$C$6:$C$66,MATCH(V148,真品获取算法!H$6:H$66,1)),0)+付费投放!AK148,前期规划!H$8)</f>
        <v>4</v>
      </c>
      <c r="AC148" s="63">
        <f>MIN(IFERROR(INDEX(真品获取算法!$C$6:$C$66,MATCH(W148,真品获取算法!I$6:I$66,1)),0)+付费投放!AL148,前期规划!I$8)</f>
        <v>8.4814814814814815E-2</v>
      </c>
      <c r="AD148" s="63">
        <f t="shared" si="33"/>
        <v>1</v>
      </c>
      <c r="AE148" s="63">
        <f t="shared" si="27"/>
        <v>1</v>
      </c>
      <c r="AF148" s="63">
        <f t="shared" si="28"/>
        <v>0.92535081317952061</v>
      </c>
      <c r="AG148" s="63">
        <f t="shared" si="29"/>
        <v>1.8433887531037834</v>
      </c>
      <c r="AH148" s="63">
        <f t="shared" si="30"/>
        <v>0</v>
      </c>
      <c r="AI148" s="63">
        <f t="shared" si="31"/>
        <v>0</v>
      </c>
      <c r="AK148" s="60">
        <f>活动投放!AF148/U148</f>
        <v>0.14910262310170272</v>
      </c>
      <c r="AL148" s="60">
        <f>付费投放!AD148/U148</f>
        <v>0.85089737689829725</v>
      </c>
      <c r="AM148" s="60">
        <f>活动投放!AH148/W148</f>
        <v>0.19081272084805656</v>
      </c>
      <c r="AN148" s="60">
        <f>付费投放!AF148/W148</f>
        <v>0.80918727915194344</v>
      </c>
      <c r="AO148" s="60">
        <f>IFERROR(INDEX(真品获取算法!$C$6:$C$66,MATCH(U148,真品获取算法!G$6:G$66,1)),0)*AK148/(IFERROR(INDEX(真品获取算法!$C$6:$C$66,MATCH(U148,真品获取算法!G$6:G$66,1)),0)+付费投放!AJ148)</f>
        <v>0.12780224837288806</v>
      </c>
      <c r="AP148" s="60">
        <f>(付费投放!AJ148+IFERROR(INDEX(真品获取算法!$C$6:$C$66,MATCH(U148,真品获取算法!G$6:G$66,1)),0)*AL148)/(IFERROR(INDEX(真品获取算法!$C$6:$C$66,MATCH(U148,真品获取算法!G$6:G$66,1)),0)+付费投放!AJ148)</f>
        <v>0.87219775162711188</v>
      </c>
      <c r="AQ148" s="60">
        <f>IFERROR(INDEX(真品获取算法!$C$6:$C$66,MATCH(W148,真品获取算法!I$6:I$66,1)),0)*AM148/(IFERROR(INDEX(真品获取算法!$C$6:$C$66,MATCH(W148,真品获取算法!I$6:I$66,1)),0)+付费投放!AL148)</f>
        <v>0</v>
      </c>
      <c r="AR148" s="60">
        <f>(付费投放!AL148+IFERROR(INDEX(真品获取算法!$C$6:$C$66,MATCH(W148,真品获取算法!I$6:I$66,1)),0)*AN148)/(IFERROR(INDEX(真品获取算法!$C$6:$C$66,MATCH(W148,真品获取算法!I$6:I$66,1)),0)+付费投放!AL148)</f>
        <v>1</v>
      </c>
    </row>
    <row r="149" spans="3:44" x14ac:dyDescent="0.15">
      <c r="C149" s="29">
        <f t="shared" si="34"/>
        <v>105</v>
      </c>
      <c r="D149" s="18">
        <f>求节点(节奏总纲!$G$4:$G$163,节奏总纲!$C$4:$C$163,$C149)</f>
        <v>76.672104206565521</v>
      </c>
      <c r="E149" s="18">
        <f>IFERROR(求节点(前期规划!$F$13:$F$23,前期规划!$B$13:$B$23,D149),0)</f>
        <v>11.927134268125672</v>
      </c>
      <c r="F149" s="63">
        <f>IFERROR(求节点(前期规划!$C$28:$C$35,前期规划!D$28:D$35,$D149),0)</f>
        <v>9</v>
      </c>
      <c r="G149" s="63">
        <f>IFERROR(求节点(前期规划!$C$28:$C$35,前期规划!E$28:E$35,$D149),0)</f>
        <v>9</v>
      </c>
      <c r="H149" s="63">
        <f>IFERROR(求节点(前期规划!$C$28:$C$35,前期规划!F$28:F$35,$D149),0)</f>
        <v>27</v>
      </c>
      <c r="I149" s="63">
        <f>IFERROR(求节点(前期规划!$C$28:$C$35,前期规划!G$28:G$35,$D149),0)</f>
        <v>9.5114188337875945</v>
      </c>
      <c r="J149" s="63">
        <f>IFERROR(求节点(前期规划!$C$28:$C$35,前期规划!H$28:H$35,$D149),0)</f>
        <v>1.0032625239393127</v>
      </c>
      <c r="K149" s="63">
        <f>IFERROR(求节点(前期规划!$C$28:$C$35,前期规划!I$28:I$35,$D149),0)</f>
        <v>0</v>
      </c>
      <c r="L149" s="63">
        <f>MIN($E149-SUM(M149:$Q149),F149)</f>
        <v>0</v>
      </c>
      <c r="M149" s="63">
        <f>MIN($E149-SUM(N149:$Q149),G149)</f>
        <v>0</v>
      </c>
      <c r="N149" s="63">
        <f>MIN($E149-SUM(O149:$Q149),H149)</f>
        <v>1.4124529103987644</v>
      </c>
      <c r="O149" s="63">
        <f>MIN($E149-SUM(P149:$Q149),I149)</f>
        <v>9.5114188337875945</v>
      </c>
      <c r="P149" s="63">
        <f>MIN($E149-SUM(Q149:$Q149),J149)</f>
        <v>1.0032625239393127</v>
      </c>
      <c r="Q149" s="69">
        <f t="shared" si="32"/>
        <v>0</v>
      </c>
      <c r="R149" s="64">
        <f>活动投放!AC149+付费投放!AA149</f>
        <v>125.5</v>
      </c>
      <c r="S149" s="64">
        <f>活动投放!AD149+付费投放!AB149</f>
        <v>125.5</v>
      </c>
      <c r="T149" s="64">
        <f>活动投放!AE149+付费投放!AC149</f>
        <v>98.311111111111103</v>
      </c>
      <c r="U149" s="64">
        <f>活动投放!AF149+付费投放!AD149</f>
        <v>42.133333333333326</v>
      </c>
      <c r="V149" s="64">
        <f>活动投放!AG149+付费投放!AE149</f>
        <v>9.4333333333333336</v>
      </c>
      <c r="W149" s="64">
        <f>活动投放!AH149+付费投放!AF149</f>
        <v>1.0481481481481481</v>
      </c>
      <c r="X149" s="63">
        <f>MIN(IFERROR(INDEX(真品获取算法!$C$6:$C$66,MATCH(R149,真品获取算法!D$6:D$66,1)),0)+付费投放!AG149,前期规划!D$8)</f>
        <v>9</v>
      </c>
      <c r="Y149" s="63">
        <f>MIN(IFERROR(INDEX(真品获取算法!$C$6:$C$66,MATCH(S149,真品获取算法!E$6:E$66,1)),0)+付费投放!AH149,前期规划!E$8)</f>
        <v>9</v>
      </c>
      <c r="Z149" s="63">
        <f>MIN(IFERROR(INDEX(真品获取算法!$C$6:$C$66,MATCH(T149,真品获取算法!F$6:F$66,1)),0)+付费投放!AI149,前期规划!F$8)</f>
        <v>25</v>
      </c>
      <c r="AA149" s="63">
        <f>MIN(IFERROR(INDEX(真品获取算法!$C$6:$C$66,MATCH(U149,真品获取算法!G$6:G$66,1)),0)+付费投放!AJ149,前期规划!G$8)</f>
        <v>11.533333333333333</v>
      </c>
      <c r="AB149" s="63">
        <f>MIN(IFERROR(INDEX(真品获取算法!$C$6:$C$66,MATCH(V149,真品获取算法!H$6:H$66,1)),0)+付费投放!AK149,前期规划!H$8)</f>
        <v>7</v>
      </c>
      <c r="AC149" s="63">
        <f>MIN(IFERROR(INDEX(真品获取算法!$C$6:$C$66,MATCH(W149,真品获取算法!I$6:I$66,1)),0)+付费投放!AL149,前期规划!I$8)</f>
        <v>0.16962962962962963</v>
      </c>
      <c r="AD149" s="63">
        <f t="shared" si="33"/>
        <v>1</v>
      </c>
      <c r="AE149" s="63">
        <f t="shared" si="27"/>
        <v>1</v>
      </c>
      <c r="AF149" s="63">
        <f t="shared" si="28"/>
        <v>0.92592592592592593</v>
      </c>
      <c r="AG149" s="63">
        <f t="shared" si="29"/>
        <v>1.2125775906706215</v>
      </c>
      <c r="AH149" s="63">
        <f t="shared" si="30"/>
        <v>6.9772365985669271</v>
      </c>
      <c r="AI149" s="63">
        <f t="shared" si="31"/>
        <v>0</v>
      </c>
      <c r="AK149" s="60">
        <f>活动投放!AF149/U149</f>
        <v>0.16376582278481014</v>
      </c>
      <c r="AL149" s="60">
        <f>付费投放!AD149/U149</f>
        <v>0.83623417721518989</v>
      </c>
      <c r="AM149" s="60">
        <f>活动投放!AH149/W149</f>
        <v>0.19081272084805656</v>
      </c>
      <c r="AN149" s="60">
        <f>付费投放!AF149/W149</f>
        <v>0.80918727915194344</v>
      </c>
      <c r="AO149" s="60">
        <f>IFERROR(INDEX(真品获取算法!$C$6:$C$66,MATCH(U149,真品获取算法!G$6:G$66,1)),0)*AK149/(IFERROR(INDEX(真品获取算法!$C$6:$C$66,MATCH(U149,真品获取算法!G$6:G$66,1)),0)+付费投放!AJ149)</f>
        <v>0.1419934879637082</v>
      </c>
      <c r="AP149" s="60">
        <f>(付费投放!AJ149+IFERROR(INDEX(真品获取算法!$C$6:$C$66,MATCH(U149,真品获取算法!G$6:G$66,1)),0)*AL149)/(IFERROR(INDEX(真品获取算法!$C$6:$C$66,MATCH(U149,真品获取算法!G$6:G$66,1)),0)+付费投放!AJ149)</f>
        <v>0.85800651203629175</v>
      </c>
      <c r="AQ149" s="60">
        <f>IFERROR(INDEX(真品获取算法!$C$6:$C$66,MATCH(W149,真品获取算法!I$6:I$66,1)),0)*AM149/(IFERROR(INDEX(真品获取算法!$C$6:$C$66,MATCH(W149,真品获取算法!I$6:I$66,1)),0)+付费投放!AL149)</f>
        <v>0</v>
      </c>
      <c r="AR149" s="60">
        <f>(付费投放!AL149+IFERROR(INDEX(真品获取算法!$C$6:$C$66,MATCH(W149,真品获取算法!I$6:I$66,1)),0)*AN149)/(IFERROR(INDEX(真品获取算法!$C$6:$C$66,MATCH(W149,真品获取算法!I$6:I$66,1)),0)+付费投放!AL149)</f>
        <v>1</v>
      </c>
    </row>
    <row r="150" spans="3:44" x14ac:dyDescent="0.15">
      <c r="C150" s="29">
        <f t="shared" si="34"/>
        <v>120</v>
      </c>
      <c r="D150" s="18">
        <f>求节点(节奏总纲!$G$4:$G$163,节奏总纲!$C$4:$C$163,$C150)</f>
        <v>78.608065926757661</v>
      </c>
      <c r="E150" s="18">
        <f>IFERROR(求节点(前期规划!$F$13:$F$23,前期规划!$B$13:$B$23,D150),0)</f>
        <v>12.321613185351532</v>
      </c>
      <c r="F150" s="63">
        <f>IFERROR(求节点(前期规划!$C$28:$C$35,前期规划!D$28:D$35,$D150),0)</f>
        <v>9</v>
      </c>
      <c r="G150" s="63">
        <f>IFERROR(求节点(前期规划!$C$28:$C$35,前期规划!E$28:E$35,$D150),0)</f>
        <v>9</v>
      </c>
      <c r="H150" s="63">
        <f>IFERROR(求节点(前期规划!$C$28:$C$35,前期规划!F$28:F$35,$D150),0)</f>
        <v>27</v>
      </c>
      <c r="I150" s="63">
        <f>IFERROR(求节点(前期规划!$C$28:$C$35,前期规划!G$28:G$35,$D150),0)</f>
        <v>13.576938446191088</v>
      </c>
      <c r="J150" s="63">
        <f>IFERROR(求节点(前期规划!$C$28:$C$35,前期规划!H$28:H$35,$D150),0)</f>
        <v>2.1648395560545963</v>
      </c>
      <c r="K150" s="63">
        <f>IFERROR(求节点(前期规划!$C$28:$C$35,前期规划!I$28:I$35,$D150),0)</f>
        <v>0</v>
      </c>
      <c r="L150" s="63">
        <f>MIN($E150-SUM(M150:$Q150),F150)</f>
        <v>0</v>
      </c>
      <c r="M150" s="63">
        <f>MIN($E150-SUM(N150:$Q150),G150)</f>
        <v>0</v>
      </c>
      <c r="N150" s="63">
        <f>MIN($E150-SUM(O150:$Q150),H150)</f>
        <v>0</v>
      </c>
      <c r="O150" s="63">
        <f>MIN($E150-SUM(P150:$Q150),I150)</f>
        <v>10.156773629296936</v>
      </c>
      <c r="P150" s="63">
        <f>MIN($E150-SUM(Q150:$Q150),J150)</f>
        <v>2.1648395560545963</v>
      </c>
      <c r="Q150" s="69">
        <f t="shared" si="32"/>
        <v>0</v>
      </c>
      <c r="R150" s="64">
        <f>活动投放!AC150+付费投放!AA150</f>
        <v>129.5</v>
      </c>
      <c r="S150" s="64">
        <f>活动投放!AD150+付费投放!AB150</f>
        <v>129.5</v>
      </c>
      <c r="T150" s="64">
        <f>活动投放!AE150+付费投放!AC150</f>
        <v>112.11666666666666</v>
      </c>
      <c r="U150" s="64">
        <f>活动投放!AF150+付费投放!AD150</f>
        <v>48.04999999999999</v>
      </c>
      <c r="V150" s="64">
        <f>活动投放!AG150+付费投放!AE150</f>
        <v>15.049999999999999</v>
      </c>
      <c r="W150" s="64">
        <f>活动投放!AH150+付费投放!AF150</f>
        <v>1.6722222222222221</v>
      </c>
      <c r="X150" s="63">
        <f>MIN(IFERROR(INDEX(真品获取算法!$C$6:$C$66,MATCH(R150,真品获取算法!D$6:D$66,1)),0)+付费投放!AG150,前期规划!D$8)</f>
        <v>9</v>
      </c>
      <c r="Y150" s="63">
        <f>MIN(IFERROR(INDEX(真品获取算法!$C$6:$C$66,MATCH(S150,真品获取算法!E$6:E$66,1)),0)+付费投放!AH150,前期规划!E$8)</f>
        <v>9</v>
      </c>
      <c r="Z150" s="63">
        <f>MIN(IFERROR(INDEX(真品获取算法!$C$6:$C$66,MATCH(T150,真品获取算法!F$6:F$66,1)),0)+付费投放!AI150,前期规划!F$8)</f>
        <v>26</v>
      </c>
      <c r="AA150" s="63">
        <f>MIN(IFERROR(INDEX(真品获取算法!$C$6:$C$66,MATCH(U150,真品获取算法!G$6:G$66,1)),0)+付费投放!AJ150,前期规划!G$8)</f>
        <v>12.566666666666666</v>
      </c>
      <c r="AB150" s="63">
        <f>MIN(IFERROR(INDEX(真品获取算法!$C$6:$C$66,MATCH(V150,真品获取算法!H$6:H$66,1)),0)+付费投放!AK150,前期规划!H$8)</f>
        <v>12</v>
      </c>
      <c r="AC150" s="63">
        <f>MIN(IFERROR(INDEX(真品获取算法!$C$6:$C$66,MATCH(W150,真品获取算法!I$6:I$66,1)),0)+付费投放!AL150,前期规划!I$8)</f>
        <v>0.25444444444444447</v>
      </c>
      <c r="AD150" s="63">
        <f t="shared" si="33"/>
        <v>1</v>
      </c>
      <c r="AE150" s="63">
        <f t="shared" si="27"/>
        <v>1</v>
      </c>
      <c r="AF150" s="63">
        <f t="shared" si="28"/>
        <v>0.96296296296296291</v>
      </c>
      <c r="AG150" s="63">
        <f t="shared" si="29"/>
        <v>0.92558913163461787</v>
      </c>
      <c r="AH150" s="63">
        <f t="shared" si="30"/>
        <v>5.5431359642512765</v>
      </c>
      <c r="AI150" s="63">
        <f t="shared" si="31"/>
        <v>0</v>
      </c>
      <c r="AK150" s="60">
        <f>活动投放!AF150/U150</f>
        <v>0.17481789802289285</v>
      </c>
      <c r="AL150" s="60">
        <f>付费投放!AD150/U150</f>
        <v>0.82518210197710717</v>
      </c>
      <c r="AM150" s="60">
        <f>活动投放!AH150/W150</f>
        <v>0.23920265780730901</v>
      </c>
      <c r="AN150" s="60">
        <f>付费投放!AF150/W150</f>
        <v>0.76079734219269102</v>
      </c>
      <c r="AO150" s="60">
        <f>IFERROR(INDEX(真品获取算法!$C$6:$C$66,MATCH(U150,真品获取算法!G$6:G$66,1)),0)*AK150/(IFERROR(INDEX(真品获取算法!$C$6:$C$66,MATCH(U150,真品获取算法!G$6:G$66,1)),0)+付费投放!AJ150)</f>
        <v>0.15302362426407068</v>
      </c>
      <c r="AP150" s="60">
        <f>(付费投放!AJ150+IFERROR(INDEX(真品获取算法!$C$6:$C$66,MATCH(U150,真品获取算法!G$6:G$66,1)),0)*AL150)/(IFERROR(INDEX(真品获取算法!$C$6:$C$66,MATCH(U150,真品获取算法!G$6:G$66,1)),0)+付费投放!AJ150)</f>
        <v>0.84697637573592932</v>
      </c>
      <c r="AQ150" s="60">
        <f>IFERROR(INDEX(真品获取算法!$C$6:$C$66,MATCH(W150,真品获取算法!I$6:I$66,1)),0)*AM150/(IFERROR(INDEX(真品获取算法!$C$6:$C$66,MATCH(W150,真品获取算法!I$6:I$66,1)),0)+付费投放!AL150)</f>
        <v>0</v>
      </c>
      <c r="AR150" s="60">
        <f>(付费投放!AL150+IFERROR(INDEX(真品获取算法!$C$6:$C$66,MATCH(W150,真品获取算法!I$6:I$66,1)),0)*AN150)/(IFERROR(INDEX(真品获取算法!$C$6:$C$66,MATCH(W150,真品获取算法!I$6:I$66,1)),0)+付费投放!AL150)</f>
        <v>1</v>
      </c>
    </row>
    <row r="151" spans="3:44" x14ac:dyDescent="0.15">
      <c r="C151" s="29">
        <f t="shared" si="34"/>
        <v>150</v>
      </c>
      <c r="D151" s="18">
        <f>求节点(节奏总纲!$G$4:$G$163,节奏总纲!$C$4:$C$163,$C151)</f>
        <v>81.919202803497143</v>
      </c>
      <c r="E151" s="18">
        <f>IFERROR(求节点(前期规划!$F$13:$F$23,前期规划!$B$13:$B$23,D151),0)</f>
        <v>12.983840560699429</v>
      </c>
      <c r="F151" s="63">
        <f>IFERROR(求节点(前期规划!$C$28:$C$35,前期规划!D$28:D$35,$D151),0)</f>
        <v>9</v>
      </c>
      <c r="G151" s="63">
        <f>IFERROR(求节点(前期规划!$C$28:$C$35,前期规划!E$28:E$35,$D151),0)</f>
        <v>9</v>
      </c>
      <c r="H151" s="63">
        <f>IFERROR(求节点(前期规划!$C$28:$C$35,前期规划!F$28:F$35,$D151),0)</f>
        <v>27</v>
      </c>
      <c r="I151" s="63">
        <f>IFERROR(求节点(前期规划!$C$28:$C$35,前期规划!G$28:G$35,$D151),0)</f>
        <v>20.530325887343999</v>
      </c>
      <c r="J151" s="63">
        <f>IFERROR(求节点(前期规划!$C$28:$C$35,前期规划!H$28:H$35,$D151),0)</f>
        <v>4.1515216820982852</v>
      </c>
      <c r="K151" s="63">
        <f>IFERROR(求节点(前期规划!$C$28:$C$35,前期规划!I$28:I$35,$D151),0)</f>
        <v>0</v>
      </c>
      <c r="L151" s="63">
        <f>MIN($E151-SUM(M151:$Q151),F151)</f>
        <v>1.7763568394002505E-15</v>
      </c>
      <c r="M151" s="63">
        <f>MIN($E151-SUM(N151:$Q151),G151)</f>
        <v>-1.7763568394002505E-15</v>
      </c>
      <c r="N151" s="63">
        <f>MIN($E151-SUM(O151:$Q151),H151)</f>
        <v>1.7763568394002505E-15</v>
      </c>
      <c r="O151" s="63">
        <f>MIN($E151-SUM(P151:$Q151),I151)</f>
        <v>8.8323188786011428</v>
      </c>
      <c r="P151" s="63">
        <f>MIN($E151-SUM(Q151:$Q151),J151)</f>
        <v>4.1515216820982852</v>
      </c>
      <c r="Q151" s="69">
        <f t="shared" si="32"/>
        <v>0</v>
      </c>
      <c r="R151" s="64">
        <f>活动投放!AC151+付费投放!AA151</f>
        <v>137.5</v>
      </c>
      <c r="S151" s="64">
        <f>活动投放!AD151+付费投放!AB151</f>
        <v>137.5</v>
      </c>
      <c r="T151" s="64">
        <f>活动投放!AE151+付费投放!AC151</f>
        <v>139.72777777777776</v>
      </c>
      <c r="U151" s="64">
        <f>活动投放!AF151+付费投放!AD151</f>
        <v>59.883333333333319</v>
      </c>
      <c r="V151" s="64">
        <f>活动投放!AG151+付费投放!AE151</f>
        <v>29.883333333333333</v>
      </c>
      <c r="W151" s="64">
        <f>活动投放!AH151+付费投放!AF151</f>
        <v>3.3203703703703704</v>
      </c>
      <c r="X151" s="63">
        <f>MIN(IFERROR(INDEX(真品获取算法!$C$6:$C$66,MATCH(R151,真品获取算法!D$6:D$66,1)),0)+付费投放!AG151,前期规划!D$8)</f>
        <v>9</v>
      </c>
      <c r="Y151" s="63">
        <f>MIN(IFERROR(INDEX(真品获取算法!$C$6:$C$66,MATCH(S151,真品获取算法!E$6:E$66,1)),0)+付费投放!AH151,前期规划!E$8)</f>
        <v>9</v>
      </c>
      <c r="Z151" s="63">
        <f>MIN(IFERROR(INDEX(真品获取算法!$C$6:$C$66,MATCH(T151,真品获取算法!F$6:F$66,1)),0)+付费投放!AI151,前期规划!F$8)</f>
        <v>26</v>
      </c>
      <c r="AA151" s="63">
        <f>MIN(IFERROR(INDEX(真品获取算法!$C$6:$C$66,MATCH(U151,真品获取算法!G$6:G$66,1)),0)+付费投放!AJ151,前期规划!G$8)</f>
        <v>14.633333333333333</v>
      </c>
      <c r="AB151" s="63">
        <f>MIN(IFERROR(INDEX(真品获取算法!$C$6:$C$66,MATCH(V151,真品获取算法!H$6:H$66,1)),0)+付费投放!AK151,前期规划!H$8)</f>
        <v>21</v>
      </c>
      <c r="AC151" s="63">
        <f>MIN(IFERROR(INDEX(真品获取算法!$C$6:$C$66,MATCH(W151,真品获取算法!I$6:I$66,1)),0)+付费投放!AL151,前期规划!I$8)</f>
        <v>0.4240740740740741</v>
      </c>
      <c r="AD151" s="63">
        <f t="shared" si="33"/>
        <v>1</v>
      </c>
      <c r="AE151" s="63">
        <f t="shared" si="27"/>
        <v>1</v>
      </c>
      <c r="AF151" s="63">
        <f t="shared" si="28"/>
        <v>0.96296296296296291</v>
      </c>
      <c r="AG151" s="63">
        <f t="shared" si="29"/>
        <v>0.71276673412934521</v>
      </c>
      <c r="AH151" s="63">
        <f t="shared" si="30"/>
        <v>5.0583862034380758</v>
      </c>
      <c r="AI151" s="63">
        <f t="shared" si="31"/>
        <v>0</v>
      </c>
      <c r="AK151" s="60">
        <f>活动投放!AF151/U151</f>
        <v>0.19037016420818262</v>
      </c>
      <c r="AL151" s="60">
        <f>付费投放!AD151/U151</f>
        <v>0.80962983579181735</v>
      </c>
      <c r="AM151" s="60">
        <f>活动投放!AH151/W151</f>
        <v>0.36140546569994425</v>
      </c>
      <c r="AN151" s="60">
        <f>付费投放!AF151/W151</f>
        <v>0.63859453430005575</v>
      </c>
      <c r="AO151" s="60">
        <f>IFERROR(INDEX(真品获取算法!$C$6:$C$66,MATCH(U151,真品获取算法!G$6:G$66,1)),0)*AK151/(IFERROR(INDEX(真品获取算法!$C$6:$C$66,MATCH(U151,真品获取算法!G$6:G$66,1)),0)+付费投放!AJ151)</f>
        <v>0.16912155818039004</v>
      </c>
      <c r="AP151" s="60">
        <f>(付费投放!AJ151+IFERROR(INDEX(真品获取算法!$C$6:$C$66,MATCH(U151,真品获取算法!G$6:G$66,1)),0)*AL151)/(IFERROR(INDEX(真品获取算法!$C$6:$C$66,MATCH(U151,真品获取算法!G$6:G$66,1)),0)+付费投放!AJ151)</f>
        <v>0.83087844181961001</v>
      </c>
      <c r="AQ151" s="60">
        <f>IFERROR(INDEX(真品获取算法!$C$6:$C$66,MATCH(W151,真品获取算法!I$6:I$66,1)),0)*AM151/(IFERROR(INDEX(真品获取算法!$C$6:$C$66,MATCH(W151,真品获取算法!I$6:I$66,1)),0)+付费投放!AL151)</f>
        <v>0</v>
      </c>
      <c r="AR151" s="60">
        <f>(付费投放!AL151+IFERROR(INDEX(真品获取算法!$C$6:$C$66,MATCH(W151,真品获取算法!I$6:I$66,1)),0)*AN151)/(IFERROR(INDEX(真品获取算法!$C$6:$C$66,MATCH(W151,真品获取算法!I$6:I$66,1)),0)+付费投放!AL151)</f>
        <v>1</v>
      </c>
    </row>
    <row r="152" spans="3:44" x14ac:dyDescent="0.15">
      <c r="C152" s="29">
        <f t="shared" si="34"/>
        <v>180</v>
      </c>
      <c r="D152" s="18">
        <f>求节点(节奏总纲!$G$4:$G$163,节奏总纲!$C$4:$C$163,$C152)</f>
        <v>84.557504671530296</v>
      </c>
      <c r="E152" s="18">
        <f>IFERROR(求节点(前期规划!$F$13:$F$23,前期规划!$B$13:$B$23,D152),0)</f>
        <v>13.51150093430606</v>
      </c>
      <c r="F152" s="63">
        <f>IFERROR(求节点(前期规划!$C$28:$C$35,前期规划!D$28:D$35,$D152),0)</f>
        <v>9</v>
      </c>
      <c r="G152" s="63">
        <f>IFERROR(求节点(前期规划!$C$28:$C$35,前期规划!E$28:E$35,$D152),0)</f>
        <v>9</v>
      </c>
      <c r="H152" s="63">
        <f>IFERROR(求节点(前期规划!$C$28:$C$35,前期规划!F$28:F$35,$D152),0)</f>
        <v>27</v>
      </c>
      <c r="I152" s="63">
        <f>IFERROR(求节点(前期规划!$C$28:$C$35,前期规划!G$28:G$35,$D152),0)</f>
        <v>26.070759810213623</v>
      </c>
      <c r="J152" s="63">
        <f>IFERROR(求节点(前期规划!$C$28:$C$35,前期规划!H$28:H$35,$D152),0)</f>
        <v>5.7345028029181773</v>
      </c>
      <c r="K152" s="63">
        <f>IFERROR(求节点(前期规划!$C$28:$C$35,前期规划!I$28:I$35,$D152),0)</f>
        <v>0</v>
      </c>
      <c r="L152" s="63">
        <f>MIN($E152-SUM(M152:$Q152),F152)</f>
        <v>0</v>
      </c>
      <c r="M152" s="63">
        <f>MIN($E152-SUM(N152:$Q152),G152)</f>
        <v>0</v>
      </c>
      <c r="N152" s="63">
        <f>MIN($E152-SUM(O152:$Q152),H152)</f>
        <v>0</v>
      </c>
      <c r="O152" s="63">
        <f>MIN($E152-SUM(P152:$Q152),I152)</f>
        <v>7.7769981313878827</v>
      </c>
      <c r="P152" s="63">
        <f>MIN($E152-SUM(Q152:$Q152),J152)</f>
        <v>5.7345028029181773</v>
      </c>
      <c r="Q152" s="69">
        <f t="shared" si="32"/>
        <v>0</v>
      </c>
      <c r="R152" s="64">
        <f>活动投放!AC152+付费投放!AA152</f>
        <v>145.5</v>
      </c>
      <c r="S152" s="64">
        <f>活动投放!AD152+付费投放!AB152</f>
        <v>145.5</v>
      </c>
      <c r="T152" s="64">
        <f>活动投放!AE152+付费投放!AC152</f>
        <v>167.33888888888887</v>
      </c>
      <c r="U152" s="64">
        <f>活动投放!AF152+付费投放!AD152</f>
        <v>71.71666666666664</v>
      </c>
      <c r="V152" s="64">
        <f>活动投放!AG152+付费投放!AE152</f>
        <v>46.516666666666666</v>
      </c>
      <c r="W152" s="64">
        <f>活动投放!AH152+付费投放!AF152</f>
        <v>5.1685185185185185</v>
      </c>
      <c r="X152" s="63">
        <f>MIN(IFERROR(INDEX(真品获取算法!$C$6:$C$66,MATCH(R152,真品获取算法!D$6:D$66,1)),0)+付费投放!AG152,前期规划!D$8)</f>
        <v>9</v>
      </c>
      <c r="Y152" s="63">
        <f>MIN(IFERROR(INDEX(真品获取算法!$C$6:$C$66,MATCH(S152,真品获取算法!E$6:E$66,1)),0)+付费投放!AH152,前期规划!E$8)</f>
        <v>9</v>
      </c>
      <c r="Z152" s="63">
        <f>MIN(IFERROR(INDEX(真品获取算法!$C$6:$C$66,MATCH(T152,真品获取算法!F$6:F$66,1)),0)+付费投放!AI152,前期规划!F$8)</f>
        <v>27</v>
      </c>
      <c r="AA152" s="63">
        <f>MIN(IFERROR(INDEX(真品获取算法!$C$6:$C$66,MATCH(U152,真品获取算法!G$6:G$66,1)),0)+付费投放!AJ152,前期规划!G$8)</f>
        <v>16.7</v>
      </c>
      <c r="AB152" s="63">
        <f>MIN(IFERROR(INDEX(真品获取算法!$C$6:$C$66,MATCH(V152,真品获取算法!H$6:H$66,1)),0)+付费投放!AK152,前期规划!H$8)</f>
        <v>30</v>
      </c>
      <c r="AC152" s="63">
        <f>MIN(IFERROR(INDEX(真品获取算法!$C$6:$C$66,MATCH(W152,真品获取算法!I$6:I$66,1)),0)+付费投放!AL152,前期规划!I$8)</f>
        <v>0.59370370370370373</v>
      </c>
      <c r="AD152" s="63">
        <f t="shared" si="33"/>
        <v>1</v>
      </c>
      <c r="AE152" s="63">
        <f t="shared" si="27"/>
        <v>1</v>
      </c>
      <c r="AF152" s="63">
        <f t="shared" si="28"/>
        <v>1</v>
      </c>
      <c r="AG152" s="63">
        <f t="shared" si="29"/>
        <v>0.64056437639602337</v>
      </c>
      <c r="AH152" s="63">
        <f t="shared" si="30"/>
        <v>5.2314910343637084</v>
      </c>
      <c r="AI152" s="63">
        <f t="shared" si="31"/>
        <v>0</v>
      </c>
      <c r="AK152" s="60">
        <f>活动投放!AF152/U152</f>
        <v>0.20079014640948181</v>
      </c>
      <c r="AL152" s="60">
        <f>付费投放!AD152/U152</f>
        <v>0.79920985359051833</v>
      </c>
      <c r="AM152" s="60">
        <f>活动投放!AH152/W152</f>
        <v>0.42565388749552135</v>
      </c>
      <c r="AN152" s="60">
        <f>付费投放!AF152/W152</f>
        <v>0.57434611250447865</v>
      </c>
      <c r="AO152" s="60">
        <f>IFERROR(INDEX(真品获取算法!$C$6:$C$66,MATCH(U152,真品获取算法!G$6:G$66,1)),0)*AK152/(IFERROR(INDEX(真品获取算法!$C$6:$C$66,MATCH(U152,真品获取算法!G$6:G$66,1)),0)+付费投放!AJ152)</f>
        <v>0.1803504309067202</v>
      </c>
      <c r="AP152" s="60">
        <f>(付费投放!AJ152+IFERROR(INDEX(真品获取算法!$C$6:$C$66,MATCH(U152,真品获取算法!G$6:G$66,1)),0)*AL152)/(IFERROR(INDEX(真品获取算法!$C$6:$C$66,MATCH(U152,真品获取算法!G$6:G$66,1)),0)+付费投放!AJ152)</f>
        <v>0.81964956909327991</v>
      </c>
      <c r="AQ152" s="60">
        <f>IFERROR(INDEX(真品获取算法!$C$6:$C$66,MATCH(W152,真品获取算法!I$6:I$66,1)),0)*AM152/(IFERROR(INDEX(真品获取算法!$C$6:$C$66,MATCH(W152,真品获取算法!I$6:I$66,1)),0)+付费投放!AL152)</f>
        <v>0</v>
      </c>
      <c r="AR152" s="60">
        <f>(付费投放!AL152+IFERROR(INDEX(真品获取算法!$C$6:$C$66,MATCH(W152,真品获取算法!I$6:I$66,1)),0)*AN152)/(IFERROR(INDEX(真品获取算法!$C$6:$C$66,MATCH(W152,真品获取算法!I$6:I$66,1)),0)+付费投放!AL152)</f>
        <v>1</v>
      </c>
    </row>
    <row r="153" spans="3:44" x14ac:dyDescent="0.15">
      <c r="C153" s="29">
        <f t="shared" si="34"/>
        <v>210</v>
      </c>
      <c r="D153" s="18">
        <f>求节点(节奏总纲!$G$4:$G$163,节奏总纲!$C$4:$C$163,$C153)</f>
        <v>86.804267332174788</v>
      </c>
      <c r="E153" s="18">
        <f>IFERROR(求节点(前期规划!$F$13:$F$23,前期规划!$B$13:$B$23,D153),0)</f>
        <v>13.960853466434958</v>
      </c>
      <c r="F153" s="63">
        <f>IFERROR(求节点(前期规划!$C$28:$C$35,前期规划!D$28:D$35,$D153),0)</f>
        <v>9</v>
      </c>
      <c r="G153" s="63">
        <f>IFERROR(求节点(前期规划!$C$28:$C$35,前期规划!E$28:E$35,$D153),0)</f>
        <v>9</v>
      </c>
      <c r="H153" s="63">
        <f>IFERROR(求节点(前期规划!$C$28:$C$35,前期规划!F$28:F$35,$D153),0)</f>
        <v>27</v>
      </c>
      <c r="I153" s="63">
        <f>IFERROR(求节点(前期规划!$C$28:$C$35,前期规划!G$28:G$35,$D153),0)</f>
        <v>27</v>
      </c>
      <c r="J153" s="63">
        <f>IFERROR(求节点(前期规划!$C$28:$C$35,前期规划!H$28:H$35,$D153),0)</f>
        <v>15.743043593743858</v>
      </c>
      <c r="K153" s="63">
        <f>IFERROR(求节点(前期规划!$C$28:$C$35,前期规划!I$28:I$35,$D153),0)</f>
        <v>0.54128019965243646</v>
      </c>
      <c r="L153" s="63">
        <f>MIN($E153-SUM(M153:$Q153),F153)</f>
        <v>0</v>
      </c>
      <c r="M153" s="63">
        <f>MIN($E153-SUM(N153:$Q153),G153)</f>
        <v>0</v>
      </c>
      <c r="N153" s="63">
        <f>MIN($E153-SUM(O153:$Q153),H153)</f>
        <v>0</v>
      </c>
      <c r="O153" s="63">
        <f>MIN($E153-SUM(P153:$Q153),I153)</f>
        <v>0</v>
      </c>
      <c r="P153" s="63">
        <f>MIN($E153-SUM(Q153:$Q153),J153)</f>
        <v>13.419573266782521</v>
      </c>
      <c r="Q153" s="69">
        <f t="shared" si="32"/>
        <v>0.54128019965243646</v>
      </c>
      <c r="R153" s="64">
        <f>活动投放!AC153+付费投放!AA153</f>
        <v>153.5</v>
      </c>
      <c r="S153" s="64">
        <f>活动投放!AD153+付费投放!AB153</f>
        <v>153.5</v>
      </c>
      <c r="T153" s="64">
        <f>活动投放!AE153+付费投放!AC153</f>
        <v>194.95</v>
      </c>
      <c r="U153" s="64">
        <f>活动投放!AF153+付费投放!AD153</f>
        <v>83.549999999999983</v>
      </c>
      <c r="V153" s="64">
        <f>活动投放!AG153+付费投放!AE153</f>
        <v>64.949999999999989</v>
      </c>
      <c r="W153" s="64">
        <f>活动投放!AH153+付费投放!AF153</f>
        <v>7.2166666666666668</v>
      </c>
      <c r="X153" s="63">
        <f>MIN(IFERROR(INDEX(真品获取算法!$C$6:$C$66,MATCH(R153,真品获取算法!D$6:D$66,1)),0)+付费投放!AG153,前期规划!D$8)</f>
        <v>9</v>
      </c>
      <c r="Y153" s="63">
        <f>MIN(IFERROR(INDEX(真品获取算法!$C$6:$C$66,MATCH(S153,真品获取算法!E$6:E$66,1)),0)+付费投放!AH153,前期规划!E$8)</f>
        <v>9</v>
      </c>
      <c r="Z153" s="63">
        <f>MIN(IFERROR(INDEX(真品获取算法!$C$6:$C$66,MATCH(T153,真品获取算法!F$6:F$66,1)),0)+付费投放!AI153,前期规划!F$8)</f>
        <v>27</v>
      </c>
      <c r="AA153" s="63">
        <f>MIN(IFERROR(INDEX(真品获取算法!$C$6:$C$66,MATCH(U153,真品获取算法!G$6:G$66,1)),0)+付费投放!AJ153,前期规划!G$8)</f>
        <v>17.766666666666666</v>
      </c>
      <c r="AB153" s="63">
        <f>MIN(IFERROR(INDEX(真品获取算法!$C$6:$C$66,MATCH(V153,真品获取算法!H$6:H$66,1)),0)+付费投放!AK153,前期规划!H$8)</f>
        <v>37</v>
      </c>
      <c r="AC153" s="63">
        <f>MIN(IFERROR(INDEX(真品获取算法!$C$6:$C$66,MATCH(W153,真品获取算法!I$6:I$66,1)),0)+付费投放!AL153,前期规划!I$8)</f>
        <v>0.76333333333333342</v>
      </c>
      <c r="AD153" s="63">
        <f t="shared" si="33"/>
        <v>1</v>
      </c>
      <c r="AE153" s="63">
        <f t="shared" si="27"/>
        <v>1</v>
      </c>
      <c r="AF153" s="63">
        <f t="shared" si="28"/>
        <v>1</v>
      </c>
      <c r="AG153" s="63">
        <f t="shared" si="29"/>
        <v>0.65802469135802466</v>
      </c>
      <c r="AH153" s="63">
        <f t="shared" si="30"/>
        <v>2.3502443971319158</v>
      </c>
      <c r="AI153" s="63">
        <f t="shared" si="31"/>
        <v>1.4102369416495937</v>
      </c>
      <c r="AK153" s="60">
        <f>活动投放!AF153/U153</f>
        <v>0.20825852782764814</v>
      </c>
      <c r="AL153" s="60">
        <f>付费投放!AD153/U153</f>
        <v>0.7917414721723518</v>
      </c>
      <c r="AM153" s="60">
        <f>活动投放!AH153/W153</f>
        <v>0.47113163972286376</v>
      </c>
      <c r="AN153" s="60">
        <f>付费投放!AF153/W153</f>
        <v>0.52886836027713624</v>
      </c>
      <c r="AO153" s="60">
        <f>IFERROR(INDEX(真品获取算法!$C$6:$C$66,MATCH(U153,真品获取算法!G$6:G$66,1)),0)*AK153/(IFERROR(INDEX(真品获取算法!$C$6:$C$66,MATCH(U153,真品获取算法!G$6:G$66,1)),0)+付费投放!AJ153)</f>
        <v>0.18754989372846362</v>
      </c>
      <c r="AP153" s="60">
        <f>(付费投放!AJ153+IFERROR(INDEX(真品获取算法!$C$6:$C$66,MATCH(U153,真品获取算法!G$6:G$66,1)),0)*AL153)/(IFERROR(INDEX(真品获取算法!$C$6:$C$66,MATCH(U153,真品获取算法!G$6:G$66,1)),0)+付费投放!AJ153)</f>
        <v>0.81245010627153647</v>
      </c>
      <c r="AQ153" s="60">
        <f>IFERROR(INDEX(真品获取算法!$C$6:$C$66,MATCH(W153,真品获取算法!I$6:I$66,1)),0)*AM153/(IFERROR(INDEX(真品获取算法!$C$6:$C$66,MATCH(W153,真品获取算法!I$6:I$66,1)),0)+付费投放!AL153)</f>
        <v>0</v>
      </c>
      <c r="AR153" s="60">
        <f>(付费投放!AL153+IFERROR(INDEX(真品获取算法!$C$6:$C$66,MATCH(W153,真品获取算法!I$6:I$66,1)),0)*AN153)/(IFERROR(INDEX(真品获取算法!$C$6:$C$66,MATCH(W153,真品获取算法!I$6:I$66,1)),0)+付费投放!AL153)</f>
        <v>1</v>
      </c>
    </row>
    <row r="154" spans="3:44" x14ac:dyDescent="0.15">
      <c r="C154" s="29">
        <f t="shared" si="34"/>
        <v>240</v>
      </c>
      <c r="D154" s="18">
        <f>求节点(节奏总纲!$G$4:$G$163,节奏总纲!$C$4:$C$163,$C154)</f>
        <v>88.978258962579233</v>
      </c>
      <c r="E154" s="18">
        <f>IFERROR(求节点(前期规划!$F$13:$F$23,前期规划!$B$13:$B$23,D154),0)</f>
        <v>14.359683447741679</v>
      </c>
      <c r="F154" s="63">
        <f>IFERROR(求节点(前期规划!$C$28:$C$35,前期规划!D$28:D$35,$D154),0)</f>
        <v>9</v>
      </c>
      <c r="G154" s="63">
        <f>IFERROR(求节点(前期规划!$C$28:$C$35,前期规划!E$28:E$35,$D154),0)</f>
        <v>9</v>
      </c>
      <c r="H154" s="63">
        <f>IFERROR(求节点(前期规划!$C$28:$C$35,前期规划!F$28:F$35,$D154),0)</f>
        <v>27</v>
      </c>
      <c r="I154" s="63">
        <f>IFERROR(求节点(前期规划!$C$28:$C$35,前期规划!G$28:G$35,$D154),0)</f>
        <v>27</v>
      </c>
      <c r="J154" s="63">
        <f>IFERROR(求节点(前期规划!$C$28:$C$35,前期规划!H$28:H$35,$D154),0)</f>
        <v>27.482598397927859</v>
      </c>
      <c r="K154" s="63">
        <f>IFERROR(求节点(前期规划!$C$28:$C$35,前期规划!I$28:I$35,$D154),0)</f>
        <v>1.1934776887737697</v>
      </c>
      <c r="L154" s="63">
        <f>MIN($E154-SUM(M154:$Q154),F154)</f>
        <v>0</v>
      </c>
      <c r="M154" s="63">
        <f>MIN($E154-SUM(N154:$Q154),G154)</f>
        <v>0</v>
      </c>
      <c r="N154" s="63">
        <f>MIN($E154-SUM(O154:$Q154),H154)</f>
        <v>0</v>
      </c>
      <c r="O154" s="63">
        <f>MIN($E154-SUM(P154:$Q154),I154)</f>
        <v>0</v>
      </c>
      <c r="P154" s="63">
        <f>MIN($E154-SUM(Q154:$Q154),J154)</f>
        <v>13.166205758967909</v>
      </c>
      <c r="Q154" s="69">
        <f t="shared" si="32"/>
        <v>1.1934776887737697</v>
      </c>
      <c r="R154" s="64">
        <f>活动投放!AC154+付费投放!AA154</f>
        <v>161.5</v>
      </c>
      <c r="S154" s="64">
        <f>活动投放!AD154+付费投放!AB154</f>
        <v>161.5</v>
      </c>
      <c r="T154" s="64">
        <f>活动投放!AE154+付费投放!AC154</f>
        <v>222.5611111111111</v>
      </c>
      <c r="U154" s="64">
        <f>活动投放!AF154+付费投放!AD154</f>
        <v>95.383333333333297</v>
      </c>
      <c r="V154" s="64">
        <f>活动投放!AG154+付费投放!AE154</f>
        <v>85.183333333333337</v>
      </c>
      <c r="W154" s="64">
        <f>活动投放!AH154+付费投放!AF154</f>
        <v>9.4648148148148152</v>
      </c>
      <c r="X154" s="63">
        <f>MIN(IFERROR(INDEX(真品获取算法!$C$6:$C$66,MATCH(R154,真品获取算法!D$6:D$66,1)),0)+付费投放!AG154,前期规划!D$8)</f>
        <v>9</v>
      </c>
      <c r="Y154" s="63">
        <f>MIN(IFERROR(INDEX(真品获取算法!$C$6:$C$66,MATCH(S154,真品获取算法!E$6:E$66,1)),0)+付费投放!AH154,前期规划!E$8)</f>
        <v>9</v>
      </c>
      <c r="Z154" s="63">
        <f>MIN(IFERROR(INDEX(真品获取算法!$C$6:$C$66,MATCH(T154,真品获取算法!F$6:F$66,1)),0)+付费投放!AI154,前期规划!F$8)</f>
        <v>27</v>
      </c>
      <c r="AA154" s="63">
        <f>MIN(IFERROR(INDEX(真品获取算法!$C$6:$C$66,MATCH(U154,真品获取算法!G$6:G$66,1)),0)+付费投放!AJ154,前期规划!G$8)</f>
        <v>18.833333333333332</v>
      </c>
      <c r="AB154" s="63">
        <f>MIN(IFERROR(INDEX(真品获取算法!$C$6:$C$66,MATCH(V154,真品获取算法!H$6:H$66,1)),0)+付费投放!AK154,前期规划!H$8)</f>
        <v>43</v>
      </c>
      <c r="AC154" s="63">
        <f>MIN(IFERROR(INDEX(真品获取算法!$C$6:$C$66,MATCH(W154,真品获取算法!I$6:I$66,1)),0)+付费投放!AL154,前期规划!I$8)</f>
        <v>0.93296296296296299</v>
      </c>
      <c r="AD154" s="63">
        <f t="shared" si="33"/>
        <v>1</v>
      </c>
      <c r="AE154" s="63">
        <f t="shared" si="27"/>
        <v>1</v>
      </c>
      <c r="AF154" s="63">
        <f t="shared" si="28"/>
        <v>1</v>
      </c>
      <c r="AG154" s="63">
        <f t="shared" si="29"/>
        <v>0.69753086419753085</v>
      </c>
      <c r="AH154" s="63">
        <f t="shared" si="30"/>
        <v>1.5646264366051401</v>
      </c>
      <c r="AI154" s="63">
        <f t="shared" si="31"/>
        <v>0.7817179757432493</v>
      </c>
      <c r="AK154" s="60">
        <f>活动投放!AF154/U154</f>
        <v>0.21387384239035478</v>
      </c>
      <c r="AL154" s="60">
        <f>付费投放!AD154/U154</f>
        <v>0.78612615760964533</v>
      </c>
      <c r="AM154" s="60">
        <f>活动投放!AH154/W154</f>
        <v>0.50714145959694779</v>
      </c>
      <c r="AN154" s="60">
        <f>付费投放!AF154/W154</f>
        <v>0.49285854040305221</v>
      </c>
      <c r="AO154" s="60">
        <f>IFERROR(INDEX(真品获取算法!$C$6:$C$66,MATCH(U154,真品获取算法!G$6:G$66,1)),0)*AK154/(IFERROR(INDEX(真品获取算法!$C$6:$C$66,MATCH(U154,真品获取算法!G$6:G$66,1)),0)+付费投放!AJ154)</f>
        <v>0.19305426481253266</v>
      </c>
      <c r="AP154" s="60">
        <f>(付费投放!AJ154+IFERROR(INDEX(真品获取算法!$C$6:$C$66,MATCH(U154,真品获取算法!G$6:G$66,1)),0)*AL154)/(IFERROR(INDEX(真品获取算法!$C$6:$C$66,MATCH(U154,真品获取算法!G$6:G$66,1)),0)+付费投放!AJ154)</f>
        <v>0.80694573518746759</v>
      </c>
      <c r="AQ154" s="60">
        <f>IFERROR(INDEX(真品获取算法!$C$6:$C$66,MATCH(W154,真品获取算法!I$6:I$66,1)),0)*AM154/(IFERROR(INDEX(真品获取算法!$C$6:$C$66,MATCH(W154,真品获取算法!I$6:I$66,1)),0)+付费投放!AL154)</f>
        <v>0</v>
      </c>
      <c r="AR154" s="60">
        <f>(付费投放!AL154+IFERROR(INDEX(真品获取算法!$C$6:$C$66,MATCH(W154,真品获取算法!I$6:I$66,1)),0)*AN154)/(IFERROR(INDEX(真品获取算法!$C$6:$C$66,MATCH(W154,真品获取算法!I$6:I$66,1)),0)+付费投放!AL154)</f>
        <v>1</v>
      </c>
    </row>
    <row r="155" spans="3:44" x14ac:dyDescent="0.15">
      <c r="C155" s="29">
        <f t="shared" si="34"/>
        <v>270</v>
      </c>
      <c r="D155" s="18">
        <f>求节点(节奏总纲!$G$4:$G$163,节奏总纲!$C$4:$C$163,$C155)</f>
        <v>90.852534040676616</v>
      </c>
      <c r="E155" s="18">
        <f>IFERROR(求节点(前期规划!$F$13:$F$23,前期规划!$B$13:$B$23,D155),0)</f>
        <v>14.700460734668475</v>
      </c>
      <c r="F155" s="63">
        <f>IFERROR(求节点(前期规划!$C$28:$C$35,前期规划!D$28:D$35,$D155),0)</f>
        <v>9</v>
      </c>
      <c r="G155" s="63">
        <f>IFERROR(求节点(前期规划!$C$28:$C$35,前期规划!E$28:E$35,$D155),0)</f>
        <v>9</v>
      </c>
      <c r="H155" s="63">
        <f>IFERROR(求节点(前期规划!$C$28:$C$35,前期规划!F$28:F$35,$D155),0)</f>
        <v>27</v>
      </c>
      <c r="I155" s="63">
        <f>IFERROR(求节点(前期规划!$C$28:$C$35,前期规划!G$28:G$35,$D155),0)</f>
        <v>27</v>
      </c>
      <c r="J155" s="63">
        <f>IFERROR(求节点(前期规划!$C$28:$C$35,前期规划!H$28:H$35,$D155),0)</f>
        <v>37.603683819653725</v>
      </c>
      <c r="K155" s="63">
        <f>IFERROR(求节点(前期规划!$C$28:$C$35,前期规划!I$28:I$35,$D155),0)</f>
        <v>1.7557602122029847</v>
      </c>
      <c r="L155" s="63">
        <f>MIN($E155-SUM(M155:$Q155),F155)</f>
        <v>0</v>
      </c>
      <c r="M155" s="63">
        <f>MIN($E155-SUM(N155:$Q155),G155)</f>
        <v>0</v>
      </c>
      <c r="N155" s="63">
        <f>MIN($E155-SUM(O155:$Q155),H155)</f>
        <v>0</v>
      </c>
      <c r="O155" s="63">
        <f>MIN($E155-SUM(P155:$Q155),I155)</f>
        <v>0</v>
      </c>
      <c r="P155" s="63">
        <f>MIN($E155-SUM(Q155:$Q155),J155)</f>
        <v>12.944700522465491</v>
      </c>
      <c r="Q155" s="69">
        <f t="shared" si="32"/>
        <v>1.7557602122029847</v>
      </c>
      <c r="R155" s="64">
        <f>活动投放!AC155+付费投放!AA155</f>
        <v>169.5</v>
      </c>
      <c r="S155" s="64">
        <f>活动投放!AD155+付费投放!AB155</f>
        <v>169.5</v>
      </c>
      <c r="T155" s="64">
        <f>活动投放!AE155+付费投放!AC155</f>
        <v>250.17222222222222</v>
      </c>
      <c r="U155" s="64">
        <f>活动投放!AF155+付费投放!AD155</f>
        <v>107.21666666666664</v>
      </c>
      <c r="V155" s="64">
        <f>活动投放!AG155+付费投放!AE155</f>
        <v>107.21666666666667</v>
      </c>
      <c r="W155" s="64">
        <f>活动投放!AH155+付费投放!AF155</f>
        <v>11.912962962962963</v>
      </c>
      <c r="X155" s="63">
        <f>MIN(IFERROR(INDEX(真品获取算法!$C$6:$C$66,MATCH(R155,真品获取算法!D$6:D$66,1)),0)+付费投放!AG155,前期规划!D$8)</f>
        <v>9</v>
      </c>
      <c r="Y155" s="63">
        <f>MIN(IFERROR(INDEX(真品获取算法!$C$6:$C$66,MATCH(S155,真品获取算法!E$6:E$66,1)),0)+付费投放!AH155,前期规划!E$8)</f>
        <v>9</v>
      </c>
      <c r="Z155" s="63">
        <f>MIN(IFERROR(INDEX(真品获取算法!$C$6:$C$66,MATCH(T155,真品获取算法!F$6:F$66,1)),0)+付费投放!AI155,前期规划!F$8)</f>
        <v>27</v>
      </c>
      <c r="AA155" s="63">
        <f>MIN(IFERROR(INDEX(真品获取算法!$C$6:$C$66,MATCH(U155,真品获取算法!G$6:G$66,1)),0)+付费投放!AJ155,前期规划!G$8)</f>
        <v>20.9</v>
      </c>
      <c r="AB155" s="63">
        <f>MIN(IFERROR(INDEX(真品获取算法!$C$6:$C$66,MATCH(V155,真品获取算法!H$6:H$66,1)),0)+付费投放!AK155,前期规划!H$8)</f>
        <v>48</v>
      </c>
      <c r="AC155" s="63">
        <f>MIN(IFERROR(INDEX(真品获取算法!$C$6:$C$66,MATCH(W155,真品获取算法!I$6:I$66,1)),0)+付费投放!AL155,前期规划!I$8)</f>
        <v>2.1025925925925923</v>
      </c>
      <c r="AD155" s="63">
        <f t="shared" si="33"/>
        <v>1</v>
      </c>
      <c r="AE155" s="63">
        <f t="shared" si="27"/>
        <v>1</v>
      </c>
      <c r="AF155" s="63">
        <f t="shared" si="28"/>
        <v>1</v>
      </c>
      <c r="AG155" s="63">
        <f t="shared" si="29"/>
        <v>0.77407407407407403</v>
      </c>
      <c r="AH155" s="63">
        <f t="shared" si="30"/>
        <v>1.2764706838353055</v>
      </c>
      <c r="AI155" s="63">
        <f t="shared" si="31"/>
        <v>1.197539719819958</v>
      </c>
      <c r="AK155" s="60">
        <f>活动投放!AF155/U155</f>
        <v>0.21824965024094517</v>
      </c>
      <c r="AL155" s="60">
        <f>付费投放!AD155/U155</f>
        <v>0.78175034975905477</v>
      </c>
      <c r="AM155" s="60">
        <f>活动投放!AH155/W155</f>
        <v>0.5372299082854034</v>
      </c>
      <c r="AN155" s="60">
        <f>付费投放!AF155/W155</f>
        <v>0.4627700917145966</v>
      </c>
      <c r="AO155" s="60">
        <f>IFERROR(INDEX(真品获取算法!$C$6:$C$66,MATCH(U155,真品获取算法!G$6:G$66,1)),0)*AK155/(IFERROR(INDEX(真品获取算法!$C$6:$C$66,MATCH(U155,真品获取算法!G$6:G$66,1)),0)+付费投放!AJ155)</f>
        <v>0.19840877294631379</v>
      </c>
      <c r="AP155" s="60">
        <f>(付费投放!AJ155+IFERROR(INDEX(真品获取算法!$C$6:$C$66,MATCH(U155,真品获取算法!G$6:G$66,1)),0)*AL155)/(IFERROR(INDEX(真品获取算法!$C$6:$C$66,MATCH(U155,真品获取算法!G$6:G$66,1)),0)+付费投放!AJ155)</f>
        <v>0.80159122705368624</v>
      </c>
      <c r="AQ155" s="60">
        <f>IFERROR(INDEX(真品获取算法!$C$6:$C$66,MATCH(W155,真品获取算法!I$6:I$66,1)),0)*AM155/(IFERROR(INDEX(真品获取算法!$C$6:$C$66,MATCH(W155,真品获取算法!I$6:I$66,1)),0)+付费投放!AL155)</f>
        <v>0.25550832347553099</v>
      </c>
      <c r="AR155" s="60">
        <f>(付费投放!AL155+IFERROR(INDEX(真品获取算法!$C$6:$C$66,MATCH(W155,真品获取算法!I$6:I$66,1)),0)*AN155)/(IFERROR(INDEX(真品获取算法!$C$6:$C$66,MATCH(W155,真品获取算法!I$6:I$66,1)),0)+付费投放!AL155)</f>
        <v>0.74449167652446913</v>
      </c>
    </row>
    <row r="156" spans="3:44" x14ac:dyDescent="0.15">
      <c r="C156" s="29">
        <f t="shared" si="34"/>
        <v>300</v>
      </c>
      <c r="D156" s="18">
        <f>求节点(节奏总纲!$G$4:$G$163,节奏总纲!$C$4:$C$163,$C156)</f>
        <v>92.422409073065808</v>
      </c>
      <c r="E156" s="18">
        <f>IFERROR(求节点(前期规划!$F$13:$F$23,前期规划!$B$13:$B$23,D156),0)</f>
        <v>14.985892558739238</v>
      </c>
      <c r="F156" s="63">
        <f>IFERROR(求节点(前期规划!$C$28:$C$35,前期规划!D$28:D$35,$D156),0)</f>
        <v>9</v>
      </c>
      <c r="G156" s="63">
        <f>IFERROR(求节点(前期规划!$C$28:$C$35,前期规划!E$28:E$35,$D156),0)</f>
        <v>9</v>
      </c>
      <c r="H156" s="63">
        <f>IFERROR(求节点(前期规划!$C$28:$C$35,前期规划!F$28:F$35,$D156),0)</f>
        <v>27</v>
      </c>
      <c r="I156" s="63">
        <f>IFERROR(求节点(前期规划!$C$28:$C$35,前期规划!G$28:G$35,$D156),0)</f>
        <v>27</v>
      </c>
      <c r="J156" s="63">
        <f>IFERROR(求节点(前期规划!$C$28:$C$35,前期规划!H$28:H$35,$D156),0)</f>
        <v>46.081008994555361</v>
      </c>
      <c r="K156" s="63">
        <f>IFERROR(求节点(前期规划!$C$28:$C$35,前期规划!I$28:I$35,$D156),0)</f>
        <v>2.2267227219197423</v>
      </c>
      <c r="L156" s="63">
        <f>MIN($E156-SUM(M156:$Q156),F156)</f>
        <v>0</v>
      </c>
      <c r="M156" s="63">
        <f>MIN($E156-SUM(N156:$Q156),G156)</f>
        <v>0</v>
      </c>
      <c r="N156" s="63">
        <f>MIN($E156-SUM(O156:$Q156),H156)</f>
        <v>0</v>
      </c>
      <c r="O156" s="63">
        <f>MIN($E156-SUM(P156:$Q156),I156)</f>
        <v>0</v>
      </c>
      <c r="P156" s="63">
        <f>MIN($E156-SUM(Q156:$Q156),J156)</f>
        <v>12.759169836819495</v>
      </c>
      <c r="Q156" s="69">
        <f t="shared" si="32"/>
        <v>2.2267227219197423</v>
      </c>
      <c r="R156" s="64">
        <f>活动投放!AC156+付费投放!AA156</f>
        <v>177.5</v>
      </c>
      <c r="S156" s="64">
        <f>活动投放!AD156+付费投放!AB156</f>
        <v>177.5</v>
      </c>
      <c r="T156" s="64">
        <f>活动投放!AE156+付费投放!AC156</f>
        <v>277.7833333333333</v>
      </c>
      <c r="U156" s="64">
        <f>活动投放!AF156+付费投放!AD156</f>
        <v>119.04999999999995</v>
      </c>
      <c r="V156" s="64">
        <f>活动投放!AG156+付费投放!AE156</f>
        <v>131.04999999999998</v>
      </c>
      <c r="W156" s="64">
        <f>活动投放!AH156+付费投放!AF156</f>
        <v>14.561111111111112</v>
      </c>
      <c r="X156" s="63">
        <f>MIN(IFERROR(INDEX(真品获取算法!$C$6:$C$66,MATCH(R156,真品获取算法!D$6:D$66,1)),0)+付费投放!AG156,前期规划!D$8)</f>
        <v>9</v>
      </c>
      <c r="Y156" s="63">
        <f>MIN(IFERROR(INDEX(真品获取算法!$C$6:$C$66,MATCH(S156,真品获取算法!E$6:E$66,1)),0)+付费投放!AH156,前期规划!E$8)</f>
        <v>9</v>
      </c>
      <c r="Z156" s="63">
        <f>MIN(IFERROR(INDEX(真品获取算法!$C$6:$C$66,MATCH(T156,真品获取算法!F$6:F$66,1)),0)+付费投放!AI156,前期规划!F$8)</f>
        <v>27</v>
      </c>
      <c r="AA156" s="63">
        <f>MIN(IFERROR(INDEX(真品获取算法!$C$6:$C$66,MATCH(U156,真品获取算法!G$6:G$66,1)),0)+付费投放!AJ156,前期规划!G$8)</f>
        <v>21.966666666666669</v>
      </c>
      <c r="AB156" s="63">
        <f>MIN(IFERROR(INDEX(真品获取算法!$C$6:$C$66,MATCH(V156,真品获取算法!H$6:H$66,1)),0)+付费投放!AK156,前期规划!H$8)</f>
        <v>52</v>
      </c>
      <c r="AC156" s="63">
        <f>MIN(IFERROR(INDEX(真品获取算法!$C$6:$C$66,MATCH(W156,真品获取算法!I$6:I$66,1)),0)+付费投放!AL156,前期规划!I$8)</f>
        <v>2.2722222222222221</v>
      </c>
      <c r="AD156" s="63">
        <f t="shared" si="33"/>
        <v>1</v>
      </c>
      <c r="AE156" s="63">
        <f t="shared" si="27"/>
        <v>1</v>
      </c>
      <c r="AF156" s="63">
        <f t="shared" si="28"/>
        <v>1</v>
      </c>
      <c r="AG156" s="63">
        <f t="shared" si="29"/>
        <v>0.81358024691358033</v>
      </c>
      <c r="AH156" s="63">
        <f t="shared" si="30"/>
        <v>1.1284475130773284</v>
      </c>
      <c r="AI156" s="63">
        <f t="shared" si="31"/>
        <v>1.0204333929207194</v>
      </c>
      <c r="AK156" s="60">
        <f>活动投放!AF156/U156</f>
        <v>0.22175556488870229</v>
      </c>
      <c r="AL156" s="60">
        <f>付费投放!AD156/U156</f>
        <v>0.77824443511129771</v>
      </c>
      <c r="AM156" s="60">
        <f>活动投放!AH156/W156</f>
        <v>0.56314383822968339</v>
      </c>
      <c r="AN156" s="60">
        <f>付费投放!AF156/W156</f>
        <v>0.43685616177031661</v>
      </c>
      <c r="AO156" s="60">
        <f>IFERROR(INDEX(真品获取算法!$C$6:$C$66,MATCH(U156,真品获取算法!G$6:G$66,1)),0)*AK156/(IFERROR(INDEX(真品获取算法!$C$6:$C$66,MATCH(U156,真品获取算法!G$6:G$66,1)),0)+付费投放!AJ156)</f>
        <v>0.20190188002006279</v>
      </c>
      <c r="AP156" s="60">
        <f>(付费投放!AJ156+IFERROR(INDEX(真品获取算法!$C$6:$C$66,MATCH(U156,真品获取算法!G$6:G$66,1)),0)*AL156)/(IFERROR(INDEX(真品获取算法!$C$6:$C$66,MATCH(U156,真品获取算法!G$6:G$66,1)),0)+付费投放!AJ156)</f>
        <v>0.79809811997993707</v>
      </c>
      <c r="AQ156" s="60">
        <f>IFERROR(INDEX(真品获取算法!$C$6:$C$66,MATCH(W156,真品获取算法!I$6:I$66,1)),0)*AM156/(IFERROR(INDEX(真品获取算法!$C$6:$C$66,MATCH(W156,真品获取算法!I$6:I$66,1)),0)+付费投放!AL156)</f>
        <v>0.24783836401306361</v>
      </c>
      <c r="AR156" s="60">
        <f>(付费投放!AL156+IFERROR(INDEX(真品获取算法!$C$6:$C$66,MATCH(W156,真品获取算法!I$6:I$66,1)),0)*AN156)/(IFERROR(INDEX(真品获取算法!$C$6:$C$66,MATCH(W156,真品获取算法!I$6:I$66,1)),0)+付费投放!AL156)</f>
        <v>0.75216163598693642</v>
      </c>
    </row>
    <row r="157" spans="3:44" x14ac:dyDescent="0.15">
      <c r="C157" s="29">
        <f t="shared" si="34"/>
        <v>360</v>
      </c>
      <c r="D157" s="18">
        <f>求节点(节奏总纲!$G$4:$G$163,节奏总纲!$C$4:$C$163,$C157)</f>
        <v>95.182038399947245</v>
      </c>
      <c r="E157" s="18">
        <f>IFERROR(求节点(前期规划!$F$13:$F$23,前期规划!$B$13:$B$23,D157),0)</f>
        <v>15.487643345444955</v>
      </c>
      <c r="F157" s="63">
        <f>IFERROR(求节点(前期规划!$C$28:$C$35,前期规划!D$28:D$35,$D157),0)</f>
        <v>9</v>
      </c>
      <c r="G157" s="63">
        <f>IFERROR(求节点(前期规划!$C$28:$C$35,前期规划!E$28:E$35,$D157),0)</f>
        <v>9</v>
      </c>
      <c r="H157" s="63">
        <f>IFERROR(求节点(前期规划!$C$28:$C$35,前期规划!F$28:F$35,$D157),0)</f>
        <v>27</v>
      </c>
      <c r="I157" s="63">
        <f>IFERROR(求节点(前期规划!$C$28:$C$35,前期规划!G$28:G$35,$D157),0)</f>
        <v>27</v>
      </c>
      <c r="J157" s="63">
        <f>IFERROR(求节点(前期规划!$C$28:$C$35,前期规划!H$28:H$35,$D157),0)</f>
        <v>60</v>
      </c>
      <c r="K157" s="63">
        <f>IFERROR(求节点(前期规划!$C$28:$C$35,前期规划!I$28:I$35,$D157),0)</f>
        <v>3.1092230399683474</v>
      </c>
      <c r="L157" s="63">
        <f>MIN($E157-SUM(M157:$Q157),F157)</f>
        <v>0</v>
      </c>
      <c r="M157" s="63">
        <f>MIN($E157-SUM(N157:$Q157),G157)</f>
        <v>0</v>
      </c>
      <c r="N157" s="63">
        <f>MIN($E157-SUM(O157:$Q157),H157)</f>
        <v>0</v>
      </c>
      <c r="O157" s="63">
        <f>MIN($E157-SUM(P157:$Q157),I157)</f>
        <v>0</v>
      </c>
      <c r="P157" s="63">
        <f>MIN($E157-SUM(Q157:$Q157),J157)</f>
        <v>12.378420305476608</v>
      </c>
      <c r="Q157" s="69">
        <f t="shared" si="32"/>
        <v>3.1092230399683474</v>
      </c>
      <c r="R157" s="64">
        <f>活动投放!AC157+付费投放!AA157</f>
        <v>193.5</v>
      </c>
      <c r="S157" s="64">
        <f>活动投放!AD157+付费投放!AB157</f>
        <v>193.5</v>
      </c>
      <c r="T157" s="64">
        <f>活动投放!AE157+付费投放!AC157</f>
        <v>333.00555555555559</v>
      </c>
      <c r="U157" s="64">
        <f>活动投放!AF157+付费投放!AD157</f>
        <v>142.71666666666664</v>
      </c>
      <c r="V157" s="64">
        <f>活动投放!AG157+付费投放!AE157</f>
        <v>182.31666666666666</v>
      </c>
      <c r="W157" s="64">
        <f>活动投放!AH157+付费投放!AF157</f>
        <v>20.257407407407406</v>
      </c>
      <c r="X157" s="63">
        <f>MIN(IFERROR(INDEX(真品获取算法!$C$6:$C$66,MATCH(R157,真品获取算法!D$6:D$66,1)),0)+付费投放!AG157,前期规划!D$8)</f>
        <v>9</v>
      </c>
      <c r="Y157" s="63">
        <f>MIN(IFERROR(INDEX(真品获取算法!$C$6:$C$66,MATCH(S157,真品获取算法!E$6:E$66,1)),0)+付费投放!AH157,前期规划!E$8)</f>
        <v>9</v>
      </c>
      <c r="Z157" s="63">
        <f>MIN(IFERROR(INDEX(真品获取算法!$C$6:$C$66,MATCH(T157,真品获取算法!F$6:F$66,1)),0)+付费投放!AI157,前期规划!F$8)</f>
        <v>27</v>
      </c>
      <c r="AA157" s="63">
        <f>MIN(IFERROR(INDEX(真品获取算法!$C$6:$C$66,MATCH(U157,真品获取算法!G$6:G$66,1)),0)+付费投放!AJ157,前期规划!G$8)</f>
        <v>23.1</v>
      </c>
      <c r="AB157" s="63">
        <f>MIN(IFERROR(INDEX(真品获取算法!$C$6:$C$66,MATCH(V157,真品获取算法!H$6:H$66,1)),0)+付费投放!AK157,前期规划!H$8)</f>
        <v>56</v>
      </c>
      <c r="AC157" s="63">
        <f>MIN(IFERROR(INDEX(真品获取算法!$C$6:$C$66,MATCH(W157,真品获取算法!I$6:I$66,1)),0)+付费投放!AL157,前期规划!I$8)</f>
        <v>3.6114814814814813</v>
      </c>
      <c r="AD157" s="63">
        <f t="shared" si="33"/>
        <v>1</v>
      </c>
      <c r="AE157" s="63">
        <f t="shared" si="27"/>
        <v>1</v>
      </c>
      <c r="AF157" s="63">
        <f t="shared" si="28"/>
        <v>1</v>
      </c>
      <c r="AG157" s="63">
        <f t="shared" si="29"/>
        <v>0.85555555555555562</v>
      </c>
      <c r="AH157" s="63">
        <f t="shared" si="30"/>
        <v>0.93333333333333335</v>
      </c>
      <c r="AI157" s="63">
        <f t="shared" si="31"/>
        <v>1.1615382476769009</v>
      </c>
      <c r="AK157" s="60">
        <f>活动投放!AF157/U157</f>
        <v>0.22702323951886025</v>
      </c>
      <c r="AL157" s="60">
        <f>付费投放!AD157/U157</f>
        <v>0.77297676048113972</v>
      </c>
      <c r="AM157" s="60">
        <f>活动投放!AH157/W157</f>
        <v>0.60224883444556188</v>
      </c>
      <c r="AN157" s="60">
        <f>付费投放!AF157/W157</f>
        <v>0.39775116555443824</v>
      </c>
      <c r="AO157" s="60">
        <f>IFERROR(INDEX(真品获取算法!$C$6:$C$66,MATCH(U157,真品获取算法!G$6:G$66,1)),0)*AK157/(IFERROR(INDEX(真品获取算法!$C$6:$C$66,MATCH(U157,真品获取算法!G$6:G$66,1)),0)+付费投放!AJ157)</f>
        <v>0.20638476319896384</v>
      </c>
      <c r="AP157" s="60">
        <f>(付费投放!AJ157+IFERROR(INDEX(真品获取算法!$C$6:$C$66,MATCH(U157,真品获取算法!G$6:G$66,1)),0)*AL157)/(IFERROR(INDEX(真品获取算法!$C$6:$C$66,MATCH(U157,真品获取算法!G$6:G$66,1)),0)+付费投放!AJ157)</f>
        <v>0.79361523680103618</v>
      </c>
      <c r="AQ157" s="60">
        <f>IFERROR(INDEX(真品获取算法!$C$6:$C$66,MATCH(W157,真品获取算法!I$6:I$66,1)),0)*AM157/(IFERROR(INDEX(真品获取算法!$C$6:$C$66,MATCH(W157,真品获取算法!I$6:I$66,1)),0)+付费投放!AL157)</f>
        <v>0.33351899353974301</v>
      </c>
      <c r="AR157" s="60">
        <f>(付费投放!AL157+IFERROR(INDEX(真品获取算法!$C$6:$C$66,MATCH(W157,真品获取算法!I$6:I$66,1)),0)*AN157)/(IFERROR(INDEX(真品获取算法!$C$6:$C$66,MATCH(W157,真品获取算法!I$6:I$66,1)),0)+付费投放!AL157)</f>
        <v>0.6664810064602571</v>
      </c>
    </row>
    <row r="158" spans="3:44" x14ac:dyDescent="0.15">
      <c r="C158" s="29">
        <f t="shared" si="34"/>
        <v>420</v>
      </c>
      <c r="D158" s="18">
        <f>求节点(节奏总纲!$G$4:$G$163,节奏总纲!$C$4:$C$163,$C158)</f>
        <v>97.317333988949088</v>
      </c>
      <c r="E158" s="18">
        <f>IFERROR(求节点(前期规划!$F$13:$F$23,前期规划!$B$13:$B$23,D158),0)</f>
        <v>15.875878907081653</v>
      </c>
      <c r="F158" s="63">
        <f>IFERROR(求节点(前期规划!$C$28:$C$35,前期规划!D$28:D$35,$D158),0)</f>
        <v>9</v>
      </c>
      <c r="G158" s="63">
        <f>IFERROR(求节点(前期规划!$C$28:$C$35,前期规划!E$28:E$35,$D158),0)</f>
        <v>9</v>
      </c>
      <c r="H158" s="63">
        <f>IFERROR(求节点(前期规划!$C$28:$C$35,前期规划!F$28:F$35,$D158),0)</f>
        <v>27</v>
      </c>
      <c r="I158" s="63">
        <f>IFERROR(求节点(前期规划!$C$28:$C$35,前期规划!G$28:G$35,$D158),0)</f>
        <v>27</v>
      </c>
      <c r="J158" s="63">
        <f>IFERROR(求节点(前期规划!$C$28:$C$35,前期规划!H$28:H$35,$D158),0)</f>
        <v>60</v>
      </c>
      <c r="K158" s="63">
        <f>IFERROR(求节点(前期规划!$C$28:$C$35,前期规划!I$28:I$35,$D158),0)</f>
        <v>4.3904003933694522</v>
      </c>
      <c r="L158" s="63">
        <f>MIN($E158-SUM(M158:$Q158),F158)</f>
        <v>0</v>
      </c>
      <c r="M158" s="63">
        <f>MIN($E158-SUM(N158:$Q158),G158)</f>
        <v>0</v>
      </c>
      <c r="N158" s="63">
        <f>MIN($E158-SUM(O158:$Q158),H158)</f>
        <v>0</v>
      </c>
      <c r="O158" s="63">
        <f>MIN($E158-SUM(P158:$Q158),I158)</f>
        <v>0</v>
      </c>
      <c r="P158" s="63">
        <f>MIN($E158-SUM(Q158:$Q158),J158)</f>
        <v>11.4854785137122</v>
      </c>
      <c r="Q158" s="69">
        <f t="shared" si="32"/>
        <v>4.3904003933694522</v>
      </c>
      <c r="R158" s="64">
        <f>活动投放!AC158+付费投放!AA158</f>
        <v>209.5</v>
      </c>
      <c r="S158" s="64">
        <f>活动投放!AD158+付费投放!AB158</f>
        <v>209.5</v>
      </c>
      <c r="T158" s="64">
        <f>活动投放!AE158+付费投放!AC158</f>
        <v>388.22777777777776</v>
      </c>
      <c r="U158" s="64">
        <f>活动投放!AF158+付费投放!AD158</f>
        <v>166.3833333333333</v>
      </c>
      <c r="V158" s="64">
        <f>活动投放!AG158+付费投放!AE158</f>
        <v>237.18333333333334</v>
      </c>
      <c r="W158" s="64">
        <f>活动投放!AH158+付费投放!AF158</f>
        <v>26.353703703703705</v>
      </c>
      <c r="X158" s="63">
        <f>MIN(IFERROR(INDEX(真品获取算法!$C$6:$C$66,MATCH(R158,真品获取算法!D$6:D$66,1)),0)+付费投放!AG158,前期规划!D$8)</f>
        <v>9</v>
      </c>
      <c r="Y158" s="63">
        <f>MIN(IFERROR(INDEX(真品获取算法!$C$6:$C$66,MATCH(S158,真品获取算法!E$6:E$66,1)),0)+付费投放!AH158,前期规划!E$8)</f>
        <v>9</v>
      </c>
      <c r="Z158" s="63">
        <f>MIN(IFERROR(INDEX(真品获取算法!$C$6:$C$66,MATCH(T158,真品获取算法!F$6:F$66,1)),0)+付费投放!AI158,前期规划!F$8)</f>
        <v>27</v>
      </c>
      <c r="AA158" s="63">
        <f>MIN(IFERROR(INDEX(真品获取算法!$C$6:$C$66,MATCH(U158,真品获取算法!G$6:G$66,1)),0)+付费投放!AJ158,前期规划!G$8)</f>
        <v>25.233333333333334</v>
      </c>
      <c r="AB158" s="63">
        <f>MIN(IFERROR(INDEX(真品获取算法!$C$6:$C$66,MATCH(V158,真品获取算法!H$6:H$66,1)),0)+付费投放!AK158,前期规划!H$8)</f>
        <v>58</v>
      </c>
      <c r="AC158" s="63">
        <f>MIN(IFERROR(INDEX(真品获取算法!$C$6:$C$66,MATCH(W158,真品获取算法!I$6:I$66,1)),0)+付费投放!AL158,前期规划!I$8)</f>
        <v>3.9507407407407404</v>
      </c>
      <c r="AD158" s="63">
        <f t="shared" si="33"/>
        <v>1</v>
      </c>
      <c r="AE158" s="63">
        <f t="shared" si="27"/>
        <v>1</v>
      </c>
      <c r="AF158" s="63">
        <f t="shared" si="28"/>
        <v>1</v>
      </c>
      <c r="AG158" s="63">
        <f t="shared" si="29"/>
        <v>0.9345679012345679</v>
      </c>
      <c r="AH158" s="63">
        <f t="shared" si="30"/>
        <v>0.96666666666666667</v>
      </c>
      <c r="AI158" s="63">
        <f t="shared" si="31"/>
        <v>0.89985887089188898</v>
      </c>
      <c r="AK158" s="60">
        <f>活动投放!AF158/U158</f>
        <v>0.23079234698988285</v>
      </c>
      <c r="AL158" s="60">
        <f>付费投放!AD158/U158</f>
        <v>0.76920765301011707</v>
      </c>
      <c r="AM158" s="60">
        <f>活动投放!AH158/W158</f>
        <v>0.62989248822992061</v>
      </c>
      <c r="AN158" s="60">
        <f>付费投放!AF158/W158</f>
        <v>0.37010751177007939</v>
      </c>
      <c r="AO158" s="60">
        <f>IFERROR(INDEX(真品获取算法!$C$6:$C$66,MATCH(U158,真品获取算法!G$6:G$66,1)),0)*AK158/(IFERROR(INDEX(真品获取算法!$C$6:$C$66,MATCH(U158,真品获取算法!G$6:G$66,1)),0)+付费投放!AJ158)</f>
        <v>0.21036554745445069</v>
      </c>
      <c r="AP158" s="60">
        <f>(付费投放!AJ158+IFERROR(INDEX(真品获取算法!$C$6:$C$66,MATCH(U158,真品获取算法!G$6:G$66,1)),0)*AL158)/(IFERROR(INDEX(真品获取算法!$C$6:$C$66,MATCH(U158,真品获取算法!G$6:G$66,1)),0)+付费投放!AJ158)</f>
        <v>0.7896344525455492</v>
      </c>
      <c r="AQ158" s="60">
        <f>IFERROR(INDEX(真品获取算法!$C$6:$C$66,MATCH(W158,真品获取算法!I$6:I$66,1)),0)*AM158/(IFERROR(INDEX(真品获取算法!$C$6:$C$66,MATCH(W158,真品获取算法!I$6:I$66,1)),0)+付费投放!AL158)</f>
        <v>0.31887310738179164</v>
      </c>
      <c r="AR158" s="60">
        <f>(付费投放!AL158+IFERROR(INDEX(真品获取算法!$C$6:$C$66,MATCH(W158,真品获取算法!I$6:I$66,1)),0)*AN158)/(IFERROR(INDEX(真品获取算法!$C$6:$C$66,MATCH(W158,真品获取算法!I$6:I$66,1)),0)+付费投放!AL158)</f>
        <v>0.68112689261820836</v>
      </c>
    </row>
    <row r="159" spans="3:44" x14ac:dyDescent="0.15">
      <c r="C159" s="29">
        <f t="shared" si="34"/>
        <v>480</v>
      </c>
      <c r="D159" s="18">
        <f>求节点(节奏总纲!$G$4:$G$163,节奏总纲!$C$4:$C$163,$C159)</f>
        <v>99.140144664710178</v>
      </c>
      <c r="E159" s="18">
        <f>IFERROR(求节点(前期规划!$F$13:$F$23,前期规划!$B$13:$B$23,D159),0)</f>
        <v>16.190024110785028</v>
      </c>
      <c r="F159" s="63">
        <f>IFERROR(求节点(前期规划!$C$28:$C$35,前期规划!D$28:D$35,$D159),0)</f>
        <v>9</v>
      </c>
      <c r="G159" s="63">
        <f>IFERROR(求节点(前期规划!$C$28:$C$35,前期规划!E$28:E$35,$D159),0)</f>
        <v>9</v>
      </c>
      <c r="H159" s="63">
        <f>IFERROR(求节点(前期规划!$C$28:$C$35,前期规划!F$28:F$35,$D159),0)</f>
        <v>27</v>
      </c>
      <c r="I159" s="63">
        <f>IFERROR(求节点(前期规划!$C$28:$C$35,前期规划!G$28:G$35,$D159),0)</f>
        <v>27</v>
      </c>
      <c r="J159" s="63">
        <f>IFERROR(求节点(前期规划!$C$28:$C$35,前期规划!H$28:H$35,$D159),0)</f>
        <v>60</v>
      </c>
      <c r="K159" s="63">
        <f>IFERROR(求节点(前期规划!$C$28:$C$35,前期规划!I$28:I$35,$D159),0)</f>
        <v>5.4840867988261071</v>
      </c>
      <c r="L159" s="63">
        <f>MIN($E159-SUM(M159:$Q159),F159)</f>
        <v>0</v>
      </c>
      <c r="M159" s="63">
        <f>MIN($E159-SUM(N159:$Q159),G159)</f>
        <v>0</v>
      </c>
      <c r="N159" s="63">
        <f>MIN($E159-SUM(O159:$Q159),H159)</f>
        <v>0</v>
      </c>
      <c r="O159" s="63">
        <f>MIN($E159-SUM(P159:$Q159),I159)</f>
        <v>0</v>
      </c>
      <c r="P159" s="63">
        <f>MIN($E159-SUM(Q159:$Q159),J159)</f>
        <v>10.705937311958921</v>
      </c>
      <c r="Q159" s="69">
        <f t="shared" si="32"/>
        <v>5.4840867988261071</v>
      </c>
      <c r="R159" s="64">
        <f>活动投放!AC159+付费投放!AA159</f>
        <v>225.5</v>
      </c>
      <c r="S159" s="64">
        <f>活动投放!AD159+付费投放!AB159</f>
        <v>225.5</v>
      </c>
      <c r="T159" s="64">
        <f>活动投放!AE159+付费投放!AC159</f>
        <v>443.45000000000005</v>
      </c>
      <c r="U159" s="64">
        <f>活动投放!AF159+付费投放!AD159</f>
        <v>190.04999999999995</v>
      </c>
      <c r="V159" s="64">
        <f>活动投放!AG159+付费投放!AE159</f>
        <v>292.04999999999995</v>
      </c>
      <c r="W159" s="64">
        <f>活动投放!AH159+付费投放!AF159</f>
        <v>32.450000000000003</v>
      </c>
      <c r="X159" s="63">
        <f>MIN(IFERROR(INDEX(真品获取算法!$C$6:$C$66,MATCH(R159,真品获取算法!D$6:D$66,1)),0)+付费投放!AG159,前期规划!D$8)</f>
        <v>9</v>
      </c>
      <c r="Y159" s="63">
        <f>MIN(IFERROR(INDEX(真品获取算法!$C$6:$C$66,MATCH(S159,真品获取算法!E$6:E$66,1)),0)+付费投放!AH159,前期规划!E$8)</f>
        <v>9</v>
      </c>
      <c r="Z159" s="63">
        <f>MIN(IFERROR(INDEX(真品获取算法!$C$6:$C$66,MATCH(T159,真品获取算法!F$6:F$66,1)),0)+付费投放!AI159,前期规划!F$8)</f>
        <v>27</v>
      </c>
      <c r="AA159" s="63">
        <f>MIN(IFERROR(INDEX(真品获取算法!$C$6:$C$66,MATCH(U159,真品获取算法!G$6:G$66,1)),0)+付费投放!AJ159,前期规划!G$8)</f>
        <v>26.366666666666667</v>
      </c>
      <c r="AB159" s="63">
        <f>MIN(IFERROR(INDEX(真品获取算法!$C$6:$C$66,MATCH(V159,真品获取算法!H$6:H$66,1)),0)+付费投放!AK159,前期规划!H$8)</f>
        <v>59</v>
      </c>
      <c r="AC159" s="63">
        <f>MIN(IFERROR(INDEX(真品获取算法!$C$6:$C$66,MATCH(W159,真品获取算法!I$6:I$66,1)),0)+付费投放!AL159,前期规划!I$8)</f>
        <v>5.2899999999999991</v>
      </c>
      <c r="AD159" s="63">
        <f t="shared" si="33"/>
        <v>1</v>
      </c>
      <c r="AE159" s="63">
        <f t="shared" si="27"/>
        <v>1</v>
      </c>
      <c r="AF159" s="63">
        <f t="shared" si="28"/>
        <v>1</v>
      </c>
      <c r="AG159" s="63">
        <f t="shared" si="29"/>
        <v>0.97654320987654319</v>
      </c>
      <c r="AH159" s="63">
        <f t="shared" si="30"/>
        <v>0.98333333333333328</v>
      </c>
      <c r="AI159" s="63">
        <f t="shared" si="31"/>
        <v>0.9646090942857336</v>
      </c>
      <c r="AK159" s="60">
        <f>活动投放!AF159/U159</f>
        <v>0.23362273086029997</v>
      </c>
      <c r="AL159" s="60">
        <f>付费投放!AD159/U159</f>
        <v>0.76637726913969995</v>
      </c>
      <c r="AM159" s="60">
        <f>活动投放!AH159/W159</f>
        <v>0.64714946070878265</v>
      </c>
      <c r="AN159" s="60">
        <f>付费投放!AF159/W159</f>
        <v>0.35285053929121718</v>
      </c>
      <c r="AO159" s="60">
        <f>IFERROR(INDEX(真品获取算法!$C$6:$C$66,MATCH(U159,真品获取算法!G$6:G$66,1)),0)*AK159/(IFERROR(INDEX(真品获取算法!$C$6:$C$66,MATCH(U159,真品获取算法!G$6:G$66,1)),0)+付费投放!AJ159)</f>
        <v>0.21265280179445761</v>
      </c>
      <c r="AP159" s="60">
        <f>(付费投放!AJ159+IFERROR(INDEX(真品获取算法!$C$6:$C$66,MATCH(U159,真品获取算法!G$6:G$66,1)),0)*AL159)/(IFERROR(INDEX(真品获取算法!$C$6:$C$66,MATCH(U159,真品获取算法!G$6:G$66,1)),0)+付费投放!AJ159)</f>
        <v>0.78734719820554222</v>
      </c>
      <c r="AQ159" s="60">
        <f>IFERROR(INDEX(真品获取算法!$C$6:$C$66,MATCH(W159,真品获取算法!I$6:I$66,1)),0)*AM159/(IFERROR(INDEX(真品获取算法!$C$6:$C$66,MATCH(W159,真品获取算法!I$6:I$66,1)),0)+付费投放!AL159)</f>
        <v>0.36700347488210744</v>
      </c>
      <c r="AR159" s="60">
        <f>(付费投放!AL159+IFERROR(INDEX(真品获取算法!$C$6:$C$66,MATCH(W159,真品获取算法!I$6:I$66,1)),0)*AN159)/(IFERROR(INDEX(真品获取算法!$C$6:$C$66,MATCH(W159,真品获取算法!I$6:I$66,1)),0)+付费投放!AL159)</f>
        <v>0.63299652511789262</v>
      </c>
    </row>
    <row r="160" spans="3:44" x14ac:dyDescent="0.15">
      <c r="C160" s="29">
        <f t="shared" si="34"/>
        <v>540</v>
      </c>
      <c r="D160" s="18">
        <f>求节点(节奏总纲!$G$4:$G$163,节奏总纲!$C$4:$C$163,$C160)</f>
        <v>100.94083826848818</v>
      </c>
      <c r="E160" s="18">
        <f>IFERROR(求节点(前期规划!$F$13:$F$23,前期规划!$B$13:$B$23,D160),0)</f>
        <v>16.490139711414695</v>
      </c>
      <c r="F160" s="63">
        <f>IFERROR(求节点(前期规划!$C$28:$C$35,前期规划!D$28:D$35,$D160),0)</f>
        <v>9</v>
      </c>
      <c r="G160" s="63">
        <f>IFERROR(求节点(前期规划!$C$28:$C$35,前期规划!E$28:E$35,$D160),0)</f>
        <v>9</v>
      </c>
      <c r="H160" s="63">
        <f>IFERROR(求节点(前期规划!$C$28:$C$35,前期规划!F$28:F$35,$D160),0)</f>
        <v>27</v>
      </c>
      <c r="I160" s="63">
        <f>IFERROR(求节点(前期规划!$C$28:$C$35,前期规划!G$28:G$35,$D160),0)</f>
        <v>27</v>
      </c>
      <c r="J160" s="63">
        <f>IFERROR(求节点(前期规划!$C$28:$C$35,前期规划!H$28:H$35,$D160),0)</f>
        <v>60</v>
      </c>
      <c r="K160" s="63">
        <f>IFERROR(求节点(前期规划!$C$28:$C$35,前期规划!I$28:I$35,$D160),0)</f>
        <v>6.5645029610929075</v>
      </c>
      <c r="L160" s="63">
        <f>MIN($E160-SUM(M160:$Q160),F160)</f>
        <v>0</v>
      </c>
      <c r="M160" s="63">
        <f>MIN($E160-SUM(N160:$Q160),G160)</f>
        <v>0</v>
      </c>
      <c r="N160" s="63">
        <f>MIN($E160-SUM(O160:$Q160),H160)</f>
        <v>0</v>
      </c>
      <c r="O160" s="63">
        <f>MIN($E160-SUM(P160:$Q160),I160)</f>
        <v>0</v>
      </c>
      <c r="P160" s="63">
        <f>MIN($E160-SUM(Q160:$Q160),J160)</f>
        <v>9.9256367503217877</v>
      </c>
      <c r="Q160" s="69">
        <f t="shared" si="32"/>
        <v>6.5645029610929075</v>
      </c>
      <c r="R160" s="64">
        <f>活动投放!AC160+付费投放!AA160</f>
        <v>241.5</v>
      </c>
      <c r="S160" s="64">
        <f>活动投放!AD160+付费投放!AB160</f>
        <v>241.5</v>
      </c>
      <c r="T160" s="64">
        <f>活动投放!AE160+付费投放!AC160</f>
        <v>498.67222222222222</v>
      </c>
      <c r="U160" s="64">
        <f>活动投放!AF160+付费投放!AD160</f>
        <v>213.71666666666661</v>
      </c>
      <c r="V160" s="64">
        <f>活动投放!AG160+付费投放!AE160</f>
        <v>350.51666666666665</v>
      </c>
      <c r="W160" s="64">
        <f>活动投放!AH160+付费投放!AF160</f>
        <v>38.946296296296296</v>
      </c>
      <c r="X160" s="63">
        <f>MIN(IFERROR(INDEX(真品获取算法!$C$6:$C$66,MATCH(R160,真品获取算法!D$6:D$66,1)),0)+付费投放!AG160,前期规划!D$8)</f>
        <v>9</v>
      </c>
      <c r="Y160" s="63">
        <f>MIN(IFERROR(INDEX(真品获取算法!$C$6:$C$66,MATCH(S160,真品获取算法!E$6:E$66,1)),0)+付费投放!AH160,前期规划!E$8)</f>
        <v>9</v>
      </c>
      <c r="Z160" s="63">
        <f>MIN(IFERROR(INDEX(真品获取算法!$C$6:$C$66,MATCH(T160,真品获取算法!F$6:F$66,1)),0)+付费投放!AI160,前期规划!F$8)</f>
        <v>27</v>
      </c>
      <c r="AA160" s="63">
        <f>MIN(IFERROR(INDEX(真品获取算法!$C$6:$C$66,MATCH(U160,真品获取算法!G$6:G$66,1)),0)+付费投放!AJ160,前期规划!G$8)</f>
        <v>26.5</v>
      </c>
      <c r="AB160" s="63">
        <f>MIN(IFERROR(INDEX(真品获取算法!$C$6:$C$66,MATCH(V160,真品获取算法!H$6:H$66,1)),0)+付费投放!AK160,前期规划!H$8)</f>
        <v>60</v>
      </c>
      <c r="AC160" s="63">
        <f>MIN(IFERROR(INDEX(真品获取算法!$C$6:$C$66,MATCH(W160,真品获取算法!I$6:I$66,1)),0)+付费投放!AL160,前期规划!I$8)</f>
        <v>5.6292592592592587</v>
      </c>
      <c r="AD160" s="63">
        <f t="shared" si="33"/>
        <v>1</v>
      </c>
      <c r="AE160" s="63">
        <f t="shared" si="27"/>
        <v>1</v>
      </c>
      <c r="AF160" s="63">
        <f t="shared" si="28"/>
        <v>1</v>
      </c>
      <c r="AG160" s="63">
        <f t="shared" si="29"/>
        <v>0.98148148148148151</v>
      </c>
      <c r="AH160" s="63">
        <f t="shared" si="30"/>
        <v>1</v>
      </c>
      <c r="AI160" s="63">
        <f t="shared" si="31"/>
        <v>0.8575301576712302</v>
      </c>
      <c r="AK160" s="60">
        <f>活动投放!AF160/U160</f>
        <v>0.23582624970755678</v>
      </c>
      <c r="AL160" s="60">
        <f>付费投放!AD160/U160</f>
        <v>0.76417375029244317</v>
      </c>
      <c r="AM160" s="60">
        <f>活动投放!AH160/W160</f>
        <v>0.66245066806143316</v>
      </c>
      <c r="AN160" s="60">
        <f>付费投放!AF160/W160</f>
        <v>0.33754933193856684</v>
      </c>
      <c r="AO160" s="60">
        <f>IFERROR(INDEX(真品获取算法!$C$6:$C$66,MATCH(U160,真品获取算法!G$6:G$66,1)),0)*AK160/(IFERROR(INDEX(真品获取算法!$C$6:$C$66,MATCH(U160,真品获取算法!G$6:G$66,1)),0)+付费投放!AJ160)</f>
        <v>0.2135784903011835</v>
      </c>
      <c r="AP160" s="60">
        <f>(付费投放!AJ160+IFERROR(INDEX(真品获取算法!$C$6:$C$66,MATCH(U160,真品获取算法!G$6:G$66,1)),0)*AL160)/(IFERROR(INDEX(真品获取算法!$C$6:$C$66,MATCH(U160,真品获取算法!G$6:G$66,1)),0)+付费投放!AJ160)</f>
        <v>0.78642150969881641</v>
      </c>
      <c r="AQ160" s="60">
        <f>IFERROR(INDEX(真品获取算法!$C$6:$C$66,MATCH(W160,真品获取算法!I$6:I$66,1)),0)*AM160/(IFERROR(INDEX(真品获取算法!$C$6:$C$66,MATCH(W160,真品获取算法!I$6:I$66,1)),0)+付费投放!AL160)</f>
        <v>0.35303970072357455</v>
      </c>
      <c r="AR160" s="60">
        <f>(付费投放!AL160+IFERROR(INDEX(真品获取算法!$C$6:$C$66,MATCH(W160,真品获取算法!I$6:I$66,1)),0)*AN160)/(IFERROR(INDEX(真品获取算法!$C$6:$C$66,MATCH(W160,真品获取算法!I$6:I$66,1)),0)+付费投放!AL160)</f>
        <v>0.64696029927642551</v>
      </c>
    </row>
    <row r="161" spans="3:44" x14ac:dyDescent="0.15">
      <c r="C161" s="29">
        <f t="shared" si="34"/>
        <v>600</v>
      </c>
      <c r="D161" s="18">
        <f>求节点(节奏总纲!$G$4:$G$163,节奏总纲!$C$4:$C$163,$C161)</f>
        <v>102.53646170914388</v>
      </c>
      <c r="E161" s="18">
        <f>IFERROR(求节点(前期规划!$F$13:$F$23,前期规划!$B$13:$B$23,D161),0)</f>
        <v>16.75607695152398</v>
      </c>
      <c r="F161" s="63">
        <f>IFERROR(求节点(前期规划!$C$28:$C$35,前期规划!D$28:D$35,$D161),0)</f>
        <v>9</v>
      </c>
      <c r="G161" s="63">
        <f>IFERROR(求节点(前期规划!$C$28:$C$35,前期规划!E$28:E$35,$D161),0)</f>
        <v>9</v>
      </c>
      <c r="H161" s="63">
        <f>IFERROR(求节点(前期规划!$C$28:$C$35,前期规划!F$28:F$35,$D161),0)</f>
        <v>27</v>
      </c>
      <c r="I161" s="63">
        <f>IFERROR(求节点(前期规划!$C$28:$C$35,前期规划!G$28:G$35,$D161),0)</f>
        <v>27</v>
      </c>
      <c r="J161" s="63">
        <f>IFERROR(求节点(前期规划!$C$28:$C$35,前期规划!H$28:H$35,$D161),0)</f>
        <v>60</v>
      </c>
      <c r="K161" s="63">
        <f>IFERROR(求节点(前期规划!$C$28:$C$35,前期规划!I$28:I$35,$D161),0)</f>
        <v>7.5218770254863268</v>
      </c>
      <c r="L161" s="63">
        <f>MIN($E161-SUM(M161:$Q161),F161)</f>
        <v>0</v>
      </c>
      <c r="M161" s="63">
        <f>MIN($E161-SUM(N161:$Q161),G161)</f>
        <v>0</v>
      </c>
      <c r="N161" s="63">
        <f>MIN($E161-SUM(O161:$Q161),H161)</f>
        <v>0</v>
      </c>
      <c r="O161" s="63">
        <f>MIN($E161-SUM(P161:$Q161),I161)</f>
        <v>0</v>
      </c>
      <c r="P161" s="63">
        <f>MIN($E161-SUM(Q161:$Q161),J161)</f>
        <v>9.2341999260376539</v>
      </c>
      <c r="Q161" s="69">
        <f t="shared" si="32"/>
        <v>7.5218770254863268</v>
      </c>
      <c r="R161" s="64">
        <f>活动投放!AC161+付费投放!AA161</f>
        <v>257.5</v>
      </c>
      <c r="S161" s="64">
        <f>活动投放!AD161+付费投放!AB161</f>
        <v>257.5</v>
      </c>
      <c r="T161" s="64">
        <f>活动投放!AE161+付费投放!AC161</f>
        <v>553.8944444444445</v>
      </c>
      <c r="U161" s="64">
        <f>活动投放!AF161+付费投放!AD161</f>
        <v>237.38333333333327</v>
      </c>
      <c r="V161" s="64">
        <f>活动投放!AG161+付费投放!AE161</f>
        <v>408.98333333333335</v>
      </c>
      <c r="W161" s="64">
        <f>活动投放!AH161+付费投放!AF161</f>
        <v>45.44259259259259</v>
      </c>
      <c r="X161" s="63">
        <f>MIN(IFERROR(INDEX(真品获取算法!$C$6:$C$66,MATCH(R161,真品获取算法!D$6:D$66,1)),0)+付费投放!AG161,前期规划!D$8)</f>
        <v>9</v>
      </c>
      <c r="Y161" s="63">
        <f>MIN(IFERROR(INDEX(真品获取算法!$C$6:$C$66,MATCH(S161,真品获取算法!E$6:E$66,1)),0)+付费投放!AH161,前期规划!E$8)</f>
        <v>9</v>
      </c>
      <c r="Z161" s="63">
        <f>MIN(IFERROR(INDEX(真品获取算法!$C$6:$C$66,MATCH(T161,真品获取算法!F$6:F$66,1)),0)+付费投放!AI161,前期规划!F$8)</f>
        <v>27</v>
      </c>
      <c r="AA161" s="63">
        <f>MIN(IFERROR(INDEX(真品获取算法!$C$6:$C$66,MATCH(U161,真品获取算法!G$6:G$66,1)),0)+付费投放!AJ161,前期规划!G$8)</f>
        <v>27</v>
      </c>
      <c r="AB161" s="63">
        <f>MIN(IFERROR(INDEX(真品获取算法!$C$6:$C$66,MATCH(V161,真品获取算法!H$6:H$66,1)),0)+付费投放!AK161,前期规划!H$8)</f>
        <v>60</v>
      </c>
      <c r="AC161" s="63">
        <f>MIN(IFERROR(INDEX(真品获取算法!$C$6:$C$66,MATCH(W161,真品获取算法!I$6:I$66,1)),0)+付费投放!AL161,前期规划!I$8)</f>
        <v>6.9685185185185183</v>
      </c>
      <c r="AD161" s="63">
        <f t="shared" si="33"/>
        <v>1</v>
      </c>
      <c r="AE161" s="63">
        <f t="shared" si="27"/>
        <v>1</v>
      </c>
      <c r="AF161" s="63">
        <f t="shared" si="28"/>
        <v>1</v>
      </c>
      <c r="AG161" s="63">
        <f t="shared" si="29"/>
        <v>1</v>
      </c>
      <c r="AH161" s="63">
        <f t="shared" si="30"/>
        <v>1</v>
      </c>
      <c r="AI161" s="63">
        <f t="shared" si="31"/>
        <v>0.9264334546958336</v>
      </c>
      <c r="AK161" s="60">
        <f>活动投放!AF161/U161</f>
        <v>0.23759039528189291</v>
      </c>
      <c r="AL161" s="60">
        <f>付费投放!AD161/U161</f>
        <v>0.76240960471810704</v>
      </c>
      <c r="AM161" s="60">
        <f>活动投放!AH161/W161</f>
        <v>0.67337707323036811</v>
      </c>
      <c r="AN161" s="60">
        <f>付费投放!AF161/W161</f>
        <v>0.326622926769632</v>
      </c>
      <c r="AO161" s="60">
        <f>IFERROR(INDEX(真品获取算法!$C$6:$C$66,MATCH(U161,真品获取算法!G$6:G$66,1)),0)*AK161/(IFERROR(INDEX(真品获取算法!$C$6:$C$66,MATCH(U161,真品获取算法!G$6:G$66,1)),0)+付费投放!AJ161)</f>
        <v>0.21494909102704426</v>
      </c>
      <c r="AP161" s="60">
        <f>(付费投放!AJ161+IFERROR(INDEX(真品获取算法!$C$6:$C$66,MATCH(U161,真品获取算法!G$6:G$66,1)),0)*AL161)/(IFERROR(INDEX(真品获取算法!$C$6:$C$66,MATCH(U161,真品获取算法!G$6:G$66,1)),0)+付费投放!AJ161)</f>
        <v>0.78505090897295571</v>
      </c>
      <c r="AQ161" s="60">
        <f>IFERROR(INDEX(真品获取算法!$C$6:$C$66,MATCH(W161,真品获取算法!I$6:I$66,1)),0)*AM161/(IFERROR(INDEX(真品获取算法!$C$6:$C$66,MATCH(W161,真品获取算法!I$6:I$66,1)),0)+付费投放!AL161)</f>
        <v>0.38652524001530564</v>
      </c>
      <c r="AR161" s="60">
        <f>(付费投放!AL161+IFERROR(INDEX(真品获取算法!$C$6:$C$66,MATCH(W161,真品获取算法!I$6:I$66,1)),0)*AN161)/(IFERROR(INDEX(真品获取算法!$C$6:$C$66,MATCH(W161,真品获取算法!I$6:I$66,1)),0)+付费投放!AL161)</f>
        <v>0.61347475998469436</v>
      </c>
    </row>
    <row r="162" spans="3:44" x14ac:dyDescent="0.15">
      <c r="C162" s="29">
        <f t="shared" si="34"/>
        <v>660</v>
      </c>
      <c r="D162" s="18">
        <f>求节点(节奏总纲!$G$4:$G$163,节奏总纲!$C$4:$C$163,$C162)</f>
        <v>103.88940348646028</v>
      </c>
      <c r="E162" s="18">
        <f>IFERROR(求节点(前期规划!$F$13:$F$23,前期规划!$B$13:$B$23,D162),0)</f>
        <v>16.981567247743381</v>
      </c>
      <c r="F162" s="63">
        <f>IFERROR(求节点(前期规划!$C$28:$C$35,前期规划!D$28:D$35,$D162),0)</f>
        <v>9</v>
      </c>
      <c r="G162" s="63">
        <f>IFERROR(求节点(前期规划!$C$28:$C$35,前期规划!E$28:E$35,$D162),0)</f>
        <v>9</v>
      </c>
      <c r="H162" s="63">
        <f>IFERROR(求节点(前期规划!$C$28:$C$35,前期规划!F$28:F$35,$D162),0)</f>
        <v>27</v>
      </c>
      <c r="I162" s="63">
        <f>IFERROR(求节点(前期规划!$C$28:$C$35,前期规划!G$28:G$35,$D162),0)</f>
        <v>27</v>
      </c>
      <c r="J162" s="63">
        <f>IFERROR(求节点(前期规划!$C$28:$C$35,前期规划!H$28:H$35,$D162),0)</f>
        <v>60</v>
      </c>
      <c r="K162" s="63">
        <f>IFERROR(求节点(前期规划!$C$28:$C$35,前期规划!I$28:I$35,$D162),0)</f>
        <v>8.3336420918761682</v>
      </c>
      <c r="L162" s="63">
        <f>MIN($E162-SUM(M162:$Q162),F162)</f>
        <v>0</v>
      </c>
      <c r="M162" s="63">
        <f>MIN($E162-SUM(N162:$Q162),G162)</f>
        <v>0</v>
      </c>
      <c r="N162" s="63">
        <f>MIN($E162-SUM(O162:$Q162),H162)</f>
        <v>0</v>
      </c>
      <c r="O162" s="63">
        <f>MIN($E162-SUM(P162:$Q162),I162)</f>
        <v>0</v>
      </c>
      <c r="P162" s="63">
        <f>MIN($E162-SUM(Q162:$Q162),J162)</f>
        <v>8.6479251558672132</v>
      </c>
      <c r="Q162" s="69">
        <f t="shared" si="32"/>
        <v>8.3336420918761682</v>
      </c>
      <c r="R162" s="64">
        <f>活动投放!AC162+付费投放!AA162</f>
        <v>273.5</v>
      </c>
      <c r="S162" s="64">
        <f>活动投放!AD162+付费投放!AB162</f>
        <v>273.5</v>
      </c>
      <c r="T162" s="64">
        <f>活动投放!AE162+付费投放!AC162</f>
        <v>609.11666666666667</v>
      </c>
      <c r="U162" s="64">
        <f>活动投放!AF162+付费投放!AD162</f>
        <v>261.0499999999999</v>
      </c>
      <c r="V162" s="64">
        <f>活动投放!AG162+付费投放!AE162</f>
        <v>471.04999999999995</v>
      </c>
      <c r="W162" s="64">
        <f>活动投放!AH162+付费投放!AF162</f>
        <v>52.338888888888889</v>
      </c>
      <c r="X162" s="63">
        <f>MIN(IFERROR(INDEX(真品获取算法!$C$6:$C$66,MATCH(R162,真品获取算法!D$6:D$66,1)),0)+付费投放!AG162,前期规划!D$8)</f>
        <v>9</v>
      </c>
      <c r="Y162" s="63">
        <f>MIN(IFERROR(INDEX(真品获取算法!$C$6:$C$66,MATCH(S162,真品获取算法!E$6:E$66,1)),0)+付费投放!AH162,前期规划!E$8)</f>
        <v>9</v>
      </c>
      <c r="Z162" s="63">
        <f>MIN(IFERROR(INDEX(真品获取算法!$C$6:$C$66,MATCH(T162,真品获取算法!F$6:F$66,1)),0)+付费投放!AI162,前期规划!F$8)</f>
        <v>27</v>
      </c>
      <c r="AA162" s="63">
        <f>MIN(IFERROR(INDEX(真品获取算法!$C$6:$C$66,MATCH(U162,真品获取算法!G$6:G$66,1)),0)+付费投放!AJ162,前期规划!G$8)</f>
        <v>27</v>
      </c>
      <c r="AB162" s="63">
        <f>MIN(IFERROR(INDEX(真品获取算法!$C$6:$C$66,MATCH(V162,真品获取算法!H$6:H$66,1)),0)+付费投放!AK162,前期规划!H$8)</f>
        <v>60</v>
      </c>
      <c r="AC162" s="63">
        <f>MIN(IFERROR(INDEX(真品获取算法!$C$6:$C$66,MATCH(W162,真品获取算法!I$6:I$66,1)),0)+付费投放!AL162,前期规划!I$8)</f>
        <v>8.3077777777777762</v>
      </c>
      <c r="AD162" s="63">
        <f t="shared" si="33"/>
        <v>1</v>
      </c>
      <c r="AE162" s="63">
        <f t="shared" si="27"/>
        <v>1</v>
      </c>
      <c r="AF162" s="63">
        <f t="shared" si="28"/>
        <v>1</v>
      </c>
      <c r="AG162" s="63">
        <f t="shared" si="29"/>
        <v>1</v>
      </c>
      <c r="AH162" s="63">
        <f t="shared" si="30"/>
        <v>1</v>
      </c>
      <c r="AI162" s="63">
        <f t="shared" si="31"/>
        <v>0.99689639729985458</v>
      </c>
      <c r="AK162" s="60">
        <f>活动投放!AF162/U162</f>
        <v>0.23903466768818243</v>
      </c>
      <c r="AL162" s="60">
        <f>付费投放!AD162/U162</f>
        <v>0.76096533231181762</v>
      </c>
      <c r="AM162" s="60">
        <f>活动投放!AH162/W162</f>
        <v>0.68400382125039816</v>
      </c>
      <c r="AN162" s="60">
        <f>付费投放!AF162/W162</f>
        <v>0.31599617874960195</v>
      </c>
      <c r="AO162" s="60">
        <f>IFERROR(INDEX(真品获取算法!$C$6:$C$66,MATCH(U162,真品获取算法!G$6:G$66,1)),0)*AK162/(IFERROR(INDEX(真品获取算法!$C$6:$C$66,MATCH(U162,真品获取算法!G$6:G$66,1)),0)+付费投放!AJ162)</f>
        <v>0.21604523846672341</v>
      </c>
      <c r="AP162" s="60">
        <f>(付费投放!AJ162+IFERROR(INDEX(真品获取算法!$C$6:$C$66,MATCH(U162,真品获取算法!G$6:G$66,1)),0)*AL162)/(IFERROR(INDEX(真品获取算法!$C$6:$C$66,MATCH(U162,真品获取算法!G$6:G$66,1)),0)+付费投放!AJ162)</f>
        <v>0.78395476153327659</v>
      </c>
      <c r="AQ162" s="60">
        <f>IFERROR(INDEX(真品获取算法!$C$6:$C$66,MATCH(W162,真品获取算法!I$6:I$66,1)),0)*AM162/(IFERROR(INDEX(真品获取算法!$C$6:$C$66,MATCH(W162,真品获取算法!I$6:I$66,1)),0)+付费投放!AL162)</f>
        <v>0.41166473125943454</v>
      </c>
      <c r="AR162" s="60">
        <f>(付费投放!AL162+IFERROR(INDEX(真品获取算法!$C$6:$C$66,MATCH(W162,真品获取算法!I$6:I$66,1)),0)*AN162)/(IFERROR(INDEX(真品获取算法!$C$6:$C$66,MATCH(W162,真品获取算法!I$6:I$66,1)),0)+付费投放!AL162)</f>
        <v>0.58833526874056563</v>
      </c>
    </row>
    <row r="163" spans="3:44" x14ac:dyDescent="0.15">
      <c r="C163" s="29">
        <f t="shared" si="34"/>
        <v>720</v>
      </c>
      <c r="D163" s="18">
        <f>求节点(节奏总纲!$G$4:$G$163,节奏总纲!$C$4:$C$163,$C163)</f>
        <v>105.12617440644733</v>
      </c>
      <c r="E163" s="18">
        <f>IFERROR(求节点(前期规划!$F$13:$F$23,前期规划!$B$13:$B$23,D163),0)</f>
        <v>17.187695734407889</v>
      </c>
      <c r="F163" s="63">
        <f>IFERROR(求节点(前期规划!$C$28:$C$35,前期规划!D$28:D$35,$D163),0)</f>
        <v>9</v>
      </c>
      <c r="G163" s="63">
        <f>IFERROR(求节点(前期规划!$C$28:$C$35,前期规划!E$28:E$35,$D163),0)</f>
        <v>9</v>
      </c>
      <c r="H163" s="63">
        <f>IFERROR(求节点(前期规划!$C$28:$C$35,前期规划!F$28:F$35,$D163),0)</f>
        <v>27</v>
      </c>
      <c r="I163" s="63">
        <f>IFERROR(求节点(前期规划!$C$28:$C$35,前期规划!G$28:G$35,$D163),0)</f>
        <v>27</v>
      </c>
      <c r="J163" s="63">
        <f>IFERROR(求节点(前期规划!$C$28:$C$35,前期规划!H$28:H$35,$D163),0)</f>
        <v>60</v>
      </c>
      <c r="K163" s="63">
        <f>IFERROR(求节点(前期规划!$C$28:$C$35,前期规划!I$28:I$35,$D163),0)</f>
        <v>9.1169980859784356</v>
      </c>
      <c r="L163" s="63">
        <f>MIN($E163-SUM(M163:$Q163),F163)</f>
        <v>0</v>
      </c>
      <c r="M163" s="63">
        <f>MIN($E163-SUM(N163:$Q163),G163)</f>
        <v>0</v>
      </c>
      <c r="N163" s="63">
        <f>MIN($E163-SUM(O163:$Q163),H163)</f>
        <v>0</v>
      </c>
      <c r="O163" s="63">
        <f>MIN($E163-SUM(P163:$Q163),I163)</f>
        <v>0</v>
      </c>
      <c r="P163" s="63">
        <f>MIN($E163-SUM(Q163:$Q163),J163)</f>
        <v>8.0706976484294533</v>
      </c>
      <c r="Q163" s="69">
        <f t="shared" si="32"/>
        <v>9.1169980859784356</v>
      </c>
      <c r="R163" s="64">
        <f>活动投放!AC163+付费投放!AA163</f>
        <v>289.5</v>
      </c>
      <c r="S163" s="64">
        <f>活动投放!AD163+付费投放!AB163</f>
        <v>289.5</v>
      </c>
      <c r="T163" s="64">
        <f>活动投放!AE163+付费投放!AC163</f>
        <v>664.33888888888896</v>
      </c>
      <c r="U163" s="64">
        <f>活动投放!AF163+付费投放!AD163</f>
        <v>284.71666666666658</v>
      </c>
      <c r="V163" s="64">
        <f>活动投放!AG163+付费投放!AE163</f>
        <v>533.11666666666656</v>
      </c>
      <c r="W163" s="64">
        <f>活动投放!AH163+付费投放!AF163</f>
        <v>59.235185185185188</v>
      </c>
      <c r="X163" s="63">
        <f>MIN(IFERROR(INDEX(真品获取算法!$C$6:$C$66,MATCH(R163,真品获取算法!D$6:D$66,1)),0)+付费投放!AG163,前期规划!D$8)</f>
        <v>9</v>
      </c>
      <c r="Y163" s="63">
        <f>MIN(IFERROR(INDEX(真品获取算法!$C$6:$C$66,MATCH(S163,真品获取算法!E$6:E$66,1)),0)+付费投放!AH163,前期规划!E$8)</f>
        <v>9</v>
      </c>
      <c r="Z163" s="63">
        <f>MIN(IFERROR(INDEX(真品获取算法!$C$6:$C$66,MATCH(T163,真品获取算法!F$6:F$66,1)),0)+付费投放!AI163,前期规划!F$8)</f>
        <v>27</v>
      </c>
      <c r="AA163" s="63">
        <f>MIN(IFERROR(INDEX(真品获取算法!$C$6:$C$66,MATCH(U163,真品获取算法!G$6:G$66,1)),0)+付费投放!AJ163,前期规划!G$8)</f>
        <v>27</v>
      </c>
      <c r="AB163" s="63">
        <f>MIN(IFERROR(INDEX(真品获取算法!$C$6:$C$66,MATCH(V163,真品获取算法!H$6:H$66,1)),0)+付费投放!AK163,前期规划!H$8)</f>
        <v>60</v>
      </c>
      <c r="AC163" s="63">
        <f>MIN(IFERROR(INDEX(真品获取算法!$C$6:$C$66,MATCH(W163,真品获取算法!I$6:I$66,1)),0)+付费投放!AL163,前期规划!I$8)</f>
        <v>8.6470370370370357</v>
      </c>
      <c r="AD163" s="63">
        <f t="shared" si="33"/>
        <v>1</v>
      </c>
      <c r="AE163" s="63">
        <f t="shared" si="27"/>
        <v>1</v>
      </c>
      <c r="AF163" s="63">
        <f t="shared" si="28"/>
        <v>1</v>
      </c>
      <c r="AG163" s="63">
        <f t="shared" si="29"/>
        <v>1</v>
      </c>
      <c r="AH163" s="63">
        <f t="shared" si="30"/>
        <v>1</v>
      </c>
      <c r="AI163" s="63">
        <f t="shared" si="31"/>
        <v>0.94845221590380935</v>
      </c>
      <c r="AK163" s="60">
        <f>活动投放!AF163/U163</f>
        <v>0.24023883392846693</v>
      </c>
      <c r="AL163" s="60">
        <f>付费投放!AD163/U163</f>
        <v>0.75976116607153299</v>
      </c>
      <c r="AM163" s="60">
        <f>活动投放!AH163/W163</f>
        <v>0.69215618845155846</v>
      </c>
      <c r="AN163" s="60">
        <f>付费投放!AF163/W163</f>
        <v>0.30784381154844154</v>
      </c>
      <c r="AO163" s="60">
        <f>IFERROR(INDEX(真品获取算法!$C$6:$C$66,MATCH(U163,真品获取算法!G$6:G$66,1)),0)*AK163/(IFERROR(INDEX(真品获取算法!$C$6:$C$66,MATCH(U163,真品获取算法!G$6:G$66,1)),0)+付费投放!AJ163)</f>
        <v>0.21613182291142355</v>
      </c>
      <c r="AP163" s="60">
        <f>(付费投放!AJ163+IFERROR(INDEX(真品获取算法!$C$6:$C$66,MATCH(U163,真品获取算法!G$6:G$66,1)),0)*AL163)/(IFERROR(INDEX(真品获取算法!$C$6:$C$66,MATCH(U163,真品获取算法!G$6:G$66,1)),0)+付费投放!AJ163)</f>
        <v>0.78386817708857637</v>
      </c>
      <c r="AQ163" s="60">
        <f>IFERROR(INDEX(真品获取算法!$C$6:$C$66,MATCH(W163,真品获取算法!I$6:I$66,1)),0)*AM163/(IFERROR(INDEX(真品获取算法!$C$6:$C$66,MATCH(W163,真品获取算法!I$6:I$66,1)),0)+付费投放!AL163)</f>
        <v>0.40022737585540075</v>
      </c>
      <c r="AR163" s="60">
        <f>(付费投放!AL163+IFERROR(INDEX(真品获取算法!$C$6:$C$66,MATCH(W163,真品获取算法!I$6:I$66,1)),0)*AN163)/(IFERROR(INDEX(真品获取算法!$C$6:$C$66,MATCH(W163,真品获取算法!I$6:I$66,1)),0)+付费投放!AL163)</f>
        <v>0.59977262414459942</v>
      </c>
    </row>
    <row r="164" spans="3:44" x14ac:dyDescent="0.15">
      <c r="C164" s="29">
        <f t="shared" si="34"/>
        <v>780</v>
      </c>
      <c r="D164" s="18">
        <f>求节点(节奏总纲!$G$4:$G$163,节奏总纲!$C$4:$C$163,$C164)</f>
        <v>106.30192050618264</v>
      </c>
      <c r="E164" s="18">
        <f>IFERROR(求节点(前期规划!$F$13:$F$23,前期规划!$B$13:$B$23,D164),0)</f>
        <v>17.383653417697108</v>
      </c>
      <c r="F164" s="63">
        <f>IFERROR(求节点(前期规划!$C$28:$C$35,前期规划!D$28:D$35,$D164),0)</f>
        <v>9</v>
      </c>
      <c r="G164" s="63">
        <f>IFERROR(求节点(前期规划!$C$28:$C$35,前期规划!E$28:E$35,$D164),0)</f>
        <v>9</v>
      </c>
      <c r="H164" s="63">
        <f>IFERROR(求节点(前期规划!$C$28:$C$35,前期规划!F$28:F$35,$D164),0)</f>
        <v>27</v>
      </c>
      <c r="I164" s="63">
        <f>IFERROR(求节点(前期规划!$C$28:$C$35,前期规划!G$28:G$35,$D164),0)</f>
        <v>27</v>
      </c>
      <c r="J164" s="63">
        <f>IFERROR(求节点(前期规划!$C$28:$C$35,前期规划!H$28:H$35,$D164),0)</f>
        <v>60</v>
      </c>
      <c r="K164" s="63">
        <f>IFERROR(求节点(前期规划!$C$28:$C$35,前期规划!I$28:I$35,$D164),0)</f>
        <v>10.207235378460267</v>
      </c>
      <c r="L164" s="63">
        <f>MIN($E164-SUM(M164:$Q164),F164)</f>
        <v>0</v>
      </c>
      <c r="M164" s="63">
        <f>MIN($E164-SUM(N164:$Q164),G164)</f>
        <v>0</v>
      </c>
      <c r="N164" s="63">
        <f>MIN($E164-SUM(O164:$Q164),H164)</f>
        <v>0</v>
      </c>
      <c r="O164" s="63">
        <f>MIN($E164-SUM(P164:$Q164),I164)</f>
        <v>0</v>
      </c>
      <c r="P164" s="63">
        <f>MIN($E164-SUM(Q164:$Q164),J164)</f>
        <v>7.1764180392368413</v>
      </c>
      <c r="Q164" s="69">
        <f t="shared" si="32"/>
        <v>10.207235378460267</v>
      </c>
      <c r="R164" s="64">
        <f>活动投放!AC164+付费投放!AA164</f>
        <v>305.5</v>
      </c>
      <c r="S164" s="64">
        <f>活动投放!AD164+付费投放!AB164</f>
        <v>305.5</v>
      </c>
      <c r="T164" s="64">
        <f>活动投放!AE164+付费投放!AC164</f>
        <v>719.56111111111113</v>
      </c>
      <c r="U164" s="64">
        <f>活动投放!AF164+付费投放!AD164</f>
        <v>308.38333333333321</v>
      </c>
      <c r="V164" s="64">
        <f>活动投放!AG164+付费投放!AE164</f>
        <v>595.18333333333328</v>
      </c>
      <c r="W164" s="64">
        <f>活动投放!AH164+付费投放!AF164</f>
        <v>66.131481481481487</v>
      </c>
      <c r="X164" s="63">
        <f>MIN(IFERROR(INDEX(真品获取算法!$C$6:$C$66,MATCH(R164,真品获取算法!D$6:D$66,1)),0)+付费投放!AG164,前期规划!D$8)</f>
        <v>9</v>
      </c>
      <c r="Y164" s="63">
        <f>MIN(IFERROR(INDEX(真品获取算法!$C$6:$C$66,MATCH(S164,真品获取算法!E$6:E$66,1)),0)+付费投放!AH164,前期规划!E$8)</f>
        <v>9</v>
      </c>
      <c r="Z164" s="63">
        <f>MIN(IFERROR(INDEX(真品获取算法!$C$6:$C$66,MATCH(T164,真品获取算法!F$6:F$66,1)),0)+付费投放!AI164,前期规划!F$8)</f>
        <v>27</v>
      </c>
      <c r="AA164" s="63">
        <f>MIN(IFERROR(INDEX(真品获取算法!$C$6:$C$66,MATCH(U164,真品获取算法!G$6:G$66,1)),0)+付费投放!AJ164,前期规划!G$8)</f>
        <v>27</v>
      </c>
      <c r="AB164" s="63">
        <f>MIN(IFERROR(INDEX(真品获取算法!$C$6:$C$66,MATCH(V164,真品获取算法!H$6:H$66,1)),0)+付费投放!AK164,前期规划!H$8)</f>
        <v>60</v>
      </c>
      <c r="AC164" s="63">
        <f>MIN(IFERROR(INDEX(真品获取算法!$C$6:$C$66,MATCH(W164,真品获取算法!I$6:I$66,1)),0)+付费投放!AL164,前期规划!I$8)</f>
        <v>9.9862962962962953</v>
      </c>
      <c r="AD164" s="63">
        <f t="shared" si="33"/>
        <v>1</v>
      </c>
      <c r="AE164" s="63">
        <f t="shared" si="27"/>
        <v>1</v>
      </c>
      <c r="AF164" s="63">
        <f t="shared" si="28"/>
        <v>1</v>
      </c>
      <c r="AG164" s="63">
        <f t="shared" si="29"/>
        <v>1</v>
      </c>
      <c r="AH164" s="63">
        <f t="shared" si="30"/>
        <v>1</v>
      </c>
      <c r="AI164" s="63">
        <f t="shared" si="31"/>
        <v>0.97835465981021597</v>
      </c>
      <c r="AK164" s="60">
        <f>活动投放!AF164/U164</f>
        <v>0.24125817435010546</v>
      </c>
      <c r="AL164" s="60">
        <f>付费投放!AD164/U164</f>
        <v>0.75874182564989456</v>
      </c>
      <c r="AM164" s="60">
        <f>活动投放!AH164/W164</f>
        <v>0.69860827196102038</v>
      </c>
      <c r="AN164" s="60">
        <f>付费投放!AF164/W164</f>
        <v>0.30139172803897957</v>
      </c>
      <c r="AO164" s="60">
        <f>IFERROR(INDEX(真品获取算法!$C$6:$C$66,MATCH(U164,真品获取算法!G$6:G$66,1)),0)*AK164/(IFERROR(INDEX(真品获取算法!$C$6:$C$66,MATCH(U164,真品获取算法!G$6:G$66,1)),0)+付费投放!AJ164)</f>
        <v>0.21605209643293027</v>
      </c>
      <c r="AP164" s="60">
        <f>(付费投放!AJ164+IFERROR(INDEX(真品获取算法!$C$6:$C$66,MATCH(U164,真品获取算法!G$6:G$66,1)),0)*AL164)/(IFERROR(INDEX(真品获取算法!$C$6:$C$66,MATCH(U164,真品获取算法!G$6:G$66,1)),0)+付费投放!AJ164)</f>
        <v>0.78394790356706978</v>
      </c>
      <c r="AQ164" s="60">
        <f>IFERROR(INDEX(真品获取算法!$C$6:$C$66,MATCH(W164,真品获取算法!I$6:I$66,1)),0)*AM164/(IFERROR(INDEX(真品获取算法!$C$6:$C$66,MATCH(W164,真品获取算法!I$6:I$66,1)),0)+付费投放!AL164)</f>
        <v>0.41974016265877429</v>
      </c>
      <c r="AR164" s="60">
        <f>(付费投放!AL164+IFERROR(INDEX(真品获取算法!$C$6:$C$66,MATCH(W164,真品获取算法!I$6:I$66,1)),0)*AN164)/(IFERROR(INDEX(真品获取算法!$C$6:$C$66,MATCH(W164,真品获取算法!I$6:I$66,1)),0)+付费投放!AL164)</f>
        <v>0.58025983734122577</v>
      </c>
    </row>
    <row r="165" spans="3:44" x14ac:dyDescent="0.15">
      <c r="C165" s="29">
        <f t="shared" si="34"/>
        <v>840</v>
      </c>
      <c r="D165" s="18">
        <f>求节点(节奏总纲!$G$4:$G$163,节奏总纲!$C$4:$C$163,$C165)</f>
        <v>107.429678558787</v>
      </c>
      <c r="E165" s="18">
        <f>IFERROR(求节点(前期规划!$F$13:$F$23,前期规划!$B$13:$B$23,D165),0)</f>
        <v>17.571613093131166</v>
      </c>
      <c r="F165" s="63">
        <f>IFERROR(求节点(前期规划!$C$28:$C$35,前期规划!D$28:D$35,$D165),0)</f>
        <v>9</v>
      </c>
      <c r="G165" s="63">
        <f>IFERROR(求节点(前期规划!$C$28:$C$35,前期规划!E$28:E$35,$D165),0)</f>
        <v>9</v>
      </c>
      <c r="H165" s="63">
        <f>IFERROR(求节点(前期规划!$C$28:$C$35,前期规划!F$28:F$35,$D165),0)</f>
        <v>27</v>
      </c>
      <c r="I165" s="63">
        <f>IFERROR(求节点(前期规划!$C$28:$C$35,前期规划!G$28:G$35,$D165),0)</f>
        <v>27</v>
      </c>
      <c r="J165" s="63">
        <f>IFERROR(求节点(前期规划!$C$28:$C$35,前期规划!H$28:H$35,$D165),0)</f>
        <v>60</v>
      </c>
      <c r="K165" s="63">
        <f>IFERROR(求节点(前期规划!$C$28:$C$35,前期规划!I$28:I$35,$D165),0)</f>
        <v>11.252974663602494</v>
      </c>
      <c r="L165" s="63">
        <f>MIN($E165-SUM(M165:$Q165),F165)</f>
        <v>0</v>
      </c>
      <c r="M165" s="63">
        <f>MIN($E165-SUM(N165:$Q165),G165)</f>
        <v>0</v>
      </c>
      <c r="N165" s="63">
        <f>MIN($E165-SUM(O165:$Q165),H165)</f>
        <v>0</v>
      </c>
      <c r="O165" s="63">
        <f>MIN($E165-SUM(P165:$Q165),I165)</f>
        <v>0</v>
      </c>
      <c r="P165" s="63">
        <f>MIN($E165-SUM(Q165:$Q165),J165)</f>
        <v>6.3186384295286722</v>
      </c>
      <c r="Q165" s="69">
        <f t="shared" si="32"/>
        <v>11.252974663602494</v>
      </c>
      <c r="R165" s="64">
        <f>活动投放!AC165+付费投放!AA165</f>
        <v>321.5</v>
      </c>
      <c r="S165" s="64">
        <f>活动投放!AD165+付费投放!AB165</f>
        <v>321.5</v>
      </c>
      <c r="T165" s="64">
        <f>活动投放!AE165+付费投放!AC165</f>
        <v>774.7833333333333</v>
      </c>
      <c r="U165" s="64">
        <f>活动投放!AF165+付费投放!AD165</f>
        <v>332.0499999999999</v>
      </c>
      <c r="V165" s="64">
        <f>活动投放!AG165+付费投放!AE165</f>
        <v>657.25</v>
      </c>
      <c r="W165" s="64">
        <f>活动投放!AH165+付费投放!AF165</f>
        <v>73.027777777777786</v>
      </c>
      <c r="X165" s="63">
        <f>MIN(IFERROR(INDEX(真品获取算法!$C$6:$C$66,MATCH(R165,真品获取算法!D$6:D$66,1)),0)+付费投放!AG165,前期规划!D$8)</f>
        <v>9</v>
      </c>
      <c r="Y165" s="63">
        <f>MIN(IFERROR(INDEX(真品获取算法!$C$6:$C$66,MATCH(S165,真品获取算法!E$6:E$66,1)),0)+付费投放!AH165,前期规划!E$8)</f>
        <v>9</v>
      </c>
      <c r="Z165" s="63">
        <f>MIN(IFERROR(INDEX(真品获取算法!$C$6:$C$66,MATCH(T165,真品获取算法!F$6:F$66,1)),0)+付费投放!AI165,前期规划!F$8)</f>
        <v>27</v>
      </c>
      <c r="AA165" s="63">
        <f>MIN(IFERROR(INDEX(真品获取算法!$C$6:$C$66,MATCH(U165,真品获取算法!G$6:G$66,1)),0)+付费投放!AJ165,前期规划!G$8)</f>
        <v>27</v>
      </c>
      <c r="AB165" s="63">
        <f>MIN(IFERROR(INDEX(真品获取算法!$C$6:$C$66,MATCH(V165,真品获取算法!H$6:H$66,1)),0)+付费投放!AK165,前期规划!H$8)</f>
        <v>60</v>
      </c>
      <c r="AC165" s="63">
        <f>MIN(IFERROR(INDEX(真品获取算法!$C$6:$C$66,MATCH(W165,真品获取算法!I$6:I$66,1)),0)+付费投放!AL165,前期规划!I$8)</f>
        <v>10.325555555555555</v>
      </c>
      <c r="AD165" s="63">
        <f t="shared" si="33"/>
        <v>1</v>
      </c>
      <c r="AE165" s="63">
        <f t="shared" si="27"/>
        <v>1</v>
      </c>
      <c r="AF165" s="63">
        <f t="shared" si="28"/>
        <v>1</v>
      </c>
      <c r="AG165" s="63">
        <f t="shared" si="29"/>
        <v>1</v>
      </c>
      <c r="AH165" s="63">
        <f t="shared" si="30"/>
        <v>1</v>
      </c>
      <c r="AI165" s="63">
        <f t="shared" si="31"/>
        <v>0.91758453779811167</v>
      </c>
      <c r="AK165" s="60">
        <f>活动投放!AF165/U165</f>
        <v>0.24213220900466803</v>
      </c>
      <c r="AL165" s="60">
        <f>付费投放!AD165/U165</f>
        <v>0.75786779099533197</v>
      </c>
      <c r="AM165" s="60">
        <f>活动投放!AH165/W165</f>
        <v>0.70384176492963102</v>
      </c>
      <c r="AN165" s="60">
        <f>付费投放!AF165/W165</f>
        <v>0.29615823507036892</v>
      </c>
      <c r="AO165" s="60">
        <f>IFERROR(INDEX(真品获取算法!$C$6:$C$66,MATCH(U165,真品获取算法!G$6:G$66,1)),0)*AK165/(IFERROR(INDEX(真品获取算法!$C$6:$C$66,MATCH(U165,真品获取算法!G$6:G$66,1)),0)+付费投放!AJ165)</f>
        <v>0.21584356916987549</v>
      </c>
      <c r="AP165" s="60">
        <f>(付费投放!AJ165+IFERROR(INDEX(真品获取算法!$C$6:$C$66,MATCH(U165,真品获取算法!G$6:G$66,1)),0)*AL165)/(IFERROR(INDEX(真品获取算法!$C$6:$C$66,MATCH(U165,真品获取算法!G$6:G$66,1)),0)+付费投放!AJ165)</f>
        <v>0.78415643083012454</v>
      </c>
      <c r="AQ165" s="60">
        <f>IFERROR(INDEX(真品获取算法!$C$6:$C$66,MATCH(W165,真品获取算法!I$6:I$66,1)),0)*AM165/(IFERROR(INDEX(真品获取算法!$C$6:$C$66,MATCH(W165,真品获取算法!I$6:I$66,1)),0)+付费投放!AL165)</f>
        <v>0.40899015717421799</v>
      </c>
      <c r="AR165" s="60">
        <f>(付费投放!AL165+IFERROR(INDEX(真品获取算法!$C$6:$C$66,MATCH(W165,真品获取算法!I$6:I$66,1)),0)*AN165)/(IFERROR(INDEX(真品获取算法!$C$6:$C$66,MATCH(W165,真品获取算法!I$6:I$66,1)),0)+付费投放!AL165)</f>
        <v>0.59100984282578195</v>
      </c>
    </row>
    <row r="166" spans="3:44" x14ac:dyDescent="0.15">
      <c r="C166" s="29">
        <f t="shared" si="34"/>
        <v>900</v>
      </c>
      <c r="D166" s="18">
        <f>求节点(节奏总纲!$G$4:$G$163,节奏总纲!$C$4:$C$163,$C166)</f>
        <v>108.47075735973553</v>
      </c>
      <c r="E166" s="18">
        <f>IFERROR(求节点(前期规划!$F$13:$F$23,前期规划!$B$13:$B$23,D166),0)</f>
        <v>17.745126226622588</v>
      </c>
      <c r="F166" s="63">
        <f>IFERROR(求节点(前期规划!$C$28:$C$35,前期规划!D$28:D$35,$D166),0)</f>
        <v>9</v>
      </c>
      <c r="G166" s="63">
        <f>IFERROR(求节点(前期规划!$C$28:$C$35,前期规划!E$28:E$35,$D166),0)</f>
        <v>9</v>
      </c>
      <c r="H166" s="63">
        <f>IFERROR(求节点(前期规划!$C$28:$C$35,前期规划!F$28:F$35,$D166),0)</f>
        <v>27</v>
      </c>
      <c r="I166" s="63">
        <f>IFERROR(求节点(前期规划!$C$28:$C$35,前期规划!G$28:G$35,$D166),0)</f>
        <v>27</v>
      </c>
      <c r="J166" s="63">
        <f>IFERROR(求节点(前期规划!$C$28:$C$35,前期规划!H$28:H$35,$D166),0)</f>
        <v>60</v>
      </c>
      <c r="K166" s="63">
        <f>IFERROR(求节点(前期规划!$C$28:$C$35,前期规划!I$28:I$35,$D166),0)</f>
        <v>12.218338642663854</v>
      </c>
      <c r="L166" s="63">
        <f>MIN($E166-SUM(M166:$Q166),F166)</f>
        <v>0</v>
      </c>
      <c r="M166" s="63">
        <f>MIN($E166-SUM(N166:$Q166),G166)</f>
        <v>0</v>
      </c>
      <c r="N166" s="63">
        <f>MIN($E166-SUM(O166:$Q166),H166)</f>
        <v>0</v>
      </c>
      <c r="O166" s="63">
        <f>MIN($E166-SUM(P166:$Q166),I166)</f>
        <v>0</v>
      </c>
      <c r="P166" s="63">
        <f>MIN($E166-SUM(Q166:$Q166),J166)</f>
        <v>5.5267875839587344</v>
      </c>
      <c r="Q166" s="69">
        <f t="shared" si="32"/>
        <v>12.218338642663854</v>
      </c>
      <c r="R166" s="64">
        <f>活动投放!AC166+付费投放!AA166</f>
        <v>337.5</v>
      </c>
      <c r="S166" s="64">
        <f>活动投放!AD166+付费投放!AB166</f>
        <v>337.5</v>
      </c>
      <c r="T166" s="64">
        <f>活动投放!AE166+付费投放!AC166</f>
        <v>830.00555555555547</v>
      </c>
      <c r="U166" s="64">
        <f>活动投放!AF166+付费投放!AD166</f>
        <v>355.71666666666653</v>
      </c>
      <c r="V166" s="64">
        <f>活动投放!AG166+付费投放!AE166</f>
        <v>719.31666666666661</v>
      </c>
      <c r="W166" s="64">
        <f>活动投放!AH166+付费投放!AF166</f>
        <v>79.92407407407407</v>
      </c>
      <c r="X166" s="63">
        <f>MIN(IFERROR(INDEX(真品获取算法!$C$6:$C$66,MATCH(R166,真品获取算法!D$6:D$66,1)),0)+付费投放!AG166,前期规划!D$8)</f>
        <v>9</v>
      </c>
      <c r="Y166" s="63">
        <f>MIN(IFERROR(INDEX(真品获取算法!$C$6:$C$66,MATCH(S166,真品获取算法!E$6:E$66,1)),0)+付费投放!AH166,前期规划!E$8)</f>
        <v>9</v>
      </c>
      <c r="Z166" s="63">
        <f>MIN(IFERROR(INDEX(真品获取算法!$C$6:$C$66,MATCH(T166,真品获取算法!F$6:F$66,1)),0)+付费投放!AI166,前期规划!F$8)</f>
        <v>27</v>
      </c>
      <c r="AA166" s="63">
        <f>MIN(IFERROR(INDEX(真品获取算法!$C$6:$C$66,MATCH(U166,真品获取算法!G$6:G$66,1)),0)+付费投放!AJ166,前期规划!G$8)</f>
        <v>27</v>
      </c>
      <c r="AB166" s="63">
        <f>MIN(IFERROR(INDEX(真品获取算法!$C$6:$C$66,MATCH(V166,真品获取算法!H$6:H$66,1)),0)+付费投放!AK166,前期规划!H$8)</f>
        <v>60</v>
      </c>
      <c r="AC166" s="63">
        <f>MIN(IFERROR(INDEX(真品获取算法!$C$6:$C$66,MATCH(W166,真品获取算法!I$6:I$66,1)),0)+付费投放!AL166,前期规划!I$8)</f>
        <v>11.664814814814815</v>
      </c>
      <c r="AD166" s="63">
        <f t="shared" si="33"/>
        <v>1</v>
      </c>
      <c r="AE166" s="63">
        <f t="shared" si="27"/>
        <v>1</v>
      </c>
      <c r="AF166" s="63">
        <f t="shared" si="28"/>
        <v>1</v>
      </c>
      <c r="AG166" s="63">
        <f t="shared" si="29"/>
        <v>1</v>
      </c>
      <c r="AH166" s="63">
        <f t="shared" si="30"/>
        <v>1</v>
      </c>
      <c r="AI166" s="63">
        <f t="shared" si="31"/>
        <v>0.95469729199383535</v>
      </c>
      <c r="AK166" s="60">
        <f>活动投放!AF166/U166</f>
        <v>0.24288994049571294</v>
      </c>
      <c r="AL166" s="60">
        <f>付费投放!AD166/U166</f>
        <v>0.75711005950428711</v>
      </c>
      <c r="AM166" s="60">
        <f>活动投放!AH166/W166</f>
        <v>0.70817210778748352</v>
      </c>
      <c r="AN166" s="60">
        <f>付费投放!AF166/W166</f>
        <v>0.29182789221251648</v>
      </c>
      <c r="AO166" s="60">
        <f>IFERROR(INDEX(真品获取算法!$C$6:$C$66,MATCH(U166,真品获取算法!G$6:G$66,1)),0)*AK166/(IFERROR(INDEX(真品获取算法!$C$6:$C$66,MATCH(U166,真品获取算法!G$6:G$66,1)),0)+付费投放!AJ166)</f>
        <v>0.21643658063974422</v>
      </c>
      <c r="AP166" s="60">
        <f>(付费投放!AJ166+IFERROR(INDEX(真品获取算法!$C$6:$C$66,MATCH(U166,真品获取算法!G$6:G$66,1)),0)*AL166)/(IFERROR(INDEX(真品获取算法!$C$6:$C$66,MATCH(U166,真品获取算法!G$6:G$66,1)),0)+付费投放!AJ166)</f>
        <v>0.78356341936025586</v>
      </c>
      <c r="AQ166" s="60">
        <f>IFERROR(INDEX(真品获取算法!$C$6:$C$66,MATCH(W166,真品获取算法!I$6:I$66,1)),0)*AM166/(IFERROR(INDEX(真品获取算法!$C$6:$C$66,MATCH(W166,真品获取算法!I$6:I$66,1)),0)+付费投放!AL166)</f>
        <v>0.42497072034238575</v>
      </c>
      <c r="AR166" s="60">
        <f>(付费投放!AL166+IFERROR(INDEX(真品获取算法!$C$6:$C$66,MATCH(W166,真品获取算法!I$6:I$66,1)),0)*AN166)/(IFERROR(INDEX(真品获取算法!$C$6:$C$66,MATCH(W166,真品获取算法!I$6:I$66,1)),0)+付费投放!AL166)</f>
        <v>0.5750292796576143</v>
      </c>
    </row>
    <row r="167" spans="3:44" x14ac:dyDescent="0.15">
      <c r="C167" s="29">
        <f t="shared" si="34"/>
        <v>1020</v>
      </c>
      <c r="D167" s="18">
        <f>求节点(节奏总纲!$G$4:$G$163,节奏总纲!$C$4:$C$163,$C167)</f>
        <v>110.24744313604209</v>
      </c>
      <c r="E167" s="18">
        <f>IFERROR(求节点(前期规划!$F$13:$F$23,前期规划!$B$13:$B$23,D167),0)</f>
        <v>18.038068174775706</v>
      </c>
      <c r="F167" s="63">
        <f>IFERROR(求节点(前期规划!$C$28:$C$35,前期规划!D$28:D$35,$D167),0)</f>
        <v>9</v>
      </c>
      <c r="G167" s="63">
        <f>IFERROR(求节点(前期规划!$C$28:$C$35,前期规划!E$28:E$35,$D167),0)</f>
        <v>9</v>
      </c>
      <c r="H167" s="63">
        <f>IFERROR(求节点(前期规划!$C$28:$C$35,前期规划!F$28:F$35,$D167),0)</f>
        <v>27</v>
      </c>
      <c r="I167" s="63">
        <f>IFERROR(求节点(前期规划!$C$28:$C$35,前期规划!G$28:G$35,$D167),0)</f>
        <v>27</v>
      </c>
      <c r="J167" s="63">
        <f>IFERROR(求节点(前期规划!$C$28:$C$35,前期规划!H$28:H$35,$D167),0)</f>
        <v>60</v>
      </c>
      <c r="K167" s="63">
        <f>IFERROR(求节点(前期规划!$C$28:$C$35,前期规划!I$28:I$35,$D167),0)</f>
        <v>13.865810907966305</v>
      </c>
      <c r="L167" s="63">
        <f>MIN($E167-SUM(M167:$Q167),F167)</f>
        <v>0</v>
      </c>
      <c r="M167" s="63">
        <f>MIN($E167-SUM(N167:$Q167),G167)</f>
        <v>0</v>
      </c>
      <c r="N167" s="63">
        <f>MIN($E167-SUM(O167:$Q167),H167)</f>
        <v>0</v>
      </c>
      <c r="O167" s="63">
        <f>MIN($E167-SUM(P167:$Q167),I167)</f>
        <v>0</v>
      </c>
      <c r="P167" s="63">
        <f>MIN($E167-SUM(Q167:$Q167),J167)</f>
        <v>4.1722572668094013</v>
      </c>
      <c r="Q167" s="69">
        <f t="shared" si="32"/>
        <v>13.865810907966305</v>
      </c>
      <c r="R167" s="64">
        <f>活动投放!AC167+付费投放!AA167</f>
        <v>369.5</v>
      </c>
      <c r="S167" s="64">
        <f>活动投放!AD167+付费投放!AB167</f>
        <v>369.5</v>
      </c>
      <c r="T167" s="64">
        <f>活动投放!AE167+付费投放!AC167</f>
        <v>940.44999999999993</v>
      </c>
      <c r="U167" s="64">
        <f>活动投放!AF167+付费投放!AD167</f>
        <v>403.04999999999984</v>
      </c>
      <c r="V167" s="64">
        <f>活动投放!AG167+付费投放!AE167</f>
        <v>843.44999999999993</v>
      </c>
      <c r="W167" s="64">
        <f>活动投放!AH167+付费投放!AF167</f>
        <v>93.716666666666669</v>
      </c>
      <c r="X167" s="63">
        <f>MIN(IFERROR(INDEX(真品获取算法!$C$6:$C$66,MATCH(R167,真品获取算法!D$6:D$66,1)),0)+付费投放!AG167,前期规划!D$8)</f>
        <v>9</v>
      </c>
      <c r="Y167" s="63">
        <f>MIN(IFERROR(INDEX(真品获取算法!$C$6:$C$66,MATCH(S167,真品获取算法!E$6:E$66,1)),0)+付费投放!AH167,前期规划!E$8)</f>
        <v>9</v>
      </c>
      <c r="Z167" s="63">
        <f>MIN(IFERROR(INDEX(真品获取算法!$C$6:$C$66,MATCH(T167,真品获取算法!F$6:F$66,1)),0)+付费投放!AI167,前期规划!F$8)</f>
        <v>27</v>
      </c>
      <c r="AA167" s="63">
        <f>MIN(IFERROR(INDEX(真品获取算法!$C$6:$C$66,MATCH(U167,真品获取算法!G$6:G$66,1)),0)+付费投放!AJ167,前期规划!G$8)</f>
        <v>27</v>
      </c>
      <c r="AB167" s="63">
        <f>MIN(IFERROR(INDEX(真品获取算法!$C$6:$C$66,MATCH(V167,真品获取算法!H$6:H$66,1)),0)+付费投放!AK167,前期规划!H$8)</f>
        <v>60</v>
      </c>
      <c r="AC167" s="63">
        <f>MIN(IFERROR(INDEX(真品获取算法!$C$6:$C$66,MATCH(W167,真品获取算法!I$6:I$66,1)),0)+付费投放!AL167,前期规划!I$8)</f>
        <v>13.343333333333334</v>
      </c>
      <c r="AD167" s="63">
        <f t="shared" si="33"/>
        <v>1</v>
      </c>
      <c r="AE167" s="63">
        <f t="shared" si="27"/>
        <v>1</v>
      </c>
      <c r="AF167" s="63">
        <f t="shared" si="28"/>
        <v>1</v>
      </c>
      <c r="AG167" s="63">
        <f t="shared" si="29"/>
        <v>1</v>
      </c>
      <c r="AH167" s="63">
        <f t="shared" si="30"/>
        <v>1</v>
      </c>
      <c r="AI167" s="63">
        <f t="shared" si="31"/>
        <v>0.962319003331223</v>
      </c>
      <c r="AK167" s="60">
        <f>活动投放!AF167/U167</f>
        <v>0.24413844436174179</v>
      </c>
      <c r="AL167" s="60">
        <f>付费投放!AD167/U167</f>
        <v>0.75586155563825819</v>
      </c>
      <c r="AM167" s="60">
        <f>活动投放!AH167/W167</f>
        <v>0.714920860750489</v>
      </c>
      <c r="AN167" s="60">
        <f>付费投放!AF167/W167</f>
        <v>0.28507913924951089</v>
      </c>
      <c r="AO167" s="60">
        <f>IFERROR(INDEX(真品获取算法!$C$6:$C$66,MATCH(U167,真品获取算法!G$6:G$66,1)),0)*AK167/(IFERROR(INDEX(真品获取算法!$C$6:$C$66,MATCH(U167,真品获取算法!G$6:G$66,1)),0)+付费投放!AJ167)</f>
        <v>0.21565118858561708</v>
      </c>
      <c r="AP167" s="60">
        <f>(付费投放!AJ167+IFERROR(INDEX(真品获取算法!$C$6:$C$66,MATCH(U167,真品获取算法!G$6:G$66,1)),0)*AL167)/(IFERROR(INDEX(真品获取算法!$C$6:$C$66,MATCH(U167,真品获取算法!G$6:G$66,1)),0)+付费投放!AJ167)</f>
        <v>0.78434881141438284</v>
      </c>
      <c r="AQ167" s="60">
        <f>IFERROR(INDEX(真品获取算法!$C$6:$C$66,MATCH(W167,真品获取算法!I$6:I$66,1)),0)*AM167/(IFERROR(INDEX(真品获取算法!$C$6:$C$66,MATCH(W167,真品获取算法!I$6:I$66,1)),0)+付费投放!AL167)</f>
        <v>0.42863104316791745</v>
      </c>
      <c r="AR167" s="60">
        <f>(付费投放!AL167+IFERROR(INDEX(真品获取算法!$C$6:$C$66,MATCH(W167,真品获取算法!I$6:I$66,1)),0)*AN167)/(IFERROR(INDEX(真品获取算法!$C$6:$C$66,MATCH(W167,真品获取算法!I$6:I$66,1)),0)+付费投放!AL167)</f>
        <v>0.57136895683208244</v>
      </c>
    </row>
    <row r="168" spans="3:44" x14ac:dyDescent="0.15">
      <c r="C168" s="29">
        <f t="shared" si="34"/>
        <v>1140</v>
      </c>
      <c r="D168" s="18">
        <f>求节点(节奏总纲!$G$4:$G$163,节奏总纲!$C$4:$C$163,$C168)</f>
        <v>111.80552112822316</v>
      </c>
      <c r="E168" s="18">
        <f>IFERROR(求节点(前期规划!$F$13:$F$23,前期规划!$B$13:$B$23,D168),0)</f>
        <v>18.277772481265103</v>
      </c>
      <c r="F168" s="63">
        <f>IFERROR(求节点(前期规划!$C$28:$C$35,前期规划!D$28:D$35,$D168),0)</f>
        <v>9</v>
      </c>
      <c r="G168" s="63">
        <f>IFERROR(求节点(前期规划!$C$28:$C$35,前期规划!E$28:E$35,$D168),0)</f>
        <v>9</v>
      </c>
      <c r="H168" s="63">
        <f>IFERROR(求节点(前期规划!$C$28:$C$35,前期规划!F$28:F$35,$D168),0)</f>
        <v>27</v>
      </c>
      <c r="I168" s="63">
        <f>IFERROR(求节点(前期规划!$C$28:$C$35,前期规划!G$28:G$35,$D168),0)</f>
        <v>27</v>
      </c>
      <c r="J168" s="63">
        <f>IFERROR(求节点(前期规划!$C$28:$C$35,前期规划!H$28:H$35,$D168),0)</f>
        <v>60</v>
      </c>
      <c r="K168" s="63">
        <f>IFERROR(求节点(前期规划!$C$28:$C$35,前期规划!I$28:I$35,$D168),0)</f>
        <v>15.310574137079659</v>
      </c>
      <c r="L168" s="63">
        <f>MIN($E168-SUM(M168:$Q168),F168)</f>
        <v>0</v>
      </c>
      <c r="M168" s="63">
        <f>MIN($E168-SUM(N168:$Q168),G168)</f>
        <v>0</v>
      </c>
      <c r="N168" s="63">
        <f>MIN($E168-SUM(O168:$Q168),H168)</f>
        <v>0</v>
      </c>
      <c r="O168" s="63">
        <f>MIN($E168-SUM(P168:$Q168),I168)</f>
        <v>0</v>
      </c>
      <c r="P168" s="63">
        <f>MIN($E168-SUM(Q168:$Q168),J168)</f>
        <v>2.9671983441854444</v>
      </c>
      <c r="Q168" s="69">
        <f t="shared" si="32"/>
        <v>15.310574137079659</v>
      </c>
      <c r="R168" s="64">
        <f>活动投放!AC168+付费投放!AA168</f>
        <v>401.5</v>
      </c>
      <c r="S168" s="64">
        <f>活动投放!AD168+付费投放!AB168</f>
        <v>401.5</v>
      </c>
      <c r="T168" s="64">
        <f>活动投放!AE168+付费投放!AC168</f>
        <v>1050.8944444444444</v>
      </c>
      <c r="U168" s="64">
        <f>活动投放!AF168+付费投放!AD168</f>
        <v>450.38333333333316</v>
      </c>
      <c r="V168" s="64">
        <f>活动投放!AG168+付费投放!AE168</f>
        <v>967.58333333333326</v>
      </c>
      <c r="W168" s="64">
        <f>活动投放!AH168+付费投放!AF168</f>
        <v>107.50925925925927</v>
      </c>
      <c r="X168" s="63">
        <f>MIN(IFERROR(INDEX(真品获取算法!$C$6:$C$66,MATCH(R168,真品获取算法!D$6:D$66,1)),0)+付费投放!AG168,前期规划!D$8)</f>
        <v>9</v>
      </c>
      <c r="Y168" s="63">
        <f>MIN(IFERROR(INDEX(真品获取算法!$C$6:$C$66,MATCH(S168,真品获取算法!E$6:E$66,1)),0)+付费投放!AH168,前期规划!E$8)</f>
        <v>9</v>
      </c>
      <c r="Z168" s="63">
        <f>MIN(IFERROR(INDEX(真品获取算法!$C$6:$C$66,MATCH(T168,真品获取算法!F$6:F$66,1)),0)+付费投放!AI168,前期规划!F$8)</f>
        <v>27</v>
      </c>
      <c r="AA168" s="63">
        <f>MIN(IFERROR(INDEX(真品获取算法!$C$6:$C$66,MATCH(U168,真品获取算法!G$6:G$66,1)),0)+付费投放!AJ168,前期规划!G$8)</f>
        <v>27</v>
      </c>
      <c r="AB168" s="63">
        <f>MIN(IFERROR(INDEX(真品获取算法!$C$6:$C$66,MATCH(V168,真品获取算法!H$6:H$66,1)),0)+付费投放!AK168,前期规划!H$8)</f>
        <v>60</v>
      </c>
      <c r="AC168" s="63">
        <f>MIN(IFERROR(INDEX(真品获取算法!$C$6:$C$66,MATCH(W168,真品获取算法!I$6:I$66,1)),0)+付费投放!AL168,前期规划!I$8)</f>
        <v>15.021851851851851</v>
      </c>
      <c r="AD168" s="63">
        <f t="shared" si="33"/>
        <v>1</v>
      </c>
      <c r="AE168" s="63">
        <f t="shared" si="27"/>
        <v>1</v>
      </c>
      <c r="AF168" s="63">
        <f t="shared" si="28"/>
        <v>1</v>
      </c>
      <c r="AG168" s="63">
        <f t="shared" si="29"/>
        <v>1</v>
      </c>
      <c r="AH168" s="63">
        <f t="shared" si="30"/>
        <v>1</v>
      </c>
      <c r="AI168" s="63">
        <f t="shared" si="31"/>
        <v>0.98114229534158548</v>
      </c>
      <c r="AK168" s="60">
        <f>活动投放!AF168/U168</f>
        <v>0.24512452355400963</v>
      </c>
      <c r="AL168" s="60">
        <f>付费投放!AD168/U168</f>
        <v>0.7548754764459904</v>
      </c>
      <c r="AM168" s="60">
        <f>活动投放!AH168/W168</f>
        <v>0.71993798983722335</v>
      </c>
      <c r="AN168" s="60">
        <f>付费投放!AF168/W168</f>
        <v>0.28006201016277665</v>
      </c>
      <c r="AO168" s="60">
        <f>IFERROR(INDEX(真品获取算法!$C$6:$C$66,MATCH(U168,真品获取算法!G$6:G$66,1)),0)*AK168/(IFERROR(INDEX(真品获取算法!$C$6:$C$66,MATCH(U168,真品获取算法!G$6:G$66,1)),0)+付费投放!AJ168)</f>
        <v>0.21464958278783547</v>
      </c>
      <c r="AP168" s="60">
        <f>(付费投放!AJ168+IFERROR(INDEX(真品获取算法!$C$6:$C$66,MATCH(U168,真品获取算法!G$6:G$66,1)),0)*AL168)/(IFERROR(INDEX(真品获取算法!$C$6:$C$66,MATCH(U168,真品获取算法!G$6:G$66,1)),0)+付费投放!AJ168)</f>
        <v>0.78535041721216459</v>
      </c>
      <c r="AQ168" s="60">
        <f>IFERROR(INDEX(真品获取算法!$C$6:$C$66,MATCH(W168,真品获取算法!I$6:I$66,1)),0)*AM168/(IFERROR(INDEX(真品获取算法!$C$6:$C$66,MATCH(W168,真品获取算法!I$6:I$66,1)),0)+付费投放!AL168)</f>
        <v>0.43133443016456346</v>
      </c>
      <c r="AR168" s="60">
        <f>(付费投放!AL168+IFERROR(INDEX(真品获取算法!$C$6:$C$66,MATCH(W168,真品获取算法!I$6:I$66,1)),0)*AN168)/(IFERROR(INDEX(真品获取算法!$C$6:$C$66,MATCH(W168,真品获取算法!I$6:I$66,1)),0)+付费投放!AL168)</f>
        <v>0.56866556983543659</v>
      </c>
    </row>
    <row r="169" spans="3:44" x14ac:dyDescent="0.15">
      <c r="C169" s="29">
        <f t="shared" si="34"/>
        <v>1260</v>
      </c>
      <c r="D169" s="18">
        <f>求节点(节奏总纲!$G$4:$G$163,节奏总纲!$C$4:$C$163,$C169)</f>
        <v>113.29015465152274</v>
      </c>
      <c r="E169" s="18">
        <f>IFERROR(求节点(前期规划!$F$13:$F$23,前期规划!$B$13:$B$23,D169),0)</f>
        <v>18.506177638695807</v>
      </c>
      <c r="F169" s="63">
        <f>IFERROR(求节点(前期规划!$C$28:$C$35,前期规划!D$28:D$35,$D169),0)</f>
        <v>9</v>
      </c>
      <c r="G169" s="63">
        <f>IFERROR(求节点(前期规划!$C$28:$C$35,前期规划!E$28:E$35,$D169),0)</f>
        <v>9</v>
      </c>
      <c r="H169" s="63">
        <f>IFERROR(求节点(前期规划!$C$28:$C$35,前期规划!F$28:F$35,$D169),0)</f>
        <v>27</v>
      </c>
      <c r="I169" s="63">
        <f>IFERROR(求节点(前期规划!$C$28:$C$35,前期规划!G$28:G$35,$D169),0)</f>
        <v>27</v>
      </c>
      <c r="J169" s="63">
        <f>IFERROR(求节点(前期规划!$C$28:$C$35,前期规划!H$28:H$35,$D169),0)</f>
        <v>60</v>
      </c>
      <c r="K169" s="63">
        <f>IFERROR(求节点(前期规划!$C$28:$C$35,前期规划!I$28:I$35,$D169),0)</f>
        <v>16.687234313230178</v>
      </c>
      <c r="L169" s="63">
        <f>MIN($E169-SUM(M169:$Q169),F169)</f>
        <v>0</v>
      </c>
      <c r="M169" s="63">
        <f>MIN($E169-SUM(N169:$Q169),G169)</f>
        <v>0</v>
      </c>
      <c r="N169" s="63">
        <f>MIN($E169-SUM(O169:$Q169),H169)</f>
        <v>0</v>
      </c>
      <c r="O169" s="63">
        <f>MIN($E169-SUM(P169:$Q169),I169)</f>
        <v>0</v>
      </c>
      <c r="P169" s="63">
        <f>MIN($E169-SUM(Q169:$Q169),J169)</f>
        <v>1.8189433254656286</v>
      </c>
      <c r="Q169" s="69">
        <f t="shared" si="32"/>
        <v>16.687234313230178</v>
      </c>
      <c r="R169" s="64">
        <f>活动投放!AC169+付费投放!AA169</f>
        <v>433.5</v>
      </c>
      <c r="S169" s="64">
        <f>活动投放!AD169+付费投放!AB169</f>
        <v>433.5</v>
      </c>
      <c r="T169" s="64">
        <f>活动投放!AE169+付费投放!AC169</f>
        <v>1161.3388888888887</v>
      </c>
      <c r="U169" s="64">
        <f>活动投放!AF169+付费投放!AD169</f>
        <v>497.71666666666647</v>
      </c>
      <c r="V169" s="64">
        <f>活动投放!AG169+付费投放!AE169</f>
        <v>1091.7166666666667</v>
      </c>
      <c r="W169" s="64">
        <f>活动投放!AH169+付费投放!AF169</f>
        <v>121.30185185185186</v>
      </c>
      <c r="X169" s="63">
        <f>MIN(IFERROR(INDEX(真品获取算法!$C$6:$C$66,MATCH(R169,真品获取算法!D$6:D$66,1)),0)+付费投放!AG169,前期规划!D$8)</f>
        <v>9</v>
      </c>
      <c r="Y169" s="63">
        <f>MIN(IFERROR(INDEX(真品获取算法!$C$6:$C$66,MATCH(S169,真品获取算法!E$6:E$66,1)),0)+付费投放!AH169,前期规划!E$8)</f>
        <v>9</v>
      </c>
      <c r="Z169" s="63">
        <f>MIN(IFERROR(INDEX(真品获取算法!$C$6:$C$66,MATCH(T169,真品获取算法!F$6:F$66,1)),0)+付费投放!AI169,前期规划!F$8)</f>
        <v>27</v>
      </c>
      <c r="AA169" s="63">
        <f>MIN(IFERROR(INDEX(真品获取算法!$C$6:$C$66,MATCH(U169,真品获取算法!G$6:G$66,1)),0)+付费投放!AJ169,前期规划!G$8)</f>
        <v>27</v>
      </c>
      <c r="AB169" s="63">
        <f>MIN(IFERROR(INDEX(真品获取算法!$C$6:$C$66,MATCH(V169,真品获取算法!H$6:H$66,1)),0)+付费投放!AK169,前期规划!H$8)</f>
        <v>60</v>
      </c>
      <c r="AC169" s="63">
        <f>MIN(IFERROR(INDEX(真品获取算法!$C$6:$C$66,MATCH(W169,真品获取算法!I$6:I$66,1)),0)+付费投放!AL169,前期规划!I$8)</f>
        <v>17.700370370370369</v>
      </c>
      <c r="AD169" s="63">
        <f t="shared" si="33"/>
        <v>1</v>
      </c>
      <c r="AE169" s="63">
        <f t="shared" si="27"/>
        <v>1</v>
      </c>
      <c r="AF169" s="63">
        <f t="shared" si="28"/>
        <v>1</v>
      </c>
      <c r="AG169" s="63">
        <f t="shared" si="29"/>
        <v>1</v>
      </c>
      <c r="AH169" s="63">
        <f t="shared" si="30"/>
        <v>1</v>
      </c>
      <c r="AI169" s="63">
        <f t="shared" si="31"/>
        <v>1.060713239721033</v>
      </c>
      <c r="AK169" s="60">
        <f>活动投放!AF169/U169</f>
        <v>0.24592304858855449</v>
      </c>
      <c r="AL169" s="60">
        <f>付费投放!AD169/U169</f>
        <v>0.7540769514114456</v>
      </c>
      <c r="AM169" s="60">
        <f>活动投放!AH169/W169</f>
        <v>0.72381417644993362</v>
      </c>
      <c r="AN169" s="60">
        <f>付费投放!AF169/W169</f>
        <v>0.27618582355006638</v>
      </c>
      <c r="AO169" s="60">
        <f>IFERROR(INDEX(真品获取算法!$C$6:$C$66,MATCH(U169,真品获取算法!G$6:G$66,1)),0)*AK169/(IFERROR(INDEX(真品获取算法!$C$6:$C$66,MATCH(U169,真品获取算法!G$6:G$66,1)),0)+付费投放!AJ169)</f>
        <v>0.21350232514118878</v>
      </c>
      <c r="AP169" s="60">
        <f>(付费投放!AJ169+IFERROR(INDEX(真品获取算法!$C$6:$C$66,MATCH(U169,真品获取算法!G$6:G$66,1)),0)*AL169)/(IFERROR(INDEX(真品获取算法!$C$6:$C$66,MATCH(U169,真品获取算法!G$6:G$66,1)),0)+付费投放!AJ169)</f>
        <v>0.78649767485881128</v>
      </c>
      <c r="AQ169" s="60">
        <f>IFERROR(INDEX(真品获取算法!$C$6:$C$66,MATCH(W169,真品获取算法!I$6:I$66,1)),0)*AM169/(IFERROR(INDEX(真品获取算法!$C$6:$C$66,MATCH(W169,真品获取算法!I$6:I$66,1)),0)+付费投放!AL169)</f>
        <v>0.4498186068624434</v>
      </c>
      <c r="AR169" s="60">
        <f>(付费投放!AL169+IFERROR(INDEX(真品获取算法!$C$6:$C$66,MATCH(W169,真品获取算法!I$6:I$66,1)),0)*AN169)/(IFERROR(INDEX(真品获取算法!$C$6:$C$66,MATCH(W169,真品获取算法!I$6:I$66,1)),0)+付费投放!AL169)</f>
        <v>0.55018139313755676</v>
      </c>
    </row>
    <row r="170" spans="3:44" x14ac:dyDescent="0.15">
      <c r="C170" s="29">
        <f t="shared" si="34"/>
        <v>1380</v>
      </c>
      <c r="D170" s="18">
        <f>求节点(节奏总纲!$G$4:$G$163,节奏总纲!$C$4:$C$163,$C170)</f>
        <v>114.69104152791324</v>
      </c>
      <c r="E170" s="18">
        <f>IFERROR(求节点(前期规划!$F$13:$F$23,前期规划!$B$13:$B$23,D170),0)</f>
        <v>18.721698696602036</v>
      </c>
      <c r="F170" s="63">
        <f>IFERROR(求节点(前期规划!$C$28:$C$35,前期规划!D$28:D$35,$D170),0)</f>
        <v>9</v>
      </c>
      <c r="G170" s="63">
        <f>IFERROR(求节点(前期规划!$C$28:$C$35,前期规划!E$28:E$35,$D170),0)</f>
        <v>9</v>
      </c>
      <c r="H170" s="63">
        <f>IFERROR(求节点(前期规划!$C$28:$C$35,前期规划!F$28:F$35,$D170),0)</f>
        <v>27</v>
      </c>
      <c r="I170" s="63">
        <f>IFERROR(求节点(前期规划!$C$28:$C$35,前期规划!G$28:G$35,$D170),0)</f>
        <v>27</v>
      </c>
      <c r="J170" s="63">
        <f>IFERROR(求节点(前期规划!$C$28:$C$35,前期规划!H$28:H$35,$D170),0)</f>
        <v>60</v>
      </c>
      <c r="K170" s="63">
        <f>IFERROR(求节点(前期规划!$C$28:$C$35,前期规划!I$28:I$35,$D170),0)</f>
        <v>17.986238507701369</v>
      </c>
      <c r="L170" s="63">
        <f>MIN($E170-SUM(M170:$Q170),F170)</f>
        <v>0</v>
      </c>
      <c r="M170" s="63">
        <f>MIN($E170-SUM(N170:$Q170),G170)</f>
        <v>0</v>
      </c>
      <c r="N170" s="63">
        <f>MIN($E170-SUM(O170:$Q170),H170)</f>
        <v>0</v>
      </c>
      <c r="O170" s="63">
        <f>MIN($E170-SUM(P170:$Q170),I170)</f>
        <v>0</v>
      </c>
      <c r="P170" s="63">
        <f>MIN($E170-SUM(Q170:$Q170),J170)</f>
        <v>0.73546018890066733</v>
      </c>
      <c r="Q170" s="69">
        <f t="shared" si="32"/>
        <v>17.986238507701369</v>
      </c>
      <c r="R170" s="64">
        <f>活动投放!AC170+付费投放!AA170</f>
        <v>465.5</v>
      </c>
      <c r="S170" s="64">
        <f>活动投放!AD170+付费投放!AB170</f>
        <v>465.5</v>
      </c>
      <c r="T170" s="64">
        <f>活动投放!AE170+付费投放!AC170</f>
        <v>1271.7833333333333</v>
      </c>
      <c r="U170" s="64">
        <f>活动投放!AF170+付费投放!AD170</f>
        <v>545.04999999999984</v>
      </c>
      <c r="V170" s="64">
        <f>活动投放!AG170+付费投放!AE170</f>
        <v>1215.8499999999999</v>
      </c>
      <c r="W170" s="64">
        <f>活动投放!AH170+付费投放!AF170</f>
        <v>135.09444444444443</v>
      </c>
      <c r="X170" s="63">
        <f>MIN(IFERROR(INDEX(真品获取算法!$C$6:$C$66,MATCH(R170,真品获取算法!D$6:D$66,1)),0)+付费投放!AG170,前期规划!D$8)</f>
        <v>9</v>
      </c>
      <c r="Y170" s="63">
        <f>MIN(IFERROR(INDEX(真品获取算法!$C$6:$C$66,MATCH(S170,真品获取算法!E$6:E$66,1)),0)+付费投放!AH170,前期规划!E$8)</f>
        <v>9</v>
      </c>
      <c r="Z170" s="63">
        <f>MIN(IFERROR(INDEX(真品获取算法!$C$6:$C$66,MATCH(T170,真品获取算法!F$6:F$66,1)),0)+付费投放!AI170,前期规划!F$8)</f>
        <v>27</v>
      </c>
      <c r="AA170" s="63">
        <f>MIN(IFERROR(INDEX(真品获取算法!$C$6:$C$66,MATCH(U170,真品获取算法!G$6:G$66,1)),0)+付费投放!AJ170,前期规划!G$8)</f>
        <v>27</v>
      </c>
      <c r="AB170" s="63">
        <f>MIN(IFERROR(INDEX(真品获取算法!$C$6:$C$66,MATCH(V170,真品获取算法!H$6:H$66,1)),0)+付费投放!AK170,前期规划!H$8)</f>
        <v>60</v>
      </c>
      <c r="AC170" s="63">
        <f>MIN(IFERROR(INDEX(真品获取算法!$C$6:$C$66,MATCH(W170,真品获取算法!I$6:I$66,1)),0)+付费投放!AL170,前期规划!I$8)</f>
        <v>19.378888888888888</v>
      </c>
      <c r="AD170" s="63">
        <f t="shared" si="33"/>
        <v>1</v>
      </c>
      <c r="AE170" s="63">
        <f t="shared" si="27"/>
        <v>1</v>
      </c>
      <c r="AF170" s="63">
        <f t="shared" si="28"/>
        <v>1</v>
      </c>
      <c r="AG170" s="63">
        <f t="shared" si="29"/>
        <v>1</v>
      </c>
      <c r="AH170" s="63">
        <f t="shared" si="30"/>
        <v>1</v>
      </c>
      <c r="AI170" s="63">
        <f t="shared" si="31"/>
        <v>1.0774286619512585</v>
      </c>
      <c r="AK170" s="60">
        <f>活动投放!AF170/U170</f>
        <v>0.24658288230437583</v>
      </c>
      <c r="AL170" s="60">
        <f>付费投放!AD170/U170</f>
        <v>0.75341711769562414</v>
      </c>
      <c r="AM170" s="60">
        <f>活动投放!AH170/W170</f>
        <v>0.72689887732861791</v>
      </c>
      <c r="AN170" s="60">
        <f>付费投放!AF170/W170</f>
        <v>0.2731011226713822</v>
      </c>
      <c r="AO170" s="60">
        <f>IFERROR(INDEX(真品获取算法!$C$6:$C$66,MATCH(U170,真品获取算法!G$6:G$66,1)),0)*AK170/(IFERROR(INDEX(真品获取算法!$C$6:$C$66,MATCH(U170,真品获取算法!G$6:G$66,1)),0)+付费投放!AJ170)</f>
        <v>0.21225519093150311</v>
      </c>
      <c r="AP170" s="60">
        <f>(付费投放!AJ170+IFERROR(INDEX(真品获取算法!$C$6:$C$66,MATCH(U170,真品获取算法!G$6:G$66,1)),0)*AL170)/(IFERROR(INDEX(真品获取算法!$C$6:$C$66,MATCH(U170,真品获取算法!G$6:G$66,1)),0)+付费投放!AJ170)</f>
        <v>0.78774480906849687</v>
      </c>
      <c r="AQ170" s="60">
        <f>IFERROR(INDEX(真品获取算法!$C$6:$C$66,MATCH(W170,真品获取算法!I$6:I$66,1)),0)*AM170/(IFERROR(INDEX(真品获取算法!$C$6:$C$66,MATCH(W170,真品获取算法!I$6:I$66,1)),0)+付费投放!AL170)</f>
        <v>0.45011799066275293</v>
      </c>
      <c r="AR170" s="60">
        <f>(付费投放!AL170+IFERROR(INDEX(真品获取算法!$C$6:$C$66,MATCH(W170,真品获取算法!I$6:I$66,1)),0)*AN170)/(IFERROR(INDEX(真品获取算法!$C$6:$C$66,MATCH(W170,真品获取算法!I$6:I$66,1)),0)+付费投放!AL170)</f>
        <v>0.54988200933724718</v>
      </c>
    </row>
    <row r="171" spans="3:44" x14ac:dyDescent="0.15">
      <c r="C171" s="29">
        <f t="shared" si="34"/>
        <v>1500</v>
      </c>
      <c r="D171" s="18">
        <f>求节点(节奏总纲!$G$4:$G$163,节奏总纲!$C$4:$C$163,$C171)</f>
        <v>115.91094430884056</v>
      </c>
      <c r="E171" s="18">
        <f>IFERROR(求节点(前期规划!$F$13:$F$23,前期规划!$B$13:$B$23,D171),0)</f>
        <v>18.909376047513931</v>
      </c>
      <c r="F171" s="63">
        <f>IFERROR(求节点(前期规划!$C$28:$C$35,前期规划!D$28:D$35,$D171),0)</f>
        <v>9</v>
      </c>
      <c r="G171" s="63">
        <f>IFERROR(求节点(前期规划!$C$28:$C$35,前期规划!E$28:E$35,$D171),0)</f>
        <v>9</v>
      </c>
      <c r="H171" s="63">
        <f>IFERROR(求节点(前期规划!$C$28:$C$35,前期规划!F$28:F$35,$D171),0)</f>
        <v>27</v>
      </c>
      <c r="I171" s="63">
        <f>IFERROR(求节点(前期规划!$C$28:$C$35,前期规划!G$28:G$35,$D171),0)</f>
        <v>27</v>
      </c>
      <c r="J171" s="63">
        <f>IFERROR(求节点(前期规划!$C$28:$C$35,前期规划!H$28:H$35,$D171),0)</f>
        <v>60</v>
      </c>
      <c r="K171" s="63">
        <f>IFERROR(求节点(前期规划!$C$28:$C$35,前期规划!I$28:I$35,$D171),0)</f>
        <v>19.117421086379423</v>
      </c>
      <c r="L171" s="63">
        <f>MIN($E171-SUM(M171:$Q171),F171)</f>
        <v>0</v>
      </c>
      <c r="M171" s="63">
        <f>MIN($E171-SUM(N171:$Q171),G171)</f>
        <v>0</v>
      </c>
      <c r="N171" s="63">
        <f>MIN($E171-SUM(O171:$Q171),H171)</f>
        <v>0</v>
      </c>
      <c r="O171" s="63">
        <f>MIN($E171-SUM(P171:$Q171),I171)</f>
        <v>0</v>
      </c>
      <c r="P171" s="63">
        <f>MIN($E171-SUM(Q171:$Q171),J171)</f>
        <v>0</v>
      </c>
      <c r="Q171" s="69">
        <f t="shared" si="32"/>
        <v>18.909376047513931</v>
      </c>
      <c r="R171" s="64">
        <f>活动投放!AC171+付费投放!AA171</f>
        <v>497.5</v>
      </c>
      <c r="S171" s="64">
        <f>活动投放!AD171+付费投放!AB171</f>
        <v>497.5</v>
      </c>
      <c r="T171" s="64">
        <f>活动投放!AE171+付费投放!AC171</f>
        <v>1382.2277777777776</v>
      </c>
      <c r="U171" s="64">
        <f>活动投放!AF171+付费投放!AD171</f>
        <v>592.3833333333331</v>
      </c>
      <c r="V171" s="64">
        <f>活动投放!AG171+付费投放!AE171</f>
        <v>1339.9833333333331</v>
      </c>
      <c r="W171" s="64">
        <f>活动投放!AH171+付费投放!AF171</f>
        <v>148.88703703703703</v>
      </c>
      <c r="X171" s="63">
        <f>MIN(IFERROR(INDEX(真品获取算法!$C$6:$C$66,MATCH(R171,真品获取算法!D$6:D$66,1)),0)+付费投放!AG171,前期规划!D$8)</f>
        <v>9</v>
      </c>
      <c r="Y171" s="63">
        <f>MIN(IFERROR(INDEX(真品获取算法!$C$6:$C$66,MATCH(S171,真品获取算法!E$6:E$66,1)),0)+付费投放!AH171,前期规划!E$8)</f>
        <v>9</v>
      </c>
      <c r="Z171" s="63">
        <f>MIN(IFERROR(INDEX(真品获取算法!$C$6:$C$66,MATCH(T171,真品获取算法!F$6:F$66,1)),0)+付费投放!AI171,前期规划!F$8)</f>
        <v>27</v>
      </c>
      <c r="AA171" s="63">
        <f>MIN(IFERROR(INDEX(真品获取算法!$C$6:$C$66,MATCH(U171,真品获取算法!G$6:G$66,1)),0)+付费投放!AJ171,前期规划!G$8)</f>
        <v>27</v>
      </c>
      <c r="AB171" s="63">
        <f>MIN(IFERROR(INDEX(真品获取算法!$C$6:$C$66,MATCH(V171,真品获取算法!H$6:H$66,1)),0)+付费投放!AK171,前期规划!H$8)</f>
        <v>60</v>
      </c>
      <c r="AC171" s="63">
        <f>MIN(IFERROR(INDEX(真品获取算法!$C$6:$C$66,MATCH(W171,真品获取算法!I$6:I$66,1)),0)+付费投放!AL171,前期规划!I$8)</f>
        <v>21.057407407407407</v>
      </c>
      <c r="AD171" s="63">
        <f t="shared" si="33"/>
        <v>1</v>
      </c>
      <c r="AE171" s="63">
        <f t="shared" si="27"/>
        <v>1</v>
      </c>
      <c r="AF171" s="63">
        <f t="shared" si="28"/>
        <v>1</v>
      </c>
      <c r="AG171" s="63">
        <f t="shared" si="29"/>
        <v>1</v>
      </c>
      <c r="AH171" s="63">
        <f t="shared" si="30"/>
        <v>1</v>
      </c>
      <c r="AI171" s="63">
        <f t="shared" si="31"/>
        <v>1.1014774070342659</v>
      </c>
      <c r="AK171" s="60">
        <f>活动投放!AF171/U171</f>
        <v>0.24713727034859195</v>
      </c>
      <c r="AL171" s="60">
        <f>付费投放!AD171/U171</f>
        <v>0.7528627296514081</v>
      </c>
      <c r="AM171" s="60">
        <f>活动投放!AH171/W171</f>
        <v>0.72941205736389769</v>
      </c>
      <c r="AN171" s="60">
        <f>付费投放!AF171/W171</f>
        <v>0.27058794263610247</v>
      </c>
      <c r="AO171" s="60">
        <f>IFERROR(INDEX(真品获取算法!$C$6:$C$66,MATCH(U171,真品获取算法!G$6:G$66,1)),0)*AK171/(IFERROR(INDEX(真品获取算法!$C$6:$C$66,MATCH(U171,真品获取算法!G$6:G$66,1)),0)+付费投放!AJ171)</f>
        <v>0.21093908217319229</v>
      </c>
      <c r="AP171" s="60">
        <f>(付费投放!AJ171+IFERROR(INDEX(真品获取算法!$C$6:$C$66,MATCH(U171,真品获取算法!G$6:G$66,1)),0)*AL171)/(IFERROR(INDEX(真品获取算法!$C$6:$C$66,MATCH(U171,真品获取算法!G$6:G$66,1)),0)+付费投放!AJ171)</f>
        <v>0.78906091782680776</v>
      </c>
      <c r="AQ171" s="60">
        <f>IFERROR(INDEX(真品获取算法!$C$6:$C$66,MATCH(W171,真品获取算法!I$6:I$66,1)),0)*AM171/(IFERROR(INDEX(真品获取算法!$C$6:$C$66,MATCH(W171,真品获取算法!I$6:I$66,1)),0)+付费投放!AL171)</f>
        <v>0.45030979181202724</v>
      </c>
      <c r="AR171" s="60">
        <f>(付费投放!AL171+IFERROR(INDEX(真品获取算法!$C$6:$C$66,MATCH(W171,真品获取算法!I$6:I$66,1)),0)*AN171)/(IFERROR(INDEX(真品获取算法!$C$6:$C$66,MATCH(W171,真品获取算法!I$6:I$66,1)),0)+付费投放!AL171)</f>
        <v>0.54969020818797287</v>
      </c>
    </row>
    <row r="172" spans="3:44" x14ac:dyDescent="0.15">
      <c r="C172" s="29">
        <f t="shared" si="34"/>
        <v>1800</v>
      </c>
      <c r="D172" s="18">
        <f>求节点(节奏总纲!$G$4:$G$163,节奏总纲!$C$4:$C$163,$C172)</f>
        <v>118.49671008494479</v>
      </c>
      <c r="E172" s="18">
        <f>IFERROR(求节点(前期规划!$F$13:$F$23,前期规划!$B$13:$B$23,D172),0)</f>
        <v>19.307186166914583</v>
      </c>
      <c r="F172" s="63">
        <f>IFERROR(求节点(前期规划!$C$28:$C$35,前期规划!D$28:D$35,$D172),0)</f>
        <v>9</v>
      </c>
      <c r="G172" s="63">
        <f>IFERROR(求节点(前期规划!$C$28:$C$35,前期规划!E$28:E$35,$D172),0)</f>
        <v>9</v>
      </c>
      <c r="H172" s="63">
        <f>IFERROR(求节点(前期规划!$C$28:$C$35,前期规划!F$28:F$35,$D172),0)</f>
        <v>27</v>
      </c>
      <c r="I172" s="63">
        <f>IFERROR(求节点(前期规划!$C$28:$C$35,前期规划!G$28:G$35,$D172),0)</f>
        <v>27</v>
      </c>
      <c r="J172" s="63">
        <f>IFERROR(求节点(前期规划!$C$28:$C$35,前期规划!H$28:H$35,$D172),0)</f>
        <v>60</v>
      </c>
      <c r="K172" s="63">
        <f>IFERROR(求节点(前期规划!$C$28:$C$35,前期规划!I$28:I$35,$D172),0)</f>
        <v>21.515131169676081</v>
      </c>
      <c r="L172" s="63">
        <f>MIN($E172-SUM(M172:$Q172),F172)</f>
        <v>0</v>
      </c>
      <c r="M172" s="63">
        <f>MIN($E172-SUM(N172:$Q172),G172)</f>
        <v>0</v>
      </c>
      <c r="N172" s="63">
        <f>MIN($E172-SUM(O172:$Q172),H172)</f>
        <v>0</v>
      </c>
      <c r="O172" s="63">
        <f>MIN($E172-SUM(P172:$Q172),I172)</f>
        <v>0</v>
      </c>
      <c r="P172" s="63">
        <f>MIN($E172-SUM(Q172:$Q172),J172)</f>
        <v>0</v>
      </c>
      <c r="Q172" s="69">
        <f t="shared" si="32"/>
        <v>19.307186166914583</v>
      </c>
      <c r="R172" s="64">
        <f>活动投放!AC172+付费投放!AA172</f>
        <v>577.5</v>
      </c>
      <c r="S172" s="64">
        <f>活动投放!AD172+付费投放!AB172</f>
        <v>577.5</v>
      </c>
      <c r="T172" s="64">
        <f>活动投放!AE172+付费投放!AC172</f>
        <v>1658.3388888888887</v>
      </c>
      <c r="U172" s="64">
        <f>活动投放!AF172+付费投放!AD172</f>
        <v>710.71666666666636</v>
      </c>
      <c r="V172" s="64">
        <f>活动投放!AG172+付费投放!AE172</f>
        <v>1650.3166666666666</v>
      </c>
      <c r="W172" s="64">
        <f>活动投放!AH172+付费投放!AF172</f>
        <v>183.3685185185185</v>
      </c>
      <c r="X172" s="63">
        <f>MIN(IFERROR(INDEX(真品获取算法!$C$6:$C$66,MATCH(R172,真品获取算法!D$6:D$66,1)),0)+付费投放!AG172,前期规划!D$8)</f>
        <v>9</v>
      </c>
      <c r="Y172" s="63">
        <f>MIN(IFERROR(INDEX(真品获取算法!$C$6:$C$66,MATCH(S172,真品获取算法!E$6:E$66,1)),0)+付费投放!AH172,前期规划!E$8)</f>
        <v>9</v>
      </c>
      <c r="Z172" s="63">
        <f>MIN(IFERROR(INDEX(真品获取算法!$C$6:$C$66,MATCH(T172,真品获取算法!F$6:F$66,1)),0)+付费投放!AI172,前期规划!F$8)</f>
        <v>27</v>
      </c>
      <c r="AA172" s="63">
        <f>MIN(IFERROR(INDEX(真品获取算法!$C$6:$C$66,MATCH(U172,真品获取算法!G$6:G$66,1)),0)+付费投放!AJ172,前期规划!G$8)</f>
        <v>27</v>
      </c>
      <c r="AB172" s="63">
        <f>MIN(IFERROR(INDEX(真品获取算法!$C$6:$C$66,MATCH(V172,真品获取算法!H$6:H$66,1)),0)+付费投放!AK172,前期规划!H$8)</f>
        <v>60</v>
      </c>
      <c r="AC172" s="63">
        <f>MIN(IFERROR(INDEX(真品获取算法!$C$6:$C$66,MATCH(W172,真品获取算法!I$6:I$66,1)),0)+付费投放!AL172,前期规划!I$8)</f>
        <v>24.753703703703703</v>
      </c>
      <c r="AD172" s="63">
        <f t="shared" si="33"/>
        <v>1</v>
      </c>
      <c r="AE172" s="63">
        <f t="shared" si="27"/>
        <v>1</v>
      </c>
      <c r="AF172" s="63">
        <f t="shared" si="28"/>
        <v>1</v>
      </c>
      <c r="AG172" s="63">
        <f t="shared" si="29"/>
        <v>1</v>
      </c>
      <c r="AH172" s="63">
        <f t="shared" si="30"/>
        <v>1</v>
      </c>
      <c r="AI172" s="63">
        <f t="shared" si="31"/>
        <v>1.150525344627791</v>
      </c>
      <c r="AK172" s="60">
        <f>活动投放!AF172/U172</f>
        <v>0.24820017353375712</v>
      </c>
      <c r="AL172" s="60">
        <f>付费投放!AD172/U172</f>
        <v>0.75179982646624288</v>
      </c>
      <c r="AM172" s="60">
        <f>活动投放!AH172/W172</f>
        <v>0.73404094163746358</v>
      </c>
      <c r="AN172" s="60">
        <f>付费投放!AF172/W172</f>
        <v>0.26595905836253653</v>
      </c>
      <c r="AO172" s="60">
        <f>IFERROR(INDEX(真品获取算法!$C$6:$C$66,MATCH(U172,真品获取算法!G$6:G$66,1)),0)*AK172/(IFERROR(INDEX(真品获取算法!$C$6:$C$66,MATCH(U172,真品获取算法!G$6:G$66,1)),0)+付费投放!AJ172)</f>
        <v>0.20747382926970412</v>
      </c>
      <c r="AP172" s="60">
        <f>(付费投放!AJ172+IFERROR(INDEX(真品获取算法!$C$6:$C$66,MATCH(U172,真品获取算法!G$6:G$66,1)),0)*AL172)/(IFERROR(INDEX(真品获取算法!$C$6:$C$66,MATCH(U172,真品获取算法!G$6:G$66,1)),0)+付费投放!AJ172)</f>
        <v>0.79252617073029596</v>
      </c>
      <c r="AQ172" s="60">
        <f>IFERROR(INDEX(真品获取算法!$C$6:$C$66,MATCH(W172,真品获取算法!I$6:I$66,1)),0)*AM172/(IFERROR(INDEX(真品获取算法!$C$6:$C$66,MATCH(W172,真品获取算法!I$6:I$66,1)),0)+付费投放!AL172)</f>
        <v>0.44480673503878621</v>
      </c>
      <c r="AR172" s="60">
        <f>(付费投放!AL172+IFERROR(INDEX(真品获取算法!$C$6:$C$66,MATCH(W172,真品获取算法!I$6:I$66,1)),0)*AN172)/(IFERROR(INDEX(真品获取算法!$C$6:$C$66,MATCH(W172,真品获取算法!I$6:I$66,1)),0)+付费投放!AL172)</f>
        <v>0.55519326496121391</v>
      </c>
    </row>
    <row r="173" spans="3:44" x14ac:dyDescent="0.15">
      <c r="C173" s="29">
        <f t="shared" si="34"/>
        <v>2100</v>
      </c>
      <c r="D173" s="18">
        <f>求节点(节奏总纲!$G$4:$G$163,节奏总纲!$C$4:$C$163,$C173)</f>
        <v>120.83470485393194</v>
      </c>
      <c r="E173" s="18">
        <f>IFERROR(求节点(前期规划!$F$13:$F$23,前期规划!$B$13:$B$23,D173),0)</f>
        <v>19.666877669835682</v>
      </c>
      <c r="F173" s="63">
        <f>IFERROR(求节点(前期规划!$C$28:$C$35,前期规划!D$28:D$35,$D173),0)</f>
        <v>9</v>
      </c>
      <c r="G173" s="63">
        <f>IFERROR(求节点(前期规划!$C$28:$C$35,前期规划!E$28:E$35,$D173),0)</f>
        <v>9</v>
      </c>
      <c r="H173" s="63">
        <f>IFERROR(求节点(前期规划!$C$28:$C$35,前期规划!F$28:F$35,$D173),0)</f>
        <v>27</v>
      </c>
      <c r="I173" s="63">
        <f>IFERROR(求节点(前期规划!$C$28:$C$35,前期规划!G$28:G$35,$D173),0)</f>
        <v>27</v>
      </c>
      <c r="J173" s="63">
        <f>IFERROR(求节点(前期规划!$C$28:$C$35,前期规划!H$28:H$35,$D173),0)</f>
        <v>60</v>
      </c>
      <c r="K173" s="63">
        <f>IFERROR(求节点(前期规划!$C$28:$C$35,前期规划!I$28:I$35,$D173),0)</f>
        <v>23.683089955464162</v>
      </c>
      <c r="L173" s="63">
        <f>MIN($E173-SUM(M173:$Q173),F173)</f>
        <v>0</v>
      </c>
      <c r="M173" s="63">
        <f>MIN($E173-SUM(N173:$Q173),G173)</f>
        <v>0</v>
      </c>
      <c r="N173" s="63">
        <f>MIN($E173-SUM(O173:$Q173),H173)</f>
        <v>0</v>
      </c>
      <c r="O173" s="63">
        <f>MIN($E173-SUM(P173:$Q173),I173)</f>
        <v>0</v>
      </c>
      <c r="P173" s="63">
        <f>MIN($E173-SUM(Q173:$Q173),J173)</f>
        <v>0</v>
      </c>
      <c r="Q173" s="69">
        <f t="shared" si="32"/>
        <v>19.666877669835682</v>
      </c>
      <c r="R173" s="64">
        <f>活动投放!AC173+付费投放!AA173</f>
        <v>657.5</v>
      </c>
      <c r="S173" s="64">
        <f>活动投放!AD173+付费投放!AB173</f>
        <v>657.5</v>
      </c>
      <c r="T173" s="64">
        <f>活动投放!AE173+付费投放!AC173</f>
        <v>1934.4499999999998</v>
      </c>
      <c r="U173" s="64">
        <f>活动投放!AF173+付费投放!AD173</f>
        <v>829.04999999999961</v>
      </c>
      <c r="V173" s="64">
        <f>活动投放!AG173+付费投放!AE173</f>
        <v>1960.6499999999999</v>
      </c>
      <c r="W173" s="64">
        <f>活动投放!AH173+付费投放!AF173</f>
        <v>217.85000000000002</v>
      </c>
      <c r="X173" s="63">
        <f>MIN(IFERROR(INDEX(真品获取算法!$C$6:$C$66,MATCH(R173,真品获取算法!D$6:D$66,1)),0)+付费投放!AG173,前期规划!D$8)</f>
        <v>9</v>
      </c>
      <c r="Y173" s="63">
        <f>MIN(IFERROR(INDEX(真品获取算法!$C$6:$C$66,MATCH(S173,真品获取算法!E$6:E$66,1)),0)+付费投放!AH173,前期规划!E$8)</f>
        <v>9</v>
      </c>
      <c r="Z173" s="63">
        <f>MIN(IFERROR(INDEX(真品获取算法!$C$6:$C$66,MATCH(T173,真品获取算法!F$6:F$66,1)),0)+付费投放!AI173,前期规划!F$8)</f>
        <v>27</v>
      </c>
      <c r="AA173" s="63">
        <f>MIN(IFERROR(INDEX(真品获取算法!$C$6:$C$66,MATCH(U173,真品获取算法!G$6:G$66,1)),0)+付费投放!AJ173,前期规划!G$8)</f>
        <v>27</v>
      </c>
      <c r="AB173" s="63">
        <f>MIN(IFERROR(INDEX(真品获取算法!$C$6:$C$66,MATCH(V173,真品获取算法!H$6:H$66,1)),0)+付费投放!AK173,前期规划!H$8)</f>
        <v>60</v>
      </c>
      <c r="AC173" s="63">
        <f>MIN(IFERROR(INDEX(真品获取算法!$C$6:$C$66,MATCH(W173,真品获取算法!I$6:I$66,1)),0)+付费投放!AL173,前期规划!I$8)</f>
        <v>29.45</v>
      </c>
      <c r="AD173" s="63">
        <f t="shared" si="33"/>
        <v>1</v>
      </c>
      <c r="AE173" s="63">
        <f t="shared" si="27"/>
        <v>1</v>
      </c>
      <c r="AF173" s="63">
        <f t="shared" si="28"/>
        <v>1</v>
      </c>
      <c r="AG173" s="63">
        <f t="shared" si="29"/>
        <v>1</v>
      </c>
      <c r="AH173" s="63">
        <f t="shared" si="30"/>
        <v>1</v>
      </c>
      <c r="AI173" s="63">
        <f t="shared" si="31"/>
        <v>1.2435032783044975</v>
      </c>
      <c r="AK173" s="60">
        <f>活动投放!AF173/U173</f>
        <v>0.24895965261443834</v>
      </c>
      <c r="AL173" s="60">
        <f>付费投放!AD173/U173</f>
        <v>0.75104034738556169</v>
      </c>
      <c r="AM173" s="60">
        <f>活动投放!AH173/W173</f>
        <v>0.73720449850814784</v>
      </c>
      <c r="AN173" s="60">
        <f>付费投放!AF173/W173</f>
        <v>0.26279550149185216</v>
      </c>
      <c r="AO173" s="60">
        <f>IFERROR(INDEX(真品获取算法!$C$6:$C$66,MATCH(U173,真品获取算法!G$6:G$66,1)),0)*AK173/(IFERROR(INDEX(真品获取算法!$C$6:$C$66,MATCH(U173,真品获取算法!G$6:G$66,1)),0)+付费投放!AJ173)</f>
        <v>0.20390022104923664</v>
      </c>
      <c r="AP173" s="60">
        <f>(付费投放!AJ173+IFERROR(INDEX(真品获取算法!$C$6:$C$66,MATCH(U173,真品获取算法!G$6:G$66,1)),0)*AL173)/(IFERROR(INDEX(真品获取算法!$C$6:$C$66,MATCH(U173,真品获取算法!G$6:G$66,1)),0)+付费投放!AJ173)</f>
        <v>0.79609977895076323</v>
      </c>
      <c r="AQ173" s="60">
        <f>IFERROR(INDEX(真品获取算法!$C$6:$C$66,MATCH(W173,真品获取算法!I$6:I$66,1)),0)*AM173/(IFERROR(INDEX(真品获取算法!$C$6:$C$66,MATCH(W173,真品获取算法!I$6:I$66,1)),0)+付费投放!AL173)</f>
        <v>0.4505833946739104</v>
      </c>
      <c r="AR173" s="60">
        <f>(付费投放!AL173+IFERROR(INDEX(真品获取算法!$C$6:$C$66,MATCH(W173,真品获取算法!I$6:I$66,1)),0)*AN173)/(IFERROR(INDEX(真品获取算法!$C$6:$C$66,MATCH(W173,真品获取算法!I$6:I$66,1)),0)+付费投放!AL173)</f>
        <v>0.5494166053260896</v>
      </c>
    </row>
    <row r="174" spans="3:44" x14ac:dyDescent="0.15">
      <c r="C174" s="29">
        <f t="shared" si="34"/>
        <v>2400</v>
      </c>
      <c r="D174" s="18">
        <f>求节点(节奏总纲!$G$4:$G$163,节奏总纲!$C$4:$C$163,$C174)</f>
        <v>122.7509711734089</v>
      </c>
      <c r="E174" s="18">
        <f>IFERROR(求节点(前期规划!$F$13:$F$23,前期规划!$B$13:$B$23,D174),0)</f>
        <v>19.961687872832137</v>
      </c>
      <c r="F174" s="63">
        <f>IFERROR(求节点(前期规划!$C$28:$C$35,前期规划!D$28:D$35,$D174),0)</f>
        <v>9</v>
      </c>
      <c r="G174" s="63">
        <f>IFERROR(求节点(前期规划!$C$28:$C$35,前期规划!E$28:E$35,$D174),0)</f>
        <v>9</v>
      </c>
      <c r="H174" s="63">
        <f>IFERROR(求节点(前期规划!$C$28:$C$35,前期规划!F$28:F$35,$D174),0)</f>
        <v>27</v>
      </c>
      <c r="I174" s="63">
        <f>IFERROR(求节点(前期规划!$C$28:$C$35,前期规划!G$28:G$35,$D174),0)</f>
        <v>27</v>
      </c>
      <c r="J174" s="63">
        <f>IFERROR(求节点(前期规划!$C$28:$C$35,前期规划!H$28:H$35,$D174),0)</f>
        <v>60</v>
      </c>
      <c r="K174" s="63">
        <f>IFERROR(求节点(前期规划!$C$28:$C$35,前期规划!I$28:I$35,$D174),0)</f>
        <v>25.459991451706433</v>
      </c>
      <c r="L174" s="63">
        <f>MIN($E174-SUM(M174:$Q174),F174)</f>
        <v>0</v>
      </c>
      <c r="M174" s="63">
        <f>MIN($E174-SUM(N174:$Q174),G174)</f>
        <v>0</v>
      </c>
      <c r="N174" s="63">
        <f>MIN($E174-SUM(O174:$Q174),H174)</f>
        <v>0</v>
      </c>
      <c r="O174" s="63">
        <f>MIN($E174-SUM(P174:$Q174),I174)</f>
        <v>0</v>
      </c>
      <c r="P174" s="63">
        <f>MIN($E174-SUM(Q174:$Q174),J174)</f>
        <v>0</v>
      </c>
      <c r="Q174" s="69">
        <f t="shared" si="32"/>
        <v>19.961687872832137</v>
      </c>
      <c r="R174" s="64">
        <f>活动投放!AC174+付费投放!AA174</f>
        <v>737.5</v>
      </c>
      <c r="S174" s="64">
        <f>活动投放!AD174+付费投放!AB174</f>
        <v>737.5</v>
      </c>
      <c r="T174" s="64">
        <f>活动投放!AE174+付费投放!AC174</f>
        <v>2210.5611111111111</v>
      </c>
      <c r="U174" s="64">
        <f>活动投放!AF174+付费投放!AD174</f>
        <v>947.38333333333287</v>
      </c>
      <c r="V174" s="64">
        <f>活动投放!AG174+付费投放!AE174</f>
        <v>2270.9833333333331</v>
      </c>
      <c r="W174" s="64">
        <f>活动投放!AH174+付费投放!AF174</f>
        <v>252.33148148148149</v>
      </c>
      <c r="X174" s="63">
        <f>MIN(IFERROR(INDEX(真品获取算法!$C$6:$C$66,MATCH(R174,真品获取算法!D$6:D$66,1)),0)+付费投放!AG174,前期规划!D$8)</f>
        <v>9</v>
      </c>
      <c r="Y174" s="63">
        <f>MIN(IFERROR(INDEX(真品获取算法!$C$6:$C$66,MATCH(S174,真品获取算法!E$6:E$66,1)),0)+付费投放!AH174,前期规划!E$8)</f>
        <v>9</v>
      </c>
      <c r="Z174" s="63">
        <f>MIN(IFERROR(INDEX(真品获取算法!$C$6:$C$66,MATCH(T174,真品获取算法!F$6:F$66,1)),0)+付费投放!AI174,前期规划!F$8)</f>
        <v>27</v>
      </c>
      <c r="AA174" s="63">
        <f>MIN(IFERROR(INDEX(真品获取算法!$C$6:$C$66,MATCH(U174,真品获取算法!G$6:G$66,1)),0)+付费投放!AJ174,前期规划!G$8)</f>
        <v>27</v>
      </c>
      <c r="AB174" s="63">
        <f>MIN(IFERROR(INDEX(真品获取算法!$C$6:$C$66,MATCH(V174,真品获取算法!H$6:H$66,1)),0)+付费投放!AK174,前期规划!H$8)</f>
        <v>60</v>
      </c>
      <c r="AC174" s="63">
        <f>MIN(IFERROR(INDEX(真品获取算法!$C$6:$C$66,MATCH(W174,真品获取算法!I$6:I$66,1)),0)+付费投放!AL174,前期规划!I$8)</f>
        <v>33.146296296296299</v>
      </c>
      <c r="AD174" s="63">
        <f t="shared" si="33"/>
        <v>1</v>
      </c>
      <c r="AE174" s="63">
        <f t="shared" si="27"/>
        <v>1</v>
      </c>
      <c r="AF174" s="63">
        <f t="shared" si="28"/>
        <v>1</v>
      </c>
      <c r="AG174" s="63">
        <f t="shared" si="29"/>
        <v>1</v>
      </c>
      <c r="AH174" s="63">
        <f t="shared" si="30"/>
        <v>1</v>
      </c>
      <c r="AI174" s="63">
        <f t="shared" si="31"/>
        <v>1.3018973851255828</v>
      </c>
      <c r="AK174" s="60">
        <f>活动投放!AF174/U174</f>
        <v>0.24952940555565339</v>
      </c>
      <c r="AL174" s="60">
        <f>付费投放!AD174/U174</f>
        <v>0.75047059444434661</v>
      </c>
      <c r="AM174" s="60">
        <f>活动投放!AH174/W174</f>
        <v>0.73950344564395754</v>
      </c>
      <c r="AN174" s="60">
        <f>付费投放!AF174/W174</f>
        <v>0.26049655435604252</v>
      </c>
      <c r="AO174" s="60">
        <f>IFERROR(INDEX(真品获取算法!$C$6:$C$66,MATCH(U174,真品获取算法!G$6:G$66,1)),0)*AK174/(IFERROR(INDEX(真品获取算法!$C$6:$C$66,MATCH(U174,真品获取算法!G$6:G$66,1)),0)+付费投放!AJ174)</f>
        <v>0.20031597472753146</v>
      </c>
      <c r="AP174" s="60">
        <f>(付费投放!AJ174+IFERROR(INDEX(真品获取算法!$C$6:$C$66,MATCH(U174,真品获取算法!G$6:G$66,1)),0)*AL174)/(IFERROR(INDEX(真品获取算法!$C$6:$C$66,MATCH(U174,真品获取算法!G$6:G$66,1)),0)+付费投放!AJ174)</f>
        <v>0.79968402527246851</v>
      </c>
      <c r="AQ174" s="60">
        <f>IFERROR(INDEX(真品获取算法!$C$6:$C$66,MATCH(W174,真品获取算法!I$6:I$66,1)),0)*AM174/(IFERROR(INDEX(真品获取算法!$C$6:$C$66,MATCH(W174,真品获取算法!I$6:I$66,1)),0)+付费投放!AL174)</f>
        <v>0.44620577758281132</v>
      </c>
      <c r="AR174" s="60">
        <f>(付费投放!AL174+IFERROR(INDEX(真品获取算法!$C$6:$C$66,MATCH(W174,真品获取算法!I$6:I$66,1)),0)*AN174)/(IFERROR(INDEX(真品获取算法!$C$6:$C$66,MATCH(W174,真品获取算法!I$6:I$66,1)),0)+付费投放!AL174)</f>
        <v>0.55379422241718856</v>
      </c>
    </row>
    <row r="175" spans="3:44" x14ac:dyDescent="0.15">
      <c r="C175" s="29">
        <f t="shared" si="34"/>
        <v>2700</v>
      </c>
      <c r="D175" s="18">
        <f>求节点(节奏总纲!$G$4:$G$163,节奏总纲!$C$4:$C$163,$C175)</f>
        <v>124.39475643772953</v>
      </c>
      <c r="E175" s="18">
        <f>IFERROR(求节点(前期规划!$F$13:$F$23,前期规划!$B$13:$B$23,D175),0)</f>
        <v>20</v>
      </c>
      <c r="F175" s="63">
        <f>IFERROR(求节点(前期规划!$C$28:$C$35,前期规划!D$28:D$35,$D175),0)</f>
        <v>9</v>
      </c>
      <c r="G175" s="63">
        <f>IFERROR(求节点(前期规划!$C$28:$C$35,前期规划!E$28:E$35,$D175),0)</f>
        <v>9</v>
      </c>
      <c r="H175" s="63">
        <f>IFERROR(求节点(前期规划!$C$28:$C$35,前期规划!F$28:F$35,$D175),0)</f>
        <v>27</v>
      </c>
      <c r="I175" s="63">
        <f>IFERROR(求节点(前期规划!$C$28:$C$35,前期规划!G$28:G$35,$D175),0)</f>
        <v>27</v>
      </c>
      <c r="J175" s="63">
        <f>IFERROR(求节点(前期规划!$C$28:$C$35,前期规划!H$28:H$35,$D175),0)</f>
        <v>60</v>
      </c>
      <c r="K175" s="63">
        <f>IFERROR(求节点(前期规划!$C$28:$C$35,前期规划!I$28:I$35,$D175),0)</f>
        <v>26.984228696803743</v>
      </c>
      <c r="L175" s="63">
        <f>MIN($E175-SUM(M175:$Q175),F175)</f>
        <v>0</v>
      </c>
      <c r="M175" s="63">
        <f>MIN($E175-SUM(N175:$Q175),G175)</f>
        <v>0</v>
      </c>
      <c r="N175" s="63">
        <f>MIN($E175-SUM(O175:$Q175),H175)</f>
        <v>0</v>
      </c>
      <c r="O175" s="63">
        <f>MIN($E175-SUM(P175:$Q175),I175)</f>
        <v>0</v>
      </c>
      <c r="P175" s="63">
        <f>MIN($E175-SUM(Q175:$Q175),J175)</f>
        <v>0</v>
      </c>
      <c r="Q175" s="69">
        <f t="shared" si="32"/>
        <v>20</v>
      </c>
      <c r="R175" s="64">
        <f>活动投放!AC175+付费投放!AA175</f>
        <v>817.5</v>
      </c>
      <c r="S175" s="64">
        <f>活动投放!AD175+付费投放!AB175</f>
        <v>817.5</v>
      </c>
      <c r="T175" s="64">
        <f>活动投放!AE175+付费投放!AC175</f>
        <v>2486.672222222222</v>
      </c>
      <c r="U175" s="64">
        <f>活动投放!AF175+付费投放!AD175</f>
        <v>1065.7166666666662</v>
      </c>
      <c r="V175" s="64">
        <f>活动投放!AG175+付费投放!AE175</f>
        <v>2581.3166666666666</v>
      </c>
      <c r="W175" s="64">
        <f>活动投放!AH175+付费投放!AF175</f>
        <v>286.81296296296296</v>
      </c>
      <c r="X175" s="63">
        <f>MIN(IFERROR(INDEX(真品获取算法!$C$6:$C$66,MATCH(R175,真品获取算法!D$6:D$66,1)),0)+付费投放!AG175,前期规划!D$8)</f>
        <v>9</v>
      </c>
      <c r="Y175" s="63">
        <f>MIN(IFERROR(INDEX(真品获取算法!$C$6:$C$66,MATCH(S175,真品获取算法!E$6:E$66,1)),0)+付费投放!AH175,前期规划!E$8)</f>
        <v>9</v>
      </c>
      <c r="Z175" s="63">
        <f>MIN(IFERROR(INDEX(真品获取算法!$C$6:$C$66,MATCH(T175,真品获取算法!F$6:F$66,1)),0)+付费投放!AI175,前期规划!F$8)</f>
        <v>27</v>
      </c>
      <c r="AA175" s="63">
        <f>MIN(IFERROR(INDEX(真品获取算法!$C$6:$C$66,MATCH(U175,真品获取算法!G$6:G$66,1)),0)+付费投放!AJ175,前期规划!G$8)</f>
        <v>27</v>
      </c>
      <c r="AB175" s="63">
        <f>MIN(IFERROR(INDEX(真品获取算法!$C$6:$C$66,MATCH(V175,真品获取算法!H$6:H$66,1)),0)+付费投放!AK175,前期规划!H$8)</f>
        <v>60</v>
      </c>
      <c r="AC175" s="63">
        <f>MIN(IFERROR(INDEX(真品获取算法!$C$6:$C$66,MATCH(W175,真品获取算法!I$6:I$66,1)),0)+付费投放!AL175,前期规划!I$8)</f>
        <v>36.842592592592595</v>
      </c>
      <c r="AD175" s="63">
        <f t="shared" si="33"/>
        <v>1</v>
      </c>
      <c r="AE175" s="63">
        <f t="shared" si="27"/>
        <v>1</v>
      </c>
      <c r="AF175" s="63">
        <f t="shared" si="28"/>
        <v>1</v>
      </c>
      <c r="AG175" s="63">
        <f t="shared" si="29"/>
        <v>1</v>
      </c>
      <c r="AH175" s="63">
        <f t="shared" si="30"/>
        <v>1</v>
      </c>
      <c r="AI175" s="63">
        <f t="shared" si="31"/>
        <v>1.3653379908152263</v>
      </c>
      <c r="AK175" s="60">
        <f>活动投放!AF175/U175</f>
        <v>0.24997263187526397</v>
      </c>
      <c r="AL175" s="60">
        <f>付费投放!AD175/U175</f>
        <v>0.75002736812473592</v>
      </c>
      <c r="AM175" s="60">
        <f>活动投放!AH175/W175</f>
        <v>0.74124962067162115</v>
      </c>
      <c r="AN175" s="60">
        <f>付费投放!AF175/W175</f>
        <v>0.25875037932837891</v>
      </c>
      <c r="AO175" s="60">
        <f>IFERROR(INDEX(真品获取算法!$C$6:$C$66,MATCH(U175,真品获取算法!G$6:G$66,1)),0)*AK175/(IFERROR(INDEX(真品获取算法!$C$6:$C$66,MATCH(U175,真品获取算法!G$6:G$66,1)),0)+付费投放!AJ175)</f>
        <v>0.19677145949364805</v>
      </c>
      <c r="AP175" s="60">
        <f>(付费投放!AJ175+IFERROR(INDEX(真品获取算法!$C$6:$C$66,MATCH(U175,真品获取算法!G$6:G$66,1)),0)*AL175)/(IFERROR(INDEX(真品获取算法!$C$6:$C$66,MATCH(U175,真品获取算法!G$6:G$66,1)),0)+付费投放!AJ175)</f>
        <v>0.80322854050635195</v>
      </c>
      <c r="AQ175" s="60">
        <f>IFERROR(INDEX(真品获取算法!$C$6:$C$66,MATCH(W175,真品获取算法!I$6:I$66,1)),0)*AM175/(IFERROR(INDEX(真品获取算法!$C$6:$C$66,MATCH(W175,真品获取算法!I$6:I$66,1)),0)+付费投放!AL175)</f>
        <v>0.44262606150182748</v>
      </c>
      <c r="AR175" s="60">
        <f>(付费投放!AL175+IFERROR(INDEX(真品获取算法!$C$6:$C$66,MATCH(W175,真品获取算法!I$6:I$66,1)),0)*AN175)/(IFERROR(INDEX(真品获取算法!$C$6:$C$66,MATCH(W175,真品获取算法!I$6:I$66,1)),0)+付费投放!AL175)</f>
        <v>0.55737393849817241</v>
      </c>
    </row>
    <row r="176" spans="3:44" x14ac:dyDescent="0.15">
      <c r="C176" s="29">
        <f t="shared" si="34"/>
        <v>3000</v>
      </c>
      <c r="D176" s="18">
        <f>求节点(节奏总纲!$G$4:$G$163,节奏总纲!$C$4:$C$163,$C176)</f>
        <v>125.96400788227379</v>
      </c>
      <c r="E176" s="18">
        <f>IFERROR(求节点(前期规划!$F$13:$F$23,前期规划!$B$13:$B$23,D176),0)</f>
        <v>20</v>
      </c>
      <c r="F176" s="63">
        <f>IFERROR(求节点(前期规划!$C$28:$C$35,前期规划!D$28:D$35,$D176),0)</f>
        <v>9</v>
      </c>
      <c r="G176" s="63">
        <f>IFERROR(求节点(前期规划!$C$28:$C$35,前期规划!E$28:E$35,$D176),0)</f>
        <v>9</v>
      </c>
      <c r="H176" s="63">
        <f>IFERROR(求节点(前期规划!$C$28:$C$35,前期规划!F$28:F$35,$D176),0)</f>
        <v>27</v>
      </c>
      <c r="I176" s="63">
        <f>IFERROR(求节点(前期规划!$C$28:$C$35,前期规划!G$28:G$35,$D176),0)</f>
        <v>27</v>
      </c>
      <c r="J176" s="63">
        <f>IFERROR(求节点(前期规划!$C$28:$C$35,前期规划!H$28:H$35,$D176),0)</f>
        <v>60</v>
      </c>
      <c r="K176" s="63">
        <f>IFERROR(求节点(前期规划!$C$28:$C$35,前期规划!I$28:I$35,$D176),0)</f>
        <v>28.439352763562969</v>
      </c>
      <c r="L176" s="63">
        <f>MIN($E176-SUM(M176:$Q176),F176)</f>
        <v>0</v>
      </c>
      <c r="M176" s="63">
        <f>MIN($E176-SUM(N176:$Q176),G176)</f>
        <v>0</v>
      </c>
      <c r="N176" s="63">
        <f>MIN($E176-SUM(O176:$Q176),H176)</f>
        <v>0</v>
      </c>
      <c r="O176" s="63">
        <f>MIN($E176-SUM(P176:$Q176),I176)</f>
        <v>0</v>
      </c>
      <c r="P176" s="63">
        <f>MIN($E176-SUM(Q176:$Q176),J176)</f>
        <v>0</v>
      </c>
      <c r="Q176" s="69">
        <f t="shared" si="32"/>
        <v>20</v>
      </c>
      <c r="R176" s="64">
        <f>活动投放!AC176+付费投放!AA176</f>
        <v>897.5</v>
      </c>
      <c r="S176" s="64">
        <f>活动投放!AD176+付费投放!AB176</f>
        <v>897.5</v>
      </c>
      <c r="T176" s="64">
        <f>活动投放!AE176+付费投放!AC176</f>
        <v>2762.7833333333328</v>
      </c>
      <c r="U176" s="64">
        <f>活动投放!AF176+付费投放!AD176</f>
        <v>1184.0499999999993</v>
      </c>
      <c r="V176" s="64">
        <f>活动投放!AG176+付费投放!AE176</f>
        <v>2891.65</v>
      </c>
      <c r="W176" s="64">
        <f>活动投放!AH176+付费投放!AF176</f>
        <v>321.29444444444448</v>
      </c>
      <c r="X176" s="63">
        <f>MIN(IFERROR(INDEX(真品获取算法!$C$6:$C$66,MATCH(R176,真品获取算法!D$6:D$66,1)),0)+付费投放!AG176,前期规划!D$8)</f>
        <v>9</v>
      </c>
      <c r="Y176" s="63">
        <f>MIN(IFERROR(INDEX(真品获取算法!$C$6:$C$66,MATCH(S176,真品获取算法!E$6:E$66,1)),0)+付费投放!AH176,前期规划!E$8)</f>
        <v>9</v>
      </c>
      <c r="Z176" s="63">
        <f>MIN(IFERROR(INDEX(真品获取算法!$C$6:$C$66,MATCH(T176,真品获取算法!F$6:F$66,1)),0)+付费投放!AI176,前期规划!F$8)</f>
        <v>27</v>
      </c>
      <c r="AA176" s="63">
        <f>MIN(IFERROR(INDEX(真品获取算法!$C$6:$C$66,MATCH(U176,真品获取算法!G$6:G$66,1)),0)+付费投放!AJ176,前期规划!G$8)</f>
        <v>27</v>
      </c>
      <c r="AB176" s="63">
        <f>MIN(IFERROR(INDEX(真品获取算法!$C$6:$C$66,MATCH(V176,真品获取算法!H$6:H$66,1)),0)+付费投放!AK176,前期规划!H$8)</f>
        <v>60</v>
      </c>
      <c r="AC176" s="63">
        <f>MIN(IFERROR(INDEX(真品获取算法!$C$6:$C$66,MATCH(W176,真品获取算法!I$6:I$66,1)),0)+付费投放!AL176,前期规划!I$8)</f>
        <v>41.538888888888891</v>
      </c>
      <c r="AD176" s="63">
        <f t="shared" si="33"/>
        <v>1</v>
      </c>
      <c r="AE176" s="63">
        <f t="shared" si="27"/>
        <v>1</v>
      </c>
      <c r="AF176" s="63">
        <f t="shared" si="28"/>
        <v>1</v>
      </c>
      <c r="AG176" s="63">
        <f t="shared" si="29"/>
        <v>1</v>
      </c>
      <c r="AH176" s="63">
        <f t="shared" si="30"/>
        <v>1</v>
      </c>
      <c r="AI176" s="63">
        <f t="shared" si="31"/>
        <v>1.4606130186657866</v>
      </c>
      <c r="AK176" s="60">
        <f>活动投放!AF176/U176</f>
        <v>0.25032726658502613</v>
      </c>
      <c r="AL176" s="60">
        <f>付费投放!AD176/U176</f>
        <v>0.74967273341497398</v>
      </c>
      <c r="AM176" s="60">
        <f>活动投放!AH176/W176</f>
        <v>0.74262099493368838</v>
      </c>
      <c r="AN176" s="60">
        <f>付费投放!AF176/W176</f>
        <v>0.25737900506631156</v>
      </c>
      <c r="AO176" s="60">
        <f>IFERROR(INDEX(真品获取算法!$C$6:$C$66,MATCH(U176,真品获取算法!G$6:G$66,1)),0)*AK176/(IFERROR(INDEX(真品获取算法!$C$6:$C$66,MATCH(U176,真品获取算法!G$6:G$66,1)),0)+付费投放!AJ176)</f>
        <v>0.19329369488452922</v>
      </c>
      <c r="AP176" s="60">
        <f>(付费投放!AJ176+IFERROR(INDEX(真品获取算法!$C$6:$C$66,MATCH(U176,真品获取算法!G$6:G$66,1)),0)*AL176)/(IFERROR(INDEX(真品获取算法!$C$6:$C$66,MATCH(U176,真品获取算法!G$6:G$66,1)),0)+付费投放!AJ176)</f>
        <v>0.80670630511547092</v>
      </c>
      <c r="AQ176" s="60">
        <f>IFERROR(INDEX(真品获取算法!$C$6:$C$66,MATCH(W176,真品获取算法!I$6:I$66,1)),0)*AM176/(IFERROR(INDEX(真品获取算法!$C$6:$C$66,MATCH(W176,真品获取算法!I$6:I$66,1)),0)+付费投放!AL176)</f>
        <v>0.44694322284360005</v>
      </c>
      <c r="AR176" s="60">
        <f>(付费投放!AL176+IFERROR(INDEX(真品获取算法!$C$6:$C$66,MATCH(W176,真品获取算法!I$6:I$66,1)),0)*AN176)/(IFERROR(INDEX(真品获取算法!$C$6:$C$66,MATCH(W176,真品获取算法!I$6:I$66,1)),0)+付费投放!AL176)</f>
        <v>0.55305677715639989</v>
      </c>
    </row>
    <row r="177" spans="3:44" x14ac:dyDescent="0.15">
      <c r="C177" s="29">
        <f t="shared" si="34"/>
        <v>3300</v>
      </c>
      <c r="D177" s="18">
        <f>求节点(节奏总纲!$G$4:$G$163,节奏总纲!$C$4:$C$163,$C177)</f>
        <v>127.44783171112725</v>
      </c>
      <c r="E177" s="18">
        <f>IFERROR(求节点(前期规划!$F$13:$F$23,前期规划!$B$13:$B$23,D177),0)</f>
        <v>20</v>
      </c>
      <c r="F177" s="63">
        <f>IFERROR(求节点(前期规划!$C$28:$C$35,前期规划!D$28:D$35,$D177),0)</f>
        <v>9</v>
      </c>
      <c r="G177" s="63">
        <f>IFERROR(求节点(前期规划!$C$28:$C$35,前期规划!E$28:E$35,$D177),0)</f>
        <v>9</v>
      </c>
      <c r="H177" s="63">
        <f>IFERROR(求节点(前期规划!$C$28:$C$35,前期规划!F$28:F$35,$D177),0)</f>
        <v>27</v>
      </c>
      <c r="I177" s="63">
        <f>IFERROR(求节点(前期规划!$C$28:$C$35,前期规划!G$28:G$35,$D177),0)</f>
        <v>27</v>
      </c>
      <c r="J177" s="63">
        <f>IFERROR(求节点(前期规划!$C$28:$C$35,前期规划!H$28:H$35,$D177),0)</f>
        <v>60</v>
      </c>
      <c r="K177" s="63">
        <f>IFERROR(求节点(前期规划!$C$28:$C$35,前期规划!I$28:I$35,$D177),0)</f>
        <v>29.815262132136176</v>
      </c>
      <c r="L177" s="63">
        <f>MIN($E177-SUM(M177:$Q177),F177)</f>
        <v>0</v>
      </c>
      <c r="M177" s="63">
        <f>MIN($E177-SUM(N177:$Q177),G177)</f>
        <v>0</v>
      </c>
      <c r="N177" s="63">
        <f>MIN($E177-SUM(O177:$Q177),H177)</f>
        <v>0</v>
      </c>
      <c r="O177" s="63">
        <f>MIN($E177-SUM(P177:$Q177),I177)</f>
        <v>0</v>
      </c>
      <c r="P177" s="63">
        <f>MIN($E177-SUM(Q177:$Q177),J177)</f>
        <v>0</v>
      </c>
      <c r="Q177" s="69">
        <f t="shared" si="32"/>
        <v>20</v>
      </c>
      <c r="R177" s="64">
        <f>活动投放!AC177+付费投放!AA177</f>
        <v>977.5</v>
      </c>
      <c r="S177" s="64">
        <f>活动投放!AD177+付费投放!AB177</f>
        <v>977.5</v>
      </c>
      <c r="T177" s="64">
        <f>活动投放!AE177+付费投放!AC177</f>
        <v>3038.8944444444437</v>
      </c>
      <c r="U177" s="64">
        <f>活动投放!AF177+付费投放!AD177</f>
        <v>1302.3833333333328</v>
      </c>
      <c r="V177" s="64">
        <f>活动投放!AG177+付费投放!AE177</f>
        <v>3201.9833333333336</v>
      </c>
      <c r="W177" s="64">
        <f>活动投放!AH177+付费投放!AF177</f>
        <v>355.77592592592595</v>
      </c>
      <c r="X177" s="63">
        <f>MIN(IFERROR(INDEX(真品获取算法!$C$6:$C$66,MATCH(R177,真品获取算法!D$6:D$66,1)),0)+付费投放!AG177,前期规划!D$8)</f>
        <v>9</v>
      </c>
      <c r="Y177" s="63">
        <f>MIN(IFERROR(INDEX(真品获取算法!$C$6:$C$66,MATCH(S177,真品获取算法!E$6:E$66,1)),0)+付费投放!AH177,前期规划!E$8)</f>
        <v>9</v>
      </c>
      <c r="Z177" s="63">
        <f>MIN(IFERROR(INDEX(真品获取算法!$C$6:$C$66,MATCH(T177,真品获取算法!F$6:F$66,1)),0)+付费投放!AI177,前期规划!F$8)</f>
        <v>27</v>
      </c>
      <c r="AA177" s="63">
        <f>MIN(IFERROR(INDEX(真品获取算法!$C$6:$C$66,MATCH(U177,真品获取算法!G$6:G$66,1)),0)+付费投放!AJ177,前期规划!G$8)</f>
        <v>27</v>
      </c>
      <c r="AB177" s="63">
        <f>MIN(IFERROR(INDEX(真品获取算法!$C$6:$C$66,MATCH(V177,真品获取算法!H$6:H$66,1)),0)+付费投放!AK177,前期规划!H$8)</f>
        <v>60</v>
      </c>
      <c r="AC177" s="63">
        <f>MIN(IFERROR(INDEX(真品获取算法!$C$6:$C$66,MATCH(W177,真品获取算法!I$6:I$66,1)),0)+付费投放!AL177,前期规划!I$8)</f>
        <v>45.235185185185188</v>
      </c>
      <c r="AD177" s="63">
        <f t="shared" si="33"/>
        <v>1</v>
      </c>
      <c r="AE177" s="63">
        <f t="shared" si="27"/>
        <v>1</v>
      </c>
      <c r="AF177" s="63">
        <f t="shared" si="28"/>
        <v>1</v>
      </c>
      <c r="AG177" s="63">
        <f t="shared" si="29"/>
        <v>1</v>
      </c>
      <c r="AH177" s="63">
        <f t="shared" si="30"/>
        <v>1</v>
      </c>
      <c r="AI177" s="63">
        <f t="shared" si="31"/>
        <v>1.5171822063717075</v>
      </c>
      <c r="AK177" s="60">
        <f>活动投放!AF177/U177</f>
        <v>0.2506174577377373</v>
      </c>
      <c r="AL177" s="60">
        <f>付费投放!AD177/U177</f>
        <v>0.74938254226226264</v>
      </c>
      <c r="AM177" s="60">
        <f>活动投放!AH177/W177</f>
        <v>0.74372654448544917</v>
      </c>
      <c r="AN177" s="60">
        <f>付费投放!AF177/W177</f>
        <v>0.25627345551455083</v>
      </c>
      <c r="AO177" s="60">
        <f>IFERROR(INDEX(真品获取算法!$C$6:$C$66,MATCH(U177,真品获取算法!G$6:G$66,1)),0)*AK177/(IFERROR(INDEX(真品获取算法!$C$6:$C$66,MATCH(U177,真品获取算法!G$6:G$66,1)),0)+付费投放!AJ177)</f>
        <v>0.18989723177508627</v>
      </c>
      <c r="AP177" s="60">
        <f>(付费投放!AJ177+IFERROR(INDEX(真品获取算法!$C$6:$C$66,MATCH(U177,真品获取算法!G$6:G$66,1)),0)*AL177)/(IFERROR(INDEX(真品获取算法!$C$6:$C$66,MATCH(U177,真品获取算法!G$6:G$66,1)),0)+付费投放!AJ177)</f>
        <v>0.81010276822491378</v>
      </c>
      <c r="AQ177" s="60">
        <f>IFERROR(INDEX(真品获取算法!$C$6:$C$66,MATCH(W177,真品获取算法!I$6:I$66,1)),0)*AM177/(IFERROR(INDEX(真品获取算法!$C$6:$C$66,MATCH(W177,真品获取算法!I$6:I$66,1)),0)+付费投放!AL177)</f>
        <v>0.44391587254259013</v>
      </c>
      <c r="AR177" s="60">
        <f>(付费投放!AL177+IFERROR(INDEX(真品获取算法!$C$6:$C$66,MATCH(W177,真品获取算法!I$6:I$66,1)),0)*AN177)/(IFERROR(INDEX(真品获取算法!$C$6:$C$66,MATCH(W177,真品获取算法!I$6:I$66,1)),0)+付费投放!AL177)</f>
        <v>0.55608412745740976</v>
      </c>
    </row>
    <row r="178" spans="3:44" x14ac:dyDescent="0.15">
      <c r="C178" s="29">
        <f t="shared" si="34"/>
        <v>3600</v>
      </c>
      <c r="D178" s="18">
        <f>求节点(节奏总纲!$G$4:$G$163,节奏总纲!$C$4:$C$163,$C178)</f>
        <v>128.7020848688999</v>
      </c>
      <c r="E178" s="18">
        <f>IFERROR(求节点(前期规划!$F$13:$F$23,前期规划!$B$13:$B$23,D178),0)</f>
        <v>20</v>
      </c>
      <c r="F178" s="63">
        <f>IFERROR(求节点(前期规划!$C$28:$C$35,前期规划!D$28:D$35,$D178),0)</f>
        <v>9</v>
      </c>
      <c r="G178" s="63">
        <f>IFERROR(求节点(前期规划!$C$28:$C$35,前期规划!E$28:E$35,$D178),0)</f>
        <v>9</v>
      </c>
      <c r="H178" s="63">
        <f>IFERROR(求节点(前期规划!$C$28:$C$35,前期规划!F$28:F$35,$D178),0)</f>
        <v>27</v>
      </c>
      <c r="I178" s="63">
        <f>IFERROR(求节点(前期规划!$C$28:$C$35,前期规划!G$28:G$35,$D178),0)</f>
        <v>27</v>
      </c>
      <c r="J178" s="63">
        <f>IFERROR(求节点(前期规划!$C$28:$C$35,前期规划!H$28:H$35,$D178),0)</f>
        <v>60</v>
      </c>
      <c r="K178" s="63">
        <f>IFERROR(求节点(前期规划!$C$28:$C$35,前期规划!I$28:I$35,$D178),0)</f>
        <v>30.978296878434456</v>
      </c>
      <c r="L178" s="63">
        <f>MIN($E178-SUM(M178:$Q178),F178)</f>
        <v>0</v>
      </c>
      <c r="M178" s="63">
        <f>MIN($E178-SUM(N178:$Q178),G178)</f>
        <v>0</v>
      </c>
      <c r="N178" s="63">
        <f>MIN($E178-SUM(O178:$Q178),H178)</f>
        <v>0</v>
      </c>
      <c r="O178" s="63">
        <f>MIN($E178-SUM(P178:$Q178),I178)</f>
        <v>0</v>
      </c>
      <c r="P178" s="63">
        <f>MIN($E178-SUM(Q178:$Q178),J178)</f>
        <v>0</v>
      </c>
      <c r="Q178" s="69">
        <f t="shared" si="32"/>
        <v>20</v>
      </c>
      <c r="R178" s="64">
        <f>活动投放!AC178+付费投放!AA178</f>
        <v>1057.5</v>
      </c>
      <c r="S178" s="64">
        <f>活动投放!AD178+付费投放!AB178</f>
        <v>1057.5</v>
      </c>
      <c r="T178" s="64">
        <f>活动投放!AE178+付费投放!AC178</f>
        <v>3315.0055555555546</v>
      </c>
      <c r="U178" s="64">
        <f>活动投放!AF178+付费投放!AD178</f>
        <v>1420.7166666666658</v>
      </c>
      <c r="V178" s="64">
        <f>活动投放!AG178+付费投放!AE178</f>
        <v>3512.3166666666666</v>
      </c>
      <c r="W178" s="64">
        <f>活动投放!AH178+付费投放!AF178</f>
        <v>390.25740740740741</v>
      </c>
      <c r="X178" s="63">
        <f>MIN(IFERROR(INDEX(真品获取算法!$C$6:$C$66,MATCH(R178,真品获取算法!D$6:D$66,1)),0)+付费投放!AG178,前期规划!D$8)</f>
        <v>9</v>
      </c>
      <c r="Y178" s="63">
        <f>MIN(IFERROR(INDEX(真品获取算法!$C$6:$C$66,MATCH(S178,真品获取算法!E$6:E$66,1)),0)+付费投放!AH178,前期规划!E$8)</f>
        <v>9</v>
      </c>
      <c r="Z178" s="63">
        <f>MIN(IFERROR(INDEX(真品获取算法!$C$6:$C$66,MATCH(T178,真品获取算法!F$6:F$66,1)),0)+付费投放!AI178,前期规划!F$8)</f>
        <v>27</v>
      </c>
      <c r="AA178" s="63">
        <f>MIN(IFERROR(INDEX(真品获取算法!$C$6:$C$66,MATCH(U178,真品获取算法!G$6:G$66,1)),0)+付费投放!AJ178,前期规划!G$8)</f>
        <v>27</v>
      </c>
      <c r="AB178" s="63">
        <f>MIN(IFERROR(INDEX(真品获取算法!$C$6:$C$66,MATCH(V178,真品获取算法!H$6:H$66,1)),0)+付费投放!AK178,前期规划!H$8)</f>
        <v>60</v>
      </c>
      <c r="AC178" s="63">
        <f>MIN(IFERROR(INDEX(真品获取算法!$C$6:$C$66,MATCH(W178,真品获取算法!I$6:I$66,1)),0)+付费投放!AL178,前期规划!I$8)</f>
        <v>47.931481481481484</v>
      </c>
      <c r="AD178" s="63">
        <f t="shared" si="33"/>
        <v>1</v>
      </c>
      <c r="AE178" s="63">
        <f t="shared" si="27"/>
        <v>1</v>
      </c>
      <c r="AF178" s="63">
        <f t="shared" si="28"/>
        <v>1</v>
      </c>
      <c r="AG178" s="63">
        <f t="shared" si="29"/>
        <v>1</v>
      </c>
      <c r="AH178" s="63">
        <f t="shared" si="30"/>
        <v>1</v>
      </c>
      <c r="AI178" s="63">
        <f t="shared" si="31"/>
        <v>1.5472600598275301</v>
      </c>
      <c r="AK178" s="60">
        <f>活动投放!AF178/U178</f>
        <v>0.25085930809567952</v>
      </c>
      <c r="AL178" s="60">
        <f>付费投放!AD178/U178</f>
        <v>0.74914069190432053</v>
      </c>
      <c r="AM178" s="60">
        <f>活动投放!AH178/W178</f>
        <v>0.74463673074276715</v>
      </c>
      <c r="AN178" s="60">
        <f>付费投放!AF178/W178</f>
        <v>0.25536326925723285</v>
      </c>
      <c r="AO178" s="60">
        <f>IFERROR(INDEX(真品获取算法!$C$6:$C$66,MATCH(U178,真品获取算法!G$6:G$66,1)),0)*AK178/(IFERROR(INDEX(真品获取算法!$C$6:$C$66,MATCH(U178,真品获取算法!G$6:G$66,1)),0)+付费投放!AJ178)</f>
        <v>0.18658956800505092</v>
      </c>
      <c r="AP178" s="60">
        <f>(付费投放!AJ178+IFERROR(INDEX(真品获取算法!$C$6:$C$66,MATCH(U178,真品获取算法!G$6:G$66,1)),0)*AL178)/(IFERROR(INDEX(真品获取算法!$C$6:$C$66,MATCH(U178,真品获取算法!G$6:G$66,1)),0)+付费投放!AJ178)</f>
        <v>0.81341043199494922</v>
      </c>
      <c r="AQ178" s="60">
        <f>IFERROR(INDEX(真品获取算法!$C$6:$C$66,MATCH(W178,真品获取算法!I$6:I$66,1)),0)*AM178/(IFERROR(INDEX(真品获取算法!$C$6:$C$66,MATCH(W178,真品获取算法!I$6:I$66,1)),0)+付费投放!AL178)</f>
        <v>0.43499236444116363</v>
      </c>
      <c r="AR178" s="60">
        <f>(付费投放!AL178+IFERROR(INDEX(真品获取算法!$C$6:$C$66,MATCH(W178,真品获取算法!I$6:I$66,1)),0)*AN178)/(IFERROR(INDEX(真品获取算法!$C$6:$C$66,MATCH(W178,真品获取算法!I$6:I$66,1)),0)+付费投放!AL178)</f>
        <v>0.56500763555883626</v>
      </c>
    </row>
    <row r="179" spans="3:44" x14ac:dyDescent="0.15">
      <c r="C179" s="29">
        <f t="shared" si="34"/>
        <v>3900</v>
      </c>
      <c r="D179" s="18">
        <f>求节点(节奏总纲!$G$4:$G$163,节奏总纲!$C$4:$C$163,$C179)</f>
        <v>129.81302713753013</v>
      </c>
      <c r="E179" s="18">
        <f>IFERROR(求节点(前期规划!$F$13:$F$23,前期规划!$B$13:$B$23,D179),0)</f>
        <v>20</v>
      </c>
      <c r="F179" s="63">
        <f>IFERROR(求节点(前期规划!$C$28:$C$35,前期规划!D$28:D$35,$D179),0)</f>
        <v>9</v>
      </c>
      <c r="G179" s="63">
        <f>IFERROR(求节点(前期规划!$C$28:$C$35,前期规划!E$28:E$35,$D179),0)</f>
        <v>9</v>
      </c>
      <c r="H179" s="63">
        <f>IFERROR(求节点(前期规划!$C$28:$C$35,前期规划!F$28:F$35,$D179),0)</f>
        <v>27</v>
      </c>
      <c r="I179" s="63">
        <f>IFERROR(求节点(前期规划!$C$28:$C$35,前期规划!G$28:G$35,$D179),0)</f>
        <v>27</v>
      </c>
      <c r="J179" s="63">
        <f>IFERROR(求节点(前期规划!$C$28:$C$35,前期规划!H$28:H$35,$D179),0)</f>
        <v>60</v>
      </c>
      <c r="K179" s="63">
        <f>IFERROR(求节点(前期规划!$C$28:$C$35,前期规划!I$28:I$35,$D179),0)</f>
        <v>32.00844334570975</v>
      </c>
      <c r="L179" s="63">
        <f>MIN($E179-SUM(M179:$Q179),F179)</f>
        <v>0</v>
      </c>
      <c r="M179" s="63">
        <f>MIN($E179-SUM(N179:$Q179),G179)</f>
        <v>0</v>
      </c>
      <c r="N179" s="63">
        <f>MIN($E179-SUM(O179:$Q179),H179)</f>
        <v>0</v>
      </c>
      <c r="O179" s="63">
        <f>MIN($E179-SUM(P179:$Q179),I179)</f>
        <v>0</v>
      </c>
      <c r="P179" s="63">
        <f>MIN($E179-SUM(Q179:$Q179),J179)</f>
        <v>0</v>
      </c>
      <c r="Q179" s="69">
        <f t="shared" si="32"/>
        <v>20</v>
      </c>
      <c r="R179" s="64">
        <f>活动投放!AC179+付费投放!AA179</f>
        <v>1137.5</v>
      </c>
      <c r="S179" s="64">
        <f>活动投放!AD179+付费投放!AB179</f>
        <v>1137.5</v>
      </c>
      <c r="T179" s="64">
        <f>活动投放!AE179+付费投放!AC179</f>
        <v>3591.1166666666654</v>
      </c>
      <c r="U179" s="64">
        <f>活动投放!AF179+付费投放!AD179</f>
        <v>1539.0499999999993</v>
      </c>
      <c r="V179" s="64">
        <f>活动投放!AG179+付费投放!AE179</f>
        <v>3822.65</v>
      </c>
      <c r="W179" s="64">
        <f>活动投放!AH179+付费投放!AF179</f>
        <v>424.73888888888894</v>
      </c>
      <c r="X179" s="63">
        <f>MIN(IFERROR(INDEX(真品获取算法!$C$6:$C$66,MATCH(R179,真品获取算法!D$6:D$66,1)),0)+付费投放!AG179,前期规划!D$8)</f>
        <v>9</v>
      </c>
      <c r="Y179" s="63">
        <f>MIN(IFERROR(INDEX(真品获取算法!$C$6:$C$66,MATCH(S179,真品获取算法!E$6:E$66,1)),0)+付费投放!AH179,前期规划!E$8)</f>
        <v>9</v>
      </c>
      <c r="Z179" s="63">
        <f>MIN(IFERROR(INDEX(真品获取算法!$C$6:$C$66,MATCH(T179,真品获取算法!F$6:F$66,1)),0)+付费投放!AI179,前期规划!F$8)</f>
        <v>27</v>
      </c>
      <c r="AA179" s="63">
        <f>MIN(IFERROR(INDEX(真品获取算法!$C$6:$C$66,MATCH(U179,真品获取算法!G$6:G$66,1)),0)+付费投放!AJ179,前期规划!G$8)</f>
        <v>27</v>
      </c>
      <c r="AB179" s="63">
        <f>MIN(IFERROR(INDEX(真品获取算法!$C$6:$C$66,MATCH(V179,真品获取算法!H$6:H$66,1)),0)+付费投放!AK179,前期规划!H$8)</f>
        <v>60</v>
      </c>
      <c r="AC179" s="63">
        <f>MIN(IFERROR(INDEX(真品获取算法!$C$6:$C$66,MATCH(W179,真品获取算法!I$6:I$66,1)),0)+付费投放!AL179,前期规划!I$8)</f>
        <v>51.62777777777778</v>
      </c>
      <c r="AD179" s="63">
        <f t="shared" si="33"/>
        <v>1</v>
      </c>
      <c r="AE179" s="63">
        <f t="shared" si="27"/>
        <v>1</v>
      </c>
      <c r="AF179" s="63">
        <f t="shared" si="28"/>
        <v>1</v>
      </c>
      <c r="AG179" s="63">
        <f t="shared" si="29"/>
        <v>1</v>
      </c>
      <c r="AH179" s="63">
        <f t="shared" si="30"/>
        <v>1</v>
      </c>
      <c r="AI179" s="63">
        <f t="shared" si="31"/>
        <v>1.6129424733395448</v>
      </c>
      <c r="AK179" s="60">
        <f>活动投放!AF179/U179</f>
        <v>0.2510639680322278</v>
      </c>
      <c r="AL179" s="60">
        <f>付费投放!AD179/U179</f>
        <v>0.74893603196777214</v>
      </c>
      <c r="AM179" s="60">
        <f>活动投放!AH179/W179</f>
        <v>0.7453991341085372</v>
      </c>
      <c r="AN179" s="60">
        <f>付费投放!AF179/W179</f>
        <v>0.25460086589146269</v>
      </c>
      <c r="AO179" s="60">
        <f>IFERROR(INDEX(真品获取算法!$C$6:$C$66,MATCH(U179,真品获取算法!G$6:G$66,1)),0)*AK179/(IFERROR(INDEX(真品获取算法!$C$6:$C$66,MATCH(U179,真品获取算法!G$6:G$66,1)),0)+付费投放!AJ179)</f>
        <v>0.1833740433779121</v>
      </c>
      <c r="AP179" s="60">
        <f>(付费投放!AJ179+IFERROR(INDEX(真品获取算法!$C$6:$C$66,MATCH(U179,真品获取算法!G$6:G$66,1)),0)*AL179)/(IFERROR(INDEX(真品获取算法!$C$6:$C$66,MATCH(U179,真品获取算法!G$6:G$66,1)),0)+付费投放!AJ179)</f>
        <v>0.81662595662208781</v>
      </c>
      <c r="AQ179" s="60">
        <f>IFERROR(INDEX(真品获取算法!$C$6:$C$66,MATCH(W179,真品获取算法!I$6:I$66,1)),0)*AM179/(IFERROR(INDEX(真品获取算法!$C$6:$C$66,MATCH(W179,真品获取算法!I$6:I$66,1)),0)+付费投放!AL179)</f>
        <v>0.43313841861466706</v>
      </c>
      <c r="AR179" s="60">
        <f>(付费投放!AL179+IFERROR(INDEX(真品获取算法!$C$6:$C$66,MATCH(W179,真品获取算法!I$6:I$66,1)),0)*AN179)/(IFERROR(INDEX(真品获取算法!$C$6:$C$66,MATCH(W179,真品获取算法!I$6:I$66,1)),0)+付费投放!AL179)</f>
        <v>0.56686158138533282</v>
      </c>
    </row>
    <row r="180" spans="3:44" x14ac:dyDescent="0.15">
      <c r="C180" s="29">
        <f t="shared" si="34"/>
        <v>4200</v>
      </c>
      <c r="D180" s="18">
        <f>求节点(节奏总纲!$G$4:$G$163,节奏总纲!$C$4:$C$163,$C180)</f>
        <v>130.84782736484456</v>
      </c>
      <c r="E180" s="18">
        <f>IFERROR(求节点(前期规划!$F$13:$F$23,前期规划!$B$13:$B$23,D180),0)</f>
        <v>20</v>
      </c>
      <c r="F180" s="63">
        <f>IFERROR(求节点(前期规划!$C$28:$C$35,前期规划!D$28:D$35,$D180),0)</f>
        <v>9</v>
      </c>
      <c r="G180" s="63">
        <f>IFERROR(求节点(前期规划!$C$28:$C$35,前期规划!E$28:E$35,$D180),0)</f>
        <v>9</v>
      </c>
      <c r="H180" s="63">
        <f>IFERROR(求节点(前期规划!$C$28:$C$35,前期规划!F$28:F$35,$D180),0)</f>
        <v>27</v>
      </c>
      <c r="I180" s="63">
        <f>IFERROR(求节点(前期规划!$C$28:$C$35,前期规划!G$28:G$35,$D180),0)</f>
        <v>27</v>
      </c>
      <c r="J180" s="63">
        <f>IFERROR(求节点(前期规划!$C$28:$C$35,前期规划!H$28:H$35,$D180),0)</f>
        <v>60</v>
      </c>
      <c r="K180" s="63">
        <f>IFERROR(求节点(前期规划!$C$28:$C$35,前期规划!I$28:I$35,$D180),0)</f>
        <v>32.967985374674043</v>
      </c>
      <c r="L180" s="63">
        <f>MIN($E180-SUM(M180:$Q180),F180)</f>
        <v>0</v>
      </c>
      <c r="M180" s="63">
        <f>MIN($E180-SUM(N180:$Q180),G180)</f>
        <v>0</v>
      </c>
      <c r="N180" s="63">
        <f>MIN($E180-SUM(O180:$Q180),H180)</f>
        <v>0</v>
      </c>
      <c r="O180" s="63">
        <f>MIN($E180-SUM(P180:$Q180),I180)</f>
        <v>0</v>
      </c>
      <c r="P180" s="63">
        <f>MIN($E180-SUM(Q180:$Q180),J180)</f>
        <v>0</v>
      </c>
      <c r="Q180" s="69">
        <f t="shared" si="32"/>
        <v>20</v>
      </c>
      <c r="R180" s="64">
        <f>活动投放!AC180+付费投放!AA180</f>
        <v>1217.5</v>
      </c>
      <c r="S180" s="64">
        <f>活动投放!AD180+付费投放!AB180</f>
        <v>1217.5</v>
      </c>
      <c r="T180" s="64">
        <f>活动投放!AE180+付费投放!AC180</f>
        <v>3867.2277777777763</v>
      </c>
      <c r="U180" s="64">
        <f>活动投放!AF180+付费投放!AD180</f>
        <v>1657.3833333333323</v>
      </c>
      <c r="V180" s="64">
        <f>活动投放!AG180+付费投放!AE180</f>
        <v>4132.9833333333336</v>
      </c>
      <c r="W180" s="64">
        <f>活动投放!AH180+付费投放!AF180</f>
        <v>459.2203703703704</v>
      </c>
      <c r="X180" s="63">
        <f>MIN(IFERROR(INDEX(真品获取算法!$C$6:$C$66,MATCH(R180,真品获取算法!D$6:D$66,1)),0)+付费投放!AG180,前期规划!D$8)</f>
        <v>9</v>
      </c>
      <c r="Y180" s="63">
        <f>MIN(IFERROR(INDEX(真品获取算法!$C$6:$C$66,MATCH(S180,真品获取算法!E$6:E$66,1)),0)+付费投放!AH180,前期规划!E$8)</f>
        <v>9</v>
      </c>
      <c r="Z180" s="63">
        <f>MIN(IFERROR(INDEX(真品获取算法!$C$6:$C$66,MATCH(T180,真品获取算法!F$6:F$66,1)),0)+付费投放!AI180,前期规划!F$8)</f>
        <v>27</v>
      </c>
      <c r="AA180" s="63">
        <f>MIN(IFERROR(INDEX(真品获取算法!$C$6:$C$66,MATCH(U180,真品获取算法!G$6:G$66,1)),0)+付费投放!AJ180,前期规划!G$8)</f>
        <v>27</v>
      </c>
      <c r="AB180" s="63">
        <f>MIN(IFERROR(INDEX(真品获取算法!$C$6:$C$66,MATCH(V180,真品获取算法!H$6:H$66,1)),0)+付费投放!AK180,前期规划!H$8)</f>
        <v>60</v>
      </c>
      <c r="AC180" s="63">
        <f>MIN(IFERROR(INDEX(真品获取算法!$C$6:$C$66,MATCH(W180,真品获取算法!I$6:I$66,1)),0)+付费投放!AL180,前期规划!I$8)</f>
        <v>55.324074074074076</v>
      </c>
      <c r="AD180" s="63">
        <f t="shared" si="33"/>
        <v>1</v>
      </c>
      <c r="AE180" s="63">
        <f t="shared" si="27"/>
        <v>1</v>
      </c>
      <c r="AF180" s="63">
        <f t="shared" si="28"/>
        <v>1</v>
      </c>
      <c r="AG180" s="63">
        <f t="shared" si="29"/>
        <v>1</v>
      </c>
      <c r="AH180" s="63">
        <f t="shared" si="30"/>
        <v>1</v>
      </c>
      <c r="AI180" s="63">
        <f t="shared" si="31"/>
        <v>1.6781151000077168</v>
      </c>
      <c r="AK180" s="60">
        <f>活动投放!AF180/U180</f>
        <v>0.25123940347736906</v>
      </c>
      <c r="AL180" s="60">
        <f>付费投放!AD180/U180</f>
        <v>0.74876059652263094</v>
      </c>
      <c r="AM180" s="60">
        <f>活动投放!AH180/W180</f>
        <v>0.74604704430617108</v>
      </c>
      <c r="AN180" s="60">
        <f>付费投放!AF180/W180</f>
        <v>0.25395295569382886</v>
      </c>
      <c r="AO180" s="60">
        <f>IFERROR(INDEX(真品获取算法!$C$6:$C$66,MATCH(U180,真品获取算法!G$6:G$66,1)),0)*AK180/(IFERROR(INDEX(真品获取算法!$C$6:$C$66,MATCH(U180,真品获取算法!G$6:G$66,1)),0)+付费投放!AJ180)</f>
        <v>0.18025147636551722</v>
      </c>
      <c r="AP180" s="60">
        <f>(付费投放!AJ180+IFERROR(INDEX(真品获取算法!$C$6:$C$66,MATCH(U180,真品获取算法!G$6:G$66,1)),0)*AL180)/(IFERROR(INDEX(真品获取算法!$C$6:$C$66,MATCH(U180,真品获取算法!G$6:G$66,1)),0)+付费投放!AJ180)</f>
        <v>0.81974852363448281</v>
      </c>
      <c r="AQ180" s="60">
        <f>IFERROR(INDEX(真品获取算法!$C$6:$C$66,MATCH(W180,真品获取算法!I$6:I$66,1)),0)*AM180/(IFERROR(INDEX(真品获取算法!$C$6:$C$66,MATCH(W180,真品获取算法!I$6:I$66,1)),0)+付费投放!AL180)</f>
        <v>0.4315211021124899</v>
      </c>
      <c r="AR180" s="60">
        <f>(付费投放!AL180+IFERROR(INDEX(真品获取算法!$C$6:$C$66,MATCH(W180,真品获取算法!I$6:I$66,1)),0)*AN180)/(IFERROR(INDEX(真品获取算法!$C$6:$C$66,MATCH(W180,真品获取算法!I$6:I$66,1)),0)+付费投放!AL180)</f>
        <v>0.56847889788750994</v>
      </c>
    </row>
    <row r="181" spans="3:44" x14ac:dyDescent="0.15">
      <c r="C181" s="29">
        <f t="shared" si="34"/>
        <v>4500</v>
      </c>
      <c r="D181" s="18">
        <f>求节点(节奏总纲!$G$4:$G$163,节奏总纲!$C$4:$C$163,$C181)</f>
        <v>131.85128063254527</v>
      </c>
      <c r="E181" s="18">
        <f>IFERROR(求节点(前期规划!$F$13:$F$23,前期规划!$B$13:$B$23,D181),0)</f>
        <v>20</v>
      </c>
      <c r="F181" s="63">
        <f>IFERROR(求节点(前期规划!$C$28:$C$35,前期规划!D$28:D$35,$D181),0)</f>
        <v>9</v>
      </c>
      <c r="G181" s="63">
        <f>IFERROR(求节点(前期规划!$C$28:$C$35,前期规划!E$28:E$35,$D181),0)</f>
        <v>9</v>
      </c>
      <c r="H181" s="63">
        <f>IFERROR(求节点(前期规划!$C$28:$C$35,前期规划!F$28:F$35,$D181),0)</f>
        <v>27</v>
      </c>
      <c r="I181" s="63">
        <f>IFERROR(求节点(前期规划!$C$28:$C$35,前期规划!G$28:G$35,$D181),0)</f>
        <v>27</v>
      </c>
      <c r="J181" s="63">
        <f>IFERROR(求节点(前期规划!$C$28:$C$35,前期规划!H$28:H$35,$D181),0)</f>
        <v>60</v>
      </c>
      <c r="K181" s="63">
        <f>IFERROR(求节点(前期规划!$C$28:$C$35,前期规划!I$28:I$35,$D181),0)</f>
        <v>33.898460222905612</v>
      </c>
      <c r="L181" s="63">
        <f>MIN($E181-SUM(M181:$Q181),F181)</f>
        <v>0</v>
      </c>
      <c r="M181" s="63">
        <f>MIN($E181-SUM(N181:$Q181),G181)</f>
        <v>0</v>
      </c>
      <c r="N181" s="63">
        <f>MIN($E181-SUM(O181:$Q181),H181)</f>
        <v>0</v>
      </c>
      <c r="O181" s="63">
        <f>MIN($E181-SUM(P181:$Q181),I181)</f>
        <v>0</v>
      </c>
      <c r="P181" s="63">
        <f>MIN($E181-SUM(Q181:$Q181),J181)</f>
        <v>0</v>
      </c>
      <c r="Q181" s="69">
        <f t="shared" si="32"/>
        <v>20</v>
      </c>
      <c r="R181" s="64">
        <f>活动投放!AC181+付费投放!AA181</f>
        <v>1297.5</v>
      </c>
      <c r="S181" s="64">
        <f>活动投放!AD181+付费投放!AB181</f>
        <v>1297.5</v>
      </c>
      <c r="T181" s="64">
        <f>活动投放!AE181+付费投放!AC181</f>
        <v>4143.3388888888876</v>
      </c>
      <c r="U181" s="64">
        <f>活动投放!AF181+付费投放!AD181</f>
        <v>1775.7166666666658</v>
      </c>
      <c r="V181" s="64">
        <f>活动投放!AG181+付费投放!AE181</f>
        <v>4443.3166666666666</v>
      </c>
      <c r="W181" s="64">
        <f>活动投放!AH181+付费投放!AF181</f>
        <v>493.70185185185187</v>
      </c>
      <c r="X181" s="63">
        <f>MIN(IFERROR(INDEX(真品获取算法!$C$6:$C$66,MATCH(R181,真品获取算法!D$6:D$66,1)),0)+付费投放!AG181,前期规划!D$8)</f>
        <v>9</v>
      </c>
      <c r="Y181" s="63">
        <f>MIN(IFERROR(INDEX(真品获取算法!$C$6:$C$66,MATCH(S181,真品获取算法!E$6:E$66,1)),0)+付费投放!AH181,前期规划!E$8)</f>
        <v>9</v>
      </c>
      <c r="Z181" s="63">
        <f>MIN(IFERROR(INDEX(真品获取算法!$C$6:$C$66,MATCH(T181,真品获取算法!F$6:F$66,1)),0)+付费投放!AI181,前期规划!F$8)</f>
        <v>27</v>
      </c>
      <c r="AA181" s="63">
        <f>MIN(IFERROR(INDEX(真品获取算法!$C$6:$C$66,MATCH(U181,真品获取算法!G$6:G$66,1)),0)+付费投放!AJ181,前期规划!G$8)</f>
        <v>27</v>
      </c>
      <c r="AB181" s="63">
        <f>MIN(IFERROR(INDEX(真品获取算法!$C$6:$C$66,MATCH(V181,真品获取算法!H$6:H$66,1)),0)+付费投放!AK181,前期规划!H$8)</f>
        <v>60</v>
      </c>
      <c r="AC181" s="63">
        <f>MIN(IFERROR(INDEX(真品获取算法!$C$6:$C$66,MATCH(W181,真品获取算法!I$6:I$66,1)),0)+付费投放!AL181,前期规划!I$8)</f>
        <v>58.020370370370372</v>
      </c>
      <c r="AD181" s="63">
        <f t="shared" si="33"/>
        <v>1</v>
      </c>
      <c r="AE181" s="63">
        <f t="shared" si="27"/>
        <v>1</v>
      </c>
      <c r="AF181" s="63">
        <f t="shared" si="28"/>
        <v>1</v>
      </c>
      <c r="AG181" s="63">
        <f t="shared" si="29"/>
        <v>1</v>
      </c>
      <c r="AH181" s="63">
        <f t="shared" si="30"/>
        <v>1</v>
      </c>
      <c r="AI181" s="63">
        <f t="shared" si="31"/>
        <v>1.7115930926905432</v>
      </c>
      <c r="AK181" s="60">
        <f>活动投放!AF181/U181</f>
        <v>0.2513914569704252</v>
      </c>
      <c r="AL181" s="60">
        <f>付费投放!AD181/U181</f>
        <v>0.74860854302957469</v>
      </c>
      <c r="AM181" s="60">
        <f>活动投放!AH181/W181</f>
        <v>0.74660445087941063</v>
      </c>
      <c r="AN181" s="60">
        <f>付费投放!AF181/W181</f>
        <v>0.25339554912058931</v>
      </c>
      <c r="AO181" s="60">
        <f>IFERROR(INDEX(真品获取算法!$C$6:$C$66,MATCH(U181,真品获取算法!G$6:G$66,1)),0)*AK181/(IFERROR(INDEX(真品获取算法!$C$6:$C$66,MATCH(U181,真品获取算法!G$6:G$66,1)),0)+付费投放!AJ181)</f>
        <v>0.17722113154573058</v>
      </c>
      <c r="AP181" s="60">
        <f>(付费投放!AJ181+IFERROR(INDEX(真品获取算法!$C$6:$C$66,MATCH(U181,真品获取算法!G$6:G$66,1)),0)*AL181)/(IFERROR(INDEX(真品获取算法!$C$6:$C$66,MATCH(U181,真品获取算法!G$6:G$66,1)),0)+付费投放!AJ181)</f>
        <v>0.82277886845426951</v>
      </c>
      <c r="AQ181" s="60">
        <f>IFERROR(INDEX(真品获取算法!$C$6:$C$66,MATCH(W181,真品获取算法!I$6:I$66,1)),0)*AM181/(IFERROR(INDEX(真品获取算法!$C$6:$C$66,MATCH(W181,真品获取算法!I$6:I$66,1)),0)+付费投放!AL181)</f>
        <v>0.42464304729089708</v>
      </c>
      <c r="AR181" s="60">
        <f>(付费投放!AL181+IFERROR(INDEX(真品获取算法!$C$6:$C$66,MATCH(W181,真品获取算法!I$6:I$66,1)),0)*AN181)/(IFERROR(INDEX(真品获取算法!$C$6:$C$66,MATCH(W181,真品获取算法!I$6:I$66,1)),0)+付费投放!AL181)</f>
        <v>0.57535695270910281</v>
      </c>
    </row>
    <row r="182" spans="3:44" x14ac:dyDescent="0.15">
      <c r="C182" s="29">
        <f t="shared" si="34"/>
        <v>4800</v>
      </c>
      <c r="D182" s="18">
        <f>求节点(节奏总纲!$G$4:$G$163,节奏总纲!$C$4:$C$163,$C182)</f>
        <v>132.84279736701905</v>
      </c>
      <c r="E182" s="18">
        <f>IFERROR(求节点(前期规划!$F$13:$F$23,前期规划!$B$13:$B$23,D182),0)</f>
        <v>20</v>
      </c>
      <c r="F182" s="63">
        <f>IFERROR(求节点(前期规划!$C$28:$C$35,前期规划!D$28:D$35,$D182),0)</f>
        <v>9</v>
      </c>
      <c r="G182" s="63">
        <f>IFERROR(求节点(前期规划!$C$28:$C$35,前期规划!E$28:E$35,$D182),0)</f>
        <v>9</v>
      </c>
      <c r="H182" s="63">
        <f>IFERROR(求节点(前期规划!$C$28:$C$35,前期规划!F$28:F$35,$D182),0)</f>
        <v>27</v>
      </c>
      <c r="I182" s="63">
        <f>IFERROR(求节点(前期规划!$C$28:$C$35,前期规划!G$28:G$35,$D182),0)</f>
        <v>27</v>
      </c>
      <c r="J182" s="63">
        <f>IFERROR(求节点(前期规划!$C$28:$C$35,前期规划!H$28:H$35,$D182),0)</f>
        <v>60</v>
      </c>
      <c r="K182" s="63">
        <f>IFERROR(求节点(前期规划!$C$28:$C$35,前期规划!I$28:I$35,$D182),0)</f>
        <v>34.81786664941766</v>
      </c>
      <c r="L182" s="63">
        <f>MIN($E182-SUM(M182:$Q182),F182)</f>
        <v>0</v>
      </c>
      <c r="M182" s="63">
        <f>MIN($E182-SUM(N182:$Q182),G182)</f>
        <v>0</v>
      </c>
      <c r="N182" s="63">
        <f>MIN($E182-SUM(O182:$Q182),H182)</f>
        <v>0</v>
      </c>
      <c r="O182" s="63">
        <f>MIN($E182-SUM(P182:$Q182),I182)</f>
        <v>0</v>
      </c>
      <c r="P182" s="63">
        <f>MIN($E182-SUM(Q182:$Q182),J182)</f>
        <v>0</v>
      </c>
      <c r="Q182" s="69">
        <f t="shared" si="32"/>
        <v>20</v>
      </c>
      <c r="R182" s="64">
        <f>活动投放!AC182+付费投放!AA182</f>
        <v>1377.5</v>
      </c>
      <c r="S182" s="64">
        <f>活动投放!AD182+付费投放!AB182</f>
        <v>1377.5</v>
      </c>
      <c r="T182" s="64">
        <f>活动投放!AE182+付费投放!AC182</f>
        <v>4419.449999999998</v>
      </c>
      <c r="U182" s="64">
        <f>活动投放!AF182+付费投放!AD182</f>
        <v>1894.0499999999988</v>
      </c>
      <c r="V182" s="64">
        <f>活动投放!AG182+付费投放!AE182</f>
        <v>4753.6499999999996</v>
      </c>
      <c r="W182" s="64">
        <f>活动投放!AH182+付费投放!AF182</f>
        <v>528.18333333333339</v>
      </c>
      <c r="X182" s="63">
        <f>MIN(IFERROR(INDEX(真品获取算法!$C$6:$C$66,MATCH(R182,真品获取算法!D$6:D$66,1)),0)+付费投放!AG182,前期规划!D$8)</f>
        <v>9</v>
      </c>
      <c r="Y182" s="63">
        <f>MIN(IFERROR(INDEX(真品获取算法!$C$6:$C$66,MATCH(S182,真品获取算法!E$6:E$66,1)),0)+付费投放!AH182,前期规划!E$8)</f>
        <v>9</v>
      </c>
      <c r="Z182" s="63">
        <f>MIN(IFERROR(INDEX(真品获取算法!$C$6:$C$66,MATCH(T182,真品获取算法!F$6:F$66,1)),0)+付费投放!AI182,前期规划!F$8)</f>
        <v>27</v>
      </c>
      <c r="AA182" s="63">
        <f>MIN(IFERROR(INDEX(真品获取算法!$C$6:$C$66,MATCH(U182,真品获取算法!G$6:G$66,1)),0)+付费投放!AJ182,前期规划!G$8)</f>
        <v>27</v>
      </c>
      <c r="AB182" s="63">
        <f>MIN(IFERROR(INDEX(真品获取算法!$C$6:$C$66,MATCH(V182,真品获取算法!H$6:H$66,1)),0)+付费投放!AK182,前期规划!H$8)</f>
        <v>60</v>
      </c>
      <c r="AC182" s="63">
        <f>MIN(IFERROR(INDEX(真品获取算法!$C$6:$C$66,MATCH(W182,真品获取算法!I$6:I$66,1)),0)+付费投放!AL182,前期规划!I$8)</f>
        <v>60</v>
      </c>
      <c r="AD182" s="63">
        <f t="shared" si="33"/>
        <v>1</v>
      </c>
      <c r="AE182" s="63">
        <f t="shared" si="27"/>
        <v>1</v>
      </c>
      <c r="AF182" s="63">
        <f t="shared" si="28"/>
        <v>1</v>
      </c>
      <c r="AG182" s="63">
        <f t="shared" si="29"/>
        <v>1</v>
      </c>
      <c r="AH182" s="63">
        <f t="shared" si="30"/>
        <v>1</v>
      </c>
      <c r="AI182" s="63">
        <f t="shared" si="31"/>
        <v>1.7232531965310265</v>
      </c>
      <c r="AK182" s="60">
        <f>活动投放!AF182/U182</f>
        <v>0.2515245109685596</v>
      </c>
      <c r="AL182" s="60">
        <f>付费投放!AD182/U182</f>
        <v>0.74847548903144046</v>
      </c>
      <c r="AM182" s="60">
        <f>活动投放!AH182/W182</f>
        <v>0.74708907891830489</v>
      </c>
      <c r="AN182" s="60">
        <f>付费投放!AF182/W182</f>
        <v>0.25291092108169505</v>
      </c>
      <c r="AO182" s="60">
        <f>IFERROR(INDEX(真品获取算法!$C$6:$C$66,MATCH(U182,真品获取算法!G$6:G$66,1)),0)*AK182/(IFERROR(INDEX(真品获取算法!$C$6:$C$66,MATCH(U182,真品获取算法!G$6:G$66,1)),0)+付费投放!AJ182)</f>
        <v>0.17428131213390358</v>
      </c>
      <c r="AP182" s="60">
        <f>(付费投放!AJ182+IFERROR(INDEX(真品获取算法!$C$6:$C$66,MATCH(U182,真品获取算法!G$6:G$66,1)),0)*AL182)/(IFERROR(INDEX(真品获取算法!$C$6:$C$66,MATCH(U182,真品获取算法!G$6:G$66,1)),0)+付费投放!AJ182)</f>
        <v>0.82571868786609626</v>
      </c>
      <c r="AQ182" s="60">
        <f>IFERROR(INDEX(真品获取算法!$C$6:$C$66,MATCH(W182,真品获取算法!I$6:I$66,1)),0)*AM182/(IFERROR(INDEX(真品获取算法!$C$6:$C$66,MATCH(W182,真品获取算法!I$6:I$66,1)),0)+付费投放!AL182)</f>
        <v>0.42368000694799901</v>
      </c>
      <c r="AR182" s="60">
        <f>(付费投放!AL182+IFERROR(INDEX(真品获取算法!$C$6:$C$66,MATCH(W182,真品获取算法!I$6:I$66,1)),0)*AN182)/(IFERROR(INDEX(真品获取算法!$C$6:$C$66,MATCH(W182,真品获取算法!I$6:I$66,1)),0)+付费投放!AL182)</f>
        <v>0.57631999305200088</v>
      </c>
    </row>
    <row r="183" spans="3:44" x14ac:dyDescent="0.15">
      <c r="C183" s="29">
        <f t="shared" si="34"/>
        <v>65535</v>
      </c>
      <c r="D183" s="41">
        <v>160</v>
      </c>
      <c r="E183" s="18">
        <f>IFERROR(求节点(前期规划!$F$13:$F$23,前期规划!$B$13:$B$23,D183),0)</f>
        <v>20</v>
      </c>
      <c r="F183" s="63">
        <f>IFERROR(求节点(前期规划!$C$28:$C$35,前期规划!D$28:D$35,$D183),0)</f>
        <v>9</v>
      </c>
      <c r="G183" s="63">
        <f>IFERROR(求节点(前期规划!$C$28:$C$35,前期规划!E$28:E$35,$D183),0)</f>
        <v>9</v>
      </c>
      <c r="H183" s="63">
        <f>IFERROR(求节点(前期规划!$C$28:$C$35,前期规划!F$28:F$35,$D183),0)</f>
        <v>27</v>
      </c>
      <c r="I183" s="63">
        <f>IFERROR(求节点(前期规划!$C$28:$C$35,前期规划!G$28:G$35,$D183),0)</f>
        <v>27</v>
      </c>
      <c r="J183" s="63">
        <f>IFERROR(求节点(前期规划!$C$28:$C$35,前期规划!H$28:H$35,$D183),0)</f>
        <v>60</v>
      </c>
      <c r="K183" s="63">
        <f>IFERROR(求节点(前期规划!$C$28:$C$35,前期规划!I$28:I$35,$D183),0)</f>
        <v>60</v>
      </c>
      <c r="L183" s="63">
        <f>MIN($E183-SUM(M183:$Q183),F183)</f>
        <v>0</v>
      </c>
      <c r="M183" s="63">
        <f>MIN($E183-SUM(N183:$Q183),G183)</f>
        <v>0</v>
      </c>
      <c r="N183" s="63">
        <f>MIN($E183-SUM(O183:$Q183),H183)</f>
        <v>0</v>
      </c>
      <c r="O183" s="63">
        <f>MIN($E183-SUM(P183:$Q183),I183)</f>
        <v>0</v>
      </c>
      <c r="P183" s="63">
        <f>MIN($E183-SUM(Q183:$Q183),J183)</f>
        <v>0</v>
      </c>
      <c r="Q183" s="69">
        <f t="shared" ref="Q183" si="35">MIN($E183,K183)</f>
        <v>20</v>
      </c>
      <c r="R183" s="64">
        <f>活动投放!AC183+付费投放!AA183</f>
        <v>17573.5</v>
      </c>
      <c r="S183" s="64">
        <f>活动投放!AD183+付费投放!AB183</f>
        <v>17573.5</v>
      </c>
      <c r="T183" s="64">
        <f>活动投放!AE183+付费投放!AC183</f>
        <v>60318.144444444435</v>
      </c>
      <c r="U183" s="64">
        <f>活动投放!AF183+付费投放!AD183</f>
        <v>25850.633333333331</v>
      </c>
      <c r="V183" s="64">
        <f>活动投放!AG183+付费投放!AE183</f>
        <v>67580.633333333331</v>
      </c>
      <c r="W183" s="64">
        <f>活动投放!AH183+付费投放!AF183</f>
        <v>7508.9592592592599</v>
      </c>
      <c r="X183" s="63">
        <f>MIN(IFERROR(INDEX(真品获取算法!$C$6:$C$66,MATCH(R183,真品获取算法!D$6:D$66,1)),0)+付费投放!AG183,前期规划!D$8)</f>
        <v>9</v>
      </c>
      <c r="Y183" s="63">
        <f>MIN(IFERROR(INDEX(真品获取算法!$C$6:$C$66,MATCH(S183,真品获取算法!E$6:E$66,1)),0)+付费投放!AH183,前期规划!E$8)</f>
        <v>9</v>
      </c>
      <c r="Z183" s="63">
        <f>MIN(IFERROR(INDEX(真品获取算法!$C$6:$C$66,MATCH(T183,真品获取算法!F$6:F$66,1)),0)+付费投放!AI183,前期规划!F$8)</f>
        <v>27</v>
      </c>
      <c r="AA183" s="63">
        <f>MIN(IFERROR(INDEX(真品获取算法!$C$6:$C$66,MATCH(U183,真品获取算法!G$6:G$66,1)),0)+付费投放!AJ183,前期规划!G$8)</f>
        <v>27</v>
      </c>
      <c r="AB183" s="63">
        <f>MIN(IFERROR(INDEX(真品获取算法!$C$6:$C$66,MATCH(V183,真品获取算法!H$6:H$66,1)),0)+付费投放!AK183,前期规划!H$8)</f>
        <v>60</v>
      </c>
      <c r="AC183" s="63">
        <f>MIN(IFERROR(INDEX(真品获取算法!$C$6:$C$66,MATCH(W183,真品获取算法!I$6:I$66,1)),0)+付费投放!AL183,前期规划!I$8)</f>
        <v>60</v>
      </c>
      <c r="AD183" s="63">
        <f t="shared" si="33"/>
        <v>1</v>
      </c>
      <c r="AE183" s="63">
        <f t="shared" si="27"/>
        <v>1</v>
      </c>
      <c r="AF183" s="63">
        <f t="shared" si="28"/>
        <v>1</v>
      </c>
      <c r="AG183" s="63">
        <f t="shared" si="29"/>
        <v>1</v>
      </c>
      <c r="AH183" s="63">
        <f t="shared" si="30"/>
        <v>1</v>
      </c>
      <c r="AI183" s="63">
        <f t="shared" si="31"/>
        <v>1</v>
      </c>
      <c r="AK183" s="60">
        <f>活动投放!AF183/U183</f>
        <v>0.25337483672224664</v>
      </c>
      <c r="AL183" s="60">
        <f>付费投放!AD183/U183</f>
        <v>0.7466251632777533</v>
      </c>
      <c r="AM183" s="60">
        <f>活动投放!AH183/W183</f>
        <v>0.75353984548827846</v>
      </c>
      <c r="AN183" s="60">
        <f>付费投放!AF183/W183</f>
        <v>0.24646015451172154</v>
      </c>
      <c r="AO183" s="60">
        <f>IFERROR(INDEX(真品获取算法!$C$6:$C$66,MATCH(U183,真品获取算法!G$6:G$66,1)),0)*AK183/(IFERROR(INDEX(真品获取算法!$C$6:$C$66,MATCH(U183,真品获取算法!G$6:G$66,1)),0)+付费投放!AJ183)</f>
        <v>3.9331854684748903E-2</v>
      </c>
      <c r="AP183" s="60">
        <f>(付费投放!AJ183+IFERROR(INDEX(真品获取算法!$C$6:$C$66,MATCH(U183,真品获取算法!G$6:G$66,1)),0)*AL183)/(IFERROR(INDEX(真品获取算法!$C$6:$C$66,MATCH(U183,真品获取算法!G$6:G$66,1)),0)+付费投放!AJ183)</f>
        <v>0.96066814531525102</v>
      </c>
      <c r="AQ183" s="60">
        <f>IFERROR(INDEX(真品获取算法!$C$6:$C$66,MATCH(W183,真品获取算法!I$6:I$66,1)),0)*AM183/(IFERROR(INDEX(真品获取算法!$C$6:$C$66,MATCH(W183,真品获取算法!I$6:I$66,1)),0)+付费投放!AL183)</f>
        <v>0.10511286372921061</v>
      </c>
      <c r="AR183" s="60">
        <f>(付费投放!AL183+IFERROR(INDEX(真品获取算法!$C$6:$C$66,MATCH(W183,真品获取算法!I$6:I$66,1)),0)*AN183)/(IFERROR(INDEX(真品获取算法!$C$6:$C$66,MATCH(W183,真品获取算法!I$6:I$66,1)),0)+付费投放!AL183)</f>
        <v>0.89488713627078942</v>
      </c>
    </row>
    <row r="185" spans="3:44" x14ac:dyDescent="0.15">
      <c r="C185" s="25" t="s">
        <v>21</v>
      </c>
      <c r="D185" s="26"/>
      <c r="E185" s="27"/>
      <c r="F185" s="88" t="s">
        <v>51</v>
      </c>
      <c r="G185" s="89"/>
      <c r="H185" s="89"/>
      <c r="I185" s="89"/>
      <c r="J185" s="89"/>
      <c r="K185" s="90"/>
      <c r="L185" s="88" t="s">
        <v>52</v>
      </c>
      <c r="M185" s="89"/>
      <c r="N185" s="89"/>
      <c r="O185" s="89"/>
      <c r="P185" s="89"/>
      <c r="Q185" s="90"/>
      <c r="R185" s="88" t="s">
        <v>122</v>
      </c>
      <c r="S185" s="89"/>
      <c r="T185" s="89"/>
      <c r="U185" s="89"/>
      <c r="V185" s="89"/>
      <c r="W185" s="90"/>
      <c r="X185" s="88" t="s">
        <v>132</v>
      </c>
      <c r="Y185" s="89"/>
      <c r="Z185" s="89"/>
      <c r="AA185" s="89"/>
      <c r="AB185" s="89"/>
      <c r="AC185" s="90"/>
      <c r="AD185" s="88" t="s">
        <v>133</v>
      </c>
      <c r="AE185" s="89"/>
      <c r="AF185" s="89"/>
      <c r="AG185" s="89"/>
      <c r="AH185" s="89"/>
      <c r="AI185" s="90"/>
      <c r="AK185" s="91" t="s">
        <v>187</v>
      </c>
      <c r="AL185" s="91"/>
      <c r="AM185" s="91" t="s">
        <v>188</v>
      </c>
      <c r="AN185" s="91"/>
      <c r="AO185" s="91" t="s">
        <v>191</v>
      </c>
      <c r="AP185" s="91"/>
      <c r="AQ185" s="91" t="s">
        <v>192</v>
      </c>
      <c r="AR185" s="91"/>
    </row>
    <row r="186" spans="3:44" x14ac:dyDescent="0.15">
      <c r="C186" s="27" t="s">
        <v>31</v>
      </c>
      <c r="D186" s="27" t="s">
        <v>25</v>
      </c>
      <c r="E186" s="27" t="s">
        <v>30</v>
      </c>
      <c r="F186" s="64" t="s">
        <v>26</v>
      </c>
      <c r="G186" s="64" t="s">
        <v>38</v>
      </c>
      <c r="H186" s="64" t="s">
        <v>27</v>
      </c>
      <c r="I186" s="64" t="s">
        <v>29</v>
      </c>
      <c r="J186" s="64" t="s">
        <v>28</v>
      </c>
      <c r="K186" s="64" t="s">
        <v>43</v>
      </c>
      <c r="L186" s="64" t="s">
        <v>26</v>
      </c>
      <c r="M186" s="64" t="s">
        <v>38</v>
      </c>
      <c r="N186" s="64" t="s">
        <v>27</v>
      </c>
      <c r="O186" s="64" t="s">
        <v>29</v>
      </c>
      <c r="P186" s="64" t="s">
        <v>28</v>
      </c>
      <c r="Q186" s="64" t="s">
        <v>43</v>
      </c>
      <c r="R186" s="64" t="s">
        <v>26</v>
      </c>
      <c r="S186" s="64" t="s">
        <v>38</v>
      </c>
      <c r="T186" s="64" t="s">
        <v>27</v>
      </c>
      <c r="U186" s="64" t="s">
        <v>29</v>
      </c>
      <c r="V186" s="64" t="s">
        <v>28</v>
      </c>
      <c r="W186" s="64" t="s">
        <v>43</v>
      </c>
      <c r="X186" s="64" t="s">
        <v>26</v>
      </c>
      <c r="Y186" s="64" t="s">
        <v>38</v>
      </c>
      <c r="Z186" s="64" t="s">
        <v>27</v>
      </c>
      <c r="AA186" s="64" t="s">
        <v>29</v>
      </c>
      <c r="AB186" s="64" t="s">
        <v>28</v>
      </c>
      <c r="AC186" s="64" t="s">
        <v>43</v>
      </c>
      <c r="AD186" s="64" t="s">
        <v>26</v>
      </c>
      <c r="AE186" s="64" t="s">
        <v>38</v>
      </c>
      <c r="AF186" s="64" t="s">
        <v>27</v>
      </c>
      <c r="AG186" s="64" t="s">
        <v>29</v>
      </c>
      <c r="AH186" s="64" t="s">
        <v>28</v>
      </c>
      <c r="AI186" s="64" t="s">
        <v>43</v>
      </c>
      <c r="AK186" s="60" t="s">
        <v>189</v>
      </c>
      <c r="AL186" s="60" t="s">
        <v>190</v>
      </c>
      <c r="AM186" s="60" t="s">
        <v>189</v>
      </c>
      <c r="AN186" s="60" t="s">
        <v>190</v>
      </c>
      <c r="AO186" s="60" t="s">
        <v>189</v>
      </c>
      <c r="AP186" s="60" t="s">
        <v>190</v>
      </c>
      <c r="AQ186" s="60" t="s">
        <v>189</v>
      </c>
      <c r="AR186" s="60" t="s">
        <v>190</v>
      </c>
    </row>
    <row r="187" spans="3:44" x14ac:dyDescent="0.15">
      <c r="C187" s="29">
        <f>C143</f>
        <v>15</v>
      </c>
      <c r="D187" s="18">
        <f>求节点(节奏总纲!$H$4:$H$163,节奏总纲!$C$4:$C$163,$C187)</f>
        <v>57.176846218996921</v>
      </c>
      <c r="E187" s="18">
        <f>IFERROR(求节点(前期规划!$G$13:$G$23,前期规划!$B$13:$B$23,D187),0)</f>
        <v>7.4790989197134063</v>
      </c>
      <c r="F187" s="63">
        <f>IFERROR(求节点(前期规划!$C$28:$C$35,前期规划!D$28:D$35,$D187),0)</f>
        <v>9</v>
      </c>
      <c r="G187" s="63">
        <f>IFERROR(求节点(前期规划!$C$28:$C$35,前期规划!E$28:E$35,$D187),0)</f>
        <v>4.3061077313981526</v>
      </c>
      <c r="H187" s="63">
        <f>IFERROR(求节点(前期规划!$C$28:$C$35,前期规划!F$28:F$35,$D187),0)</f>
        <v>1.3061077313981528</v>
      </c>
      <c r="I187" s="63">
        <f>IFERROR(求节点(前期规划!$C$28:$C$35,前期规划!G$28:G$35,$D187),0)</f>
        <v>0</v>
      </c>
      <c r="J187" s="63">
        <f>IFERROR(求节点(前期规划!$C$28:$C$35,前期规划!H$28:H$35,$D187),0)</f>
        <v>0</v>
      </c>
      <c r="K187" s="63">
        <f>IFERROR(求节点(前期规划!$C$28:$C$35,前期规划!I$28:I$35,$D187),0)</f>
        <v>0</v>
      </c>
      <c r="L187" s="63">
        <f>MIN($E187-SUM(M187:$Q187),F187)</f>
        <v>1.8668834569171011</v>
      </c>
      <c r="M187" s="63">
        <f>MIN($E187-SUM(N187:$Q187),G187)</f>
        <v>4.3061077313981526</v>
      </c>
      <c r="N187" s="63">
        <f>MIN($E187-SUM(O187:$Q187),H187)</f>
        <v>1.3061077313981528</v>
      </c>
      <c r="O187" s="63">
        <f>MIN($E187-SUM(P187:$Q187),I187)</f>
        <v>0</v>
      </c>
      <c r="P187" s="63">
        <f>MIN($E187-SUM(Q187:$Q187),J187)</f>
        <v>0</v>
      </c>
      <c r="Q187" s="69">
        <f>MIN($E187,K187)</f>
        <v>0</v>
      </c>
      <c r="R187" s="64">
        <f>活动投放!AC187+付费投放!AA187</f>
        <v>1.5</v>
      </c>
      <c r="S187" s="64">
        <f>活动投放!AD187+付费投放!AB187</f>
        <v>1.5</v>
      </c>
      <c r="T187" s="64">
        <f>活动投放!AE187+付费投放!AC187</f>
        <v>0.7</v>
      </c>
      <c r="U187" s="64">
        <f>活动投放!AF187+付费投放!AD187</f>
        <v>0.3</v>
      </c>
      <c r="V187" s="64">
        <f>活动投放!AG187+付费投放!AE187</f>
        <v>0</v>
      </c>
      <c r="W187" s="64">
        <f>活动投放!AH187+付费投放!AF187</f>
        <v>0</v>
      </c>
      <c r="X187" s="63">
        <f>MIN(IFERROR(INDEX(真品获取算法!$C$6:$C$66,MATCH(R187,真品获取算法!D$6:D$66,1)),0)+付费投放!AG187,前期规划!D$8)</f>
        <v>0</v>
      </c>
      <c r="Y187" s="63">
        <f>MIN(IFERROR(INDEX(真品获取算法!$C$6:$C$66,MATCH(S187,真品获取算法!E$6:E$66,1)),0)+付费投放!AH187,前期规划!E$8)</f>
        <v>0</v>
      </c>
      <c r="Z187" s="63">
        <f>MIN(IFERROR(INDEX(真品获取算法!$C$6:$C$66,MATCH(T187,真品获取算法!F$6:F$66,1)),0)+付费投放!AI187,前期规划!F$8)</f>
        <v>0</v>
      </c>
      <c r="AA187" s="63">
        <f>MIN(IFERROR(INDEX(真品获取算法!$C$6:$C$66,MATCH(U187,真品获取算法!G$6:G$66,1)),0)+付费投放!AJ187,前期规划!G$8)</f>
        <v>0</v>
      </c>
      <c r="AB187" s="63">
        <f>MIN(IFERROR(INDEX(真品获取算法!$C$6:$C$66,MATCH(V187,真品获取算法!H$6:H$66,1)),0)+付费投放!AK187,前期规划!H$8)</f>
        <v>0</v>
      </c>
      <c r="AC187" s="63">
        <f>MIN(IFERROR(INDEX(真品获取算法!$C$6:$C$66,MATCH(W187,真品获取算法!I$6:I$66,1)),0)+付费投放!AL187,前期规划!I$8)</f>
        <v>0</v>
      </c>
      <c r="AD187" s="63">
        <f>IFERROR(X187/F187,0)</f>
        <v>0</v>
      </c>
      <c r="AE187" s="63">
        <f t="shared" ref="AE187:AE227" si="36">IFERROR(Y187/G187,0)</f>
        <v>0</v>
      </c>
      <c r="AF187" s="63">
        <f t="shared" ref="AF187:AF227" si="37">IFERROR(Z187/H187,0)</f>
        <v>0</v>
      </c>
      <c r="AG187" s="63">
        <f t="shared" ref="AG187:AG227" si="38">IFERROR(AA187/I187,0)</f>
        <v>0</v>
      </c>
      <c r="AH187" s="63">
        <f t="shared" ref="AH187:AH227" si="39">IFERROR(AB187/J187,0)</f>
        <v>0</v>
      </c>
      <c r="AI187" s="63">
        <f t="shared" ref="AI187:AI227" si="40">IFERROR(AC187/K187,0)</f>
        <v>0</v>
      </c>
      <c r="AK187" s="60">
        <f>活动投放!AF187/U187</f>
        <v>1</v>
      </c>
      <c r="AL187" s="60">
        <f>付费投放!AD187/U187</f>
        <v>0</v>
      </c>
      <c r="AM187" s="60" t="e">
        <f>活动投放!AH187/W187</f>
        <v>#DIV/0!</v>
      </c>
      <c r="AN187" s="60" t="e">
        <f>付费投放!AF187/W187</f>
        <v>#DIV/0!</v>
      </c>
      <c r="AO187" s="60" t="e">
        <f>IFERROR(INDEX(真品获取算法!$C$6:$C$66,MATCH(U187,真品获取算法!G$6:G$66,1)),0)*AK187/(IFERROR(INDEX(真品获取算法!$C$6:$C$66,MATCH(U187,真品获取算法!G$6:G$66,1)),0)+付费投放!AJ187)</f>
        <v>#DIV/0!</v>
      </c>
      <c r="AP187" s="60" t="e">
        <f>(付费投放!AJ187+IFERROR(INDEX(真品获取算法!$C$6:$C$66,MATCH(U187,真品获取算法!G$6:G$66,1)),0)*AL187)/(IFERROR(INDEX(真品获取算法!$C$6:$C$66,MATCH(U187,真品获取算法!G$6:G$66,1)),0)+付费投放!AJ187)</f>
        <v>#DIV/0!</v>
      </c>
      <c r="AQ187" s="60" t="e">
        <f>IFERROR(INDEX(真品获取算法!$C$6:$C$66,MATCH(W187,真品获取算法!I$6:I$66,1)),0)*AM187/(IFERROR(INDEX(真品获取算法!$C$6:$C$66,MATCH(W187,真品获取算法!I$6:I$66,1)),0)+付费投放!AL187)</f>
        <v>#DIV/0!</v>
      </c>
      <c r="AR187" s="60" t="e">
        <f>(付费投放!AL187+IFERROR(INDEX(真品获取算法!$C$6:$C$66,MATCH(W187,真品获取算法!I$6:I$66,1)),0)*AN187)/(IFERROR(INDEX(真品获取算法!$C$6:$C$66,MATCH(W187,真品获取算法!I$6:I$66,1)),0)+付费投放!AL187)</f>
        <v>#DIV/0!</v>
      </c>
    </row>
    <row r="188" spans="3:44" x14ac:dyDescent="0.15">
      <c r="C188" s="29">
        <f>C144</f>
        <v>30</v>
      </c>
      <c r="D188" s="18">
        <f>求节点(节奏总纲!$H$4:$H$163,节奏总纲!$C$4:$C$163,$C188)</f>
        <v>67.097551508592701</v>
      </c>
      <c r="E188" s="18">
        <f>IFERROR(求节点(前期规划!$G$13:$G$23,前期规划!$B$13:$B$23,D188),0)</f>
        <v>10.021678113020601</v>
      </c>
      <c r="F188" s="63">
        <f>IFERROR(求节点(前期规划!$C$28:$C$35,前期规划!D$28:D$35,$D188),0)</f>
        <v>9</v>
      </c>
      <c r="G188" s="63">
        <f>IFERROR(求节点(前期规划!$C$28:$C$35,前期规划!E$28:E$35,$D188),0)</f>
        <v>9</v>
      </c>
      <c r="H188" s="63">
        <f>IFERROR(求节点(前期规划!$C$28:$C$35,前期规划!F$28:F$35,$D188),0)</f>
        <v>10.404858168044672</v>
      </c>
      <c r="I188" s="63">
        <f>IFERROR(求节点(前期规划!$C$28:$C$35,前期规划!G$28:G$35,$D188),0)</f>
        <v>1.2585309051556208</v>
      </c>
      <c r="J188" s="63">
        <f>IFERROR(求节点(前期规划!$C$28:$C$35,前期规划!H$28:H$35,$D188),0)</f>
        <v>0</v>
      </c>
      <c r="K188" s="63">
        <f>IFERROR(求节点(前期规划!$C$28:$C$35,前期规划!I$28:I$35,$D188),0)</f>
        <v>0</v>
      </c>
      <c r="L188" s="63">
        <f>MIN($E188-SUM(M188:$Q188),F188)</f>
        <v>0</v>
      </c>
      <c r="M188" s="63">
        <f>MIN($E188-SUM(N188:$Q188),G188)</f>
        <v>0</v>
      </c>
      <c r="N188" s="63">
        <f>MIN($E188-SUM(O188:$Q188),H188)</f>
        <v>8.7631472078649804</v>
      </c>
      <c r="O188" s="63">
        <f>MIN($E188-SUM(P188:$Q188),I188)</f>
        <v>1.2585309051556208</v>
      </c>
      <c r="P188" s="63">
        <f>MIN($E188-SUM(Q188:$Q188),J188)</f>
        <v>0</v>
      </c>
      <c r="Q188" s="69">
        <f t="shared" ref="Q188:Q226" si="41">MIN($E188,K188)</f>
        <v>0</v>
      </c>
      <c r="R188" s="64">
        <f>活动投放!AC188+付费投放!AA188</f>
        <v>30.5</v>
      </c>
      <c r="S188" s="64">
        <f>活动投放!AD188+付费投放!AB188</f>
        <v>30.5</v>
      </c>
      <c r="T188" s="64">
        <f>活动投放!AE188+付费投放!AC188</f>
        <v>18.899999999999999</v>
      </c>
      <c r="U188" s="64">
        <f>活动投放!AF188+付费投放!AD188</f>
        <v>8.1</v>
      </c>
      <c r="V188" s="64">
        <f>活动投放!AG188+付费投放!AE188</f>
        <v>0</v>
      </c>
      <c r="W188" s="64">
        <f>活动投放!AH188+付费投放!AF188</f>
        <v>0</v>
      </c>
      <c r="X188" s="63">
        <f>MIN(IFERROR(INDEX(真品获取算法!$C$6:$C$66,MATCH(R188,真品获取算法!D$6:D$66,1)),0)+付费投放!AG188,前期规划!D$8)</f>
        <v>7</v>
      </c>
      <c r="Y188" s="63">
        <f>MIN(IFERROR(INDEX(真品获取算法!$C$6:$C$66,MATCH(S188,真品获取算法!E$6:E$66,1)),0)+付费投放!AH188,前期规划!E$8)</f>
        <v>7</v>
      </c>
      <c r="Z188" s="63">
        <f>MIN(IFERROR(INDEX(真品获取算法!$C$6:$C$66,MATCH(T188,真品获取算法!F$6:F$66,1)),0)+付费投放!AI188,前期规划!F$8)</f>
        <v>10</v>
      </c>
      <c r="AA188" s="63">
        <f>MIN(IFERROR(INDEX(真品获取算法!$C$6:$C$66,MATCH(U188,真品获取算法!G$6:G$66,1)),0)+付费投放!AJ188,前期规划!G$8)</f>
        <v>2.3666666666666667</v>
      </c>
      <c r="AB188" s="63">
        <f>MIN(IFERROR(INDEX(真品获取算法!$C$6:$C$66,MATCH(V188,真品获取算法!H$6:H$66,1)),0)+付费投放!AK188,前期规划!H$8)</f>
        <v>0</v>
      </c>
      <c r="AC188" s="63">
        <f>MIN(IFERROR(INDEX(真品获取算法!$C$6:$C$66,MATCH(W188,真品获取算法!I$6:I$66,1)),0)+付费投放!AL188,前期规划!I$8)</f>
        <v>0</v>
      </c>
      <c r="AD188" s="63">
        <f t="shared" ref="AD188:AD227" si="42">IFERROR(X188/F188,0)</f>
        <v>0.77777777777777779</v>
      </c>
      <c r="AE188" s="63">
        <f t="shared" si="36"/>
        <v>0.77777777777777779</v>
      </c>
      <c r="AF188" s="63">
        <f t="shared" si="37"/>
        <v>0.96108950631464929</v>
      </c>
      <c r="AG188" s="63">
        <f t="shared" si="38"/>
        <v>1.8804994434157514</v>
      </c>
      <c r="AH188" s="63">
        <f t="shared" si="39"/>
        <v>0</v>
      </c>
      <c r="AI188" s="63">
        <f t="shared" si="40"/>
        <v>0</v>
      </c>
      <c r="AK188" s="60">
        <f>活动投放!AF188/U188</f>
        <v>0.1851851851851852</v>
      </c>
      <c r="AL188" s="60">
        <f>付费投放!AD188/U188</f>
        <v>0.81481481481481477</v>
      </c>
      <c r="AM188" s="60" t="e">
        <f>活动投放!AH188/W188</f>
        <v>#DIV/0!</v>
      </c>
      <c r="AN188" s="60" t="e">
        <f>付费投放!AF188/W188</f>
        <v>#DIV/0!</v>
      </c>
      <c r="AO188" s="60">
        <f>IFERROR(INDEX(真品获取算法!$C$6:$C$66,MATCH(U188,真品获取算法!G$6:G$66,1)),0)*AK188/(IFERROR(INDEX(真品获取算法!$C$6:$C$66,MATCH(U188,真品获取算法!G$6:G$66,1)),0)+付费投放!AJ188)</f>
        <v>0.1564945226917058</v>
      </c>
      <c r="AP188" s="60">
        <f>(付费投放!AJ188+IFERROR(INDEX(真品获取算法!$C$6:$C$66,MATCH(U188,真品获取算法!G$6:G$66,1)),0)*AL188)/(IFERROR(INDEX(真品获取算法!$C$6:$C$66,MATCH(U188,真品获取算法!G$6:G$66,1)),0)+付费投放!AJ188)</f>
        <v>0.84350547730829417</v>
      </c>
      <c r="AQ188" s="60" t="e">
        <f>IFERROR(INDEX(真品获取算法!$C$6:$C$66,MATCH(W188,真品获取算法!I$6:I$66,1)),0)*AM188/(IFERROR(INDEX(真品获取算法!$C$6:$C$66,MATCH(W188,真品获取算法!I$6:I$66,1)),0)+付费投放!AL188)</f>
        <v>#DIV/0!</v>
      </c>
      <c r="AR188" s="60" t="e">
        <f>(付费投放!AL188+IFERROR(INDEX(真品获取算法!$C$6:$C$66,MATCH(W188,真品获取算法!I$6:I$66,1)),0)*AN188)/(IFERROR(INDEX(真品获取算法!$C$6:$C$66,MATCH(W188,真品获取算法!I$6:I$66,1)),0)+付费投放!AL188)</f>
        <v>#DIV/0!</v>
      </c>
    </row>
    <row r="189" spans="3:44" x14ac:dyDescent="0.15">
      <c r="C189" s="29">
        <f t="shared" ref="C189:C227" si="43">C145</f>
        <v>45</v>
      </c>
      <c r="D189" s="18">
        <f>求节点(节奏总纲!$H$4:$H$163,节奏总纲!$C$4:$C$163,$C189)</f>
        <v>73.037155126421851</v>
      </c>
      <c r="E189" s="18">
        <f>IFERROR(求节点(前期规划!$G$13:$G$23,前期规划!$B$13:$B$23,D189),0)</f>
        <v>11.341590028093744</v>
      </c>
      <c r="F189" s="63">
        <f>IFERROR(求节点(前期规划!$C$28:$C$35,前期规划!D$28:D$35,$D189),0)</f>
        <v>9</v>
      </c>
      <c r="G189" s="63">
        <f>IFERROR(求节点(前期规划!$C$28:$C$35,前期规划!E$28:E$35,$D189),0)</f>
        <v>9</v>
      </c>
      <c r="H189" s="63">
        <f>IFERROR(求节点(前期规划!$C$28:$C$35,前期规划!F$28:F$35,$D189),0)</f>
        <v>22.878025765485887</v>
      </c>
      <c r="I189" s="63">
        <f>IFERROR(求节点(前期规划!$C$28:$C$35,前期规划!G$28:G$35,$D189),0)</f>
        <v>4.8222930758531106</v>
      </c>
      <c r="J189" s="63">
        <f>IFERROR(求节点(前期规划!$C$28:$C$35,前期规划!H$28:H$35,$D189),0)</f>
        <v>0</v>
      </c>
      <c r="K189" s="63">
        <f>IFERROR(求节点(前期规划!$C$28:$C$35,前期规划!I$28:I$35,$D189),0)</f>
        <v>0</v>
      </c>
      <c r="L189" s="63">
        <f>MIN($E189-SUM(M189:$Q189),F189)</f>
        <v>0</v>
      </c>
      <c r="M189" s="63">
        <f>MIN($E189-SUM(N189:$Q189),G189)</f>
        <v>0</v>
      </c>
      <c r="N189" s="63">
        <f>MIN($E189-SUM(O189:$Q189),H189)</f>
        <v>6.5192969522406337</v>
      </c>
      <c r="O189" s="63">
        <f>MIN($E189-SUM(P189:$Q189),I189)</f>
        <v>4.8222930758531106</v>
      </c>
      <c r="P189" s="63">
        <f>MIN($E189-SUM(Q189:$Q189),J189)</f>
        <v>0</v>
      </c>
      <c r="Q189" s="69">
        <f t="shared" si="41"/>
        <v>0</v>
      </c>
      <c r="R189" s="64">
        <f>活动投放!AC189+付费投放!AA189</f>
        <v>59.5</v>
      </c>
      <c r="S189" s="64">
        <f>活动投放!AD189+付费投放!AB189</f>
        <v>59.5</v>
      </c>
      <c r="T189" s="64">
        <f>活动投放!AE189+付费投放!AC189</f>
        <v>37.799999999999997</v>
      </c>
      <c r="U189" s="64">
        <f>活动投放!AF189+付费投放!AD189</f>
        <v>16.2</v>
      </c>
      <c r="V189" s="64">
        <f>活动投放!AG189+付费投放!AE189</f>
        <v>0.9</v>
      </c>
      <c r="W189" s="64">
        <f>活动投放!AH189+付费投放!AF189</f>
        <v>0.1</v>
      </c>
      <c r="X189" s="63">
        <f>MIN(IFERROR(INDEX(真品获取算法!$C$6:$C$66,MATCH(R189,真品获取算法!D$6:D$66,1)),0)+付费投放!AG189,前期规划!D$8)</f>
        <v>9</v>
      </c>
      <c r="Y189" s="63">
        <f>MIN(IFERROR(INDEX(真品获取算法!$C$6:$C$66,MATCH(S189,真品获取算法!E$6:E$66,1)),0)+付费投放!AH189,前期规划!E$8)</f>
        <v>9</v>
      </c>
      <c r="Z189" s="63">
        <f>MIN(IFERROR(INDEX(真品获取算法!$C$6:$C$66,MATCH(T189,真品获取算法!F$6:F$66,1)),0)+付费投放!AI189,前期规划!F$8)</f>
        <v>17</v>
      </c>
      <c r="AA189" s="63">
        <f>MIN(IFERROR(INDEX(真品获取算法!$C$6:$C$66,MATCH(U189,真品获取算法!G$6:G$66,1)),0)+付费投放!AJ189,前期规划!G$8)</f>
        <v>4.7333333333333334</v>
      </c>
      <c r="AB189" s="63">
        <f>MIN(IFERROR(INDEX(真品获取算法!$C$6:$C$66,MATCH(V189,真品获取算法!H$6:H$66,1)),0)+付费投放!AK189,前期规划!H$8)</f>
        <v>0</v>
      </c>
      <c r="AC189" s="63">
        <f>MIN(IFERROR(INDEX(真品获取算法!$C$6:$C$66,MATCH(W189,真品获取算法!I$6:I$66,1)),0)+付费投放!AL189,前期规划!I$8)</f>
        <v>0</v>
      </c>
      <c r="AD189" s="63">
        <f t="shared" si="42"/>
        <v>1</v>
      </c>
      <c r="AE189" s="63">
        <f t="shared" si="36"/>
        <v>1</v>
      </c>
      <c r="AF189" s="63">
        <f t="shared" si="37"/>
        <v>0.74307110999264803</v>
      </c>
      <c r="AG189" s="63">
        <f t="shared" si="38"/>
        <v>0.98155239818060225</v>
      </c>
      <c r="AH189" s="63">
        <f t="shared" si="39"/>
        <v>0</v>
      </c>
      <c r="AI189" s="63">
        <f t="shared" si="40"/>
        <v>0</v>
      </c>
      <c r="AK189" s="60">
        <f>活动投放!AF189/U189</f>
        <v>0.1851851851851852</v>
      </c>
      <c r="AL189" s="60">
        <f>付费投放!AD189/U189</f>
        <v>0.81481481481481477</v>
      </c>
      <c r="AM189" s="60">
        <f>活动投放!AH189/W189</f>
        <v>1</v>
      </c>
      <c r="AN189" s="60">
        <f>付费投放!AF189/W189</f>
        <v>0</v>
      </c>
      <c r="AO189" s="60">
        <f>IFERROR(INDEX(真品获取算法!$C$6:$C$66,MATCH(U189,真品获取算法!G$6:G$66,1)),0)*AK189/(IFERROR(INDEX(真品获取算法!$C$6:$C$66,MATCH(U189,真品获取算法!G$6:G$66,1)),0)+付费投放!AJ189)</f>
        <v>0.1564945226917058</v>
      </c>
      <c r="AP189" s="60">
        <f>(付费投放!AJ189+IFERROR(INDEX(真品获取算法!$C$6:$C$66,MATCH(U189,真品获取算法!G$6:G$66,1)),0)*AL189)/(IFERROR(INDEX(真品获取算法!$C$6:$C$66,MATCH(U189,真品获取算法!G$6:G$66,1)),0)+付费投放!AJ189)</f>
        <v>0.84350547730829417</v>
      </c>
      <c r="AQ189" s="60" t="e">
        <f>IFERROR(INDEX(真品获取算法!$C$6:$C$66,MATCH(W189,真品获取算法!I$6:I$66,1)),0)*AM189/(IFERROR(INDEX(真品获取算法!$C$6:$C$66,MATCH(W189,真品获取算法!I$6:I$66,1)),0)+付费投放!AL189)</f>
        <v>#DIV/0!</v>
      </c>
      <c r="AR189" s="60" t="e">
        <f>(付费投放!AL189+IFERROR(INDEX(真品获取算法!$C$6:$C$66,MATCH(W189,真品获取算法!I$6:I$66,1)),0)*AN189)/(IFERROR(INDEX(真品获取算法!$C$6:$C$66,MATCH(W189,真品获取算法!I$6:I$66,1)),0)+付费投放!AL189)</f>
        <v>#DIV/0!</v>
      </c>
    </row>
    <row r="190" spans="3:44" x14ac:dyDescent="0.15">
      <c r="C190" s="29">
        <f t="shared" si="43"/>
        <v>60</v>
      </c>
      <c r="D190" s="18">
        <f>求节点(节奏总纲!$H$4:$H$163,节奏总纲!$C$4:$C$163,$C190)</f>
        <v>77.112805903056142</v>
      </c>
      <c r="E190" s="18">
        <f>IFERROR(求节点(前期规划!$G$13:$G$23,前期规划!$B$13:$B$23,D190),0)</f>
        <v>12.222561180611228</v>
      </c>
      <c r="F190" s="63">
        <f>IFERROR(求节点(前期规划!$C$28:$C$35,前期规划!D$28:D$35,$D190),0)</f>
        <v>9</v>
      </c>
      <c r="G190" s="63">
        <f>IFERROR(求节点(前期规划!$C$28:$C$35,前期规划!E$28:E$35,$D190),0)</f>
        <v>9</v>
      </c>
      <c r="H190" s="63">
        <f>IFERROR(求节点(前期规划!$C$28:$C$35,前期规划!F$28:F$35,$D190),0)</f>
        <v>27</v>
      </c>
      <c r="I190" s="63">
        <f>IFERROR(求节点(前期规划!$C$28:$C$35,前期规划!G$28:G$35,$D190),0)</f>
        <v>10.436892396417898</v>
      </c>
      <c r="J190" s="63">
        <f>IFERROR(求节点(前期规划!$C$28:$C$35,前期规划!H$28:H$35,$D190),0)</f>
        <v>1.2676835418336849</v>
      </c>
      <c r="K190" s="63">
        <f>IFERROR(求节点(前期规划!$C$28:$C$35,前期规划!I$28:I$35,$D190),0)</f>
        <v>0</v>
      </c>
      <c r="L190" s="63">
        <f>MIN($E190-SUM(M190:$Q190),F190)</f>
        <v>0</v>
      </c>
      <c r="M190" s="63">
        <f>MIN($E190-SUM(N190:$Q190),G190)</f>
        <v>0</v>
      </c>
      <c r="N190" s="63">
        <f>MIN($E190-SUM(O190:$Q190),H190)</f>
        <v>0.51798524235964472</v>
      </c>
      <c r="O190" s="63">
        <f>MIN($E190-SUM(P190:$Q190),I190)</f>
        <v>10.436892396417898</v>
      </c>
      <c r="P190" s="63">
        <f>MIN($E190-SUM(Q190:$Q190),J190)</f>
        <v>1.2676835418336849</v>
      </c>
      <c r="Q190" s="69">
        <f t="shared" si="41"/>
        <v>0</v>
      </c>
      <c r="R190" s="64">
        <f>活动投放!AC190+付费投放!AA190</f>
        <v>88.5</v>
      </c>
      <c r="S190" s="64">
        <f>活动投放!AD190+付费投放!AB190</f>
        <v>88.5</v>
      </c>
      <c r="T190" s="64">
        <f>活动投放!AE190+付费投放!AC190</f>
        <v>56.699999999999996</v>
      </c>
      <c r="U190" s="64">
        <f>活动投放!AF190+付费投放!AD190</f>
        <v>24.299999999999997</v>
      </c>
      <c r="V190" s="64">
        <f>活动投放!AG190+付费投放!AE190</f>
        <v>2.7</v>
      </c>
      <c r="W190" s="64">
        <f>活动投放!AH190+付费投放!AF190</f>
        <v>0.30000000000000004</v>
      </c>
      <c r="X190" s="63">
        <f>MIN(IFERROR(INDEX(真品获取算法!$C$6:$C$66,MATCH(R190,真品获取算法!D$6:D$66,1)),0)+付费投放!AG190,前期规划!D$8)</f>
        <v>9</v>
      </c>
      <c r="Y190" s="63">
        <f>MIN(IFERROR(INDEX(真品获取算法!$C$6:$C$66,MATCH(S190,真品获取算法!E$6:E$66,1)),0)+付费投放!AH190,前期规划!E$8)</f>
        <v>9</v>
      </c>
      <c r="Z190" s="63">
        <f>MIN(IFERROR(INDEX(真品获取算法!$C$6:$C$66,MATCH(T190,真品获取算法!F$6:F$66,1)),0)+付费投放!AI190,前期规划!F$8)</f>
        <v>21</v>
      </c>
      <c r="AA190" s="63">
        <f>MIN(IFERROR(INDEX(真品获取算法!$C$6:$C$66,MATCH(U190,真品获取算法!G$6:G$66,1)),0)+付费投放!AJ190,前期规划!G$8)</f>
        <v>7.1</v>
      </c>
      <c r="AB190" s="63">
        <f>MIN(IFERROR(INDEX(真品获取算法!$C$6:$C$66,MATCH(V190,真品获取算法!H$6:H$66,1)),0)+付费投放!AK190,前期规划!H$8)</f>
        <v>2</v>
      </c>
      <c r="AC190" s="63">
        <f>MIN(IFERROR(INDEX(真品获取算法!$C$6:$C$66,MATCH(W190,真品获取算法!I$6:I$66,1)),0)+付费投放!AL190,前期规划!I$8)</f>
        <v>0</v>
      </c>
      <c r="AD190" s="63">
        <f t="shared" si="42"/>
        <v>1</v>
      </c>
      <c r="AE190" s="63">
        <f t="shared" si="36"/>
        <v>1</v>
      </c>
      <c r="AF190" s="63">
        <f t="shared" si="37"/>
        <v>0.77777777777777779</v>
      </c>
      <c r="AG190" s="63">
        <f t="shared" si="38"/>
        <v>0.68027912239823696</v>
      </c>
      <c r="AH190" s="63">
        <f t="shared" si="39"/>
        <v>1.5776808122846104</v>
      </c>
      <c r="AI190" s="63">
        <f t="shared" si="40"/>
        <v>0</v>
      </c>
      <c r="AK190" s="60">
        <f>活动投放!AF190/U190</f>
        <v>0.1851851851851852</v>
      </c>
      <c r="AL190" s="60">
        <f>付费投放!AD190/U190</f>
        <v>0.81481481481481477</v>
      </c>
      <c r="AM190" s="60">
        <f>活动投放!AH190/W190</f>
        <v>1</v>
      </c>
      <c r="AN190" s="60">
        <f>付费投放!AF190/W190</f>
        <v>0</v>
      </c>
      <c r="AO190" s="60">
        <f>IFERROR(INDEX(真品获取算法!$C$6:$C$66,MATCH(U190,真品获取算法!G$6:G$66,1)),0)*AK190/(IFERROR(INDEX(真品获取算法!$C$6:$C$66,MATCH(U190,真品获取算法!G$6:G$66,1)),0)+付费投放!AJ190)</f>
        <v>0.1564945226917058</v>
      </c>
      <c r="AP190" s="60">
        <f>(付费投放!AJ190+IFERROR(INDEX(真品获取算法!$C$6:$C$66,MATCH(U190,真品获取算法!G$6:G$66,1)),0)*AL190)/(IFERROR(INDEX(真品获取算法!$C$6:$C$66,MATCH(U190,真品获取算法!G$6:G$66,1)),0)+付费投放!AJ190)</f>
        <v>0.84350547730829417</v>
      </c>
      <c r="AQ190" s="60" t="e">
        <f>IFERROR(INDEX(真品获取算法!$C$6:$C$66,MATCH(W190,真品获取算法!I$6:I$66,1)),0)*AM190/(IFERROR(INDEX(真品获取算法!$C$6:$C$66,MATCH(W190,真品获取算法!I$6:I$66,1)),0)+付费投放!AL190)</f>
        <v>#DIV/0!</v>
      </c>
      <c r="AR190" s="60" t="e">
        <f>(付费投放!AL190+IFERROR(INDEX(真品获取算法!$C$6:$C$66,MATCH(W190,真品获取算法!I$6:I$66,1)),0)*AN190)/(IFERROR(INDEX(真品获取算法!$C$6:$C$66,MATCH(W190,真品获取算法!I$6:I$66,1)),0)+付费投放!AL190)</f>
        <v>#DIV/0!</v>
      </c>
    </row>
    <row r="191" spans="3:44" x14ac:dyDescent="0.15">
      <c r="C191" s="29">
        <f t="shared" si="43"/>
        <v>75</v>
      </c>
      <c r="D191" s="18">
        <f>求节点(节奏总纲!$H$4:$H$163,节奏总纲!$C$4:$C$163,$C191)</f>
        <v>80.437605572866573</v>
      </c>
      <c r="E191" s="18">
        <f>IFERROR(求节点(前期规划!$G$13:$G$23,前期规划!$B$13:$B$23,D191),0)</f>
        <v>12.887521114573314</v>
      </c>
      <c r="F191" s="63">
        <f>IFERROR(求节点(前期规划!$C$28:$C$35,前期规划!D$28:D$35,$D191),0)</f>
        <v>9</v>
      </c>
      <c r="G191" s="63">
        <f>IFERROR(求节点(前期规划!$C$28:$C$35,前期规划!E$28:E$35,$D191),0)</f>
        <v>9</v>
      </c>
      <c r="H191" s="63">
        <f>IFERROR(求节点(前期规划!$C$28:$C$35,前期规划!F$28:F$35,$D191),0)</f>
        <v>27</v>
      </c>
      <c r="I191" s="63">
        <f>IFERROR(求节点(前期规划!$C$28:$C$35,前期规划!G$28:G$35,$D191),0)</f>
        <v>17.418971703019807</v>
      </c>
      <c r="J191" s="63">
        <f>IFERROR(求节点(前期规划!$C$28:$C$35,前期规划!H$28:H$35,$D191),0)</f>
        <v>3.2625633437199437</v>
      </c>
      <c r="K191" s="63">
        <f>IFERROR(求节点(前期规划!$C$28:$C$35,前期规划!I$28:I$35,$D191),0)</f>
        <v>0</v>
      </c>
      <c r="L191" s="63">
        <f>MIN($E191-SUM(M191:$Q191),F191)</f>
        <v>0</v>
      </c>
      <c r="M191" s="63">
        <f>MIN($E191-SUM(N191:$Q191),G191)</f>
        <v>0</v>
      </c>
      <c r="N191" s="63">
        <f>MIN($E191-SUM(O191:$Q191),H191)</f>
        <v>0</v>
      </c>
      <c r="O191" s="63">
        <f>MIN($E191-SUM(P191:$Q191),I191)</f>
        <v>9.6249577708533707</v>
      </c>
      <c r="P191" s="63">
        <f>MIN($E191-SUM(Q191:$Q191),J191)</f>
        <v>3.2625633437199437</v>
      </c>
      <c r="Q191" s="69">
        <f t="shared" si="41"/>
        <v>0</v>
      </c>
      <c r="R191" s="64">
        <f>活动投放!AC191+付费投放!AA191</f>
        <v>117.5</v>
      </c>
      <c r="S191" s="64">
        <f>活动投放!AD191+付费投放!AB191</f>
        <v>117.5</v>
      </c>
      <c r="T191" s="64">
        <f>活动投放!AE191+付费投放!AC191</f>
        <v>75.599999999999994</v>
      </c>
      <c r="U191" s="64">
        <f>活动投放!AF191+付费投放!AD191</f>
        <v>32.4</v>
      </c>
      <c r="V191" s="64">
        <f>活动投放!AG191+付费投放!AE191</f>
        <v>5.4</v>
      </c>
      <c r="W191" s="64">
        <f>活动投放!AH191+付费投放!AF191</f>
        <v>0.60000000000000009</v>
      </c>
      <c r="X191" s="63">
        <f>MIN(IFERROR(INDEX(真品获取算法!$C$6:$C$66,MATCH(R191,真品获取算法!D$6:D$66,1)),0)+付费投放!AG191,前期规划!D$8)</f>
        <v>9</v>
      </c>
      <c r="Y191" s="63">
        <f>MIN(IFERROR(INDEX(真品获取算法!$C$6:$C$66,MATCH(S191,真品获取算法!E$6:E$66,1)),0)+付费投放!AH191,前期规划!E$8)</f>
        <v>9</v>
      </c>
      <c r="Z191" s="63">
        <f>MIN(IFERROR(INDEX(真品获取算法!$C$6:$C$66,MATCH(T191,真品获取算法!F$6:F$66,1)),0)+付费投放!AI191,前期规划!F$8)</f>
        <v>23</v>
      </c>
      <c r="AA191" s="63">
        <f>MIN(IFERROR(INDEX(真品获取算法!$C$6:$C$66,MATCH(U191,真品获取算法!G$6:G$66,1)),0)+付费投放!AJ191,前期规划!G$8)</f>
        <v>9.4666666666666668</v>
      </c>
      <c r="AB191" s="63">
        <f>MIN(IFERROR(INDEX(真品获取算法!$C$6:$C$66,MATCH(V191,真品获取算法!H$6:H$66,1)),0)+付费投放!AK191,前期规划!H$8)</f>
        <v>4</v>
      </c>
      <c r="AC191" s="63">
        <f>MIN(IFERROR(INDEX(真品获取算法!$C$6:$C$66,MATCH(W191,真品获取算法!I$6:I$66,1)),0)+付费投放!AL191,前期规划!I$8)</f>
        <v>0</v>
      </c>
      <c r="AD191" s="63">
        <f t="shared" si="42"/>
        <v>1</v>
      </c>
      <c r="AE191" s="63">
        <f t="shared" si="36"/>
        <v>1</v>
      </c>
      <c r="AF191" s="63">
        <f t="shared" si="37"/>
        <v>0.85185185185185186</v>
      </c>
      <c r="AG191" s="63">
        <f t="shared" si="38"/>
        <v>0.54346874362425746</v>
      </c>
      <c r="AH191" s="63">
        <f t="shared" si="39"/>
        <v>1.2260298356197548</v>
      </c>
      <c r="AI191" s="63">
        <f t="shared" si="40"/>
        <v>0</v>
      </c>
      <c r="AK191" s="60">
        <f>活动投放!AF191/U191</f>
        <v>0.1851851851851852</v>
      </c>
      <c r="AL191" s="60">
        <f>付费投放!AD191/U191</f>
        <v>0.81481481481481477</v>
      </c>
      <c r="AM191" s="60">
        <f>活动投放!AH191/W191</f>
        <v>1</v>
      </c>
      <c r="AN191" s="60">
        <f>付费投放!AF191/W191</f>
        <v>0</v>
      </c>
      <c r="AO191" s="60">
        <f>IFERROR(INDEX(真品获取算法!$C$6:$C$66,MATCH(U191,真品获取算法!G$6:G$66,1)),0)*AK191/(IFERROR(INDEX(真品获取算法!$C$6:$C$66,MATCH(U191,真品获取算法!G$6:G$66,1)),0)+付费投放!AJ191)</f>
        <v>0.1564945226917058</v>
      </c>
      <c r="AP191" s="60">
        <f>(付费投放!AJ191+IFERROR(INDEX(真品获取算法!$C$6:$C$66,MATCH(U191,真品获取算法!G$6:G$66,1)),0)*AL191)/(IFERROR(INDEX(真品获取算法!$C$6:$C$66,MATCH(U191,真品获取算法!G$6:G$66,1)),0)+付费投放!AJ191)</f>
        <v>0.84350547730829417</v>
      </c>
      <c r="AQ191" s="60" t="e">
        <f>IFERROR(INDEX(真品获取算法!$C$6:$C$66,MATCH(W191,真品获取算法!I$6:I$66,1)),0)*AM191/(IFERROR(INDEX(真品获取算法!$C$6:$C$66,MATCH(W191,真品获取算法!I$6:I$66,1)),0)+付费投放!AL191)</f>
        <v>#DIV/0!</v>
      </c>
      <c r="AR191" s="60" t="e">
        <f>(付费投放!AL191+IFERROR(INDEX(真品获取算法!$C$6:$C$66,MATCH(W191,真品获取算法!I$6:I$66,1)),0)*AN191)/(IFERROR(INDEX(真品获取算法!$C$6:$C$66,MATCH(W191,真品获取算法!I$6:I$66,1)),0)+付费投放!AL191)</f>
        <v>#DIV/0!</v>
      </c>
    </row>
    <row r="192" spans="3:44" x14ac:dyDescent="0.15">
      <c r="C192" s="29">
        <f t="shared" si="43"/>
        <v>90</v>
      </c>
      <c r="D192" s="18">
        <f>求节点(节奏总纲!$H$4:$H$163,节奏总纲!$C$4:$C$163,$C192)</f>
        <v>83.124894550960335</v>
      </c>
      <c r="E192" s="18">
        <f>IFERROR(求节点(前期规划!$G$13:$G$23,前期规划!$B$13:$B$23,D192),0)</f>
        <v>13.424978910192067</v>
      </c>
      <c r="F192" s="63">
        <f>IFERROR(求节点(前期规划!$C$28:$C$35,前期规划!D$28:D$35,$D192),0)</f>
        <v>9</v>
      </c>
      <c r="G192" s="63">
        <f>IFERROR(求节点(前期规划!$C$28:$C$35,前期规划!E$28:E$35,$D192),0)</f>
        <v>9</v>
      </c>
      <c r="H192" s="63">
        <f>IFERROR(求节点(前期规划!$C$28:$C$35,前期规划!F$28:F$35,$D192),0)</f>
        <v>27</v>
      </c>
      <c r="I192" s="63">
        <f>IFERROR(求节点(前期规划!$C$28:$C$35,前期规划!G$28:G$35,$D192),0)</f>
        <v>23.062278557016704</v>
      </c>
      <c r="J192" s="63">
        <f>IFERROR(求节点(前期规划!$C$28:$C$35,前期规划!H$28:H$35,$D192),0)</f>
        <v>4.8749367305762004</v>
      </c>
      <c r="K192" s="63">
        <f>IFERROR(求节点(前期规划!$C$28:$C$35,前期规划!I$28:I$35,$D192),0)</f>
        <v>0</v>
      </c>
      <c r="L192" s="63">
        <f>MIN($E192-SUM(M192:$Q192),F192)</f>
        <v>0</v>
      </c>
      <c r="M192" s="63">
        <f>MIN($E192-SUM(N192:$Q192),G192)</f>
        <v>0</v>
      </c>
      <c r="N192" s="63">
        <f>MIN($E192-SUM(O192:$Q192),H192)</f>
        <v>0</v>
      </c>
      <c r="O192" s="63">
        <f>MIN($E192-SUM(P192:$Q192),I192)</f>
        <v>8.5500421796158665</v>
      </c>
      <c r="P192" s="63">
        <f>MIN($E192-SUM(Q192:$Q192),J192)</f>
        <v>4.8749367305762004</v>
      </c>
      <c r="Q192" s="69">
        <f t="shared" si="41"/>
        <v>0</v>
      </c>
      <c r="R192" s="64">
        <f>活动投放!AC192+付费投放!AA192</f>
        <v>121.5</v>
      </c>
      <c r="S192" s="64">
        <f>活动投放!AD192+付费投放!AB192</f>
        <v>121.5</v>
      </c>
      <c r="T192" s="64">
        <f>活动投放!AE192+付费投放!AC192</f>
        <v>103.6</v>
      </c>
      <c r="U192" s="64">
        <f>活动投放!AF192+付费投放!AD192</f>
        <v>44.4</v>
      </c>
      <c r="V192" s="64">
        <f>活动投放!AG192+付费投放!AE192</f>
        <v>19.8</v>
      </c>
      <c r="W192" s="64">
        <f>活动投放!AH192+付费投放!AF192</f>
        <v>2.2000000000000002</v>
      </c>
      <c r="X192" s="63">
        <f>MIN(IFERROR(INDEX(真品获取算法!$C$6:$C$66,MATCH(R192,真品获取算法!D$6:D$66,1)),0)+付费投放!AG192,前期规划!D$8)</f>
        <v>9</v>
      </c>
      <c r="Y192" s="63">
        <f>MIN(IFERROR(INDEX(真品获取算法!$C$6:$C$66,MATCH(S192,真品获取算法!E$6:E$66,1)),0)+付费投放!AH192,前期规划!E$8)</f>
        <v>9</v>
      </c>
      <c r="Z192" s="63">
        <f>MIN(IFERROR(INDEX(真品获取算法!$C$6:$C$66,MATCH(T192,真品获取算法!F$6:F$66,1)),0)+付费投放!AI192,前期规划!F$8)</f>
        <v>25</v>
      </c>
      <c r="AA192" s="63">
        <f>MIN(IFERROR(INDEX(真品获取算法!$C$6:$C$66,MATCH(U192,真品获取算法!G$6:G$66,1)),0)+付费投放!AJ192,前期规划!G$8)</f>
        <v>11.5</v>
      </c>
      <c r="AB192" s="63">
        <f>MIN(IFERROR(INDEX(真品获取算法!$C$6:$C$66,MATCH(V192,真品获取算法!H$6:H$66,1)),0)+付费投放!AK192,前期规划!H$8)</f>
        <v>15</v>
      </c>
      <c r="AC192" s="63">
        <f>MIN(IFERROR(INDEX(真品获取算法!$C$6:$C$66,MATCH(W192,真品获取算法!I$6:I$66,1)),0)+付费投放!AL192,前期规划!I$8)</f>
        <v>0.22</v>
      </c>
      <c r="AD192" s="63">
        <f t="shared" si="42"/>
        <v>1</v>
      </c>
      <c r="AE192" s="63">
        <f t="shared" si="36"/>
        <v>1</v>
      </c>
      <c r="AF192" s="63">
        <f t="shared" si="37"/>
        <v>0.92592592592592593</v>
      </c>
      <c r="AG192" s="63">
        <f t="shared" si="38"/>
        <v>0.49864977441706959</v>
      </c>
      <c r="AH192" s="63">
        <f t="shared" si="39"/>
        <v>3.0769630108054864</v>
      </c>
      <c r="AI192" s="63">
        <f t="shared" si="40"/>
        <v>0</v>
      </c>
      <c r="AK192" s="60">
        <f>活动投放!AF192/U192</f>
        <v>0.16891891891891891</v>
      </c>
      <c r="AL192" s="60">
        <f>付费投放!AD192/U192</f>
        <v>0.83108108108108103</v>
      </c>
      <c r="AM192" s="60">
        <f>活动投放!AH192/W192</f>
        <v>0.5</v>
      </c>
      <c r="AN192" s="60">
        <f>付费投放!AF192/W192</f>
        <v>0.5</v>
      </c>
      <c r="AO192" s="60">
        <f>IFERROR(INDEX(真品获取算法!$C$6:$C$66,MATCH(U192,真品获取算法!G$6:G$66,1)),0)*AK192/(IFERROR(INDEX(真品获取算法!$C$6:$C$66,MATCH(U192,真品获取算法!G$6:G$66,1)),0)+付费投放!AJ192)</f>
        <v>0.14688601645123384</v>
      </c>
      <c r="AP192" s="60">
        <f>(付费投放!AJ192+IFERROR(INDEX(真品获取算法!$C$6:$C$66,MATCH(U192,真品获取算法!G$6:G$66,1)),0)*AL192)/(IFERROR(INDEX(真品获取算法!$C$6:$C$66,MATCH(U192,真品获取算法!G$6:G$66,1)),0)+付费投放!AJ192)</f>
        <v>0.85311398354876611</v>
      </c>
      <c r="AQ192" s="60">
        <f>IFERROR(INDEX(真品获取算法!$C$6:$C$66,MATCH(W192,真品获取算法!I$6:I$66,1)),0)*AM192/(IFERROR(INDEX(真品获取算法!$C$6:$C$66,MATCH(W192,真品获取算法!I$6:I$66,1)),0)+付费投放!AL192)</f>
        <v>0</v>
      </c>
      <c r="AR192" s="60">
        <f>(付费投放!AL192+IFERROR(INDEX(真品获取算法!$C$6:$C$66,MATCH(W192,真品获取算法!I$6:I$66,1)),0)*AN192)/(IFERROR(INDEX(真品获取算法!$C$6:$C$66,MATCH(W192,真品获取算法!I$6:I$66,1)),0)+付费投放!AL192)</f>
        <v>1</v>
      </c>
    </row>
    <row r="193" spans="3:44" x14ac:dyDescent="0.15">
      <c r="C193" s="29">
        <f t="shared" si="43"/>
        <v>105</v>
      </c>
      <c r="D193" s="18">
        <f>求节点(节奏总纲!$H$4:$H$163,节奏总纲!$C$4:$C$163,$C193)</f>
        <v>85.384431166588271</v>
      </c>
      <c r="E193" s="18">
        <f>IFERROR(求节点(前期规划!$G$13:$G$23,前期规划!$B$13:$B$23,D193),0)</f>
        <v>13.876886233317654</v>
      </c>
      <c r="F193" s="63">
        <f>IFERROR(求节点(前期规划!$C$28:$C$35,前期规划!D$28:D$35,$D193),0)</f>
        <v>9</v>
      </c>
      <c r="G193" s="63">
        <f>IFERROR(求节点(前期规划!$C$28:$C$35,前期规划!E$28:E$35,$D193),0)</f>
        <v>9</v>
      </c>
      <c r="H193" s="63">
        <f>IFERROR(求节点(前期规划!$C$28:$C$35,前期规划!F$28:F$35,$D193),0)</f>
        <v>27</v>
      </c>
      <c r="I193" s="63">
        <f>IFERROR(求节点(前期规划!$C$28:$C$35,前期规划!G$28:G$35,$D193),0)</f>
        <v>27</v>
      </c>
      <c r="J193" s="63">
        <f>IFERROR(求节点(前期规划!$C$28:$C$35,前期规划!H$28:H$35,$D193),0)</f>
        <v>8.075928299576665</v>
      </c>
      <c r="K193" s="63">
        <f>IFERROR(求节点(前期规划!$C$28:$C$35,前期规划!I$28:I$35,$D193),0)</f>
        <v>0.11532934997648141</v>
      </c>
      <c r="L193" s="63">
        <f>MIN($E193-SUM(M193:$Q193),F193)</f>
        <v>0</v>
      </c>
      <c r="M193" s="63">
        <f>MIN($E193-SUM(N193:$Q193),G193)</f>
        <v>0</v>
      </c>
      <c r="N193" s="63">
        <f>MIN($E193-SUM(O193:$Q193),H193)</f>
        <v>0</v>
      </c>
      <c r="O193" s="63">
        <f>MIN($E193-SUM(P193:$Q193),I193)</f>
        <v>5.6856285837645082</v>
      </c>
      <c r="P193" s="63">
        <f>MIN($E193-SUM(Q193:$Q193),J193)</f>
        <v>8.075928299576665</v>
      </c>
      <c r="Q193" s="69">
        <f t="shared" si="41"/>
        <v>0.11532934997648141</v>
      </c>
      <c r="R193" s="64">
        <f>活动投放!AC193+付费投放!AA193</f>
        <v>125.5</v>
      </c>
      <c r="S193" s="64">
        <f>活动投放!AD193+付费投放!AB193</f>
        <v>125.5</v>
      </c>
      <c r="T193" s="64">
        <f>活动投放!AE193+付费投放!AC193</f>
        <v>131.6</v>
      </c>
      <c r="U193" s="64">
        <f>活动投放!AF193+付费投放!AD193</f>
        <v>56.4</v>
      </c>
      <c r="V193" s="64">
        <f>活动投放!AG193+付费投放!AE193</f>
        <v>35.1</v>
      </c>
      <c r="W193" s="64">
        <f>活动投放!AH193+付费投放!AF193</f>
        <v>3.9000000000000004</v>
      </c>
      <c r="X193" s="63">
        <f>MIN(IFERROR(INDEX(真品获取算法!$C$6:$C$66,MATCH(R193,真品获取算法!D$6:D$66,1)),0)+付费投放!AG193,前期规划!D$8)</f>
        <v>9</v>
      </c>
      <c r="Y193" s="63">
        <f>MIN(IFERROR(INDEX(真品获取算法!$C$6:$C$66,MATCH(S193,真品获取算法!E$6:E$66,1)),0)+付费投放!AH193,前期规划!E$8)</f>
        <v>9</v>
      </c>
      <c r="Z193" s="63">
        <f>MIN(IFERROR(INDEX(真品获取算法!$C$6:$C$66,MATCH(T193,真品获取算法!F$6:F$66,1)),0)+付费投放!AI193,前期规划!F$8)</f>
        <v>26</v>
      </c>
      <c r="AA193" s="63">
        <f>MIN(IFERROR(INDEX(真品获取算法!$C$6:$C$66,MATCH(U193,真品获取算法!G$6:G$66,1)),0)+付费投放!AJ193,前期规划!G$8)</f>
        <v>13.533333333333333</v>
      </c>
      <c r="AB193" s="63">
        <f>MIN(IFERROR(INDEX(真品获取算法!$C$6:$C$66,MATCH(V193,真品获取算法!H$6:H$66,1)),0)+付费投放!AK193,前期规划!H$8)</f>
        <v>24</v>
      </c>
      <c r="AC193" s="63">
        <f>MIN(IFERROR(INDEX(真品获取算法!$C$6:$C$66,MATCH(W193,真品获取算法!I$6:I$66,1)),0)+付费投放!AL193,前期规划!I$8)</f>
        <v>0.44</v>
      </c>
      <c r="AD193" s="63">
        <f t="shared" si="42"/>
        <v>1</v>
      </c>
      <c r="AE193" s="63">
        <f t="shared" si="36"/>
        <v>1</v>
      </c>
      <c r="AF193" s="63">
        <f t="shared" si="37"/>
        <v>0.96296296296296291</v>
      </c>
      <c r="AG193" s="63">
        <f t="shared" si="38"/>
        <v>0.50123456790123455</v>
      </c>
      <c r="AH193" s="63">
        <f t="shared" si="39"/>
        <v>2.9717945862964217</v>
      </c>
      <c r="AI193" s="63">
        <f t="shared" si="40"/>
        <v>3.8151606688993498</v>
      </c>
      <c r="AK193" s="60">
        <f>活动投放!AF193/U193</f>
        <v>0.15957446808510639</v>
      </c>
      <c r="AL193" s="60">
        <f>付费投放!AD193/U193</f>
        <v>0.84042553191489366</v>
      </c>
      <c r="AM193" s="60">
        <f>活动投放!AH193/W193</f>
        <v>0.4358974358974359</v>
      </c>
      <c r="AN193" s="60">
        <f>付费投放!AF193/W193</f>
        <v>0.5641025641025641</v>
      </c>
      <c r="AO193" s="60">
        <f>IFERROR(INDEX(真品获取算法!$C$6:$C$66,MATCH(U193,真品获取算法!G$6:G$66,1)),0)*AK193/(IFERROR(INDEX(真品获取算法!$C$6:$C$66,MATCH(U193,真品获取算法!G$6:G$66,1)),0)+付费投放!AJ193)</f>
        <v>0.14149460224295149</v>
      </c>
      <c r="AP193" s="60">
        <f>(付费投放!AJ193+IFERROR(INDEX(真品获取算法!$C$6:$C$66,MATCH(U193,真品获取算法!G$6:G$66,1)),0)*AL193)/(IFERROR(INDEX(真品获取算法!$C$6:$C$66,MATCH(U193,真品获取算法!G$6:G$66,1)),0)+付费投放!AJ193)</f>
        <v>0.85850539775704859</v>
      </c>
      <c r="AQ193" s="60">
        <f>IFERROR(INDEX(真品获取算法!$C$6:$C$66,MATCH(W193,真品获取算法!I$6:I$66,1)),0)*AM193/(IFERROR(INDEX(真品获取算法!$C$6:$C$66,MATCH(W193,真品获取算法!I$6:I$66,1)),0)+付费投放!AL193)</f>
        <v>0</v>
      </c>
      <c r="AR193" s="60">
        <f>(付费投放!AL193+IFERROR(INDEX(真品获取算法!$C$6:$C$66,MATCH(W193,真品获取算法!I$6:I$66,1)),0)*AN193)/(IFERROR(INDEX(真品获取算法!$C$6:$C$66,MATCH(W193,真品获取算法!I$6:I$66,1)),0)+付费投放!AL193)</f>
        <v>1</v>
      </c>
    </row>
    <row r="194" spans="3:44" x14ac:dyDescent="0.15">
      <c r="C194" s="29">
        <f t="shared" si="43"/>
        <v>120</v>
      </c>
      <c r="D194" s="18">
        <f>求节点(节奏总纲!$H$4:$H$163,节奏总纲!$C$4:$C$163,$C194)</f>
        <v>87.571414295961461</v>
      </c>
      <c r="E194" s="18">
        <f>IFERROR(求节点(前期规划!$G$13:$G$23,前期规划!$B$13:$B$23,D194),0)</f>
        <v>14.285711690174811</v>
      </c>
      <c r="F194" s="63">
        <f>IFERROR(求节点(前期规划!$C$28:$C$35,前期规划!D$28:D$35,$D194),0)</f>
        <v>9</v>
      </c>
      <c r="G194" s="63">
        <f>IFERROR(求节点(前期规划!$C$28:$C$35,前期规划!E$28:E$35,$D194),0)</f>
        <v>9</v>
      </c>
      <c r="H194" s="63">
        <f>IFERROR(求节点(前期规划!$C$28:$C$35,前期规划!F$28:F$35,$D194),0)</f>
        <v>27</v>
      </c>
      <c r="I194" s="63">
        <f>IFERROR(求节点(前期规划!$C$28:$C$35,前期规划!G$28:G$35,$D194),0)</f>
        <v>27</v>
      </c>
      <c r="J194" s="63">
        <f>IFERROR(求节点(前期规划!$C$28:$C$35,前期规划!H$28:H$35,$D194),0)</f>
        <v>19.885637198191887</v>
      </c>
      <c r="K194" s="63">
        <f>IFERROR(求节点(前期规划!$C$28:$C$35,前期规划!I$28:I$35,$D194),0)</f>
        <v>0.77142428878843816</v>
      </c>
      <c r="L194" s="63">
        <f>MIN($E194-SUM(M194:$Q194),F194)</f>
        <v>0</v>
      </c>
      <c r="M194" s="63">
        <f>MIN($E194-SUM(N194:$Q194),G194)</f>
        <v>0</v>
      </c>
      <c r="N194" s="63">
        <f>MIN($E194-SUM(O194:$Q194),H194)</f>
        <v>0</v>
      </c>
      <c r="O194" s="63">
        <f>MIN($E194-SUM(P194:$Q194),I194)</f>
        <v>0</v>
      </c>
      <c r="P194" s="63">
        <f>MIN($E194-SUM(Q194:$Q194),J194)</f>
        <v>13.514287401386373</v>
      </c>
      <c r="Q194" s="69">
        <f t="shared" si="41"/>
        <v>0.77142428878843816</v>
      </c>
      <c r="R194" s="64">
        <f>活动投放!AC194+付费投放!AA194</f>
        <v>129.5</v>
      </c>
      <c r="S194" s="64">
        <f>活动投放!AD194+付费投放!AB194</f>
        <v>129.5</v>
      </c>
      <c r="T194" s="64">
        <f>活动投放!AE194+付费投放!AC194</f>
        <v>159.6</v>
      </c>
      <c r="U194" s="64">
        <f>活动投放!AF194+付费投放!AD194</f>
        <v>68.400000000000006</v>
      </c>
      <c r="V194" s="64">
        <f>活动投放!AG194+付费投放!AE194</f>
        <v>51.300000000000004</v>
      </c>
      <c r="W194" s="64">
        <f>活动投放!AH194+付费投放!AF194</f>
        <v>5.7000000000000011</v>
      </c>
      <c r="X194" s="63">
        <f>MIN(IFERROR(INDEX(真品获取算法!$C$6:$C$66,MATCH(R194,真品获取算法!D$6:D$66,1)),0)+付费投放!AG194,前期规划!D$8)</f>
        <v>9</v>
      </c>
      <c r="Y194" s="63">
        <f>MIN(IFERROR(INDEX(真品获取算法!$C$6:$C$66,MATCH(S194,真品获取算法!E$6:E$66,1)),0)+付费投放!AH194,前期规划!E$8)</f>
        <v>9</v>
      </c>
      <c r="Z194" s="63">
        <f>MIN(IFERROR(INDEX(真品获取算法!$C$6:$C$66,MATCH(T194,真品获取算法!F$6:F$66,1)),0)+付费投放!AI194,前期规划!F$8)</f>
        <v>27</v>
      </c>
      <c r="AA194" s="63">
        <f>MIN(IFERROR(INDEX(真品获取算法!$C$6:$C$66,MATCH(U194,真品获取算法!G$6:G$66,1)),0)+付费投放!AJ194,前期规划!G$8)</f>
        <v>15.566666666666666</v>
      </c>
      <c r="AB194" s="63">
        <f>MIN(IFERROR(INDEX(真品获取算法!$C$6:$C$66,MATCH(V194,真品获取算法!H$6:H$66,1)),0)+付费投放!AK194,前期规划!H$8)</f>
        <v>32</v>
      </c>
      <c r="AC194" s="63">
        <f>MIN(IFERROR(INDEX(真品获取算法!$C$6:$C$66,MATCH(W194,真品获取算法!I$6:I$66,1)),0)+付费投放!AL194,前期规划!I$8)</f>
        <v>0.66</v>
      </c>
      <c r="AD194" s="63">
        <f t="shared" si="42"/>
        <v>1</v>
      </c>
      <c r="AE194" s="63">
        <f t="shared" si="36"/>
        <v>1</v>
      </c>
      <c r="AF194" s="63">
        <f t="shared" si="37"/>
        <v>1</v>
      </c>
      <c r="AG194" s="63">
        <f t="shared" si="38"/>
        <v>0.57654320987654317</v>
      </c>
      <c r="AH194" s="63">
        <f t="shared" si="39"/>
        <v>1.6092016404135956</v>
      </c>
      <c r="AI194" s="63">
        <f t="shared" si="40"/>
        <v>0.85556030525894411</v>
      </c>
      <c r="AK194" s="60">
        <f>活动投放!AF194/U194</f>
        <v>0.15350877192982454</v>
      </c>
      <c r="AL194" s="60">
        <f>付费投放!AD194/U194</f>
        <v>0.84649122807017529</v>
      </c>
      <c r="AM194" s="60">
        <f>活动投放!AH194/W194</f>
        <v>0.42105263157894735</v>
      </c>
      <c r="AN194" s="60">
        <f>付费投放!AF194/W194</f>
        <v>0.57894736842105254</v>
      </c>
      <c r="AO194" s="60">
        <f>IFERROR(INDEX(真品获取算法!$C$6:$C$66,MATCH(U194,真品获取算法!G$6:G$66,1)),0)*AK194/(IFERROR(INDEX(真品获取算法!$C$6:$C$66,MATCH(U194,真品获取算法!G$6:G$66,1)),0)+付费投放!AJ194)</f>
        <v>0.13805928096472445</v>
      </c>
      <c r="AP194" s="60">
        <f>(付费投放!AJ194+IFERROR(INDEX(真品获取算法!$C$6:$C$66,MATCH(U194,真品获取算法!G$6:G$66,1)),0)*AL194)/(IFERROR(INDEX(真品获取算法!$C$6:$C$66,MATCH(U194,真品获取算法!G$6:G$66,1)),0)+付费投放!AJ194)</f>
        <v>0.86194071903527536</v>
      </c>
      <c r="AQ194" s="60">
        <f>IFERROR(INDEX(真品获取算法!$C$6:$C$66,MATCH(W194,真品获取算法!I$6:I$66,1)),0)*AM194/(IFERROR(INDEX(真品获取算法!$C$6:$C$66,MATCH(W194,真品获取算法!I$6:I$66,1)),0)+付费投放!AL194)</f>
        <v>0</v>
      </c>
      <c r="AR194" s="60">
        <f>(付费投放!AL194+IFERROR(INDEX(真品获取算法!$C$6:$C$66,MATCH(W194,真品获取算法!I$6:I$66,1)),0)*AN194)/(IFERROR(INDEX(真品获取算法!$C$6:$C$66,MATCH(W194,真品获取算法!I$6:I$66,1)),0)+付费投放!AL194)</f>
        <v>1</v>
      </c>
    </row>
    <row r="195" spans="3:44" x14ac:dyDescent="0.15">
      <c r="C195" s="29">
        <f t="shared" si="43"/>
        <v>150</v>
      </c>
      <c r="D195" s="18">
        <f>求节点(节奏总纲!$H$4:$H$163,节奏总纲!$C$4:$C$163,$C195)</f>
        <v>91.216133577135096</v>
      </c>
      <c r="E195" s="18">
        <f>IFERROR(求节点(前期规划!$G$13:$G$23,前期规划!$B$13:$B$23,D195),0)</f>
        <v>14.948387923115472</v>
      </c>
      <c r="F195" s="63">
        <f>IFERROR(求节点(前期规划!$C$28:$C$35,前期规划!D$28:D$35,$D195),0)</f>
        <v>9</v>
      </c>
      <c r="G195" s="63">
        <f>IFERROR(求节点(前期规划!$C$28:$C$35,前期规划!E$28:E$35,$D195),0)</f>
        <v>9</v>
      </c>
      <c r="H195" s="63">
        <f>IFERROR(求节点(前期规划!$C$28:$C$35,前期规划!F$28:F$35,$D195),0)</f>
        <v>27</v>
      </c>
      <c r="I195" s="63">
        <f>IFERROR(求节点(前期规划!$C$28:$C$35,前期规划!G$28:G$35,$D195),0)</f>
        <v>27</v>
      </c>
      <c r="J195" s="63">
        <f>IFERROR(求节点(前期规划!$C$28:$C$35,前期规划!H$28:H$35,$D195),0)</f>
        <v>39.567121316529523</v>
      </c>
      <c r="K195" s="63">
        <f>IFERROR(求节点(前期规划!$C$28:$C$35,前期规划!I$28:I$35,$D195),0)</f>
        <v>1.8648400731405288</v>
      </c>
      <c r="L195" s="63">
        <f>MIN($E195-SUM(M195:$Q195),F195)</f>
        <v>0</v>
      </c>
      <c r="M195" s="63">
        <f>MIN($E195-SUM(N195:$Q195),G195)</f>
        <v>0</v>
      </c>
      <c r="N195" s="63">
        <f>MIN($E195-SUM(O195:$Q195),H195)</f>
        <v>0</v>
      </c>
      <c r="O195" s="63">
        <f>MIN($E195-SUM(P195:$Q195),I195)</f>
        <v>0</v>
      </c>
      <c r="P195" s="63">
        <f>MIN($E195-SUM(Q195:$Q195),J195)</f>
        <v>13.083547849974943</v>
      </c>
      <c r="Q195" s="69">
        <f t="shared" si="41"/>
        <v>1.8648400731405288</v>
      </c>
      <c r="R195" s="64">
        <f>活动投放!AC195+付费投放!AA195</f>
        <v>137.5</v>
      </c>
      <c r="S195" s="64">
        <f>活动投放!AD195+付费投放!AB195</f>
        <v>137.5</v>
      </c>
      <c r="T195" s="64">
        <f>活动投放!AE195+付费投放!AC195</f>
        <v>215.59999999999997</v>
      </c>
      <c r="U195" s="64">
        <f>活动投放!AF195+付费投放!AD195</f>
        <v>92.399999999999991</v>
      </c>
      <c r="V195" s="64">
        <f>活动投放!AG195+付费投放!AE195</f>
        <v>87.300000000000011</v>
      </c>
      <c r="W195" s="64">
        <f>活动投放!AH195+付费投放!AF195</f>
        <v>9.6999999999999993</v>
      </c>
      <c r="X195" s="63">
        <f>MIN(IFERROR(INDEX(真品获取算法!$C$6:$C$66,MATCH(R195,真品获取算法!D$6:D$66,1)),0)+付费投放!AG195,前期规划!D$8)</f>
        <v>9</v>
      </c>
      <c r="Y195" s="63">
        <f>MIN(IFERROR(INDEX(真品获取算法!$C$6:$C$66,MATCH(S195,真品获取算法!E$6:E$66,1)),0)+付费投放!AH195,前期规划!E$8)</f>
        <v>9</v>
      </c>
      <c r="Z195" s="63">
        <f>MIN(IFERROR(INDEX(真品获取算法!$C$6:$C$66,MATCH(T195,真品获取算法!F$6:F$66,1)),0)+付费投放!AI195,前期规划!F$8)</f>
        <v>27</v>
      </c>
      <c r="AA195" s="63">
        <f>MIN(IFERROR(INDEX(真品获取算法!$C$6:$C$66,MATCH(U195,真品获取算法!G$6:G$66,1)),0)+付费投放!AJ195,前期规划!G$8)</f>
        <v>18.633333333333333</v>
      </c>
      <c r="AB195" s="63">
        <f>MIN(IFERROR(INDEX(真品获取算法!$C$6:$C$66,MATCH(V195,真品获取算法!H$6:H$66,1)),0)+付费投放!AK195,前期规划!H$8)</f>
        <v>44</v>
      </c>
      <c r="AC195" s="63">
        <f>MIN(IFERROR(INDEX(真品获取算法!$C$6:$C$66,MATCH(W195,真品获取算法!I$6:I$66,1)),0)+付费投放!AL195,前期规划!I$8)</f>
        <v>1.1000000000000001</v>
      </c>
      <c r="AD195" s="63">
        <f t="shared" si="42"/>
        <v>1</v>
      </c>
      <c r="AE195" s="63">
        <f t="shared" si="36"/>
        <v>1</v>
      </c>
      <c r="AF195" s="63">
        <f t="shared" si="37"/>
        <v>1</v>
      </c>
      <c r="AG195" s="63">
        <f t="shared" si="38"/>
        <v>0.69012345679012344</v>
      </c>
      <c r="AH195" s="63">
        <f t="shared" si="39"/>
        <v>1.1120343996726041</v>
      </c>
      <c r="AI195" s="63">
        <f t="shared" si="40"/>
        <v>0.58986291416803294</v>
      </c>
      <c r="AK195" s="60">
        <f>活动投放!AF195/U195</f>
        <v>0.14610389610389612</v>
      </c>
      <c r="AL195" s="60">
        <f>付费投放!AD195/U195</f>
        <v>0.85389610389610393</v>
      </c>
      <c r="AM195" s="60">
        <f>活动投放!AH195/W195</f>
        <v>0.43298969072164956</v>
      </c>
      <c r="AN195" s="60">
        <f>付费投放!AF195/W195</f>
        <v>0.56701030927835061</v>
      </c>
      <c r="AO195" s="60">
        <f>IFERROR(INDEX(真品获取算法!$C$6:$C$66,MATCH(U195,真品获取算法!G$6:G$66,1)),0)*AK195/(IFERROR(INDEX(真品获取算法!$C$6:$C$66,MATCH(U195,真品获取算法!G$6:G$66,1)),0)+付费投放!AJ195)</f>
        <v>0.13329693562251704</v>
      </c>
      <c r="AP195" s="60">
        <f>(付费投放!AJ195+IFERROR(INDEX(真品获取算法!$C$6:$C$66,MATCH(U195,真品获取算法!G$6:G$66,1)),0)*AL195)/(IFERROR(INDEX(真品获取算法!$C$6:$C$66,MATCH(U195,真品获取算法!G$6:G$66,1)),0)+付费投放!AJ195)</f>
        <v>0.86670306437748301</v>
      </c>
      <c r="AQ195" s="60">
        <f>IFERROR(INDEX(真品获取算法!$C$6:$C$66,MATCH(W195,真品获取算法!I$6:I$66,1)),0)*AM195/(IFERROR(INDEX(真品获取算法!$C$6:$C$66,MATCH(W195,真品获取算法!I$6:I$66,1)),0)+付费投放!AL195)</f>
        <v>0</v>
      </c>
      <c r="AR195" s="60">
        <f>(付费投放!AL195+IFERROR(INDEX(真品获取算法!$C$6:$C$66,MATCH(W195,真品获取算法!I$6:I$66,1)),0)*AN195)/(IFERROR(INDEX(真品获取算法!$C$6:$C$66,MATCH(W195,真品获取算法!I$6:I$66,1)),0)+付费投放!AL195)</f>
        <v>1</v>
      </c>
    </row>
    <row r="196" spans="3:44" x14ac:dyDescent="0.15">
      <c r="C196" s="29">
        <f t="shared" si="43"/>
        <v>180</v>
      </c>
      <c r="D196" s="18">
        <f>求节点(节奏总纲!$H$4:$H$163,节奏总纲!$C$4:$C$163,$C196)</f>
        <v>94.027056817114342</v>
      </c>
      <c r="E196" s="18">
        <f>IFERROR(求节点(前期规划!$G$13:$G$23,前期规划!$B$13:$B$23,D196),0)</f>
        <v>15.459464875838972</v>
      </c>
      <c r="F196" s="63">
        <f>IFERROR(求节点(前期规划!$C$28:$C$35,前期规划!D$28:D$35,$D196),0)</f>
        <v>9</v>
      </c>
      <c r="G196" s="63">
        <f>IFERROR(求节点(前期规划!$C$28:$C$35,前期规划!E$28:E$35,$D196),0)</f>
        <v>9</v>
      </c>
      <c r="H196" s="63">
        <f>IFERROR(求节点(前期规划!$C$28:$C$35,前期规划!F$28:F$35,$D196),0)</f>
        <v>27</v>
      </c>
      <c r="I196" s="63">
        <f>IFERROR(求节点(前期规划!$C$28:$C$35,前期规划!G$28:G$35,$D196),0)</f>
        <v>27</v>
      </c>
      <c r="J196" s="63">
        <f>IFERROR(求节点(前期规划!$C$28:$C$35,前期规划!H$28:H$35,$D196),0)</f>
        <v>54.746106812417452</v>
      </c>
      <c r="K196" s="63">
        <f>IFERROR(求节点(前期规划!$C$28:$C$35,前期规划!I$28:I$35,$D196),0)</f>
        <v>2.7081170451343026</v>
      </c>
      <c r="L196" s="63">
        <f>MIN($E196-SUM(M196:$Q196),F196)</f>
        <v>0</v>
      </c>
      <c r="M196" s="63">
        <f>MIN($E196-SUM(N196:$Q196),G196)</f>
        <v>0</v>
      </c>
      <c r="N196" s="63">
        <f>MIN($E196-SUM(O196:$Q196),H196)</f>
        <v>0</v>
      </c>
      <c r="O196" s="63">
        <f>MIN($E196-SUM(P196:$Q196),I196)</f>
        <v>0</v>
      </c>
      <c r="P196" s="63">
        <f>MIN($E196-SUM(Q196:$Q196),J196)</f>
        <v>12.751347830704669</v>
      </c>
      <c r="Q196" s="69">
        <f t="shared" si="41"/>
        <v>2.7081170451343026</v>
      </c>
      <c r="R196" s="64">
        <f>活动投放!AC196+付费投放!AA196</f>
        <v>145.5</v>
      </c>
      <c r="S196" s="64">
        <f>活动投放!AD196+付费投放!AB196</f>
        <v>145.5</v>
      </c>
      <c r="T196" s="64">
        <f>活动投放!AE196+付费投放!AC196</f>
        <v>271.59999999999997</v>
      </c>
      <c r="U196" s="64">
        <f>活动投放!AF196+付费投放!AD196</f>
        <v>116.39999999999999</v>
      </c>
      <c r="V196" s="64">
        <f>活动投放!AG196+付费投放!AE196</f>
        <v>125.1</v>
      </c>
      <c r="W196" s="64">
        <f>活动投放!AH196+付费投放!AF196</f>
        <v>13.9</v>
      </c>
      <c r="X196" s="63">
        <f>MIN(IFERROR(INDEX(真品获取算法!$C$6:$C$66,MATCH(R196,真品获取算法!D$6:D$66,1)),0)+付费投放!AG196,前期规划!D$8)</f>
        <v>9</v>
      </c>
      <c r="Y196" s="63">
        <f>MIN(IFERROR(INDEX(真品获取算法!$C$6:$C$66,MATCH(S196,真品获取算法!E$6:E$66,1)),0)+付费投放!AH196,前期规划!E$8)</f>
        <v>9</v>
      </c>
      <c r="Z196" s="63">
        <f>MIN(IFERROR(INDEX(真品获取算法!$C$6:$C$66,MATCH(T196,真品获取算法!F$6:F$66,1)),0)+付费投放!AI196,前期规划!F$8)</f>
        <v>27</v>
      </c>
      <c r="AA196" s="63">
        <f>MIN(IFERROR(INDEX(真品获取算法!$C$6:$C$66,MATCH(U196,真品获取算法!G$6:G$66,1)),0)+付费投放!AJ196,前期规划!G$8)</f>
        <v>20.7</v>
      </c>
      <c r="AB196" s="63">
        <f>MIN(IFERROR(INDEX(真品获取算法!$C$6:$C$66,MATCH(V196,真品获取算法!H$6:H$66,1)),0)+付费投放!AK196,前期规划!H$8)</f>
        <v>51</v>
      </c>
      <c r="AC196" s="63">
        <f>MIN(IFERROR(INDEX(真品获取算法!$C$6:$C$66,MATCH(W196,真品获取算法!I$6:I$66,1)),0)+付费投放!AL196,前期规划!I$8)</f>
        <v>2.54</v>
      </c>
      <c r="AD196" s="63">
        <f t="shared" si="42"/>
        <v>1</v>
      </c>
      <c r="AE196" s="63">
        <f t="shared" si="36"/>
        <v>1</v>
      </c>
      <c r="AF196" s="63">
        <f t="shared" si="37"/>
        <v>1</v>
      </c>
      <c r="AG196" s="63">
        <f t="shared" si="38"/>
        <v>0.76666666666666661</v>
      </c>
      <c r="AH196" s="63">
        <f t="shared" si="39"/>
        <v>0.93157309203276961</v>
      </c>
      <c r="AI196" s="63">
        <f t="shared" si="40"/>
        <v>0.93792105646380386</v>
      </c>
      <c r="AK196" s="60">
        <f>活动投放!AF196/U196</f>
        <v>0.14175257731958765</v>
      </c>
      <c r="AL196" s="60">
        <f>付费投放!AD196/U196</f>
        <v>0.85824742268041232</v>
      </c>
      <c r="AM196" s="60">
        <f>活动投放!AH196/W196</f>
        <v>0.4460431654676259</v>
      </c>
      <c r="AN196" s="60">
        <f>付费投放!AF196/W196</f>
        <v>0.5539568345323741</v>
      </c>
      <c r="AO196" s="60">
        <f>IFERROR(INDEX(真品获取算法!$C$6:$C$66,MATCH(U196,真品获取算法!G$6:G$66,1)),0)*AK196/(IFERROR(INDEX(真品获取算法!$C$6:$C$66,MATCH(U196,真品获取算法!G$6:G$66,1)),0)+付费投放!AJ196)</f>
        <v>0.13011106130783409</v>
      </c>
      <c r="AP196" s="60">
        <f>(付费投放!AJ196+IFERROR(INDEX(真品获取算法!$C$6:$C$66,MATCH(U196,真品获取算法!G$6:G$66,1)),0)*AL196)/(IFERROR(INDEX(真品获取算法!$C$6:$C$66,MATCH(U196,真品获取算法!G$6:G$66,1)),0)+付费投放!AJ196)</f>
        <v>0.86988893869216588</v>
      </c>
      <c r="AQ196" s="60">
        <f>IFERROR(INDEX(真品获取算法!$C$6:$C$66,MATCH(W196,真品获取算法!I$6:I$66,1)),0)*AM196/(IFERROR(INDEX(真品获取算法!$C$6:$C$66,MATCH(W196,真品获取算法!I$6:I$66,1)),0)+付费投放!AL196)</f>
        <v>0.17560754545969523</v>
      </c>
      <c r="AR196" s="60">
        <f>(付费投放!AL196+IFERROR(INDEX(真品获取算法!$C$6:$C$66,MATCH(W196,真品获取算法!I$6:I$66,1)),0)*AN196)/(IFERROR(INDEX(真品获取算法!$C$6:$C$66,MATCH(W196,真品获取算法!I$6:I$66,1)),0)+付费投放!AL196)</f>
        <v>0.82439245454030485</v>
      </c>
    </row>
    <row r="197" spans="3:44" x14ac:dyDescent="0.15">
      <c r="C197" s="29">
        <f t="shared" si="43"/>
        <v>210</v>
      </c>
      <c r="D197" s="18">
        <f>求节点(节奏总纲!$H$4:$H$163,节奏总纲!$C$4:$C$163,$C197)</f>
        <v>96.190942965578103</v>
      </c>
      <c r="E197" s="18">
        <f>IFERROR(求节点(前期规划!$G$13:$G$23,前期规划!$B$13:$B$23,D197),0)</f>
        <v>15.852898721014201</v>
      </c>
      <c r="F197" s="63">
        <f>IFERROR(求节点(前期规划!$C$28:$C$35,前期规划!D$28:D$35,$D197),0)</f>
        <v>9</v>
      </c>
      <c r="G197" s="63">
        <f>IFERROR(求节点(前期规划!$C$28:$C$35,前期规划!E$28:E$35,$D197),0)</f>
        <v>9</v>
      </c>
      <c r="H197" s="63">
        <f>IFERROR(求节点(前期规划!$C$28:$C$35,前期规划!F$28:F$35,$D197),0)</f>
        <v>27</v>
      </c>
      <c r="I197" s="63">
        <f>IFERROR(求节点(前期规划!$C$28:$C$35,前期规划!G$28:G$35,$D197),0)</f>
        <v>27</v>
      </c>
      <c r="J197" s="63">
        <f>IFERROR(求节点(前期规划!$C$28:$C$35,前期规划!H$28:H$35,$D197),0)</f>
        <v>60</v>
      </c>
      <c r="K197" s="63">
        <f>IFERROR(求节点(前期规划!$C$28:$C$35,前期规划!I$28:I$35,$D197),0)</f>
        <v>3.7145657793468616</v>
      </c>
      <c r="L197" s="63">
        <f>MIN($E197-SUM(M197:$Q197),F197)</f>
        <v>0</v>
      </c>
      <c r="M197" s="63">
        <f>MIN($E197-SUM(N197:$Q197),G197)</f>
        <v>0</v>
      </c>
      <c r="N197" s="63">
        <f>MIN($E197-SUM(O197:$Q197),H197)</f>
        <v>0</v>
      </c>
      <c r="O197" s="63">
        <f>MIN($E197-SUM(P197:$Q197),I197)</f>
        <v>0</v>
      </c>
      <c r="P197" s="63">
        <f>MIN($E197-SUM(Q197:$Q197),J197)</f>
        <v>12.13833294166734</v>
      </c>
      <c r="Q197" s="69">
        <f t="shared" si="41"/>
        <v>3.7145657793468616</v>
      </c>
      <c r="R197" s="64">
        <f>活动投放!AC197+付费投放!AA197</f>
        <v>153.5</v>
      </c>
      <c r="S197" s="64">
        <f>活动投放!AD197+付费投放!AB197</f>
        <v>153.5</v>
      </c>
      <c r="T197" s="64">
        <f>活动投放!AE197+付费投放!AC197</f>
        <v>327.59999999999997</v>
      </c>
      <c r="U197" s="64">
        <f>活动投放!AF197+付费投放!AD197</f>
        <v>140.39999999999998</v>
      </c>
      <c r="V197" s="64">
        <f>活动投放!AG197+付费投放!AE197</f>
        <v>164.7</v>
      </c>
      <c r="W197" s="64">
        <f>活动投放!AH197+付费投放!AF197</f>
        <v>18.3</v>
      </c>
      <c r="X197" s="63">
        <f>MIN(IFERROR(INDEX(真品获取算法!$C$6:$C$66,MATCH(R197,真品获取算法!D$6:D$66,1)),0)+付费投放!AG197,前期规划!D$8)</f>
        <v>9</v>
      </c>
      <c r="Y197" s="63">
        <f>MIN(IFERROR(INDEX(真品获取算法!$C$6:$C$66,MATCH(S197,真品获取算法!E$6:E$66,1)),0)+付费投放!AH197,前期规划!E$8)</f>
        <v>9</v>
      </c>
      <c r="Z197" s="63">
        <f>MIN(IFERROR(INDEX(真品获取算法!$C$6:$C$66,MATCH(T197,真品获取算法!F$6:F$66,1)),0)+付费投放!AI197,前期规划!F$8)</f>
        <v>27</v>
      </c>
      <c r="AA197" s="63">
        <f>MIN(IFERROR(INDEX(真品获取算法!$C$6:$C$66,MATCH(U197,真品获取算法!G$6:G$66,1)),0)+付费投放!AJ197,前期规划!G$8)</f>
        <v>22.766666666666666</v>
      </c>
      <c r="AB197" s="63">
        <f>MIN(IFERROR(INDEX(真品获取算法!$C$6:$C$66,MATCH(V197,真品获取算法!H$6:H$66,1)),0)+付费投放!AK197,前期规划!H$8)</f>
        <v>55</v>
      </c>
      <c r="AC197" s="63">
        <f>MIN(IFERROR(INDEX(真品获取算法!$C$6:$C$66,MATCH(W197,真品获取算法!I$6:I$66,1)),0)+付费投放!AL197,前期规划!I$8)</f>
        <v>2.98</v>
      </c>
      <c r="AD197" s="63">
        <f t="shared" si="42"/>
        <v>1</v>
      </c>
      <c r="AE197" s="63">
        <f t="shared" si="36"/>
        <v>1</v>
      </c>
      <c r="AF197" s="63">
        <f t="shared" si="37"/>
        <v>1</v>
      </c>
      <c r="AG197" s="63">
        <f t="shared" si="38"/>
        <v>0.84320987654320989</v>
      </c>
      <c r="AH197" s="63">
        <f t="shared" si="39"/>
        <v>0.91666666666666663</v>
      </c>
      <c r="AI197" s="63">
        <f t="shared" si="40"/>
        <v>0.80224720115845638</v>
      </c>
      <c r="AK197" s="60">
        <f>活动投放!AF197/U197</f>
        <v>0.13888888888888892</v>
      </c>
      <c r="AL197" s="60">
        <f>付费投放!AD197/U197</f>
        <v>0.86111111111111116</v>
      </c>
      <c r="AM197" s="60">
        <f>活动投放!AH197/W197</f>
        <v>0.45901639344262296</v>
      </c>
      <c r="AN197" s="60">
        <f>付费投放!AF197/W197</f>
        <v>0.54098360655737709</v>
      </c>
      <c r="AO197" s="60">
        <f>IFERROR(INDEX(真品获取算法!$C$6:$C$66,MATCH(U197,真品获取算法!G$6:G$66,1)),0)*AK197/(IFERROR(INDEX(真品获取算法!$C$6:$C$66,MATCH(U197,真品获取算法!G$6:G$66,1)),0)+付费投放!AJ197)</f>
        <v>0.12811127379209375</v>
      </c>
      <c r="AP197" s="60">
        <f>(付费投放!AJ197+IFERROR(INDEX(真品获取算法!$C$6:$C$66,MATCH(U197,真品获取算法!G$6:G$66,1)),0)*AL197)/(IFERROR(INDEX(真品获取算法!$C$6:$C$66,MATCH(U197,真品获取算法!G$6:G$66,1)),0)+付费投放!AJ197)</f>
        <v>0.87188872620790636</v>
      </c>
      <c r="AQ197" s="60">
        <f>IFERROR(INDEX(真品获取算法!$C$6:$C$66,MATCH(W197,真品获取算法!I$6:I$66,1)),0)*AM197/(IFERROR(INDEX(真品获取算法!$C$6:$C$66,MATCH(W197,真品获取算法!I$6:I$66,1)),0)+付费投放!AL197)</f>
        <v>0.15403234679282649</v>
      </c>
      <c r="AR197" s="60">
        <f>(付费投放!AL197+IFERROR(INDEX(真品获取算法!$C$6:$C$66,MATCH(W197,真品获取算法!I$6:I$66,1)),0)*AN197)/(IFERROR(INDEX(真品获取算法!$C$6:$C$66,MATCH(W197,真品获取算法!I$6:I$66,1)),0)+付费投放!AL197)</f>
        <v>0.84596765320717349</v>
      </c>
    </row>
    <row r="198" spans="3:44" x14ac:dyDescent="0.15">
      <c r="C198" s="29">
        <f t="shared" si="43"/>
        <v>240</v>
      </c>
      <c r="D198" s="18">
        <f>求节点(节奏总纲!$H$4:$H$163,节奏总纲!$C$4:$C$163,$C198)</f>
        <v>97.955584586719908</v>
      </c>
      <c r="E198" s="18">
        <f>IFERROR(求节点(前期规划!$G$13:$G$23,前期规划!$B$13:$B$23,D198),0)</f>
        <v>16.15926409778665</v>
      </c>
      <c r="F198" s="63">
        <f>IFERROR(求节点(前期规划!$C$28:$C$35,前期规划!D$28:D$35,$D198),0)</f>
        <v>9</v>
      </c>
      <c r="G198" s="63">
        <f>IFERROR(求节点(前期规划!$C$28:$C$35,前期规划!E$28:E$35,$D198),0)</f>
        <v>9</v>
      </c>
      <c r="H198" s="63">
        <f>IFERROR(求节点(前期规划!$C$28:$C$35,前期规划!F$28:F$35,$D198),0)</f>
        <v>27</v>
      </c>
      <c r="I198" s="63">
        <f>IFERROR(求节点(前期规划!$C$28:$C$35,前期规划!G$28:G$35,$D198),0)</f>
        <v>27</v>
      </c>
      <c r="J198" s="63">
        <f>IFERROR(求节点(前期规划!$C$28:$C$35,前期规划!H$28:H$35,$D198),0)</f>
        <v>60</v>
      </c>
      <c r="K198" s="63">
        <f>IFERROR(求节点(前期规划!$C$28:$C$35,前期规划!I$28:I$35,$D198),0)</f>
        <v>4.7733507520319449</v>
      </c>
      <c r="L198" s="63">
        <f>MIN($E198-SUM(M198:$Q198),F198)</f>
        <v>0</v>
      </c>
      <c r="M198" s="63">
        <f>MIN($E198-SUM(N198:$Q198),G198)</f>
        <v>0</v>
      </c>
      <c r="N198" s="63">
        <f>MIN($E198-SUM(O198:$Q198),H198)</f>
        <v>0</v>
      </c>
      <c r="O198" s="63">
        <f>MIN($E198-SUM(P198:$Q198),I198)</f>
        <v>0</v>
      </c>
      <c r="P198" s="63">
        <f>MIN($E198-SUM(Q198:$Q198),J198)</f>
        <v>11.385913345754705</v>
      </c>
      <c r="Q198" s="69">
        <f t="shared" si="41"/>
        <v>4.7733507520319449</v>
      </c>
      <c r="R198" s="64">
        <f>活动投放!AC198+付费投放!AA198</f>
        <v>161.5</v>
      </c>
      <c r="S198" s="64">
        <f>活动投放!AD198+付费投放!AB198</f>
        <v>161.5</v>
      </c>
      <c r="T198" s="64">
        <f>活动投放!AE198+付费投放!AC198</f>
        <v>383.59999999999997</v>
      </c>
      <c r="U198" s="64">
        <f>活动投放!AF198+付费投放!AD198</f>
        <v>164.39999999999998</v>
      </c>
      <c r="V198" s="64">
        <f>活动投放!AG198+付费投放!AE198</f>
        <v>204.3</v>
      </c>
      <c r="W198" s="64">
        <f>活动投放!AH198+付费投放!AF198</f>
        <v>22.700000000000003</v>
      </c>
      <c r="X198" s="63">
        <f>MIN(IFERROR(INDEX(真品获取算法!$C$6:$C$66,MATCH(R198,真品获取算法!D$6:D$66,1)),0)+付费投放!AG198,前期规划!D$8)</f>
        <v>9</v>
      </c>
      <c r="Y198" s="63">
        <f>MIN(IFERROR(INDEX(真品获取算法!$C$6:$C$66,MATCH(S198,真品获取算法!E$6:E$66,1)),0)+付费投放!AH198,前期规划!E$8)</f>
        <v>9</v>
      </c>
      <c r="Z198" s="63">
        <f>MIN(IFERROR(INDEX(真品获取算法!$C$6:$C$66,MATCH(T198,真品获取算法!F$6:F$66,1)),0)+付费投放!AI198,前期规划!F$8)</f>
        <v>27</v>
      </c>
      <c r="AA198" s="63">
        <f>MIN(IFERROR(INDEX(真品获取算法!$C$6:$C$66,MATCH(U198,真品获取算法!G$6:G$66,1)),0)+付费投放!AJ198,前期规划!G$8)</f>
        <v>24.833333333333332</v>
      </c>
      <c r="AB198" s="63">
        <f>MIN(IFERROR(INDEX(真品获取算法!$C$6:$C$66,MATCH(V198,真品获取算法!H$6:H$66,1)),0)+付费投放!AK198,前期规划!H$8)</f>
        <v>57</v>
      </c>
      <c r="AC198" s="63">
        <f>MIN(IFERROR(INDEX(真品获取算法!$C$6:$C$66,MATCH(W198,真品获取算法!I$6:I$66,1)),0)+付费投放!AL198,前期规划!I$8)</f>
        <v>4.42</v>
      </c>
      <c r="AD198" s="63">
        <f t="shared" si="42"/>
        <v>1</v>
      </c>
      <c r="AE198" s="63">
        <f t="shared" si="36"/>
        <v>1</v>
      </c>
      <c r="AF198" s="63">
        <f t="shared" si="37"/>
        <v>1</v>
      </c>
      <c r="AG198" s="63">
        <f t="shared" si="38"/>
        <v>0.91975308641975306</v>
      </c>
      <c r="AH198" s="63">
        <f t="shared" si="39"/>
        <v>0.95</v>
      </c>
      <c r="AI198" s="63">
        <f t="shared" si="40"/>
        <v>0.92597427459494175</v>
      </c>
      <c r="AK198" s="60">
        <f>活动投放!AF198/U198</f>
        <v>0.13686131386861317</v>
      </c>
      <c r="AL198" s="60">
        <f>付费投放!AD198/U198</f>
        <v>0.86313868613138689</v>
      </c>
      <c r="AM198" s="60">
        <f>活动投放!AH198/W198</f>
        <v>0.46696035242290751</v>
      </c>
      <c r="AN198" s="60">
        <f>付费投放!AF198/W198</f>
        <v>0.53303964757709255</v>
      </c>
      <c r="AO198" s="60">
        <f>IFERROR(INDEX(真品获取算法!$C$6:$C$66,MATCH(U198,真品获取算法!G$6:G$66,1)),0)*AK198/(IFERROR(INDEX(真品获取算法!$C$6:$C$66,MATCH(U198,真品获取算法!G$6:G$66,1)),0)+付费投放!AJ198)</f>
        <v>0.12675745848233971</v>
      </c>
      <c r="AP198" s="60">
        <f>(付费投放!AJ198+IFERROR(INDEX(真品获取算法!$C$6:$C$66,MATCH(U198,真品获取算法!G$6:G$66,1)),0)*AL198)/(IFERROR(INDEX(真品获取算法!$C$6:$C$66,MATCH(U198,真品获取算法!G$6:G$66,1)),0)+付费投放!AJ198)</f>
        <v>0.87324254151766034</v>
      </c>
      <c r="AQ198" s="60">
        <f>IFERROR(INDEX(真品获取算法!$C$6:$C$66,MATCH(W198,真品获取算法!I$6:I$66,1)),0)*AM198/(IFERROR(INDEX(真品获取算法!$C$6:$C$66,MATCH(W198,真品获取算法!I$6:I$66,1)),0)+付费投放!AL198)</f>
        <v>0.2112942771144378</v>
      </c>
      <c r="AR198" s="60">
        <f>(付费投放!AL198+IFERROR(INDEX(真品获取算法!$C$6:$C$66,MATCH(W198,真品获取算法!I$6:I$66,1)),0)*AN198)/(IFERROR(INDEX(真品获取算法!$C$6:$C$66,MATCH(W198,真品获取算法!I$6:I$66,1)),0)+付费投放!AL198)</f>
        <v>0.78870572288556218</v>
      </c>
    </row>
    <row r="199" spans="3:44" x14ac:dyDescent="0.15">
      <c r="C199" s="29">
        <f t="shared" si="43"/>
        <v>270</v>
      </c>
      <c r="D199" s="18">
        <f>求节点(节奏总纲!$H$4:$H$163,节奏总纲!$C$4:$C$163,$C199)</f>
        <v>99.721869727346999</v>
      </c>
      <c r="E199" s="18">
        <f>IFERROR(求节点(前期规划!$G$13:$G$23,前期规划!$B$13:$B$23,D199),0)</f>
        <v>16.453644954557834</v>
      </c>
      <c r="F199" s="63">
        <f>IFERROR(求节点(前期规划!$C$28:$C$35,前期规划!D$28:D$35,$D199),0)</f>
        <v>9</v>
      </c>
      <c r="G199" s="63">
        <f>IFERROR(求节点(前期规划!$C$28:$C$35,前期规划!E$28:E$35,$D199),0)</f>
        <v>9</v>
      </c>
      <c r="H199" s="63">
        <f>IFERROR(求节点(前期规划!$C$28:$C$35,前期规划!F$28:F$35,$D199),0)</f>
        <v>27</v>
      </c>
      <c r="I199" s="63">
        <f>IFERROR(求节点(前期规划!$C$28:$C$35,前期规划!G$28:G$35,$D199),0)</f>
        <v>27</v>
      </c>
      <c r="J199" s="63">
        <f>IFERROR(求节点(前期规划!$C$28:$C$35,前期规划!H$28:H$35,$D199),0)</f>
        <v>60</v>
      </c>
      <c r="K199" s="63">
        <f>IFERROR(求节点(前期规划!$C$28:$C$35,前期规划!I$28:I$35,$D199),0)</f>
        <v>5.8331218364081989</v>
      </c>
      <c r="L199" s="63">
        <f>MIN($E199-SUM(M199:$Q199),F199)</f>
        <v>0</v>
      </c>
      <c r="M199" s="63">
        <f>MIN($E199-SUM(N199:$Q199),G199)</f>
        <v>0</v>
      </c>
      <c r="N199" s="63">
        <f>MIN($E199-SUM(O199:$Q199),H199)</f>
        <v>0</v>
      </c>
      <c r="O199" s="63">
        <f>MIN($E199-SUM(P199:$Q199),I199)</f>
        <v>0</v>
      </c>
      <c r="P199" s="63">
        <f>MIN($E199-SUM(Q199:$Q199),J199)</f>
        <v>10.620523118149634</v>
      </c>
      <c r="Q199" s="69">
        <f t="shared" si="41"/>
        <v>5.8331218364081989</v>
      </c>
      <c r="R199" s="64">
        <f>活动投放!AC199+付费投放!AA199</f>
        <v>169.5</v>
      </c>
      <c r="S199" s="64">
        <f>活动投放!AD199+付费投放!AB199</f>
        <v>169.5</v>
      </c>
      <c r="T199" s="64">
        <f>活动投放!AE199+付费投放!AC199</f>
        <v>439.59999999999997</v>
      </c>
      <c r="U199" s="64">
        <f>活动投放!AF199+付费投放!AD199</f>
        <v>188.39999999999998</v>
      </c>
      <c r="V199" s="64">
        <f>活动投放!AG199+付费投放!AE199</f>
        <v>245.7</v>
      </c>
      <c r="W199" s="64">
        <f>活动投放!AH199+付费投放!AF199</f>
        <v>27.3</v>
      </c>
      <c r="X199" s="63">
        <f>MIN(IFERROR(INDEX(真品获取算法!$C$6:$C$66,MATCH(R199,真品获取算法!D$6:D$66,1)),0)+付费投放!AG199,前期规划!D$8)</f>
        <v>9</v>
      </c>
      <c r="Y199" s="63">
        <f>MIN(IFERROR(INDEX(真品获取算法!$C$6:$C$66,MATCH(S199,真品获取算法!E$6:E$66,1)),0)+付费投放!AH199,前期规划!E$8)</f>
        <v>9</v>
      </c>
      <c r="Z199" s="63">
        <f>MIN(IFERROR(INDEX(真品获取算法!$C$6:$C$66,MATCH(T199,真品获取算法!F$6:F$66,1)),0)+付费投放!AI199,前期规划!F$8)</f>
        <v>27</v>
      </c>
      <c r="AA199" s="63">
        <f>MIN(IFERROR(INDEX(真品获取算法!$C$6:$C$66,MATCH(U199,真品获取算法!G$6:G$66,1)),0)+付费投放!AJ199,前期规划!G$8)</f>
        <v>25.9</v>
      </c>
      <c r="AB199" s="63">
        <f>MIN(IFERROR(INDEX(真品获取算法!$C$6:$C$66,MATCH(V199,真品获取算法!H$6:H$66,1)),0)+付费投放!AK199,前期规划!H$8)</f>
        <v>59</v>
      </c>
      <c r="AC199" s="63">
        <f>MIN(IFERROR(INDEX(真品获取算法!$C$6:$C$66,MATCH(W199,真品获取算法!I$6:I$66,1)),0)+付费投放!AL199,前期规划!I$8)</f>
        <v>4.8599999999999994</v>
      </c>
      <c r="AD199" s="63">
        <f t="shared" si="42"/>
        <v>1</v>
      </c>
      <c r="AE199" s="63">
        <f t="shared" si="36"/>
        <v>1</v>
      </c>
      <c r="AF199" s="63">
        <f t="shared" si="37"/>
        <v>1</v>
      </c>
      <c r="AG199" s="63">
        <f t="shared" si="38"/>
        <v>0.95925925925925926</v>
      </c>
      <c r="AH199" s="63">
        <f t="shared" si="39"/>
        <v>0.98333333333333328</v>
      </c>
      <c r="AI199" s="63">
        <f t="shared" si="40"/>
        <v>0.83317306517852396</v>
      </c>
      <c r="AK199" s="60">
        <f>活动投放!AF199/U199</f>
        <v>0.13535031847133761</v>
      </c>
      <c r="AL199" s="60">
        <f>付费投放!AD199/U199</f>
        <v>0.86464968152866239</v>
      </c>
      <c r="AM199" s="60">
        <f>活动投放!AH199/W199</f>
        <v>0.47619047619047616</v>
      </c>
      <c r="AN199" s="60">
        <f>付费投放!AF199/W199</f>
        <v>0.52380952380952384</v>
      </c>
      <c r="AO199" s="60">
        <f>IFERROR(INDEX(真品获取算法!$C$6:$C$66,MATCH(U199,真品获取算法!G$6:G$66,1)),0)*AK199/(IFERROR(INDEX(真品获取算法!$C$6:$C$66,MATCH(U199,真品获取算法!G$6:G$66,1)),0)+付费投放!AJ199)</f>
        <v>0.12542114452942482</v>
      </c>
      <c r="AP199" s="60">
        <f>(付费投放!AJ199+IFERROR(INDEX(真品获取算法!$C$6:$C$66,MATCH(U199,真品获取算法!G$6:G$66,1)),0)*AL199)/(IFERROR(INDEX(真品获取算法!$C$6:$C$66,MATCH(U199,真品获取算法!G$6:G$66,1)),0)+付费投放!AJ199)</f>
        <v>0.87457885547057523</v>
      </c>
      <c r="AQ199" s="60">
        <f>IFERROR(INDEX(真品获取算法!$C$6:$C$66,MATCH(W199,真品获取算法!I$6:I$66,1)),0)*AM199/(IFERROR(INDEX(真品获取算法!$C$6:$C$66,MATCH(W199,真品获取算法!I$6:I$66,1)),0)+付费投放!AL199)</f>
        <v>0.1959631589261219</v>
      </c>
      <c r="AR199" s="60">
        <f>(付费投放!AL199+IFERROR(INDEX(真品获取算法!$C$6:$C$66,MATCH(W199,真品获取算法!I$6:I$66,1)),0)*AN199)/(IFERROR(INDEX(真品获取算法!$C$6:$C$66,MATCH(W199,真品获取算法!I$6:I$66,1)),0)+付费投放!AL199)</f>
        <v>0.80403684107387818</v>
      </c>
    </row>
    <row r="200" spans="3:44" x14ac:dyDescent="0.15">
      <c r="C200" s="29">
        <f t="shared" si="43"/>
        <v>300</v>
      </c>
      <c r="D200" s="18">
        <f>求节点(节奏总纲!$H$4:$H$163,节奏总纲!$C$4:$C$163,$C200)</f>
        <v>101.32661435104789</v>
      </c>
      <c r="E200" s="18">
        <f>IFERROR(求节点(前期规划!$G$13:$G$23,前期规划!$B$13:$B$23,D200),0)</f>
        <v>16.721102391841317</v>
      </c>
      <c r="F200" s="63">
        <f>IFERROR(求节点(前期规划!$C$28:$C$35,前期规划!D$28:D$35,$D200),0)</f>
        <v>9</v>
      </c>
      <c r="G200" s="63">
        <f>IFERROR(求节点(前期规划!$C$28:$C$35,前期规划!E$28:E$35,$D200),0)</f>
        <v>9</v>
      </c>
      <c r="H200" s="63">
        <f>IFERROR(求节点(前期规划!$C$28:$C$35,前期规划!F$28:F$35,$D200),0)</f>
        <v>27</v>
      </c>
      <c r="I200" s="63">
        <f>IFERROR(求节点(前期规划!$C$28:$C$35,前期规划!G$28:G$35,$D200),0)</f>
        <v>27</v>
      </c>
      <c r="J200" s="63">
        <f>IFERROR(求节点(前期规划!$C$28:$C$35,前期规划!H$28:H$35,$D200),0)</f>
        <v>60</v>
      </c>
      <c r="K200" s="63">
        <f>IFERROR(求节点(前期规划!$C$28:$C$35,前期规划!I$28:I$35,$D200),0)</f>
        <v>6.7959686106287363</v>
      </c>
      <c r="L200" s="63">
        <f>MIN($E200-SUM(M200:$Q200),F200)</f>
        <v>0</v>
      </c>
      <c r="M200" s="63">
        <f>MIN($E200-SUM(N200:$Q200),G200)</f>
        <v>0</v>
      </c>
      <c r="N200" s="63">
        <f>MIN($E200-SUM(O200:$Q200),H200)</f>
        <v>0</v>
      </c>
      <c r="O200" s="63">
        <f>MIN($E200-SUM(P200:$Q200),I200)</f>
        <v>0</v>
      </c>
      <c r="P200" s="63">
        <f>MIN($E200-SUM(Q200:$Q200),J200)</f>
        <v>9.9251337812125797</v>
      </c>
      <c r="Q200" s="69">
        <f t="shared" si="41"/>
        <v>6.7959686106287363</v>
      </c>
      <c r="R200" s="64">
        <f>活动投放!AC200+付费投放!AA200</f>
        <v>177.5</v>
      </c>
      <c r="S200" s="64">
        <f>活动投放!AD200+付费投放!AB200</f>
        <v>177.5</v>
      </c>
      <c r="T200" s="64">
        <f>活动投放!AE200+付费投放!AC200</f>
        <v>495.59999999999997</v>
      </c>
      <c r="U200" s="64">
        <f>活动投放!AF200+付费投放!AD200</f>
        <v>212.39999999999998</v>
      </c>
      <c r="V200" s="64">
        <f>活动投放!AG200+付费投放!AE200</f>
        <v>288.89999999999998</v>
      </c>
      <c r="W200" s="64">
        <f>活动投放!AH200+付费投放!AF200</f>
        <v>32.1</v>
      </c>
      <c r="X200" s="63">
        <f>MIN(IFERROR(INDEX(真品获取算法!$C$6:$C$66,MATCH(R200,真品获取算法!D$6:D$66,1)),0)+付费投放!AG200,前期规划!D$8)</f>
        <v>9</v>
      </c>
      <c r="Y200" s="63">
        <f>MIN(IFERROR(INDEX(真品获取算法!$C$6:$C$66,MATCH(S200,真品获取算法!E$6:E$66,1)),0)+付费投放!AH200,前期规划!E$8)</f>
        <v>9</v>
      </c>
      <c r="Z200" s="63">
        <f>MIN(IFERROR(INDEX(真品获取算法!$C$6:$C$66,MATCH(T200,真品获取算法!F$6:F$66,1)),0)+付费投放!AI200,前期规划!F$8)</f>
        <v>27</v>
      </c>
      <c r="AA200" s="63">
        <f>MIN(IFERROR(INDEX(真品获取算法!$C$6:$C$66,MATCH(U200,真品获取算法!G$6:G$66,1)),0)+付费投放!AJ200,前期规划!G$8)</f>
        <v>25.966666666666669</v>
      </c>
      <c r="AB200" s="63">
        <f>MIN(IFERROR(INDEX(真品获取算法!$C$6:$C$66,MATCH(V200,真品获取算法!H$6:H$66,1)),0)+付费投放!AK200,前期规划!H$8)</f>
        <v>59</v>
      </c>
      <c r="AC200" s="63">
        <f>MIN(IFERROR(INDEX(真品获取算法!$C$6:$C$66,MATCH(W200,真品获取算法!I$6:I$66,1)),0)+付费投放!AL200,前期规划!I$8)</f>
        <v>6.3</v>
      </c>
      <c r="AD200" s="63">
        <f t="shared" si="42"/>
        <v>1</v>
      </c>
      <c r="AE200" s="63">
        <f t="shared" si="36"/>
        <v>1</v>
      </c>
      <c r="AF200" s="63">
        <f t="shared" si="37"/>
        <v>1</v>
      </c>
      <c r="AG200" s="63">
        <f t="shared" si="38"/>
        <v>0.96172839506172847</v>
      </c>
      <c r="AH200" s="63">
        <f t="shared" si="39"/>
        <v>0.98333333333333328</v>
      </c>
      <c r="AI200" s="63">
        <f t="shared" si="40"/>
        <v>0.9270201734226593</v>
      </c>
      <c r="AK200" s="60">
        <f>活动投放!AF200/U200</f>
        <v>0.13418079096045199</v>
      </c>
      <c r="AL200" s="60">
        <f>付费投放!AD200/U200</f>
        <v>0.86581920903954801</v>
      </c>
      <c r="AM200" s="60">
        <f>活动投放!AH200/W200</f>
        <v>0.48598130841121495</v>
      </c>
      <c r="AN200" s="60">
        <f>付费投放!AF200/W200</f>
        <v>0.51401869158878499</v>
      </c>
      <c r="AO200" s="60">
        <f>IFERROR(INDEX(真品获取算法!$C$6:$C$66,MATCH(U200,真品获取算法!G$6:G$66,1)),0)*AK200/(IFERROR(INDEX(真品获取算法!$C$6:$C$66,MATCH(U200,真品获取算法!G$6:G$66,1)),0)+付费投放!AJ200)</f>
        <v>0.12401818933443572</v>
      </c>
      <c r="AP200" s="60">
        <f>(付费投放!AJ200+IFERROR(INDEX(真品获取算法!$C$6:$C$66,MATCH(U200,真品获取算法!G$6:G$66,1)),0)*AL200)/(IFERROR(INDEX(真品获取算法!$C$6:$C$66,MATCH(U200,真品获取算法!G$6:G$66,1)),0)+付费投放!AJ200)</f>
        <v>0.87598181066556413</v>
      </c>
      <c r="AQ200" s="60">
        <f>IFERROR(INDEX(真品获取算法!$C$6:$C$66,MATCH(W200,真品获取算法!I$6:I$66,1)),0)*AM200/(IFERROR(INDEX(真品获取算法!$C$6:$C$66,MATCH(W200,真品获取算法!I$6:I$66,1)),0)+付费投放!AL200)</f>
        <v>0.23141967067200711</v>
      </c>
      <c r="AR200" s="60">
        <f>(付费投放!AL200+IFERROR(INDEX(真品获取算法!$C$6:$C$66,MATCH(W200,真品获取算法!I$6:I$66,1)),0)*AN200)/(IFERROR(INDEX(真品获取算法!$C$6:$C$66,MATCH(W200,真品获取算法!I$6:I$66,1)),0)+付费投放!AL200)</f>
        <v>0.76858032932799281</v>
      </c>
    </row>
    <row r="201" spans="3:44" x14ac:dyDescent="0.15">
      <c r="C201" s="29">
        <f t="shared" si="43"/>
        <v>360</v>
      </c>
      <c r="D201" s="18">
        <f>求节点(节奏总纲!$H$4:$H$163,节奏总纲!$C$4:$C$163,$C201)</f>
        <v>103.97984772466795</v>
      </c>
      <c r="E201" s="18">
        <f>IFERROR(求节点(前期规划!$G$13:$G$23,前期规划!$B$13:$B$23,D201),0)</f>
        <v>17.163307954111325</v>
      </c>
      <c r="F201" s="63">
        <f>IFERROR(求节点(前期规划!$C$28:$C$35,前期规划!D$28:D$35,$D201),0)</f>
        <v>9</v>
      </c>
      <c r="G201" s="63">
        <f>IFERROR(求节点(前期规划!$C$28:$C$35,前期规划!E$28:E$35,$D201),0)</f>
        <v>9</v>
      </c>
      <c r="H201" s="63">
        <f>IFERROR(求节点(前期规划!$C$28:$C$35,前期规划!F$28:F$35,$D201),0)</f>
        <v>27</v>
      </c>
      <c r="I201" s="63">
        <f>IFERROR(求节点(前期规划!$C$28:$C$35,前期规划!G$28:G$35,$D201),0)</f>
        <v>27</v>
      </c>
      <c r="J201" s="63">
        <f>IFERROR(求节点(前期规划!$C$28:$C$35,前期规划!H$28:H$35,$D201),0)</f>
        <v>60</v>
      </c>
      <c r="K201" s="63">
        <f>IFERROR(求节点(前期规划!$C$28:$C$35,前期规划!I$28:I$35,$D201),0)</f>
        <v>8.3879086348007696</v>
      </c>
      <c r="L201" s="63">
        <f>MIN($E201-SUM(M201:$Q201),F201)</f>
        <v>0</v>
      </c>
      <c r="M201" s="63">
        <f>MIN($E201-SUM(N201:$Q201),G201)</f>
        <v>0</v>
      </c>
      <c r="N201" s="63">
        <f>MIN($E201-SUM(O201:$Q201),H201)</f>
        <v>0</v>
      </c>
      <c r="O201" s="63">
        <f>MIN($E201-SUM(P201:$Q201),I201)</f>
        <v>0</v>
      </c>
      <c r="P201" s="63">
        <f>MIN($E201-SUM(Q201:$Q201),J201)</f>
        <v>8.7753993193105551</v>
      </c>
      <c r="Q201" s="69">
        <f t="shared" si="41"/>
        <v>8.3879086348007696</v>
      </c>
      <c r="R201" s="64">
        <f>活动投放!AC201+付费投放!AA201</f>
        <v>193.5</v>
      </c>
      <c r="S201" s="64">
        <f>活动投放!AD201+付费投放!AB201</f>
        <v>193.5</v>
      </c>
      <c r="T201" s="64">
        <f>活动投放!AE201+付费投放!AC201</f>
        <v>607.59999999999991</v>
      </c>
      <c r="U201" s="64">
        <f>活动投放!AF201+付费投放!AD201</f>
        <v>260.39999999999998</v>
      </c>
      <c r="V201" s="64">
        <f>活动投放!AG201+付费投放!AE201</f>
        <v>375.3</v>
      </c>
      <c r="W201" s="64">
        <f>活动投放!AH201+付费投放!AF201</f>
        <v>41.7</v>
      </c>
      <c r="X201" s="63">
        <f>MIN(IFERROR(INDEX(真品获取算法!$C$6:$C$66,MATCH(R201,真品获取算法!D$6:D$66,1)),0)+付费投放!AG201,前期规划!D$8)</f>
        <v>9</v>
      </c>
      <c r="Y201" s="63">
        <f>MIN(IFERROR(INDEX(真品获取算法!$C$6:$C$66,MATCH(S201,真品获取算法!E$6:E$66,1)),0)+付费投放!AH201,前期规划!E$8)</f>
        <v>9</v>
      </c>
      <c r="Z201" s="63">
        <f>MIN(IFERROR(INDEX(真品获取算法!$C$6:$C$66,MATCH(T201,真品获取算法!F$6:F$66,1)),0)+付费投放!AI201,前期规划!F$8)</f>
        <v>27</v>
      </c>
      <c r="AA201" s="63">
        <f>MIN(IFERROR(INDEX(真品获取算法!$C$6:$C$66,MATCH(U201,真品获取算法!G$6:G$66,1)),0)+付费投放!AJ201,前期规划!G$8)</f>
        <v>27</v>
      </c>
      <c r="AB201" s="63">
        <f>MIN(IFERROR(INDEX(真品获取算法!$C$6:$C$66,MATCH(V201,真品获取算法!H$6:H$66,1)),0)+付费投放!AK201,前期规划!H$8)</f>
        <v>60</v>
      </c>
      <c r="AC201" s="63">
        <f>MIN(IFERROR(INDEX(真品获取算法!$C$6:$C$66,MATCH(W201,真品获取算法!I$6:I$66,1)),0)+付费投放!AL201,前期规划!I$8)</f>
        <v>8.18</v>
      </c>
      <c r="AD201" s="63">
        <f t="shared" si="42"/>
        <v>1</v>
      </c>
      <c r="AE201" s="63">
        <f t="shared" si="36"/>
        <v>1</v>
      </c>
      <c r="AF201" s="63">
        <f t="shared" si="37"/>
        <v>1</v>
      </c>
      <c r="AG201" s="63">
        <f t="shared" si="38"/>
        <v>1</v>
      </c>
      <c r="AH201" s="63">
        <f t="shared" si="39"/>
        <v>1</v>
      </c>
      <c r="AI201" s="63">
        <f t="shared" si="40"/>
        <v>0.97521329286561687</v>
      </c>
      <c r="AK201" s="60">
        <f>活动投放!AF201/U201</f>
        <v>0.13248847926267282</v>
      </c>
      <c r="AL201" s="60">
        <f>付费投放!AD201/U201</f>
        <v>0.86751152073732718</v>
      </c>
      <c r="AM201" s="60">
        <f>活动投放!AH201/W201</f>
        <v>0.49880095923261392</v>
      </c>
      <c r="AN201" s="60">
        <f>付费投放!AF201/W201</f>
        <v>0.50119904076738597</v>
      </c>
      <c r="AO201" s="60">
        <f>IFERROR(INDEX(真品获取算法!$C$6:$C$66,MATCH(U201,真品获取算法!G$6:G$66,1)),0)*AK201/(IFERROR(INDEX(真品获取算法!$C$6:$C$66,MATCH(U201,真品获取算法!G$6:G$66,1)),0)+付费投放!AJ201)</f>
        <v>0.12258720501172574</v>
      </c>
      <c r="AP201" s="60">
        <f>(付费投放!AJ201+IFERROR(INDEX(真品获取算法!$C$6:$C$66,MATCH(U201,真品获取算法!G$6:G$66,1)),0)*AL201)/(IFERROR(INDEX(真品获取算法!$C$6:$C$66,MATCH(U201,真品获取算法!G$6:G$66,1)),0)+付费投放!AJ201)</f>
        <v>0.87741279498827418</v>
      </c>
      <c r="AQ201" s="60">
        <f>IFERROR(INDEX(真品获取算法!$C$6:$C$66,MATCH(W201,真品获取算法!I$6:I$66,1)),0)*AM201/(IFERROR(INDEX(真品获取算法!$C$6:$C$66,MATCH(W201,真品获取算法!I$6:I$66,1)),0)+付费投放!AL201)</f>
        <v>0.24391244950250071</v>
      </c>
      <c r="AR201" s="60">
        <f>(付费投放!AL201+IFERROR(INDEX(真品获取算法!$C$6:$C$66,MATCH(W201,真品获取算法!I$6:I$66,1)),0)*AN201)/(IFERROR(INDEX(真品获取算法!$C$6:$C$66,MATCH(W201,真品获取算法!I$6:I$66,1)),0)+付费投放!AL201)</f>
        <v>0.75608755049749932</v>
      </c>
    </row>
    <row r="202" spans="3:44" x14ac:dyDescent="0.15">
      <c r="C202" s="29">
        <f t="shared" si="43"/>
        <v>420</v>
      </c>
      <c r="D202" s="18">
        <f>求节点(节奏总纲!$H$4:$H$163,节奏总纲!$C$4:$C$163,$C202)</f>
        <v>106.26808301554426</v>
      </c>
      <c r="E202" s="18">
        <f>IFERROR(求节点(前期规划!$G$13:$G$23,前期规划!$B$13:$B$23,D202),0)</f>
        <v>17.544680502590712</v>
      </c>
      <c r="F202" s="63">
        <f>IFERROR(求节点(前期规划!$C$28:$C$35,前期规划!D$28:D$35,$D202),0)</f>
        <v>9</v>
      </c>
      <c r="G202" s="63">
        <f>IFERROR(求节点(前期规划!$C$28:$C$35,前期规划!E$28:E$35,$D202),0)</f>
        <v>9</v>
      </c>
      <c r="H202" s="63">
        <f>IFERROR(求节点(前期规划!$C$28:$C$35,前期规划!F$28:F$35,$D202),0)</f>
        <v>27</v>
      </c>
      <c r="I202" s="63">
        <f>IFERROR(求节点(前期规划!$C$28:$C$35,前期规划!G$28:G$35,$D202),0)</f>
        <v>27</v>
      </c>
      <c r="J202" s="63">
        <f>IFERROR(求节点(前期规划!$C$28:$C$35,前期规划!H$28:H$35,$D202),0)</f>
        <v>60</v>
      </c>
      <c r="K202" s="63">
        <f>IFERROR(求节点(前期规划!$C$28:$C$35,前期规划!I$28:I$35,$D202),0)</f>
        <v>10.175858796231953</v>
      </c>
      <c r="L202" s="63">
        <f>MIN($E202-SUM(M202:$Q202),F202)</f>
        <v>0</v>
      </c>
      <c r="M202" s="63">
        <f>MIN($E202-SUM(N202:$Q202),G202)</f>
        <v>0</v>
      </c>
      <c r="N202" s="63">
        <f>MIN($E202-SUM(O202:$Q202),H202)</f>
        <v>0</v>
      </c>
      <c r="O202" s="63">
        <f>MIN($E202-SUM(P202:$Q202),I202)</f>
        <v>0</v>
      </c>
      <c r="P202" s="63">
        <f>MIN($E202-SUM(Q202:$Q202),J202)</f>
        <v>7.3688217063587587</v>
      </c>
      <c r="Q202" s="69">
        <f t="shared" si="41"/>
        <v>10.175858796231953</v>
      </c>
      <c r="R202" s="64">
        <f>活动投放!AC202+付费投放!AA202</f>
        <v>209.5</v>
      </c>
      <c r="S202" s="64">
        <f>活动投放!AD202+付费投放!AB202</f>
        <v>209.5</v>
      </c>
      <c r="T202" s="64">
        <f>活动投放!AE202+付费投放!AC202</f>
        <v>719.59999999999991</v>
      </c>
      <c r="U202" s="64">
        <f>活动投放!AF202+付费投放!AD202</f>
        <v>308.39999999999998</v>
      </c>
      <c r="V202" s="64">
        <f>活动投放!AG202+付费投放!AE202</f>
        <v>461.7</v>
      </c>
      <c r="W202" s="64">
        <f>活动投放!AH202+付费投放!AF202</f>
        <v>51.3</v>
      </c>
      <c r="X202" s="63">
        <f>MIN(IFERROR(INDEX(真品获取算法!$C$6:$C$66,MATCH(R202,真品获取算法!D$6:D$66,1)),0)+付费投放!AG202,前期规划!D$8)</f>
        <v>9</v>
      </c>
      <c r="Y202" s="63">
        <f>MIN(IFERROR(INDEX(真品获取算法!$C$6:$C$66,MATCH(S202,真品获取算法!E$6:E$66,1)),0)+付费投放!AH202,前期规划!E$8)</f>
        <v>9</v>
      </c>
      <c r="Z202" s="63">
        <f>MIN(IFERROR(INDEX(真品获取算法!$C$6:$C$66,MATCH(T202,真品获取算法!F$6:F$66,1)),0)+付费投放!AI202,前期规划!F$8)</f>
        <v>27</v>
      </c>
      <c r="AA202" s="63">
        <f>MIN(IFERROR(INDEX(真品获取算法!$C$6:$C$66,MATCH(U202,真品获取算法!G$6:G$66,1)),0)+付费投放!AJ202,前期规划!G$8)</f>
        <v>27</v>
      </c>
      <c r="AB202" s="63">
        <f>MIN(IFERROR(INDEX(真品获取算法!$C$6:$C$66,MATCH(V202,真品获取算法!H$6:H$66,1)),0)+付费投放!AK202,前期规划!H$8)</f>
        <v>60</v>
      </c>
      <c r="AC202" s="63">
        <f>MIN(IFERROR(INDEX(真品获取算法!$C$6:$C$66,MATCH(W202,真品获取算法!I$6:I$66,1)),0)+付费投放!AL202,前期规划!I$8)</f>
        <v>9.0599999999999987</v>
      </c>
      <c r="AD202" s="63">
        <f t="shared" si="42"/>
        <v>1</v>
      </c>
      <c r="AE202" s="63">
        <f t="shared" si="36"/>
        <v>1</v>
      </c>
      <c r="AF202" s="63">
        <f t="shared" si="37"/>
        <v>1</v>
      </c>
      <c r="AG202" s="63">
        <f t="shared" si="38"/>
        <v>1</v>
      </c>
      <c r="AH202" s="63">
        <f t="shared" si="39"/>
        <v>1</v>
      </c>
      <c r="AI202" s="63">
        <f t="shared" si="40"/>
        <v>0.89034254321166983</v>
      </c>
      <c r="AK202" s="60">
        <f>活动投放!AF202/U202</f>
        <v>0.13132295719844359</v>
      </c>
      <c r="AL202" s="60">
        <f>付费投放!AD202/U202</f>
        <v>0.86867704280155644</v>
      </c>
      <c r="AM202" s="60">
        <f>活动投放!AH202/W202</f>
        <v>0.50682261208577006</v>
      </c>
      <c r="AN202" s="60">
        <f>付费投放!AF202/W202</f>
        <v>0.49317738791422999</v>
      </c>
      <c r="AO202" s="60">
        <f>IFERROR(INDEX(真品获取算法!$C$6:$C$66,MATCH(U202,真品获取算法!G$6:G$66,1)),0)*AK202/(IFERROR(INDEX(真品获取算法!$C$6:$C$66,MATCH(U202,真品获取算法!G$6:G$66,1)),0)+付费投放!AJ202)</f>
        <v>0.1209349546809752</v>
      </c>
      <c r="AP202" s="60">
        <f>(付费投放!AJ202+IFERROR(INDEX(真品获取算法!$C$6:$C$66,MATCH(U202,真品获取算法!G$6:G$66,1)),0)*AL202)/(IFERROR(INDEX(真品获取算法!$C$6:$C$66,MATCH(U202,真品获取算法!G$6:G$66,1)),0)+付费投放!AJ202)</f>
        <v>0.87906504531902474</v>
      </c>
      <c r="AQ202" s="60">
        <f>IFERROR(INDEX(真品获取算法!$C$6:$C$66,MATCH(W202,真品获取算法!I$6:I$66,1)),0)*AM202/(IFERROR(INDEX(真品获取算法!$C$6:$C$66,MATCH(W202,真品获取算法!I$6:I$66,1)),0)+付费投放!AL202)</f>
        <v>0.22376274264272411</v>
      </c>
      <c r="AR202" s="60">
        <f>(付费投放!AL202+IFERROR(INDEX(真品获取算法!$C$6:$C$66,MATCH(W202,真品获取算法!I$6:I$66,1)),0)*AN202)/(IFERROR(INDEX(真品获取算法!$C$6:$C$66,MATCH(W202,真品获取算法!I$6:I$66,1)),0)+付费投放!AL202)</f>
        <v>0.776237257357276</v>
      </c>
    </row>
    <row r="203" spans="3:44" x14ac:dyDescent="0.15">
      <c r="C203" s="29">
        <f t="shared" si="43"/>
        <v>480</v>
      </c>
      <c r="D203" s="18">
        <f>求节点(节奏总纲!$H$4:$H$163,节奏总纲!$C$4:$C$163,$C203)</f>
        <v>108.26512634376826</v>
      </c>
      <c r="E203" s="18">
        <f>IFERROR(求节点(前期规划!$G$13:$G$23,前期规划!$B$13:$B$23,D203),0)</f>
        <v>17.877521057294711</v>
      </c>
      <c r="F203" s="63">
        <f>IFERROR(求节点(前期规划!$C$28:$C$35,前期规划!D$28:D$35,$D203),0)</f>
        <v>9</v>
      </c>
      <c r="G203" s="63">
        <f>IFERROR(求节点(前期规划!$C$28:$C$35,前期规划!E$28:E$35,$D203),0)</f>
        <v>9</v>
      </c>
      <c r="H203" s="63">
        <f>IFERROR(求节点(前期规划!$C$28:$C$35,前期规划!F$28:F$35,$D203),0)</f>
        <v>27</v>
      </c>
      <c r="I203" s="63">
        <f>IFERROR(求节点(前期规划!$C$28:$C$35,前期规划!G$28:G$35,$D203),0)</f>
        <v>27</v>
      </c>
      <c r="J203" s="63">
        <f>IFERROR(求节点(前期规划!$C$28:$C$35,前期规划!H$28:H$35,$D203),0)</f>
        <v>60</v>
      </c>
      <c r="K203" s="63">
        <f>IFERROR(求节点(前期规划!$C$28:$C$35,前期规划!I$28:I$35,$D203),0)</f>
        <v>12.027662609676021</v>
      </c>
      <c r="L203" s="63">
        <f>MIN($E203-SUM(M203:$Q203),F203)</f>
        <v>0</v>
      </c>
      <c r="M203" s="63">
        <f>MIN($E203-SUM(N203:$Q203),G203)</f>
        <v>0</v>
      </c>
      <c r="N203" s="63">
        <f>MIN($E203-SUM(O203:$Q203),H203)</f>
        <v>0</v>
      </c>
      <c r="O203" s="63">
        <f>MIN($E203-SUM(P203:$Q203),I203)</f>
        <v>0</v>
      </c>
      <c r="P203" s="63">
        <f>MIN($E203-SUM(Q203:$Q203),J203)</f>
        <v>5.8498584476186899</v>
      </c>
      <c r="Q203" s="69">
        <f t="shared" si="41"/>
        <v>12.027662609676021</v>
      </c>
      <c r="R203" s="64">
        <f>活动投放!AC203+付费投放!AA203</f>
        <v>225.5</v>
      </c>
      <c r="S203" s="64">
        <f>活动投放!AD203+付费投放!AB203</f>
        <v>225.5</v>
      </c>
      <c r="T203" s="64">
        <f>活动投放!AE203+付费投放!AC203</f>
        <v>831.59999999999991</v>
      </c>
      <c r="U203" s="64">
        <f>活动投放!AF203+付费投放!AD203</f>
        <v>356.4</v>
      </c>
      <c r="V203" s="64">
        <f>活动投放!AG203+付费投放!AE203</f>
        <v>548.1</v>
      </c>
      <c r="W203" s="64">
        <f>活动投放!AH203+付费投放!AF203</f>
        <v>60.9</v>
      </c>
      <c r="X203" s="63">
        <f>MIN(IFERROR(INDEX(真品获取算法!$C$6:$C$66,MATCH(R203,真品获取算法!D$6:D$66,1)),0)+付费投放!AG203,前期规划!D$8)</f>
        <v>9</v>
      </c>
      <c r="Y203" s="63">
        <f>MIN(IFERROR(INDEX(真品获取算法!$C$6:$C$66,MATCH(S203,真品获取算法!E$6:E$66,1)),0)+付费投放!AH203,前期规划!E$8)</f>
        <v>9</v>
      </c>
      <c r="Z203" s="63">
        <f>MIN(IFERROR(INDEX(真品获取算法!$C$6:$C$66,MATCH(T203,真品获取算法!F$6:F$66,1)),0)+付费投放!AI203,前期规划!F$8)</f>
        <v>27</v>
      </c>
      <c r="AA203" s="63">
        <f>MIN(IFERROR(INDEX(真品获取算法!$C$6:$C$66,MATCH(U203,真品获取算法!G$6:G$66,1)),0)+付费投放!AJ203,前期规划!G$8)</f>
        <v>27</v>
      </c>
      <c r="AB203" s="63">
        <f>MIN(IFERROR(INDEX(真品获取算法!$C$6:$C$66,MATCH(V203,真品获取算法!H$6:H$66,1)),0)+付费投放!AK203,前期规划!H$8)</f>
        <v>60</v>
      </c>
      <c r="AC203" s="63">
        <f>MIN(IFERROR(INDEX(真品获取算法!$C$6:$C$66,MATCH(W203,真品获取算法!I$6:I$66,1)),0)+付费投放!AL203,前期规划!I$8)</f>
        <v>10.94</v>
      </c>
      <c r="AD203" s="63">
        <f t="shared" si="42"/>
        <v>1</v>
      </c>
      <c r="AE203" s="63">
        <f t="shared" si="36"/>
        <v>1</v>
      </c>
      <c r="AF203" s="63">
        <f t="shared" si="37"/>
        <v>1</v>
      </c>
      <c r="AG203" s="63">
        <f t="shared" si="38"/>
        <v>1</v>
      </c>
      <c r="AH203" s="63">
        <f t="shared" si="39"/>
        <v>1</v>
      </c>
      <c r="AI203" s="63">
        <f t="shared" si="40"/>
        <v>0.9095699102167184</v>
      </c>
      <c r="AK203" s="60">
        <f>活动投放!AF203/U203</f>
        <v>0.13047138047138049</v>
      </c>
      <c r="AL203" s="60">
        <f>付费投放!AD203/U203</f>
        <v>0.86952861952861948</v>
      </c>
      <c r="AM203" s="60">
        <f>活动投放!AH203/W203</f>
        <v>0.51231527093596063</v>
      </c>
      <c r="AN203" s="60">
        <f>付费投放!AF203/W203</f>
        <v>0.48768472906403937</v>
      </c>
      <c r="AO203" s="60">
        <f>IFERROR(INDEX(真品获取算法!$C$6:$C$66,MATCH(U203,真品获取算法!G$6:G$66,1)),0)*AK203/(IFERROR(INDEX(真品获取算法!$C$6:$C$66,MATCH(U203,真品获取算法!G$6:G$66,1)),0)+付费投放!AJ203)</f>
        <v>0.11995666081931691</v>
      </c>
      <c r="AP203" s="60">
        <f>(付费投放!AJ203+IFERROR(INDEX(真品获取算法!$C$6:$C$66,MATCH(U203,真品获取算法!G$6:G$66,1)),0)*AL203)/(IFERROR(INDEX(真品获取算法!$C$6:$C$66,MATCH(U203,真品获取算法!G$6:G$66,1)),0)+付费投放!AJ203)</f>
        <v>0.88004333918068312</v>
      </c>
      <c r="AQ203" s="60">
        <f>IFERROR(INDEX(真品获取算法!$C$6:$C$66,MATCH(W203,真品获取算法!I$6:I$66,1)),0)*AM203/(IFERROR(INDEX(真品获取算法!$C$6:$C$66,MATCH(W203,真品获取算法!I$6:I$66,1)),0)+付费投放!AL203)</f>
        <v>0.23414774722850124</v>
      </c>
      <c r="AR203" s="60">
        <f>(付费投放!AL203+IFERROR(INDEX(真品获取算法!$C$6:$C$66,MATCH(W203,真品获取算法!I$6:I$66,1)),0)*AN203)/(IFERROR(INDEX(真品获取算法!$C$6:$C$66,MATCH(W203,真品获取算法!I$6:I$66,1)),0)+付费投放!AL203)</f>
        <v>0.76585225277149882</v>
      </c>
    </row>
    <row r="204" spans="3:44" x14ac:dyDescent="0.15">
      <c r="C204" s="29">
        <f t="shared" si="43"/>
        <v>540</v>
      </c>
      <c r="D204" s="18">
        <f>求节点(节奏总纲!$H$4:$H$163,节奏总纲!$C$4:$C$163,$C204)</f>
        <v>109.94539652344133</v>
      </c>
      <c r="E204" s="18">
        <f>IFERROR(求节点(前期规划!$G$13:$G$23,前期规划!$B$13:$B$23,D204),0)</f>
        <v>18.145445618990973</v>
      </c>
      <c r="F204" s="63">
        <f>IFERROR(求节点(前期规划!$C$28:$C$35,前期规划!D$28:D$35,$D204),0)</f>
        <v>9</v>
      </c>
      <c r="G204" s="63">
        <f>IFERROR(求节点(前期规划!$C$28:$C$35,前期规划!E$28:E$35,$D204),0)</f>
        <v>9</v>
      </c>
      <c r="H204" s="63">
        <f>IFERROR(求节点(前期规划!$C$28:$C$35,前期规划!F$28:F$35,$D204),0)</f>
        <v>27</v>
      </c>
      <c r="I204" s="63">
        <f>IFERROR(求节点(前期规划!$C$28:$C$35,前期规划!G$28:G$35,$D204),0)</f>
        <v>27</v>
      </c>
      <c r="J204" s="63">
        <f>IFERROR(求节点(前期规划!$C$28:$C$35,前期规划!H$28:H$35,$D204),0)</f>
        <v>60</v>
      </c>
      <c r="K204" s="63">
        <f>IFERROR(求节点(前期规划!$C$28:$C$35,前期规划!I$28:I$35,$D204),0)</f>
        <v>13.585731321736507</v>
      </c>
      <c r="L204" s="63">
        <f>MIN($E204-SUM(M204:$Q204),F204)</f>
        <v>0</v>
      </c>
      <c r="M204" s="63">
        <f>MIN($E204-SUM(N204:$Q204),G204)</f>
        <v>0</v>
      </c>
      <c r="N204" s="63">
        <f>MIN($E204-SUM(O204:$Q204),H204)</f>
        <v>0</v>
      </c>
      <c r="O204" s="63">
        <f>MIN($E204-SUM(P204:$Q204),I204)</f>
        <v>0</v>
      </c>
      <c r="P204" s="63">
        <f>MIN($E204-SUM(Q204:$Q204),J204)</f>
        <v>4.559714297254466</v>
      </c>
      <c r="Q204" s="69">
        <f t="shared" si="41"/>
        <v>13.585731321736507</v>
      </c>
      <c r="R204" s="64">
        <f>活动投放!AC204+付费投放!AA204</f>
        <v>241.5</v>
      </c>
      <c r="S204" s="64">
        <f>活动投放!AD204+付费投放!AB204</f>
        <v>241.5</v>
      </c>
      <c r="T204" s="64">
        <f>活动投放!AE204+付费投放!AC204</f>
        <v>943.59999999999991</v>
      </c>
      <c r="U204" s="64">
        <f>活动投放!AF204+付费投放!AD204</f>
        <v>404.4</v>
      </c>
      <c r="V204" s="64">
        <f>活动投放!AG204+付费投放!AE204</f>
        <v>634.5</v>
      </c>
      <c r="W204" s="64">
        <f>活动投放!AH204+付费投放!AF204</f>
        <v>70.5</v>
      </c>
      <c r="X204" s="63">
        <f>MIN(IFERROR(INDEX(真品获取算法!$C$6:$C$66,MATCH(R204,真品获取算法!D$6:D$66,1)),0)+付费投放!AG204,前期规划!D$8)</f>
        <v>9</v>
      </c>
      <c r="Y204" s="63">
        <f>MIN(IFERROR(INDEX(真品获取算法!$C$6:$C$66,MATCH(S204,真品获取算法!E$6:E$66,1)),0)+付费投放!AH204,前期规划!E$8)</f>
        <v>9</v>
      </c>
      <c r="Z204" s="63">
        <f>MIN(IFERROR(INDEX(真品获取算法!$C$6:$C$66,MATCH(T204,真品获取算法!F$6:F$66,1)),0)+付费投放!AI204,前期规划!F$8)</f>
        <v>27</v>
      </c>
      <c r="AA204" s="63">
        <f>MIN(IFERROR(INDEX(真品获取算法!$C$6:$C$66,MATCH(U204,真品获取算法!G$6:G$66,1)),0)+付费投放!AJ204,前期规划!G$8)</f>
        <v>27</v>
      </c>
      <c r="AB204" s="63">
        <f>MIN(IFERROR(INDEX(真品获取算法!$C$6:$C$66,MATCH(V204,真品获取算法!H$6:H$66,1)),0)+付费投放!AK204,前期规划!H$8)</f>
        <v>60</v>
      </c>
      <c r="AC204" s="63">
        <f>MIN(IFERROR(INDEX(真品获取算法!$C$6:$C$66,MATCH(W204,真品获取算法!I$6:I$66,1)),0)+付费投放!AL204,前期规划!I$8)</f>
        <v>12.82</v>
      </c>
      <c r="AD204" s="63">
        <f t="shared" si="42"/>
        <v>1</v>
      </c>
      <c r="AE204" s="63">
        <f t="shared" si="36"/>
        <v>1</v>
      </c>
      <c r="AF204" s="63">
        <f t="shared" si="37"/>
        <v>1</v>
      </c>
      <c r="AG204" s="63">
        <f t="shared" si="38"/>
        <v>1</v>
      </c>
      <c r="AH204" s="63">
        <f t="shared" si="39"/>
        <v>1</v>
      </c>
      <c r="AI204" s="63">
        <f t="shared" si="40"/>
        <v>0.94363709221075398</v>
      </c>
      <c r="AK204" s="60">
        <f>活动投放!AF204/U204</f>
        <v>0.12982195845697331</v>
      </c>
      <c r="AL204" s="60">
        <f>付费投放!AD204/U204</f>
        <v>0.87017804154302669</v>
      </c>
      <c r="AM204" s="60">
        <f>活动投放!AH204/W204</f>
        <v>0.51631205673758862</v>
      </c>
      <c r="AN204" s="60">
        <f>付费投放!AF204/W204</f>
        <v>0.48368794326241127</v>
      </c>
      <c r="AO204" s="60">
        <f>IFERROR(INDEX(真品获取算法!$C$6:$C$66,MATCH(U204,真品获取算法!G$6:G$66,1)),0)*AK204/(IFERROR(INDEX(真品获取算法!$C$6:$C$66,MATCH(U204,真品获取算法!G$6:G$66,1)),0)+付费投放!AJ204)</f>
        <v>0.11882009757078914</v>
      </c>
      <c r="AP204" s="60">
        <f>(付费投放!AJ204+IFERROR(INDEX(真品获取算法!$C$6:$C$66,MATCH(U204,真品获取算法!G$6:G$66,1)),0)*AL204)/(IFERROR(INDEX(真品获取算法!$C$6:$C$66,MATCH(U204,真品获取算法!G$6:G$66,1)),0)+付费投放!AJ204)</f>
        <v>0.88117990242921096</v>
      </c>
      <c r="AQ204" s="60">
        <f>IFERROR(INDEX(真品获取算法!$C$6:$C$66,MATCH(W204,真品获取算法!I$6:I$66,1)),0)*AM204/(IFERROR(INDEX(真品获取算法!$C$6:$C$66,MATCH(W204,真品获取算法!I$6:I$66,1)),0)+付费投放!AL204)</f>
        <v>0.24164370830152354</v>
      </c>
      <c r="AR204" s="60">
        <f>(付费投放!AL204+IFERROR(INDEX(真品获取算法!$C$6:$C$66,MATCH(W204,真品获取算法!I$6:I$66,1)),0)*AN204)/(IFERROR(INDEX(真品获取算法!$C$6:$C$66,MATCH(W204,真品获取算法!I$6:I$66,1)),0)+付费投放!AL204)</f>
        <v>0.75835629169847629</v>
      </c>
    </row>
    <row r="205" spans="3:44" x14ac:dyDescent="0.15">
      <c r="C205" s="29">
        <f t="shared" si="43"/>
        <v>600</v>
      </c>
      <c r="D205" s="18">
        <f>求节点(节奏总纲!$H$4:$H$163,节奏总纲!$C$4:$C$163,$C205)</f>
        <v>111.42099139883071</v>
      </c>
      <c r="E205" s="18">
        <f>IFERROR(求节点(前期规划!$G$13:$G$23,前期规划!$B$13:$B$23,D205),0)</f>
        <v>18.372460215204725</v>
      </c>
      <c r="F205" s="63">
        <f>IFERROR(求节点(前期规划!$C$28:$C$35,前期规划!D$28:D$35,$D205),0)</f>
        <v>9</v>
      </c>
      <c r="G205" s="63">
        <f>IFERROR(求节点(前期规划!$C$28:$C$35,前期规划!E$28:E$35,$D205),0)</f>
        <v>9</v>
      </c>
      <c r="H205" s="63">
        <f>IFERROR(求节点(前期规划!$C$28:$C$35,前期规划!F$28:F$35,$D205),0)</f>
        <v>27</v>
      </c>
      <c r="I205" s="63">
        <f>IFERROR(求节点(前期规划!$C$28:$C$35,前期规划!G$28:G$35,$D205),0)</f>
        <v>27</v>
      </c>
      <c r="J205" s="63">
        <f>IFERROR(求节点(前期规划!$C$28:$C$35,前期规划!H$28:H$35,$D205),0)</f>
        <v>60</v>
      </c>
      <c r="K205" s="63">
        <f>IFERROR(求节点(前期规划!$C$28:$C$35,前期规划!I$28:I$35,$D205),0)</f>
        <v>14.954010206188475</v>
      </c>
      <c r="L205" s="63">
        <f>MIN($E205-SUM(M205:$Q205),F205)</f>
        <v>0</v>
      </c>
      <c r="M205" s="63">
        <f>MIN($E205-SUM(N205:$Q205),G205)</f>
        <v>0</v>
      </c>
      <c r="N205" s="63">
        <f>MIN($E205-SUM(O205:$Q205),H205)</f>
        <v>0</v>
      </c>
      <c r="O205" s="63">
        <f>MIN($E205-SUM(P205:$Q205),I205)</f>
        <v>0</v>
      </c>
      <c r="P205" s="63">
        <f>MIN($E205-SUM(Q205:$Q205),J205)</f>
        <v>3.4184500090162508</v>
      </c>
      <c r="Q205" s="69">
        <f t="shared" si="41"/>
        <v>14.954010206188475</v>
      </c>
      <c r="R205" s="64">
        <f>活动投放!AC205+付费投放!AA205</f>
        <v>257.5</v>
      </c>
      <c r="S205" s="64">
        <f>活动投放!AD205+付费投放!AB205</f>
        <v>257.5</v>
      </c>
      <c r="T205" s="64">
        <f>活动投放!AE205+付费投放!AC205</f>
        <v>1055.5999999999999</v>
      </c>
      <c r="U205" s="64">
        <f>活动投放!AF205+付费投放!AD205</f>
        <v>452.4</v>
      </c>
      <c r="V205" s="64">
        <f>活动投放!AG205+付费投放!AE205</f>
        <v>720.90000000000009</v>
      </c>
      <c r="W205" s="64">
        <f>活动投放!AH205+付费投放!AF205</f>
        <v>80.099999999999994</v>
      </c>
      <c r="X205" s="63">
        <f>MIN(IFERROR(INDEX(真品获取算法!$C$6:$C$66,MATCH(R205,真品获取算法!D$6:D$66,1)),0)+付费投放!AG205,前期规划!D$8)</f>
        <v>9</v>
      </c>
      <c r="Y205" s="63">
        <f>MIN(IFERROR(INDEX(真品获取算法!$C$6:$C$66,MATCH(S205,真品获取算法!E$6:E$66,1)),0)+付费投放!AH205,前期规划!E$8)</f>
        <v>9</v>
      </c>
      <c r="Z205" s="63">
        <f>MIN(IFERROR(INDEX(真品获取算法!$C$6:$C$66,MATCH(T205,真品获取算法!F$6:F$66,1)),0)+付费投放!AI205,前期规划!F$8)</f>
        <v>27</v>
      </c>
      <c r="AA205" s="63">
        <f>MIN(IFERROR(INDEX(真品获取算法!$C$6:$C$66,MATCH(U205,真品获取算法!G$6:G$66,1)),0)+付费投放!AJ205,前期规划!G$8)</f>
        <v>27</v>
      </c>
      <c r="AB205" s="63">
        <f>MIN(IFERROR(INDEX(真品获取算法!$C$6:$C$66,MATCH(V205,真品获取算法!H$6:H$66,1)),0)+付费投放!AK205,前期规划!H$8)</f>
        <v>60</v>
      </c>
      <c r="AC205" s="63">
        <f>MIN(IFERROR(INDEX(真品获取算法!$C$6:$C$66,MATCH(W205,真品获取算法!I$6:I$66,1)),0)+付费投放!AL205,前期规划!I$8)</f>
        <v>14.7</v>
      </c>
      <c r="AD205" s="63">
        <f t="shared" si="42"/>
        <v>1</v>
      </c>
      <c r="AE205" s="63">
        <f t="shared" si="36"/>
        <v>1</v>
      </c>
      <c r="AF205" s="63">
        <f t="shared" si="37"/>
        <v>1</v>
      </c>
      <c r="AG205" s="63">
        <f t="shared" si="38"/>
        <v>1</v>
      </c>
      <c r="AH205" s="63">
        <f t="shared" si="39"/>
        <v>1</v>
      </c>
      <c r="AI205" s="63">
        <f t="shared" si="40"/>
        <v>0.98301390712684167</v>
      </c>
      <c r="AK205" s="60">
        <f>活动投放!AF205/U205</f>
        <v>0.12931034482758622</v>
      </c>
      <c r="AL205" s="60">
        <f>付费投放!AD205/U205</f>
        <v>0.87068965517241381</v>
      </c>
      <c r="AM205" s="60">
        <f>活动投放!AH205/W205</f>
        <v>0.51935081148564299</v>
      </c>
      <c r="AN205" s="60">
        <f>付费投放!AF205/W205</f>
        <v>0.48064918851435701</v>
      </c>
      <c r="AO205" s="60">
        <f>IFERROR(INDEX(真品获取算法!$C$6:$C$66,MATCH(U205,真品获取算法!G$6:G$66,1)),0)*AK205/(IFERROR(INDEX(真品获取算法!$C$6:$C$66,MATCH(U205,真品获取算法!G$6:G$66,1)),0)+付费投放!AJ205)</f>
        <v>0.11781932430859937</v>
      </c>
      <c r="AP205" s="60">
        <f>(付费投放!AJ205+IFERROR(INDEX(真品获取算法!$C$6:$C$66,MATCH(U205,真品获取算法!G$6:G$66,1)),0)*AL205)/(IFERROR(INDEX(真品获取算法!$C$6:$C$66,MATCH(U205,真品获取算法!G$6:G$66,1)),0)+付费投放!AJ205)</f>
        <v>0.88218067569140068</v>
      </c>
      <c r="AQ205" s="60">
        <f>IFERROR(INDEX(真品获取算法!$C$6:$C$66,MATCH(W205,真品获取算法!I$6:I$66,1)),0)*AM205/(IFERROR(INDEX(真品获取算法!$C$6:$C$66,MATCH(W205,真品获取算法!I$6:I$66,1)),0)+付费投放!AL205)</f>
        <v>0.24730991023125859</v>
      </c>
      <c r="AR205" s="60">
        <f>(付费投放!AL205+IFERROR(INDEX(真品获取算法!$C$6:$C$66,MATCH(W205,真品获取算法!I$6:I$66,1)),0)*AN205)/(IFERROR(INDEX(真品获取算法!$C$6:$C$66,MATCH(W205,真品获取算法!I$6:I$66,1)),0)+付费投放!AL205)</f>
        <v>0.75269008976874141</v>
      </c>
    </row>
    <row r="206" spans="3:44" x14ac:dyDescent="0.15">
      <c r="C206" s="29">
        <f t="shared" si="43"/>
        <v>660</v>
      </c>
      <c r="D206" s="18">
        <f>求节点(节奏总纲!$H$4:$H$163,节奏总纲!$C$4:$C$163,$C206)</f>
        <v>112.86737811324367</v>
      </c>
      <c r="E206" s="18">
        <f>IFERROR(求节点(前期规划!$G$13:$G$23,前期规划!$B$13:$B$23,D206),0)</f>
        <v>18.594981248191335</v>
      </c>
      <c r="F206" s="63">
        <f>IFERROR(求节点(前期规划!$C$28:$C$35,前期规划!D$28:D$35,$D206),0)</f>
        <v>9</v>
      </c>
      <c r="G206" s="63">
        <f>IFERROR(求节点(前期规划!$C$28:$C$35,前期规划!E$28:E$35,$D206),0)</f>
        <v>9</v>
      </c>
      <c r="H206" s="63">
        <f>IFERROR(求节点(前期规划!$C$28:$C$35,前期规划!F$28:F$35,$D206),0)</f>
        <v>27</v>
      </c>
      <c r="I206" s="63">
        <f>IFERROR(求节点(前期规划!$C$28:$C$35,前期规划!G$28:G$35,$D206),0)</f>
        <v>27</v>
      </c>
      <c r="J206" s="63">
        <f>IFERROR(求节点(前期规划!$C$28:$C$35,前期规划!H$28:H$35,$D206),0)</f>
        <v>60</v>
      </c>
      <c r="K206" s="63">
        <f>IFERROR(求节点(前期规划!$C$28:$C$35,前期规划!I$28:I$35,$D206),0)</f>
        <v>16.295205159553227</v>
      </c>
      <c r="L206" s="63">
        <f>MIN($E206-SUM(M206:$Q206),F206)</f>
        <v>0</v>
      </c>
      <c r="M206" s="63">
        <f>MIN($E206-SUM(N206:$Q206),G206)</f>
        <v>0</v>
      </c>
      <c r="N206" s="63">
        <f>MIN($E206-SUM(O206:$Q206),H206)</f>
        <v>0</v>
      </c>
      <c r="O206" s="63">
        <f>MIN($E206-SUM(P206:$Q206),I206)</f>
        <v>0</v>
      </c>
      <c r="P206" s="63">
        <f>MIN($E206-SUM(Q206:$Q206),J206)</f>
        <v>2.299776088638108</v>
      </c>
      <c r="Q206" s="69">
        <f t="shared" si="41"/>
        <v>16.295205159553227</v>
      </c>
      <c r="R206" s="64">
        <f>活动投放!AC206+付费投放!AA206</f>
        <v>273.5</v>
      </c>
      <c r="S206" s="64">
        <f>活动投放!AD206+付费投放!AB206</f>
        <v>273.5</v>
      </c>
      <c r="T206" s="64">
        <f>活动投放!AE206+付费投放!AC206</f>
        <v>1167.5999999999999</v>
      </c>
      <c r="U206" s="64">
        <f>活动投放!AF206+付费投放!AD206</f>
        <v>500.4</v>
      </c>
      <c r="V206" s="64">
        <f>活动投放!AG206+付费投放!AE206</f>
        <v>807.30000000000007</v>
      </c>
      <c r="W206" s="64">
        <f>活动投放!AH206+付费投放!AF206</f>
        <v>89.699999999999989</v>
      </c>
      <c r="X206" s="63">
        <f>MIN(IFERROR(INDEX(真品获取算法!$C$6:$C$66,MATCH(R206,真品获取算法!D$6:D$66,1)),0)+付费投放!AG206,前期规划!D$8)</f>
        <v>9</v>
      </c>
      <c r="Y206" s="63">
        <f>MIN(IFERROR(INDEX(真品获取算法!$C$6:$C$66,MATCH(S206,真品获取算法!E$6:E$66,1)),0)+付费投放!AH206,前期规划!E$8)</f>
        <v>9</v>
      </c>
      <c r="Z206" s="63">
        <f>MIN(IFERROR(INDEX(真品获取算法!$C$6:$C$66,MATCH(T206,真品获取算法!F$6:F$66,1)),0)+付费投放!AI206,前期规划!F$8)</f>
        <v>27</v>
      </c>
      <c r="AA206" s="63">
        <f>MIN(IFERROR(INDEX(真品获取算法!$C$6:$C$66,MATCH(U206,真品获取算法!G$6:G$66,1)),0)+付费投放!AJ206,前期规划!G$8)</f>
        <v>27</v>
      </c>
      <c r="AB206" s="63">
        <f>MIN(IFERROR(INDEX(真品获取算法!$C$6:$C$66,MATCH(V206,真品获取算法!H$6:H$66,1)),0)+付费投放!AK206,前期规划!H$8)</f>
        <v>60</v>
      </c>
      <c r="AC206" s="63">
        <f>MIN(IFERROR(INDEX(真品获取算法!$C$6:$C$66,MATCH(W206,真品获取算法!I$6:I$66,1)),0)+付费投放!AL206,前期规划!I$8)</f>
        <v>16.579999999999998</v>
      </c>
      <c r="AD206" s="63">
        <f t="shared" si="42"/>
        <v>1</v>
      </c>
      <c r="AE206" s="63">
        <f t="shared" si="36"/>
        <v>1</v>
      </c>
      <c r="AF206" s="63">
        <f t="shared" si="37"/>
        <v>1</v>
      </c>
      <c r="AG206" s="63">
        <f t="shared" si="38"/>
        <v>1</v>
      </c>
      <c r="AH206" s="63">
        <f t="shared" si="39"/>
        <v>1</v>
      </c>
      <c r="AI206" s="63">
        <f t="shared" si="40"/>
        <v>1.0174772172340407</v>
      </c>
      <c r="AK206" s="60">
        <f>活动投放!AF206/U206</f>
        <v>0.1288968824940048</v>
      </c>
      <c r="AL206" s="60">
        <f>付费投放!AD206/U206</f>
        <v>0.87110311750599523</v>
      </c>
      <c r="AM206" s="60">
        <f>活动投放!AH206/W206</f>
        <v>0.52173913043478271</v>
      </c>
      <c r="AN206" s="60">
        <f>付费投放!AF206/W206</f>
        <v>0.47826086956521735</v>
      </c>
      <c r="AO206" s="60">
        <f>IFERROR(INDEX(真品获取算法!$C$6:$C$66,MATCH(U206,真品获取算法!G$6:G$66,1)),0)*AK206/(IFERROR(INDEX(真品获取算法!$C$6:$C$66,MATCH(U206,真品获取算法!G$6:G$66,1)),0)+付费投放!AJ206)</f>
        <v>0.11691654515133694</v>
      </c>
      <c r="AP206" s="60">
        <f>(付费投放!AJ206+IFERROR(INDEX(真品获取算法!$C$6:$C$66,MATCH(U206,真品获取算法!G$6:G$66,1)),0)*AL206)/(IFERROR(INDEX(真品获取算法!$C$6:$C$66,MATCH(U206,真品获取算法!G$6:G$66,1)),0)+付费投放!AJ206)</f>
        <v>0.88308345484866313</v>
      </c>
      <c r="AQ206" s="60">
        <f>IFERROR(INDEX(真品获取算法!$C$6:$C$66,MATCH(W206,真品获取算法!I$6:I$66,1)),0)*AM206/(IFERROR(INDEX(真品获取算法!$C$6:$C$66,MATCH(W206,真品获取算法!I$6:I$66,1)),0)+付费投放!AL206)</f>
        <v>0.25174385063198201</v>
      </c>
      <c r="AR206" s="60">
        <f>(付费投放!AL206+IFERROR(INDEX(真品获取算法!$C$6:$C$66,MATCH(W206,真品获取算法!I$6:I$66,1)),0)*AN206)/(IFERROR(INDEX(真品获取算法!$C$6:$C$66,MATCH(W206,真品获取算法!I$6:I$66,1)),0)+付费投放!AL206)</f>
        <v>0.7482561493680181</v>
      </c>
    </row>
    <row r="207" spans="3:44" x14ac:dyDescent="0.15">
      <c r="C207" s="29">
        <f t="shared" si="43"/>
        <v>720</v>
      </c>
      <c r="D207" s="18">
        <f>求节点(节奏总纲!$H$4:$H$163,节奏总纲!$C$4:$C$163,$C207)</f>
        <v>114.18811572794328</v>
      </c>
      <c r="E207" s="18">
        <f>IFERROR(求节点(前期规划!$G$13:$G$23,前期规划!$B$13:$B$23,D207),0)</f>
        <v>18.798171650452812</v>
      </c>
      <c r="F207" s="63">
        <f>IFERROR(求节点(前期规划!$C$28:$C$35,前期规划!D$28:D$35,$D207),0)</f>
        <v>9</v>
      </c>
      <c r="G207" s="63">
        <f>IFERROR(求节点(前期规划!$C$28:$C$35,前期规划!E$28:E$35,$D207),0)</f>
        <v>9</v>
      </c>
      <c r="H207" s="63">
        <f>IFERROR(求节点(前期规划!$C$28:$C$35,前期规划!F$28:F$35,$D207),0)</f>
        <v>27</v>
      </c>
      <c r="I207" s="63">
        <f>IFERROR(求节点(前期规划!$C$28:$C$35,前期规划!G$28:G$35,$D207),0)</f>
        <v>27</v>
      </c>
      <c r="J207" s="63">
        <f>IFERROR(求节点(前期规划!$C$28:$C$35,前期规划!H$28:H$35,$D207),0)</f>
        <v>60</v>
      </c>
      <c r="K207" s="63">
        <f>IFERROR(求节点(前期规划!$C$28:$C$35,前期规划!I$28:I$35,$D207),0)</f>
        <v>17.519889129547408</v>
      </c>
      <c r="L207" s="63">
        <f>MIN($E207-SUM(M207:$Q207),F207)</f>
        <v>0</v>
      </c>
      <c r="M207" s="63">
        <f>MIN($E207-SUM(N207:$Q207),G207)</f>
        <v>0</v>
      </c>
      <c r="N207" s="63">
        <f>MIN($E207-SUM(O207:$Q207),H207)</f>
        <v>0</v>
      </c>
      <c r="O207" s="63">
        <f>MIN($E207-SUM(P207:$Q207),I207)</f>
        <v>0</v>
      </c>
      <c r="P207" s="63">
        <f>MIN($E207-SUM(Q207:$Q207),J207)</f>
        <v>1.2782825209054032</v>
      </c>
      <c r="Q207" s="69">
        <f t="shared" si="41"/>
        <v>17.519889129547408</v>
      </c>
      <c r="R207" s="64">
        <f>活动投放!AC207+付费投放!AA207</f>
        <v>289.5</v>
      </c>
      <c r="S207" s="64">
        <f>活动投放!AD207+付费投放!AB207</f>
        <v>289.5</v>
      </c>
      <c r="T207" s="64">
        <f>活动投放!AE207+付费投放!AC207</f>
        <v>1279.5999999999999</v>
      </c>
      <c r="U207" s="64">
        <f>活动投放!AF207+付费投放!AD207</f>
        <v>548.4</v>
      </c>
      <c r="V207" s="64">
        <f>活动投放!AG207+付费投放!AE207</f>
        <v>893.7</v>
      </c>
      <c r="W207" s="64">
        <f>活动投放!AH207+付费投放!AF207</f>
        <v>99.299999999999983</v>
      </c>
      <c r="X207" s="63">
        <f>MIN(IFERROR(INDEX(真品获取算法!$C$6:$C$66,MATCH(R207,真品获取算法!D$6:D$66,1)),0)+付费投放!AG207,前期规划!D$8)</f>
        <v>9</v>
      </c>
      <c r="Y207" s="63">
        <f>MIN(IFERROR(INDEX(真品获取算法!$C$6:$C$66,MATCH(S207,真品获取算法!E$6:E$66,1)),0)+付费投放!AH207,前期规划!E$8)</f>
        <v>9</v>
      </c>
      <c r="Z207" s="63">
        <f>MIN(IFERROR(INDEX(真品获取算法!$C$6:$C$66,MATCH(T207,真品获取算法!F$6:F$66,1)),0)+付费投放!AI207,前期规划!F$8)</f>
        <v>27</v>
      </c>
      <c r="AA207" s="63">
        <f>MIN(IFERROR(INDEX(真品获取算法!$C$6:$C$66,MATCH(U207,真品获取算法!G$6:G$66,1)),0)+付费投放!AJ207,前期规划!G$8)</f>
        <v>27</v>
      </c>
      <c r="AB207" s="63">
        <f>MIN(IFERROR(INDEX(真品获取算法!$C$6:$C$66,MATCH(V207,真品获取算法!H$6:H$66,1)),0)+付费投放!AK207,前期规划!H$8)</f>
        <v>60</v>
      </c>
      <c r="AC207" s="63">
        <f>MIN(IFERROR(INDEX(真品获取算法!$C$6:$C$66,MATCH(W207,真品获取算法!I$6:I$66,1)),0)+付费投放!AL207,前期规划!I$8)</f>
        <v>18.46</v>
      </c>
      <c r="AD207" s="63">
        <f t="shared" si="42"/>
        <v>1</v>
      </c>
      <c r="AE207" s="63">
        <f t="shared" si="36"/>
        <v>1</v>
      </c>
      <c r="AF207" s="63">
        <f t="shared" si="37"/>
        <v>1</v>
      </c>
      <c r="AG207" s="63">
        <f t="shared" si="38"/>
        <v>1</v>
      </c>
      <c r="AH207" s="63">
        <f t="shared" si="39"/>
        <v>1</v>
      </c>
      <c r="AI207" s="63">
        <f t="shared" si="40"/>
        <v>1.0536596358288073</v>
      </c>
      <c r="AK207" s="60">
        <f>活动投放!AF207/U207</f>
        <v>0.12855579868708972</v>
      </c>
      <c r="AL207" s="60">
        <f>付费投放!AD207/U207</f>
        <v>0.87144420131291023</v>
      </c>
      <c r="AM207" s="60">
        <f>活动投放!AH207/W207</f>
        <v>0.52366565961732137</v>
      </c>
      <c r="AN207" s="60">
        <f>付费投放!AF207/W207</f>
        <v>0.47633434038267874</v>
      </c>
      <c r="AO207" s="60">
        <f>IFERROR(INDEX(真品获取算法!$C$6:$C$66,MATCH(U207,真品获取算法!G$6:G$66,1)),0)*AK207/(IFERROR(INDEX(真品获取算法!$C$6:$C$66,MATCH(U207,真品获取算法!G$6:G$66,1)),0)+付费投放!AJ207)</f>
        <v>0.11608717607195394</v>
      </c>
      <c r="AP207" s="60">
        <f>(付费投放!AJ207+IFERROR(INDEX(真品获取算法!$C$6:$C$66,MATCH(U207,真品获取算法!G$6:G$66,1)),0)*AL207)/(IFERROR(INDEX(真品获取算法!$C$6:$C$66,MATCH(U207,真品获取算法!G$6:G$66,1)),0)+付费投放!AJ207)</f>
        <v>0.88391282392804604</v>
      </c>
      <c r="AQ207" s="60">
        <f>IFERROR(INDEX(真品获取算法!$C$6:$C$66,MATCH(W207,真品获取算法!I$6:I$66,1)),0)*AM207/(IFERROR(INDEX(真品获取算法!$C$6:$C$66,MATCH(W207,真品获取算法!I$6:I$66,1)),0)+付费投放!AL207)</f>
        <v>0.25530828475384026</v>
      </c>
      <c r="AR207" s="60">
        <f>(付费投放!AL207+IFERROR(INDEX(真品获取算法!$C$6:$C$66,MATCH(W207,真品获取算法!I$6:I$66,1)),0)*AN207)/(IFERROR(INDEX(真品获取算法!$C$6:$C$66,MATCH(W207,真品获取算法!I$6:I$66,1)),0)+付费投放!AL207)</f>
        <v>0.74469171524615985</v>
      </c>
    </row>
    <row r="208" spans="3:44" x14ac:dyDescent="0.15">
      <c r="C208" s="29">
        <f t="shared" si="43"/>
        <v>780</v>
      </c>
      <c r="D208" s="18">
        <f>求节点(节奏总纲!$H$4:$H$163,节奏总纲!$C$4:$C$163,$C208)</f>
        <v>115.38798688586955</v>
      </c>
      <c r="E208" s="18">
        <f>IFERROR(求节点(前期规划!$G$13:$G$23,前期规划!$B$13:$B$23,D208),0)</f>
        <v>18.9827672132107</v>
      </c>
      <c r="F208" s="63">
        <f>IFERROR(求节点(前期规划!$C$28:$C$35,前期规划!D$28:D$35,$D208),0)</f>
        <v>9</v>
      </c>
      <c r="G208" s="63">
        <f>IFERROR(求节点(前期规划!$C$28:$C$35,前期规划!E$28:E$35,$D208),0)</f>
        <v>9</v>
      </c>
      <c r="H208" s="63">
        <f>IFERROR(求节点(前期规划!$C$28:$C$35,前期规划!F$28:F$35,$D208),0)</f>
        <v>27</v>
      </c>
      <c r="I208" s="63">
        <f>IFERROR(求节点(前期规划!$C$28:$C$35,前期规划!G$28:G$35,$D208),0)</f>
        <v>27</v>
      </c>
      <c r="J208" s="63">
        <f>IFERROR(求节点(前期规划!$C$28:$C$35,前期规划!H$28:H$35,$D208),0)</f>
        <v>60</v>
      </c>
      <c r="K208" s="63">
        <f>IFERROR(求节点(前期规划!$C$28:$C$35,前期规划!I$28:I$35,$D208),0)</f>
        <v>18.632496930533584</v>
      </c>
      <c r="L208" s="63">
        <f>MIN($E208-SUM(M208:$Q208),F208)</f>
        <v>0</v>
      </c>
      <c r="M208" s="63">
        <f>MIN($E208-SUM(N208:$Q208),G208)</f>
        <v>0</v>
      </c>
      <c r="N208" s="63">
        <f>MIN($E208-SUM(O208:$Q208),H208)</f>
        <v>0</v>
      </c>
      <c r="O208" s="63">
        <f>MIN($E208-SUM(P208:$Q208),I208)</f>
        <v>0</v>
      </c>
      <c r="P208" s="63">
        <f>MIN($E208-SUM(Q208:$Q208),J208)</f>
        <v>0.35027028267711557</v>
      </c>
      <c r="Q208" s="69">
        <f t="shared" si="41"/>
        <v>18.632496930533584</v>
      </c>
      <c r="R208" s="64">
        <f>活动投放!AC208+付费投放!AA208</f>
        <v>305.5</v>
      </c>
      <c r="S208" s="64">
        <f>活动投放!AD208+付费投放!AB208</f>
        <v>305.5</v>
      </c>
      <c r="T208" s="64">
        <f>活动投放!AE208+付费投放!AC208</f>
        <v>1391.6</v>
      </c>
      <c r="U208" s="64">
        <f>活动投放!AF208+付费投放!AD208</f>
        <v>596.4</v>
      </c>
      <c r="V208" s="64">
        <f>活动投放!AG208+付费投放!AE208</f>
        <v>980.10000000000014</v>
      </c>
      <c r="W208" s="64">
        <f>活动投放!AH208+付费投放!AF208</f>
        <v>108.89999999999999</v>
      </c>
      <c r="X208" s="63">
        <f>MIN(IFERROR(INDEX(真品获取算法!$C$6:$C$66,MATCH(R208,真品获取算法!D$6:D$66,1)),0)+付费投放!AG208,前期规划!D$8)</f>
        <v>9</v>
      </c>
      <c r="Y208" s="63">
        <f>MIN(IFERROR(INDEX(真品获取算法!$C$6:$C$66,MATCH(S208,真品获取算法!E$6:E$66,1)),0)+付费投放!AH208,前期规划!E$8)</f>
        <v>9</v>
      </c>
      <c r="Z208" s="63">
        <f>MIN(IFERROR(INDEX(真品获取算法!$C$6:$C$66,MATCH(T208,真品获取算法!F$6:F$66,1)),0)+付费投放!AI208,前期规划!F$8)</f>
        <v>27</v>
      </c>
      <c r="AA208" s="63">
        <f>MIN(IFERROR(INDEX(真品获取算法!$C$6:$C$66,MATCH(U208,真品获取算法!G$6:G$66,1)),0)+付费投放!AJ208,前期规划!G$8)</f>
        <v>27</v>
      </c>
      <c r="AB208" s="63">
        <f>MIN(IFERROR(INDEX(真品获取算法!$C$6:$C$66,MATCH(V208,真品获取算法!H$6:H$66,1)),0)+付费投放!AK208,前期规划!H$8)</f>
        <v>60</v>
      </c>
      <c r="AC208" s="63">
        <f>MIN(IFERROR(INDEX(真品获取算法!$C$6:$C$66,MATCH(W208,真品获取算法!I$6:I$66,1)),0)+付费投放!AL208,前期规划!I$8)</f>
        <v>20.340000000000003</v>
      </c>
      <c r="AD208" s="63">
        <f t="shared" si="42"/>
        <v>1</v>
      </c>
      <c r="AE208" s="63">
        <f t="shared" si="36"/>
        <v>1</v>
      </c>
      <c r="AF208" s="63">
        <f t="shared" si="37"/>
        <v>1</v>
      </c>
      <c r="AG208" s="63">
        <f t="shared" si="38"/>
        <v>1</v>
      </c>
      <c r="AH208" s="63">
        <f t="shared" si="39"/>
        <v>1</v>
      </c>
      <c r="AI208" s="63">
        <f t="shared" si="40"/>
        <v>1.0916411297869739</v>
      </c>
      <c r="AK208" s="60">
        <f>活动投放!AF208/U208</f>
        <v>0.12826961770623743</v>
      </c>
      <c r="AL208" s="60">
        <f>付费投放!AD208/U208</f>
        <v>0.87173038229376254</v>
      </c>
      <c r="AM208" s="60">
        <f>活动投放!AH208/W208</f>
        <v>0.5252525252525253</v>
      </c>
      <c r="AN208" s="60">
        <f>付费投放!AF208/W208</f>
        <v>0.4747474747474747</v>
      </c>
      <c r="AO208" s="60">
        <f>IFERROR(INDEX(真品获取算法!$C$6:$C$66,MATCH(U208,真品获取算法!G$6:G$66,1)),0)*AK208/(IFERROR(INDEX(真品获取算法!$C$6:$C$66,MATCH(U208,真品获取算法!G$6:G$66,1)),0)+付费投放!AJ208)</f>
        <v>0.11531452868152312</v>
      </c>
      <c r="AP208" s="60">
        <f>(付费投放!AJ208+IFERROR(INDEX(真品获取算法!$C$6:$C$66,MATCH(U208,真品获取算法!G$6:G$66,1)),0)*AL208)/(IFERROR(INDEX(真品获取算法!$C$6:$C$66,MATCH(U208,真品获取算法!G$6:G$66,1)),0)+付费投放!AJ208)</f>
        <v>0.88468547131847686</v>
      </c>
      <c r="AQ208" s="60">
        <f>IFERROR(INDEX(真品获取算法!$C$6:$C$66,MATCH(W208,真品获取算法!I$6:I$66,1)),0)*AM208/(IFERROR(INDEX(真品获取算法!$C$6:$C$66,MATCH(W208,真品获取算法!I$6:I$66,1)),0)+付费投放!AL208)</f>
        <v>0.25823624643683635</v>
      </c>
      <c r="AR208" s="60">
        <f>(付费投放!AL208+IFERROR(INDEX(真品获取算法!$C$6:$C$66,MATCH(W208,真品获取算法!I$6:I$66,1)),0)*AN208)/(IFERROR(INDEX(真品获取算法!$C$6:$C$66,MATCH(W208,真品获取算法!I$6:I$66,1)),0)+付费投放!AL208)</f>
        <v>0.7417637535631636</v>
      </c>
    </row>
    <row r="209" spans="3:44" x14ac:dyDescent="0.15">
      <c r="C209" s="29">
        <f t="shared" si="43"/>
        <v>840</v>
      </c>
      <c r="D209" s="18">
        <f>求节点(节奏总纲!$H$4:$H$163,节奏总纲!$C$4:$C$163,$C209)</f>
        <v>116.44628179968991</v>
      </c>
      <c r="E209" s="18">
        <f>IFERROR(求节点(前期规划!$G$13:$G$23,前期规划!$B$13:$B$23,D209),0)</f>
        <v>19.145581815336911</v>
      </c>
      <c r="F209" s="63">
        <f>IFERROR(求节点(前期规划!$C$28:$C$35,前期规划!D$28:D$35,$D209),0)</f>
        <v>9</v>
      </c>
      <c r="G209" s="63">
        <f>IFERROR(求节点(前期规划!$C$28:$C$35,前期规划!E$28:E$35,$D209),0)</f>
        <v>9</v>
      </c>
      <c r="H209" s="63">
        <f>IFERROR(求节点(前期规划!$C$28:$C$35,前期规划!F$28:F$35,$D209),0)</f>
        <v>27</v>
      </c>
      <c r="I209" s="63">
        <f>IFERROR(求节点(前期规划!$C$28:$C$35,前期规划!G$28:G$35,$D209),0)</f>
        <v>27</v>
      </c>
      <c r="J209" s="63">
        <f>IFERROR(求节点(前期规划!$C$28:$C$35,前期规划!H$28:H$35,$D209),0)</f>
        <v>60</v>
      </c>
      <c r="K209" s="63">
        <f>IFERROR(求节点(前期规划!$C$28:$C$35,前期规划!I$28:I$35,$D209),0)</f>
        <v>19.613824941530645</v>
      </c>
      <c r="L209" s="63">
        <f>MIN($E209-SUM(M209:$Q209),F209)</f>
        <v>0</v>
      </c>
      <c r="M209" s="63">
        <f>MIN($E209-SUM(N209:$Q209),G209)</f>
        <v>0</v>
      </c>
      <c r="N209" s="63">
        <f>MIN($E209-SUM(O209:$Q209),H209)</f>
        <v>0</v>
      </c>
      <c r="O209" s="63">
        <f>MIN($E209-SUM(P209:$Q209),I209)</f>
        <v>0</v>
      </c>
      <c r="P209" s="63">
        <f>MIN($E209-SUM(Q209:$Q209),J209)</f>
        <v>0</v>
      </c>
      <c r="Q209" s="69">
        <f t="shared" si="41"/>
        <v>19.145581815336911</v>
      </c>
      <c r="R209" s="64">
        <f>活动投放!AC209+付费投放!AA209</f>
        <v>321.5</v>
      </c>
      <c r="S209" s="64">
        <f>活动投放!AD209+付费投放!AB209</f>
        <v>321.5</v>
      </c>
      <c r="T209" s="64">
        <f>活动投放!AE209+付费投放!AC209</f>
        <v>1503.6</v>
      </c>
      <c r="U209" s="64">
        <f>活动投放!AF209+付费投放!AD209</f>
        <v>644.4</v>
      </c>
      <c r="V209" s="64">
        <f>活动投放!AG209+付费投放!AE209</f>
        <v>1066.5000000000002</v>
      </c>
      <c r="W209" s="64">
        <f>活动投放!AH209+付费投放!AF209</f>
        <v>118.5</v>
      </c>
      <c r="X209" s="63">
        <f>MIN(IFERROR(INDEX(真品获取算法!$C$6:$C$66,MATCH(R209,真品获取算法!D$6:D$66,1)),0)+付费投放!AG209,前期规划!D$8)</f>
        <v>9</v>
      </c>
      <c r="Y209" s="63">
        <f>MIN(IFERROR(INDEX(真品获取算法!$C$6:$C$66,MATCH(S209,真品获取算法!E$6:E$66,1)),0)+付费投放!AH209,前期规划!E$8)</f>
        <v>9</v>
      </c>
      <c r="Z209" s="63">
        <f>MIN(IFERROR(INDEX(真品获取算法!$C$6:$C$66,MATCH(T209,真品获取算法!F$6:F$66,1)),0)+付费投放!AI209,前期规划!F$8)</f>
        <v>27</v>
      </c>
      <c r="AA209" s="63">
        <f>MIN(IFERROR(INDEX(真品获取算法!$C$6:$C$66,MATCH(U209,真品获取算法!G$6:G$66,1)),0)+付费投放!AJ209,前期规划!G$8)</f>
        <v>27</v>
      </c>
      <c r="AB209" s="63">
        <f>MIN(IFERROR(INDEX(真品获取算法!$C$6:$C$66,MATCH(V209,真品获取算法!H$6:H$66,1)),0)+付费投放!AK209,前期规划!H$8)</f>
        <v>60</v>
      </c>
      <c r="AC209" s="63">
        <f>MIN(IFERROR(INDEX(真品获取算法!$C$6:$C$66,MATCH(W209,真品获取算法!I$6:I$66,1)),0)+付费投放!AL209,前期规划!I$8)</f>
        <v>21.220000000000002</v>
      </c>
      <c r="AD209" s="63">
        <f t="shared" si="42"/>
        <v>1</v>
      </c>
      <c r="AE209" s="63">
        <f t="shared" si="36"/>
        <v>1</v>
      </c>
      <c r="AF209" s="63">
        <f t="shared" si="37"/>
        <v>1</v>
      </c>
      <c r="AG209" s="63">
        <f t="shared" si="38"/>
        <v>1</v>
      </c>
      <c r="AH209" s="63">
        <f t="shared" si="39"/>
        <v>1</v>
      </c>
      <c r="AI209" s="63">
        <f t="shared" si="40"/>
        <v>1.0818899456509585</v>
      </c>
      <c r="AK209" s="60">
        <f>活动投放!AF209/U209</f>
        <v>0.12802607076350095</v>
      </c>
      <c r="AL209" s="60">
        <f>付费投放!AD209/U209</f>
        <v>0.87197392923649908</v>
      </c>
      <c r="AM209" s="60">
        <f>活动投放!AH209/W209</f>
        <v>0.52658227848101269</v>
      </c>
      <c r="AN209" s="60">
        <f>付费投放!AF209/W209</f>
        <v>0.47341772151898726</v>
      </c>
      <c r="AO209" s="60">
        <f>IFERROR(INDEX(真品获取算法!$C$6:$C$66,MATCH(U209,真品获取算法!G$6:G$66,1)),0)*AK209/(IFERROR(INDEX(真品获取算法!$C$6:$C$66,MATCH(U209,真品获取算法!G$6:G$66,1)),0)+付费投放!AJ209)</f>
        <v>0.11458686996512239</v>
      </c>
      <c r="AP209" s="60">
        <f>(付费投放!AJ209+IFERROR(INDEX(真品获取算法!$C$6:$C$66,MATCH(U209,真品获取算法!G$6:G$66,1)),0)*AL209)/(IFERROR(INDEX(真品获取算法!$C$6:$C$66,MATCH(U209,真品获取算法!G$6:G$66,1)),0)+付费投放!AJ209)</f>
        <v>0.88541313003487765</v>
      </c>
      <c r="AQ209" s="60">
        <f>IFERROR(INDEX(真品获取算法!$C$6:$C$66,MATCH(W209,真品获取算法!I$6:I$66,1)),0)*AM209/(IFERROR(INDEX(真品获取算法!$C$6:$C$66,MATCH(W209,真品获取算法!I$6:I$66,1)),0)+付费投放!AL209)</f>
        <v>0.24815375988737637</v>
      </c>
      <c r="AR209" s="60">
        <f>(付费投放!AL209+IFERROR(INDEX(真品获取算法!$C$6:$C$66,MATCH(W209,真品获取算法!I$6:I$66,1)),0)*AN209)/(IFERROR(INDEX(真品获取算法!$C$6:$C$66,MATCH(W209,真品获取算法!I$6:I$66,1)),0)+付费投放!AL209)</f>
        <v>0.75184624011262369</v>
      </c>
    </row>
    <row r="210" spans="3:44" x14ac:dyDescent="0.15">
      <c r="C210" s="29">
        <f t="shared" si="43"/>
        <v>900</v>
      </c>
      <c r="D210" s="18">
        <f>求节点(节奏总纲!$H$4:$H$163,节奏总纲!$C$4:$C$163,$C210)</f>
        <v>117.4271778717454</v>
      </c>
      <c r="E210" s="18">
        <f>IFERROR(求节点(前期规划!$G$13:$G$23,前期规划!$B$13:$B$23,D210),0)</f>
        <v>19.296488903345445</v>
      </c>
      <c r="F210" s="63">
        <f>IFERROR(求节点(前期规划!$C$28:$C$35,前期规划!D$28:D$35,$D210),0)</f>
        <v>9</v>
      </c>
      <c r="G210" s="63">
        <f>IFERROR(求节点(前期规划!$C$28:$C$35,前期规划!E$28:E$35,$D210),0)</f>
        <v>9</v>
      </c>
      <c r="H210" s="63">
        <f>IFERROR(求节点(前期规划!$C$28:$C$35,前期规划!F$28:F$35,$D210),0)</f>
        <v>27</v>
      </c>
      <c r="I210" s="63">
        <f>IFERROR(求节点(前期规划!$C$28:$C$35,前期规划!G$28:G$35,$D210),0)</f>
        <v>27</v>
      </c>
      <c r="J210" s="63">
        <f>IFERROR(求节点(前期规划!$C$28:$C$35,前期规划!H$28:H$35,$D210),0)</f>
        <v>60</v>
      </c>
      <c r="K210" s="63">
        <f>IFERROR(求节点(前期规划!$C$28:$C$35,前期规划!I$28:I$35,$D210),0)</f>
        <v>20.523383117436644</v>
      </c>
      <c r="L210" s="63">
        <f>MIN($E210-SUM(M210:$Q210),F210)</f>
        <v>0</v>
      </c>
      <c r="M210" s="63">
        <f>MIN($E210-SUM(N210:$Q210),G210)</f>
        <v>0</v>
      </c>
      <c r="N210" s="63">
        <f>MIN($E210-SUM(O210:$Q210),H210)</f>
        <v>0</v>
      </c>
      <c r="O210" s="63">
        <f>MIN($E210-SUM(P210:$Q210),I210)</f>
        <v>0</v>
      </c>
      <c r="P210" s="63">
        <f>MIN($E210-SUM(Q210:$Q210),J210)</f>
        <v>0</v>
      </c>
      <c r="Q210" s="69">
        <f t="shared" si="41"/>
        <v>19.296488903345445</v>
      </c>
      <c r="R210" s="64">
        <f>活动投放!AC210+付费投放!AA210</f>
        <v>337.5</v>
      </c>
      <c r="S210" s="64">
        <f>活动投放!AD210+付费投放!AB210</f>
        <v>337.5</v>
      </c>
      <c r="T210" s="64">
        <f>活动投放!AE210+付费投放!AC210</f>
        <v>1615.6</v>
      </c>
      <c r="U210" s="64">
        <f>活动投放!AF210+付费投放!AD210</f>
        <v>692.4</v>
      </c>
      <c r="V210" s="64">
        <f>活动投放!AG210+付费投放!AE210</f>
        <v>1152.9000000000001</v>
      </c>
      <c r="W210" s="64">
        <f>活动投放!AH210+付费投放!AF210</f>
        <v>128.1</v>
      </c>
      <c r="X210" s="63">
        <f>MIN(IFERROR(INDEX(真品获取算法!$C$6:$C$66,MATCH(R210,真品获取算法!D$6:D$66,1)),0)+付费投放!AG210,前期规划!D$8)</f>
        <v>9</v>
      </c>
      <c r="Y210" s="63">
        <f>MIN(IFERROR(INDEX(真品获取算法!$C$6:$C$66,MATCH(S210,真品获取算法!E$6:E$66,1)),0)+付费投放!AH210,前期规划!E$8)</f>
        <v>9</v>
      </c>
      <c r="Z210" s="63">
        <f>MIN(IFERROR(INDEX(真品获取算法!$C$6:$C$66,MATCH(T210,真品获取算法!F$6:F$66,1)),0)+付费投放!AI210,前期规划!F$8)</f>
        <v>27</v>
      </c>
      <c r="AA210" s="63">
        <f>MIN(IFERROR(INDEX(真品获取算法!$C$6:$C$66,MATCH(U210,真品获取算法!G$6:G$66,1)),0)+付费投放!AJ210,前期规划!G$8)</f>
        <v>27</v>
      </c>
      <c r="AB210" s="63">
        <f>MIN(IFERROR(INDEX(真品获取算法!$C$6:$C$66,MATCH(V210,真品获取算法!H$6:H$66,1)),0)+付费投放!AK210,前期规划!H$8)</f>
        <v>60</v>
      </c>
      <c r="AC210" s="63">
        <f>MIN(IFERROR(INDEX(真品获取算法!$C$6:$C$66,MATCH(W210,真品获取算法!I$6:I$66,1)),0)+付费投放!AL210,前期规划!I$8)</f>
        <v>23.1</v>
      </c>
      <c r="AD210" s="63">
        <f t="shared" si="42"/>
        <v>1</v>
      </c>
      <c r="AE210" s="63">
        <f t="shared" si="36"/>
        <v>1</v>
      </c>
      <c r="AF210" s="63">
        <f t="shared" si="37"/>
        <v>1</v>
      </c>
      <c r="AG210" s="63">
        <f t="shared" si="38"/>
        <v>1</v>
      </c>
      <c r="AH210" s="63">
        <f t="shared" si="39"/>
        <v>1</v>
      </c>
      <c r="AI210" s="63">
        <f t="shared" si="40"/>
        <v>1.1255454262983702</v>
      </c>
      <c r="AK210" s="60">
        <f>活动投放!AF210/U210</f>
        <v>0.12781629116117851</v>
      </c>
      <c r="AL210" s="60">
        <f>付费投放!AD210/U210</f>
        <v>0.87218370883882146</v>
      </c>
      <c r="AM210" s="60">
        <f>活动投放!AH210/W210</f>
        <v>0.52771272443403605</v>
      </c>
      <c r="AN210" s="60">
        <f>付费投放!AF210/W210</f>
        <v>0.472287275565964</v>
      </c>
      <c r="AO210" s="60">
        <f>IFERROR(INDEX(真品获取算法!$C$6:$C$66,MATCH(U210,真品获取算法!G$6:G$66,1)),0)*AK210/(IFERROR(INDEX(真品获取算法!$C$6:$C$66,MATCH(U210,真品获取算法!G$6:G$66,1)),0)+付费投放!AJ210)</f>
        <v>0.11389570499510956</v>
      </c>
      <c r="AP210" s="60">
        <f>(付费投放!AJ210+IFERROR(INDEX(真品获取算法!$C$6:$C$66,MATCH(U210,真品获取算法!G$6:G$66,1)),0)*AL210)/(IFERROR(INDEX(真品获取算法!$C$6:$C$66,MATCH(U210,真品获取算法!G$6:G$66,1)),0)+付费投放!AJ210)</f>
        <v>0.88610429500489041</v>
      </c>
      <c r="AQ210" s="60">
        <f>IFERROR(INDEX(真品获取算法!$C$6:$C$66,MATCH(W210,真品获取算法!I$6:I$66,1)),0)*AM210/(IFERROR(INDEX(真品获取算法!$C$6:$C$66,MATCH(W210,真品获取算法!I$6:I$66,1)),0)+付费投放!AL210)</f>
        <v>0.25129177354001719</v>
      </c>
      <c r="AR210" s="60">
        <f>(付费投放!AL210+IFERROR(INDEX(真品获取算法!$C$6:$C$66,MATCH(W210,真品获取算法!I$6:I$66,1)),0)*AN210)/(IFERROR(INDEX(真品获取算法!$C$6:$C$66,MATCH(W210,真品获取算法!I$6:I$66,1)),0)+付费投放!AL210)</f>
        <v>0.74870822645998292</v>
      </c>
    </row>
    <row r="211" spans="3:44" x14ac:dyDescent="0.15">
      <c r="C211" s="29">
        <f t="shared" si="43"/>
        <v>1020</v>
      </c>
      <c r="D211" s="18">
        <f>求节点(节奏总纲!$H$4:$H$163,节奏总纲!$C$4:$C$163,$C211)</f>
        <v>119.29151076707612</v>
      </c>
      <c r="E211" s="18">
        <f>IFERROR(求节点(前期规划!$G$13:$G$23,前期规划!$B$13:$B$23,D211),0)</f>
        <v>19.58330934878094</v>
      </c>
      <c r="F211" s="63">
        <f>IFERROR(求节点(前期规划!$C$28:$C$35,前期规划!D$28:D$35,$D211),0)</f>
        <v>9</v>
      </c>
      <c r="G211" s="63">
        <f>IFERROR(求节点(前期规划!$C$28:$C$35,前期规划!E$28:E$35,$D211),0)</f>
        <v>9</v>
      </c>
      <c r="H211" s="63">
        <f>IFERROR(求节点(前期规划!$C$28:$C$35,前期规划!F$28:F$35,$D211),0)</f>
        <v>27</v>
      </c>
      <c r="I211" s="63">
        <f>IFERROR(求节点(前期规划!$C$28:$C$35,前期规划!G$28:G$35,$D211),0)</f>
        <v>27</v>
      </c>
      <c r="J211" s="63">
        <f>IFERROR(求节点(前期规划!$C$28:$C$35,前期规划!H$28:H$35,$D211),0)</f>
        <v>60</v>
      </c>
      <c r="K211" s="63">
        <f>IFERROR(求节点(前期规划!$C$28:$C$35,前期规划!I$28:I$35,$D211),0)</f>
        <v>22.252128165834218</v>
      </c>
      <c r="L211" s="63">
        <f>MIN($E211-SUM(M211:$Q211),F211)</f>
        <v>0</v>
      </c>
      <c r="M211" s="63">
        <f>MIN($E211-SUM(N211:$Q211),G211)</f>
        <v>0</v>
      </c>
      <c r="N211" s="63">
        <f>MIN($E211-SUM(O211:$Q211),H211)</f>
        <v>0</v>
      </c>
      <c r="O211" s="63">
        <f>MIN($E211-SUM(P211:$Q211),I211)</f>
        <v>0</v>
      </c>
      <c r="P211" s="63">
        <f>MIN($E211-SUM(Q211:$Q211),J211)</f>
        <v>0</v>
      </c>
      <c r="Q211" s="69">
        <f t="shared" si="41"/>
        <v>19.58330934878094</v>
      </c>
      <c r="R211" s="64">
        <f>活动投放!AC211+付费投放!AA211</f>
        <v>369.5</v>
      </c>
      <c r="S211" s="64">
        <f>活动投放!AD211+付费投放!AB211</f>
        <v>369.5</v>
      </c>
      <c r="T211" s="64">
        <f>活动投放!AE211+付费投放!AC211</f>
        <v>1839.6</v>
      </c>
      <c r="U211" s="64">
        <f>活动投放!AF211+付费投放!AD211</f>
        <v>788.4</v>
      </c>
      <c r="V211" s="64">
        <f>活动投放!AG211+付费投放!AE211</f>
        <v>1325.7000000000003</v>
      </c>
      <c r="W211" s="64">
        <f>活动投放!AH211+付费投放!AF211</f>
        <v>147.29999999999998</v>
      </c>
      <c r="X211" s="63">
        <f>MIN(IFERROR(INDEX(真品获取算法!$C$6:$C$66,MATCH(R211,真品获取算法!D$6:D$66,1)),0)+付费投放!AG211,前期规划!D$8)</f>
        <v>9</v>
      </c>
      <c r="Y211" s="63">
        <f>MIN(IFERROR(INDEX(真品获取算法!$C$6:$C$66,MATCH(S211,真品获取算法!E$6:E$66,1)),0)+付费投放!AH211,前期规划!E$8)</f>
        <v>9</v>
      </c>
      <c r="Z211" s="63">
        <f>MIN(IFERROR(INDEX(真品获取算法!$C$6:$C$66,MATCH(T211,真品获取算法!F$6:F$66,1)),0)+付费投放!AI211,前期规划!F$8)</f>
        <v>27</v>
      </c>
      <c r="AA211" s="63">
        <f>MIN(IFERROR(INDEX(真品获取算法!$C$6:$C$66,MATCH(U211,真品获取算法!G$6:G$66,1)),0)+付费投放!AJ211,前期规划!G$8)</f>
        <v>27</v>
      </c>
      <c r="AB211" s="63">
        <f>MIN(IFERROR(INDEX(真品获取算法!$C$6:$C$66,MATCH(V211,真品获取算法!H$6:H$66,1)),0)+付费投放!AK211,前期规划!H$8)</f>
        <v>60</v>
      </c>
      <c r="AC211" s="63">
        <f>MIN(IFERROR(INDEX(真品获取算法!$C$6:$C$66,MATCH(W211,真品获取算法!I$6:I$66,1)),0)+付费投放!AL211,前期规划!I$8)</f>
        <v>26.860000000000003</v>
      </c>
      <c r="AD211" s="63">
        <f t="shared" si="42"/>
        <v>1</v>
      </c>
      <c r="AE211" s="63">
        <f t="shared" si="36"/>
        <v>1</v>
      </c>
      <c r="AF211" s="63">
        <f t="shared" si="37"/>
        <v>1</v>
      </c>
      <c r="AG211" s="63">
        <f t="shared" si="38"/>
        <v>1</v>
      </c>
      <c r="AH211" s="63">
        <f t="shared" si="39"/>
        <v>1</v>
      </c>
      <c r="AI211" s="63">
        <f t="shared" si="40"/>
        <v>1.2070755569905751</v>
      </c>
      <c r="AK211" s="60">
        <f>活动投放!AF211/U211</f>
        <v>0.12747336377473364</v>
      </c>
      <c r="AL211" s="60">
        <f>付费投放!AD211/U211</f>
        <v>0.87252663622526638</v>
      </c>
      <c r="AM211" s="60">
        <f>活动投放!AH211/W211</f>
        <v>0.52953156822810599</v>
      </c>
      <c r="AN211" s="60">
        <f>付费投放!AF211/W211</f>
        <v>0.47046843177189401</v>
      </c>
      <c r="AO211" s="60">
        <f>IFERROR(INDEX(真品获取算法!$C$6:$C$66,MATCH(U211,真品获取算法!G$6:G$66,1)),0)*AK211/(IFERROR(INDEX(真品获取算法!$C$6:$C$66,MATCH(U211,真品获取算法!G$6:G$66,1)),0)+付费投放!AJ211)</f>
        <v>0.11259915447931762</v>
      </c>
      <c r="AP211" s="60">
        <f>(付费投放!AJ211+IFERROR(INDEX(真品获取算法!$C$6:$C$66,MATCH(U211,真品获取算法!G$6:G$66,1)),0)*AL211)/(IFERROR(INDEX(真品获取算法!$C$6:$C$66,MATCH(U211,真品获取算法!G$6:G$66,1)),0)+付费投放!AJ211)</f>
        <v>0.88740084552068244</v>
      </c>
      <c r="AQ211" s="60">
        <f>IFERROR(INDEX(真品获取算法!$C$6:$C$66,MATCH(W211,真品获取算法!I$6:I$66,1)),0)*AM211/(IFERROR(INDEX(真品获取算法!$C$6:$C$66,MATCH(W211,真品获取算法!I$6:I$66,1)),0)+付费投放!AL211)</f>
        <v>0.25628854754152558</v>
      </c>
      <c r="AR211" s="60">
        <f>(付费投放!AL211+IFERROR(INDEX(真品获取算法!$C$6:$C$66,MATCH(W211,真品获取算法!I$6:I$66,1)),0)*AN211)/(IFERROR(INDEX(真品获取算法!$C$6:$C$66,MATCH(W211,真品获取算法!I$6:I$66,1)),0)+付费投放!AL211)</f>
        <v>0.74371145245847436</v>
      </c>
    </row>
    <row r="212" spans="3:44" x14ac:dyDescent="0.15">
      <c r="C212" s="29">
        <f t="shared" si="43"/>
        <v>1140</v>
      </c>
      <c r="D212" s="18">
        <f>求节点(节奏总纲!$H$4:$H$163,节奏总纲!$C$4:$C$163,$C212)</f>
        <v>120.95580403349236</v>
      </c>
      <c r="E212" s="18">
        <f>IFERROR(求节点(前期规划!$G$13:$G$23,前期规划!$B$13:$B$23,D212),0)</f>
        <v>19.83935446669113</v>
      </c>
      <c r="F212" s="63">
        <f>IFERROR(求节点(前期规划!$C$28:$C$35,前期规划!D$28:D$35,$D212),0)</f>
        <v>9</v>
      </c>
      <c r="G212" s="63">
        <f>IFERROR(求节点(前期规划!$C$28:$C$35,前期规划!E$28:E$35,$D212),0)</f>
        <v>9</v>
      </c>
      <c r="H212" s="63">
        <f>IFERROR(求节点(前期规划!$C$28:$C$35,前期规划!F$28:F$35,$D212),0)</f>
        <v>27</v>
      </c>
      <c r="I212" s="63">
        <f>IFERROR(求节点(前期规划!$C$28:$C$35,前期规划!G$28:G$35,$D212),0)</f>
        <v>27</v>
      </c>
      <c r="J212" s="63">
        <f>IFERROR(求节点(前期规划!$C$28:$C$35,前期规划!H$28:H$35,$D212),0)</f>
        <v>60</v>
      </c>
      <c r="K212" s="63">
        <f>IFERROR(求节点(前期规划!$C$28:$C$35,前期规划!I$28:I$35,$D212),0)</f>
        <v>23.795381921965639</v>
      </c>
      <c r="L212" s="63">
        <f>MIN($E212-SUM(M212:$Q212),F212)</f>
        <v>0</v>
      </c>
      <c r="M212" s="63">
        <f>MIN($E212-SUM(N212:$Q212),G212)</f>
        <v>0</v>
      </c>
      <c r="N212" s="63">
        <f>MIN($E212-SUM(O212:$Q212),H212)</f>
        <v>0</v>
      </c>
      <c r="O212" s="63">
        <f>MIN($E212-SUM(P212:$Q212),I212)</f>
        <v>0</v>
      </c>
      <c r="P212" s="63">
        <f>MIN($E212-SUM(Q212:$Q212),J212)</f>
        <v>0</v>
      </c>
      <c r="Q212" s="69">
        <f t="shared" si="41"/>
        <v>19.83935446669113</v>
      </c>
      <c r="R212" s="64">
        <f>活动投放!AC212+付费投放!AA212</f>
        <v>401.5</v>
      </c>
      <c r="S212" s="64">
        <f>活动投放!AD212+付费投放!AB212</f>
        <v>401.5</v>
      </c>
      <c r="T212" s="64">
        <f>活动投放!AE212+付费投放!AC212</f>
        <v>2063.6</v>
      </c>
      <c r="U212" s="64">
        <f>活动投放!AF212+付费投放!AD212</f>
        <v>884.4</v>
      </c>
      <c r="V212" s="64">
        <f>活动投放!AG212+付费投放!AE212</f>
        <v>1498.5000000000002</v>
      </c>
      <c r="W212" s="64">
        <f>活动投放!AH212+付费投放!AF212</f>
        <v>166.5</v>
      </c>
      <c r="X212" s="63">
        <f>MIN(IFERROR(INDEX(真品获取算法!$C$6:$C$66,MATCH(R212,真品获取算法!D$6:D$66,1)),0)+付费投放!AG212,前期规划!D$8)</f>
        <v>9</v>
      </c>
      <c r="Y212" s="63">
        <f>MIN(IFERROR(INDEX(真品获取算法!$C$6:$C$66,MATCH(S212,真品获取算法!E$6:E$66,1)),0)+付费投放!AH212,前期规划!E$8)</f>
        <v>9</v>
      </c>
      <c r="Z212" s="63">
        <f>MIN(IFERROR(INDEX(真品获取算法!$C$6:$C$66,MATCH(T212,真品获取算法!F$6:F$66,1)),0)+付费投放!AI212,前期规划!F$8)</f>
        <v>27</v>
      </c>
      <c r="AA212" s="63">
        <f>MIN(IFERROR(INDEX(真品获取算法!$C$6:$C$66,MATCH(U212,真品获取算法!G$6:G$66,1)),0)+付费投放!AJ212,前期规划!G$8)</f>
        <v>27</v>
      </c>
      <c r="AB212" s="63">
        <f>MIN(IFERROR(INDEX(真品获取算法!$C$6:$C$66,MATCH(V212,真品获取算法!H$6:H$66,1)),0)+付费投放!AK212,前期规划!H$8)</f>
        <v>60</v>
      </c>
      <c r="AC212" s="63">
        <f>MIN(IFERROR(INDEX(真品获取算法!$C$6:$C$66,MATCH(W212,真品获取算法!I$6:I$66,1)),0)+付费投放!AL212,前期规划!I$8)</f>
        <v>29.620000000000005</v>
      </c>
      <c r="AD212" s="63">
        <f t="shared" si="42"/>
        <v>1</v>
      </c>
      <c r="AE212" s="63">
        <f t="shared" si="36"/>
        <v>1</v>
      </c>
      <c r="AF212" s="63">
        <f t="shared" si="37"/>
        <v>1</v>
      </c>
      <c r="AG212" s="63">
        <f t="shared" si="38"/>
        <v>1</v>
      </c>
      <c r="AH212" s="63">
        <f t="shared" si="39"/>
        <v>1</v>
      </c>
      <c r="AI212" s="63">
        <f t="shared" si="40"/>
        <v>1.2447793482422584</v>
      </c>
      <c r="AK212" s="60">
        <f>活动投放!AF212/U212</f>
        <v>0.12720488466757124</v>
      </c>
      <c r="AL212" s="60">
        <f>付费投放!AD212/U212</f>
        <v>0.87279511533242882</v>
      </c>
      <c r="AM212" s="60">
        <f>活动投放!AH212/W212</f>
        <v>0.53093093093093091</v>
      </c>
      <c r="AN212" s="60">
        <f>付费投放!AF212/W212</f>
        <v>0.46906906906906892</v>
      </c>
      <c r="AO212" s="60">
        <f>IFERROR(INDEX(真品获取算法!$C$6:$C$66,MATCH(U212,真品获取算法!G$6:G$66,1)),0)*AK212/(IFERROR(INDEX(真品获取算法!$C$6:$C$66,MATCH(U212,真品获取算法!G$6:G$66,1)),0)+付费投放!AJ212)</f>
        <v>0.11139022333052184</v>
      </c>
      <c r="AP212" s="60">
        <f>(付费投放!AJ212+IFERROR(INDEX(真品获取算法!$C$6:$C$66,MATCH(U212,真品获取算法!G$6:G$66,1)),0)*AL212)/(IFERROR(INDEX(真品获取算法!$C$6:$C$66,MATCH(U212,真品获取算法!G$6:G$66,1)),0)+付费投放!AJ212)</f>
        <v>0.88860977666947816</v>
      </c>
      <c r="AQ212" s="60">
        <f>IFERROR(INDEX(真品获取算法!$C$6:$C$66,MATCH(W212,真品获取算法!I$6:I$66,1)),0)*AM212/(IFERROR(INDEX(真品获取算法!$C$6:$C$66,MATCH(W212,真品获取算法!I$6:I$66,1)),0)+付费投放!AL212)</f>
        <v>0.25094642245216175</v>
      </c>
      <c r="AR212" s="60">
        <f>(付费投放!AL212+IFERROR(INDEX(真品获取算法!$C$6:$C$66,MATCH(W212,真品获取算法!I$6:I$66,1)),0)*AN212)/(IFERROR(INDEX(真品获取算法!$C$6:$C$66,MATCH(W212,真品获取算法!I$6:I$66,1)),0)+付费投放!AL212)</f>
        <v>0.74905357754783808</v>
      </c>
    </row>
    <row r="213" spans="3:44" x14ac:dyDescent="0.15">
      <c r="C213" s="29">
        <f t="shared" si="43"/>
        <v>1260</v>
      </c>
      <c r="D213" s="18">
        <f>求节点(节奏总纲!$H$4:$H$163,节奏总纲!$C$4:$C$163,$C213)</f>
        <v>122.38959636199006</v>
      </c>
      <c r="E213" s="18">
        <f>IFERROR(求节点(前期规划!$G$13:$G$23,前期规划!$B$13:$B$23,D213),0)</f>
        <v>20</v>
      </c>
      <c r="F213" s="63">
        <f>IFERROR(求节点(前期规划!$C$28:$C$35,前期规划!D$28:D$35,$D213),0)</f>
        <v>9</v>
      </c>
      <c r="G213" s="63">
        <f>IFERROR(求节点(前期规划!$C$28:$C$35,前期规划!E$28:E$35,$D213),0)</f>
        <v>9</v>
      </c>
      <c r="H213" s="63">
        <f>IFERROR(求节点(前期规划!$C$28:$C$35,前期规划!F$28:F$35,$D213),0)</f>
        <v>27</v>
      </c>
      <c r="I213" s="63">
        <f>IFERROR(求节点(前期规划!$C$28:$C$35,前期规划!G$28:G$35,$D213),0)</f>
        <v>27</v>
      </c>
      <c r="J213" s="63">
        <f>IFERROR(求节点(前期规划!$C$28:$C$35,前期规划!H$28:H$35,$D213),0)</f>
        <v>60</v>
      </c>
      <c r="K213" s="63">
        <f>IFERROR(求节点(前期规划!$C$28:$C$35,前期规划!I$28:I$35,$D213),0)</f>
        <v>25.124898444754418</v>
      </c>
      <c r="L213" s="63">
        <f>MIN($E213-SUM(M213:$Q213),F213)</f>
        <v>0</v>
      </c>
      <c r="M213" s="63">
        <f>MIN($E213-SUM(N213:$Q213),G213)</f>
        <v>0</v>
      </c>
      <c r="N213" s="63">
        <f>MIN($E213-SUM(O213:$Q213),H213)</f>
        <v>0</v>
      </c>
      <c r="O213" s="63">
        <f>MIN($E213-SUM(P213:$Q213),I213)</f>
        <v>0</v>
      </c>
      <c r="P213" s="63">
        <f>MIN($E213-SUM(Q213:$Q213),J213)</f>
        <v>0</v>
      </c>
      <c r="Q213" s="69">
        <f t="shared" si="41"/>
        <v>20</v>
      </c>
      <c r="R213" s="64">
        <f>活动投放!AC213+付费投放!AA213</f>
        <v>433.5</v>
      </c>
      <c r="S213" s="64">
        <f>活动投放!AD213+付费投放!AB213</f>
        <v>433.5</v>
      </c>
      <c r="T213" s="64">
        <f>活动投放!AE213+付费投放!AC213</f>
        <v>2287.6</v>
      </c>
      <c r="U213" s="64">
        <f>活动投放!AF213+付费投放!AD213</f>
        <v>980.4</v>
      </c>
      <c r="V213" s="64">
        <f>活动投放!AG213+付费投放!AE213</f>
        <v>1671.3000000000002</v>
      </c>
      <c r="W213" s="64">
        <f>活动投放!AH213+付费投放!AF213</f>
        <v>185.7</v>
      </c>
      <c r="X213" s="63">
        <f>MIN(IFERROR(INDEX(真品获取算法!$C$6:$C$66,MATCH(R213,真品获取算法!D$6:D$66,1)),0)+付费投放!AG213,前期规划!D$8)</f>
        <v>9</v>
      </c>
      <c r="Y213" s="63">
        <f>MIN(IFERROR(INDEX(真品获取算法!$C$6:$C$66,MATCH(S213,真品获取算法!E$6:E$66,1)),0)+付费投放!AH213,前期规划!E$8)</f>
        <v>9</v>
      </c>
      <c r="Z213" s="63">
        <f>MIN(IFERROR(INDEX(真品获取算法!$C$6:$C$66,MATCH(T213,真品获取算法!F$6:F$66,1)),0)+付费投放!AI213,前期规划!F$8)</f>
        <v>27</v>
      </c>
      <c r="AA213" s="63">
        <f>MIN(IFERROR(INDEX(真品获取算法!$C$6:$C$66,MATCH(U213,真品获取算法!G$6:G$66,1)),0)+付费投放!AJ213,前期规划!G$8)</f>
        <v>27</v>
      </c>
      <c r="AB213" s="63">
        <f>MIN(IFERROR(INDEX(真品获取算法!$C$6:$C$66,MATCH(V213,真品获取算法!H$6:H$66,1)),0)+付费投放!AK213,前期规划!H$8)</f>
        <v>60</v>
      </c>
      <c r="AC213" s="63">
        <f>MIN(IFERROR(INDEX(真品获取算法!$C$6:$C$66,MATCH(W213,真品获取算法!I$6:I$66,1)),0)+付费投放!AL213,前期规划!I$8)</f>
        <v>33.380000000000003</v>
      </c>
      <c r="AD213" s="63">
        <f t="shared" si="42"/>
        <v>1</v>
      </c>
      <c r="AE213" s="63">
        <f t="shared" si="36"/>
        <v>1</v>
      </c>
      <c r="AF213" s="63">
        <f t="shared" si="37"/>
        <v>1</v>
      </c>
      <c r="AG213" s="63">
        <f t="shared" si="38"/>
        <v>1</v>
      </c>
      <c r="AH213" s="63">
        <f t="shared" si="39"/>
        <v>1</v>
      </c>
      <c r="AI213" s="63">
        <f t="shared" si="40"/>
        <v>1.3285625839800792</v>
      </c>
      <c r="AK213" s="60">
        <f>活动投放!AF213/U213</f>
        <v>0.12698898408812731</v>
      </c>
      <c r="AL213" s="60">
        <f>付费投放!AD213/U213</f>
        <v>0.87301101591187269</v>
      </c>
      <c r="AM213" s="60">
        <f>活动投放!AH213/W213</f>
        <v>0.53204092622509436</v>
      </c>
      <c r="AN213" s="60">
        <f>付费投放!AF213/W213</f>
        <v>0.46795907377490564</v>
      </c>
      <c r="AO213" s="60">
        <f>IFERROR(INDEX(真品获取算法!$C$6:$C$66,MATCH(U213,真品获取算法!G$6:G$66,1)),0)*AK213/(IFERROR(INDEX(真品获取算法!$C$6:$C$66,MATCH(U213,真品获取算法!G$6:G$66,1)),0)+付费投放!AJ213)</f>
        <v>0.11024767107329381</v>
      </c>
      <c r="AP213" s="60">
        <f>(付费投放!AJ213+IFERROR(INDEX(真品获取算法!$C$6:$C$66,MATCH(U213,真品获取算法!G$6:G$66,1)),0)*AL213)/(IFERROR(INDEX(真品获取算法!$C$6:$C$66,MATCH(U213,真品获取算法!G$6:G$66,1)),0)+付费投放!AJ213)</f>
        <v>0.8897523289267063</v>
      </c>
      <c r="AQ213" s="60">
        <f>IFERROR(INDEX(真品获取算法!$C$6:$C$66,MATCH(W213,真品获取算法!I$6:I$66,1)),0)*AM213/(IFERROR(INDEX(真品获取算法!$C$6:$C$66,MATCH(W213,真品获取算法!I$6:I$66,1)),0)+付费投放!AL213)</f>
        <v>0.25502261292994333</v>
      </c>
      <c r="AR213" s="60">
        <f>(付费投放!AL213+IFERROR(INDEX(真品获取算法!$C$6:$C$66,MATCH(W213,真品获取算法!I$6:I$66,1)),0)*AN213)/(IFERROR(INDEX(真品获取算法!$C$6:$C$66,MATCH(W213,真品获取算法!I$6:I$66,1)),0)+付费投放!AL213)</f>
        <v>0.74497738707005667</v>
      </c>
    </row>
    <row r="214" spans="3:44" x14ac:dyDescent="0.15">
      <c r="C214" s="29">
        <f t="shared" si="43"/>
        <v>1380</v>
      </c>
      <c r="D214" s="18">
        <f>求节点(节奏总纲!$H$4:$H$163,节奏总纲!$C$4:$C$163,$C214)</f>
        <v>123.64000871786199</v>
      </c>
      <c r="E214" s="18">
        <f>IFERROR(求节点(前期规划!$G$13:$G$23,前期规划!$B$13:$B$23,D214),0)</f>
        <v>20</v>
      </c>
      <c r="F214" s="63">
        <f>IFERROR(求节点(前期规划!$C$28:$C$35,前期规划!D$28:D$35,$D214),0)</f>
        <v>9</v>
      </c>
      <c r="G214" s="63">
        <f>IFERROR(求节点(前期规划!$C$28:$C$35,前期规划!E$28:E$35,$D214),0)</f>
        <v>9</v>
      </c>
      <c r="H214" s="63">
        <f>IFERROR(求节点(前期规划!$C$28:$C$35,前期规划!F$28:F$35,$D214),0)</f>
        <v>27</v>
      </c>
      <c r="I214" s="63">
        <f>IFERROR(求节点(前期规划!$C$28:$C$35,前期规划!G$28:G$35,$D214),0)</f>
        <v>27</v>
      </c>
      <c r="J214" s="63">
        <f>IFERROR(求节点(前期规划!$C$28:$C$35,前期规划!H$28:H$35,$D214),0)</f>
        <v>60</v>
      </c>
      <c r="K214" s="63">
        <f>IFERROR(求节点(前期规划!$C$28:$C$35,前期规划!I$28:I$35,$D214),0)</f>
        <v>26.284371720199299</v>
      </c>
      <c r="L214" s="63">
        <f>MIN($E214-SUM(M214:$Q214),F214)</f>
        <v>0</v>
      </c>
      <c r="M214" s="63">
        <f>MIN($E214-SUM(N214:$Q214),G214)</f>
        <v>0</v>
      </c>
      <c r="N214" s="63">
        <f>MIN($E214-SUM(O214:$Q214),H214)</f>
        <v>0</v>
      </c>
      <c r="O214" s="63">
        <f>MIN($E214-SUM(P214:$Q214),I214)</f>
        <v>0</v>
      </c>
      <c r="P214" s="63">
        <f>MIN($E214-SUM(Q214:$Q214),J214)</f>
        <v>0</v>
      </c>
      <c r="Q214" s="69">
        <f t="shared" si="41"/>
        <v>20</v>
      </c>
      <c r="R214" s="64">
        <f>活动投放!AC214+付费投放!AA214</f>
        <v>465.5</v>
      </c>
      <c r="S214" s="64">
        <f>活动投放!AD214+付费投放!AB214</f>
        <v>465.5</v>
      </c>
      <c r="T214" s="64">
        <f>活动投放!AE214+付费投放!AC214</f>
        <v>2511.6</v>
      </c>
      <c r="U214" s="64">
        <f>活动投放!AF214+付费投放!AD214</f>
        <v>1076.4000000000001</v>
      </c>
      <c r="V214" s="64">
        <f>活动投放!AG214+付费投放!AE214</f>
        <v>1844.1000000000004</v>
      </c>
      <c r="W214" s="64">
        <f>活动投放!AH214+付费投放!AF214</f>
        <v>204.89999999999998</v>
      </c>
      <c r="X214" s="63">
        <f>MIN(IFERROR(INDEX(真品获取算法!$C$6:$C$66,MATCH(R214,真品获取算法!D$6:D$66,1)),0)+付费投放!AG214,前期规划!D$8)</f>
        <v>9</v>
      </c>
      <c r="Y214" s="63">
        <f>MIN(IFERROR(INDEX(真品获取算法!$C$6:$C$66,MATCH(S214,真品获取算法!E$6:E$66,1)),0)+付费投放!AH214,前期规划!E$8)</f>
        <v>9</v>
      </c>
      <c r="Z214" s="63">
        <f>MIN(IFERROR(INDEX(真品获取算法!$C$6:$C$66,MATCH(T214,真品获取算法!F$6:F$66,1)),0)+付费投放!AI214,前期规划!F$8)</f>
        <v>27</v>
      </c>
      <c r="AA214" s="63">
        <f>MIN(IFERROR(INDEX(真品获取算法!$C$6:$C$66,MATCH(U214,真品获取算法!G$6:G$66,1)),0)+付费投放!AJ214,前期规划!G$8)</f>
        <v>27</v>
      </c>
      <c r="AB214" s="63">
        <f>MIN(IFERROR(INDEX(真品获取算法!$C$6:$C$66,MATCH(V214,真品获取算法!H$6:H$66,1)),0)+付费投放!AK214,前期规划!H$8)</f>
        <v>60</v>
      </c>
      <c r="AC214" s="63">
        <f>MIN(IFERROR(INDEX(真品获取算法!$C$6:$C$66,MATCH(W214,真品获取算法!I$6:I$66,1)),0)+付费投放!AL214,前期规划!I$8)</f>
        <v>36.14</v>
      </c>
      <c r="AD214" s="63">
        <f t="shared" si="42"/>
        <v>1</v>
      </c>
      <c r="AE214" s="63">
        <f t="shared" si="36"/>
        <v>1</v>
      </c>
      <c r="AF214" s="63">
        <f t="shared" si="37"/>
        <v>1</v>
      </c>
      <c r="AG214" s="63">
        <f t="shared" si="38"/>
        <v>1</v>
      </c>
      <c r="AH214" s="63">
        <f t="shared" si="39"/>
        <v>1</v>
      </c>
      <c r="AI214" s="63">
        <f t="shared" si="40"/>
        <v>1.3749615316932511</v>
      </c>
      <c r="AK214" s="60">
        <f>活动投放!AF214/U214</f>
        <v>0.12681159420289853</v>
      </c>
      <c r="AL214" s="60">
        <f>付费投放!AD214/U214</f>
        <v>0.87318840579710133</v>
      </c>
      <c r="AM214" s="60">
        <f>活动投放!AH214/W214</f>
        <v>0.53294289897510994</v>
      </c>
      <c r="AN214" s="60">
        <f>付费投放!AF214/W214</f>
        <v>0.46705710102489012</v>
      </c>
      <c r="AO214" s="60">
        <f>IFERROR(INDEX(真品获取算法!$C$6:$C$66,MATCH(U214,真品获取算法!G$6:G$66,1)),0)*AK214/(IFERROR(INDEX(真品获取算法!$C$6:$C$66,MATCH(U214,真品获取算法!G$6:G$66,1)),0)+付费投放!AJ214)</f>
        <v>0.10915769532874368</v>
      </c>
      <c r="AP214" s="60">
        <f>(付费投放!AJ214+IFERROR(INDEX(真品获取算法!$C$6:$C$66,MATCH(U214,真品获取算法!G$6:G$66,1)),0)*AL214)/(IFERROR(INDEX(真品获取算法!$C$6:$C$66,MATCH(U214,真品获取算法!G$6:G$66,1)),0)+付费投放!AJ214)</f>
        <v>0.89084230467125614</v>
      </c>
      <c r="AQ214" s="60">
        <f>IFERROR(INDEX(真品获取算法!$C$6:$C$66,MATCH(W214,真品获取算法!I$6:I$66,1)),0)*AM214/(IFERROR(INDEX(真品获取算法!$C$6:$C$66,MATCH(W214,真品获取算法!I$6:I$66,1)),0)+付费投放!AL214)</f>
        <v>0.25069256454280214</v>
      </c>
      <c r="AR214" s="60">
        <f>(付费投放!AL214+IFERROR(INDEX(真品获取算法!$C$6:$C$66,MATCH(W214,真品获取算法!I$6:I$66,1)),0)*AN214)/(IFERROR(INDEX(真品获取算法!$C$6:$C$66,MATCH(W214,真品获取算法!I$6:I$66,1)),0)+付费投放!AL214)</f>
        <v>0.74930743545719802</v>
      </c>
    </row>
    <row r="215" spans="3:44" x14ac:dyDescent="0.15">
      <c r="C215" s="29">
        <f t="shared" si="43"/>
        <v>1500</v>
      </c>
      <c r="D215" s="18">
        <f>求节点(节奏总纲!$H$4:$H$163,节奏总纲!$C$4:$C$163,$C215)</f>
        <v>124.89506332611212</v>
      </c>
      <c r="E215" s="18">
        <f>IFERROR(求节点(前期规划!$G$13:$G$23,前期规划!$B$13:$B$23,D215),0)</f>
        <v>20</v>
      </c>
      <c r="F215" s="63">
        <f>IFERROR(求节点(前期规划!$C$28:$C$35,前期规划!D$28:D$35,$D215),0)</f>
        <v>9</v>
      </c>
      <c r="G215" s="63">
        <f>IFERROR(求节点(前期规划!$C$28:$C$35,前期规划!E$28:E$35,$D215),0)</f>
        <v>9</v>
      </c>
      <c r="H215" s="63">
        <f>IFERROR(求节点(前期规划!$C$28:$C$35,前期规划!F$28:F$35,$D215),0)</f>
        <v>27</v>
      </c>
      <c r="I215" s="63">
        <f>IFERROR(求节点(前期规划!$C$28:$C$35,前期规划!G$28:G$35,$D215),0)</f>
        <v>27</v>
      </c>
      <c r="J215" s="63">
        <f>IFERROR(求节点(前期规划!$C$28:$C$35,前期规划!H$28:H$35,$D215),0)</f>
        <v>60</v>
      </c>
      <c r="K215" s="63">
        <f>IFERROR(求节点(前期规划!$C$28:$C$35,前期规划!I$28:I$35,$D215),0)</f>
        <v>27.448149629667604</v>
      </c>
      <c r="L215" s="63">
        <f>MIN($E215-SUM(M215:$Q215),F215)</f>
        <v>0</v>
      </c>
      <c r="M215" s="63">
        <f>MIN($E215-SUM(N215:$Q215),G215)</f>
        <v>0</v>
      </c>
      <c r="N215" s="63">
        <f>MIN($E215-SUM(O215:$Q215),H215)</f>
        <v>0</v>
      </c>
      <c r="O215" s="63">
        <f>MIN($E215-SUM(P215:$Q215),I215)</f>
        <v>0</v>
      </c>
      <c r="P215" s="63">
        <f>MIN($E215-SUM(Q215:$Q215),J215)</f>
        <v>0</v>
      </c>
      <c r="Q215" s="69">
        <f t="shared" si="41"/>
        <v>20</v>
      </c>
      <c r="R215" s="64">
        <f>活动投放!AC215+付费投放!AA215</f>
        <v>497.5</v>
      </c>
      <c r="S215" s="64">
        <f>活动投放!AD215+付费投放!AB215</f>
        <v>497.5</v>
      </c>
      <c r="T215" s="64">
        <f>活动投放!AE215+付费投放!AC215</f>
        <v>2735.6</v>
      </c>
      <c r="U215" s="64">
        <f>活动投放!AF215+付费投放!AD215</f>
        <v>1172.4000000000001</v>
      </c>
      <c r="V215" s="64">
        <f>活动投放!AG215+付费投放!AE215</f>
        <v>2016.9000000000005</v>
      </c>
      <c r="W215" s="64">
        <f>活动投放!AH215+付费投放!AF215</f>
        <v>224.09999999999997</v>
      </c>
      <c r="X215" s="63">
        <f>MIN(IFERROR(INDEX(真品获取算法!$C$6:$C$66,MATCH(R215,真品获取算法!D$6:D$66,1)),0)+付费投放!AG215,前期规划!D$8)</f>
        <v>9</v>
      </c>
      <c r="Y215" s="63">
        <f>MIN(IFERROR(INDEX(真品获取算法!$C$6:$C$66,MATCH(S215,真品获取算法!E$6:E$66,1)),0)+付费投放!AH215,前期规划!E$8)</f>
        <v>9</v>
      </c>
      <c r="Z215" s="63">
        <f>MIN(IFERROR(INDEX(真品获取算法!$C$6:$C$66,MATCH(T215,真品获取算法!F$6:F$66,1)),0)+付费投放!AI215,前期规划!F$8)</f>
        <v>27</v>
      </c>
      <c r="AA215" s="63">
        <f>MIN(IFERROR(INDEX(真品获取算法!$C$6:$C$66,MATCH(U215,真品获取算法!G$6:G$66,1)),0)+付费投放!AJ215,前期规划!G$8)</f>
        <v>27</v>
      </c>
      <c r="AB215" s="63">
        <f>MIN(IFERROR(INDEX(真品获取算法!$C$6:$C$66,MATCH(V215,真品获取算法!H$6:H$66,1)),0)+付费投放!AK215,前期规划!H$8)</f>
        <v>60</v>
      </c>
      <c r="AC215" s="63">
        <f>MIN(IFERROR(INDEX(真品获取算法!$C$6:$C$66,MATCH(W215,真品获取算法!I$6:I$66,1)),0)+付费投放!AL215,前期规划!I$8)</f>
        <v>38.900000000000006</v>
      </c>
      <c r="AD215" s="63">
        <f t="shared" si="42"/>
        <v>1</v>
      </c>
      <c r="AE215" s="63">
        <f t="shared" si="36"/>
        <v>1</v>
      </c>
      <c r="AF215" s="63">
        <f t="shared" si="37"/>
        <v>1</v>
      </c>
      <c r="AG215" s="63">
        <f t="shared" si="38"/>
        <v>1</v>
      </c>
      <c r="AH215" s="63">
        <f t="shared" si="39"/>
        <v>1</v>
      </c>
      <c r="AI215" s="63">
        <f t="shared" si="40"/>
        <v>1.4172175729454111</v>
      </c>
      <c r="AK215" s="60">
        <f>活动投放!AF215/U215</f>
        <v>0.12666325486182189</v>
      </c>
      <c r="AL215" s="60">
        <f>付费投放!AD215/U215</f>
        <v>0.87333674513817805</v>
      </c>
      <c r="AM215" s="60">
        <f>活动投放!AH215/W215</f>
        <v>0.53369031682284707</v>
      </c>
      <c r="AN215" s="60">
        <f>付费投放!AF215/W215</f>
        <v>0.46630968317715299</v>
      </c>
      <c r="AO215" s="60">
        <f>IFERROR(INDEX(真品获取算法!$C$6:$C$66,MATCH(U215,真品获取算法!G$6:G$66,1)),0)*AK215/(IFERROR(INDEX(真品获取算法!$C$6:$C$66,MATCH(U215,真品获取算法!G$6:G$66,1)),0)+付费投放!AJ215)</f>
        <v>0.10811089192631795</v>
      </c>
      <c r="AP215" s="60">
        <f>(付费投放!AJ215+IFERROR(INDEX(真品获取算法!$C$6:$C$66,MATCH(U215,真品获取算法!G$6:G$66,1)),0)*AL215)/(IFERROR(INDEX(真品获取算法!$C$6:$C$66,MATCH(U215,真品获取算法!G$6:G$66,1)),0)+付费投放!AJ215)</f>
        <v>0.89188910807368194</v>
      </c>
      <c r="AQ215" s="60">
        <f>IFERROR(INDEX(真品获取算法!$C$6:$C$66,MATCH(W215,真品获取算法!I$6:I$66,1)),0)*AM215/(IFERROR(INDEX(真品获取算法!$C$6:$C$66,MATCH(W215,真品获取算法!I$6:I$66,1)),0)+付费投放!AL215)</f>
        <v>0.24695181755298831</v>
      </c>
      <c r="AR215" s="60">
        <f>(付费投放!AL215+IFERROR(INDEX(真品获取算法!$C$6:$C$66,MATCH(W215,真品获取算法!I$6:I$66,1)),0)*AN215)/(IFERROR(INDEX(真品获取算法!$C$6:$C$66,MATCH(W215,真品获取算法!I$6:I$66,1)),0)+付费投放!AL215)</f>
        <v>0.75304818244701177</v>
      </c>
    </row>
    <row r="216" spans="3:44" x14ac:dyDescent="0.15">
      <c r="C216" s="29">
        <f t="shared" si="43"/>
        <v>1800</v>
      </c>
      <c r="D216" s="18">
        <f>求节点(节奏总纲!$H$4:$H$163,节奏总纲!$C$4:$C$163,$C216)</f>
        <v>127.67301312853458</v>
      </c>
      <c r="E216" s="18">
        <f>IFERROR(求节点(前期规划!$G$13:$G$23,前期规划!$B$13:$B$23,D216),0)</f>
        <v>20</v>
      </c>
      <c r="F216" s="63">
        <f>IFERROR(求节点(前期规划!$C$28:$C$35,前期规划!D$28:D$35,$D216),0)</f>
        <v>9</v>
      </c>
      <c r="G216" s="63">
        <f>IFERROR(求节点(前期规划!$C$28:$C$35,前期规划!E$28:E$35,$D216),0)</f>
        <v>9</v>
      </c>
      <c r="H216" s="63">
        <f>IFERROR(求节点(前期规划!$C$28:$C$35,前期规划!F$28:F$35,$D216),0)</f>
        <v>27</v>
      </c>
      <c r="I216" s="63">
        <f>IFERROR(求节点(前期规划!$C$28:$C$35,前期规划!G$28:G$35,$D216),0)</f>
        <v>27</v>
      </c>
      <c r="J216" s="63">
        <f>IFERROR(求节点(前期规划!$C$28:$C$35,前期规划!H$28:H$35,$D216),0)</f>
        <v>60</v>
      </c>
      <c r="K216" s="63">
        <f>IFERROR(求节点(前期规划!$C$28:$C$35,前期规划!I$28:I$35,$D216),0)</f>
        <v>30.024066719186607</v>
      </c>
      <c r="L216" s="63">
        <f>MIN($E216-SUM(M216:$Q216),F216)</f>
        <v>0</v>
      </c>
      <c r="M216" s="63">
        <f>MIN($E216-SUM(N216:$Q216),G216)</f>
        <v>0</v>
      </c>
      <c r="N216" s="63">
        <f>MIN($E216-SUM(O216:$Q216),H216)</f>
        <v>0</v>
      </c>
      <c r="O216" s="63">
        <f>MIN($E216-SUM(P216:$Q216),I216)</f>
        <v>0</v>
      </c>
      <c r="P216" s="63">
        <f>MIN($E216-SUM(Q216:$Q216),J216)</f>
        <v>0</v>
      </c>
      <c r="Q216" s="69">
        <f t="shared" si="41"/>
        <v>20</v>
      </c>
      <c r="R216" s="64">
        <f>活动投放!AC216+付费投放!AA216</f>
        <v>577.5</v>
      </c>
      <c r="S216" s="64">
        <f>活动投放!AD216+付费投放!AB216</f>
        <v>577.5</v>
      </c>
      <c r="T216" s="64">
        <f>活动投放!AE216+付费投放!AC216</f>
        <v>3295.6</v>
      </c>
      <c r="U216" s="64">
        <f>活动投放!AF216+付费投放!AD216</f>
        <v>1412.3999999999999</v>
      </c>
      <c r="V216" s="64">
        <f>活动投放!AG216+付费投放!AE216</f>
        <v>2448.9000000000005</v>
      </c>
      <c r="W216" s="64">
        <f>活动投放!AH216+付费投放!AF216</f>
        <v>272.09999999999997</v>
      </c>
      <c r="X216" s="63">
        <f>MIN(IFERROR(INDEX(真品获取算法!$C$6:$C$66,MATCH(R216,真品获取算法!D$6:D$66,1)),0)+付费投放!AG216,前期规划!D$8)</f>
        <v>9</v>
      </c>
      <c r="Y216" s="63">
        <f>MIN(IFERROR(INDEX(真品获取算法!$C$6:$C$66,MATCH(S216,真品获取算法!E$6:E$66,1)),0)+付费投放!AH216,前期规划!E$8)</f>
        <v>9</v>
      </c>
      <c r="Z216" s="63">
        <f>MIN(IFERROR(INDEX(真品获取算法!$C$6:$C$66,MATCH(T216,真品获取算法!F$6:F$66,1)),0)+付费投放!AI216,前期规划!F$8)</f>
        <v>27</v>
      </c>
      <c r="AA216" s="63">
        <f>MIN(IFERROR(INDEX(真品获取算法!$C$6:$C$66,MATCH(U216,真品获取算法!G$6:G$66,1)),0)+付费投放!AJ216,前期规划!G$8)</f>
        <v>27</v>
      </c>
      <c r="AB216" s="63">
        <f>MIN(IFERROR(INDEX(真品获取算法!$C$6:$C$66,MATCH(V216,真品获取算法!H$6:H$66,1)),0)+付费投放!AK216,前期规划!H$8)</f>
        <v>60</v>
      </c>
      <c r="AC216" s="63">
        <f>MIN(IFERROR(INDEX(真品获取算法!$C$6:$C$66,MATCH(W216,真品获取算法!I$6:I$66,1)),0)+付费投放!AL216,前期规划!I$8)</f>
        <v>47.300000000000004</v>
      </c>
      <c r="AD216" s="63">
        <f t="shared" si="42"/>
        <v>1</v>
      </c>
      <c r="AE216" s="63">
        <f t="shared" si="36"/>
        <v>1</v>
      </c>
      <c r="AF216" s="63">
        <f t="shared" si="37"/>
        <v>1</v>
      </c>
      <c r="AG216" s="63">
        <f t="shared" si="38"/>
        <v>1</v>
      </c>
      <c r="AH216" s="63">
        <f t="shared" si="39"/>
        <v>1</v>
      </c>
      <c r="AI216" s="63">
        <f t="shared" si="40"/>
        <v>1.5754028407408704</v>
      </c>
      <c r="AK216" s="60">
        <f>活动投放!AF216/U216</f>
        <v>0.12638062871707734</v>
      </c>
      <c r="AL216" s="60">
        <f>付费投放!AD216/U216</f>
        <v>0.87361937128292266</v>
      </c>
      <c r="AM216" s="60">
        <f>活动投放!AH216/W216</f>
        <v>0.53509739066519668</v>
      </c>
      <c r="AN216" s="60">
        <f>付费投放!AF216/W216</f>
        <v>0.46490260933480332</v>
      </c>
      <c r="AO216" s="60">
        <f>IFERROR(INDEX(真品获取算法!$C$6:$C$66,MATCH(U216,真品获取算法!G$6:G$66,1)),0)*AK216/(IFERROR(INDEX(真品获取算法!$C$6:$C$66,MATCH(U216,真品获取算法!G$6:G$66,1)),0)+付费投放!AJ216)</f>
        <v>0.1056432500111792</v>
      </c>
      <c r="AP216" s="60">
        <f>(付费投放!AJ216+IFERROR(INDEX(真品获取算法!$C$6:$C$66,MATCH(U216,真品获取算法!G$6:G$66,1)),0)*AL216)/(IFERROR(INDEX(真品获取算法!$C$6:$C$66,MATCH(U216,真品获取算法!G$6:G$66,1)),0)+付费投放!AJ216)</f>
        <v>0.89435674998882086</v>
      </c>
      <c r="AQ216" s="60">
        <f>IFERROR(INDEX(真品获取算法!$C$6:$C$66,MATCH(W216,真品获取算法!I$6:I$66,1)),0)*AM216/(IFERROR(INDEX(真品获取算法!$C$6:$C$66,MATCH(W216,真品获取算法!I$6:I$66,1)),0)+付费投放!AL216)</f>
        <v>0.24888250728613795</v>
      </c>
      <c r="AR216" s="60">
        <f>(付费投放!AL216+IFERROR(INDEX(真品获取算法!$C$6:$C$66,MATCH(W216,真品获取算法!I$6:I$66,1)),0)*AN216)/(IFERROR(INDEX(真品获取算法!$C$6:$C$66,MATCH(W216,真品获取算法!I$6:I$66,1)),0)+付费投放!AL216)</f>
        <v>0.75111749271386208</v>
      </c>
    </row>
    <row r="217" spans="3:44" x14ac:dyDescent="0.15">
      <c r="C217" s="29">
        <f t="shared" si="43"/>
        <v>2100</v>
      </c>
      <c r="D217" s="18">
        <f>求节点(节奏总纲!$H$4:$H$163,节奏总纲!$C$4:$C$163,$C217)</f>
        <v>129.83412763547076</v>
      </c>
      <c r="E217" s="18">
        <f>IFERROR(求节点(前期规划!$G$13:$G$23,前期规划!$B$13:$B$23,D217),0)</f>
        <v>20</v>
      </c>
      <c r="F217" s="63">
        <f>IFERROR(求节点(前期规划!$C$28:$C$35,前期规划!D$28:D$35,$D217),0)</f>
        <v>9</v>
      </c>
      <c r="G217" s="63">
        <f>IFERROR(求节点(前期规划!$C$28:$C$35,前期规划!E$28:E$35,$D217),0)</f>
        <v>9</v>
      </c>
      <c r="H217" s="63">
        <f>IFERROR(求节点(前期规划!$C$28:$C$35,前期规划!F$28:F$35,$D217),0)</f>
        <v>27</v>
      </c>
      <c r="I217" s="63">
        <f>IFERROR(求节点(前期规划!$C$28:$C$35,前期规划!G$28:G$35,$D217),0)</f>
        <v>27</v>
      </c>
      <c r="J217" s="63">
        <f>IFERROR(求节点(前期规划!$C$28:$C$35,前期规划!H$28:H$35,$D217),0)</f>
        <v>60</v>
      </c>
      <c r="K217" s="63">
        <f>IFERROR(求节点(前期规划!$C$28:$C$35,前期规划!I$28:I$35,$D217),0)</f>
        <v>32.028009261981978</v>
      </c>
      <c r="L217" s="63">
        <f>MIN($E217-SUM(M217:$Q217),F217)</f>
        <v>0</v>
      </c>
      <c r="M217" s="63">
        <f>MIN($E217-SUM(N217:$Q217),G217)</f>
        <v>0</v>
      </c>
      <c r="N217" s="63">
        <f>MIN($E217-SUM(O217:$Q217),H217)</f>
        <v>0</v>
      </c>
      <c r="O217" s="63">
        <f>MIN($E217-SUM(P217:$Q217),I217)</f>
        <v>0</v>
      </c>
      <c r="P217" s="63">
        <f>MIN($E217-SUM(Q217:$Q217),J217)</f>
        <v>0</v>
      </c>
      <c r="Q217" s="69">
        <f t="shared" si="41"/>
        <v>20</v>
      </c>
      <c r="R217" s="64">
        <f>活动投放!AC217+付费投放!AA217</f>
        <v>657.5</v>
      </c>
      <c r="S217" s="64">
        <f>活动投放!AD217+付费投放!AB217</f>
        <v>657.5</v>
      </c>
      <c r="T217" s="64">
        <f>活动投放!AE217+付费投放!AC217</f>
        <v>3855.6</v>
      </c>
      <c r="U217" s="64">
        <f>活动投放!AF217+付费投放!AD217</f>
        <v>1652.3999999999999</v>
      </c>
      <c r="V217" s="64">
        <f>活动投放!AG217+付费投放!AE217</f>
        <v>2880.9000000000005</v>
      </c>
      <c r="W217" s="64">
        <f>活动投放!AH217+付费投放!AF217</f>
        <v>320.10000000000002</v>
      </c>
      <c r="X217" s="63">
        <f>MIN(IFERROR(INDEX(真品获取算法!$C$6:$C$66,MATCH(R217,真品获取算法!D$6:D$66,1)),0)+付费投放!AG217,前期规划!D$8)</f>
        <v>9</v>
      </c>
      <c r="Y217" s="63">
        <f>MIN(IFERROR(INDEX(真品获取算法!$C$6:$C$66,MATCH(S217,真品获取算法!E$6:E$66,1)),0)+付费投放!AH217,前期规划!E$8)</f>
        <v>9</v>
      </c>
      <c r="Z217" s="63">
        <f>MIN(IFERROR(INDEX(真品获取算法!$C$6:$C$66,MATCH(T217,真品获取算法!F$6:F$66,1)),0)+付费投放!AI217,前期规划!F$8)</f>
        <v>27</v>
      </c>
      <c r="AA217" s="63">
        <f>MIN(IFERROR(INDEX(真品获取算法!$C$6:$C$66,MATCH(U217,真品获取算法!G$6:G$66,1)),0)+付费投放!AJ217,前期规划!G$8)</f>
        <v>27</v>
      </c>
      <c r="AB217" s="63">
        <f>MIN(IFERROR(INDEX(真品获取算法!$C$6:$C$66,MATCH(V217,真品获取算法!H$6:H$66,1)),0)+付费投放!AK217,前期规划!H$8)</f>
        <v>60</v>
      </c>
      <c r="AC217" s="63">
        <f>MIN(IFERROR(INDEX(真品获取算法!$C$6:$C$66,MATCH(W217,真品获取算法!I$6:I$66,1)),0)+付费投放!AL217,前期规划!I$8)</f>
        <v>54.7</v>
      </c>
      <c r="AD217" s="63">
        <f t="shared" si="42"/>
        <v>1</v>
      </c>
      <c r="AE217" s="63">
        <f t="shared" si="36"/>
        <v>1</v>
      </c>
      <c r="AF217" s="63">
        <f t="shared" si="37"/>
        <v>1</v>
      </c>
      <c r="AG217" s="63">
        <f t="shared" si="38"/>
        <v>1</v>
      </c>
      <c r="AH217" s="63">
        <f t="shared" si="39"/>
        <v>1</v>
      </c>
      <c r="AI217" s="63">
        <f t="shared" si="40"/>
        <v>1.7078801105796553</v>
      </c>
      <c r="AK217" s="60">
        <f>活动投放!AF217/U217</f>
        <v>0.12618010167029775</v>
      </c>
      <c r="AL217" s="60">
        <f>付费投放!AD217/U217</f>
        <v>0.87381989832970219</v>
      </c>
      <c r="AM217" s="60">
        <f>活动投放!AH217/W217</f>
        <v>0.53608247422680411</v>
      </c>
      <c r="AN217" s="60">
        <f>付费投放!AF217/W217</f>
        <v>0.46391752577319573</v>
      </c>
      <c r="AO217" s="60">
        <f>IFERROR(INDEX(真品获取算法!$C$6:$C$66,MATCH(U217,真品获取算法!G$6:G$66,1)),0)*AK217/(IFERROR(INDEX(真品获取算法!$C$6:$C$66,MATCH(U217,真品获取算法!G$6:G$66,1)),0)+付费投放!AJ217)</f>
        <v>0.10334265151965739</v>
      </c>
      <c r="AP217" s="60">
        <f>(付费投放!AJ217+IFERROR(INDEX(真品获取算法!$C$6:$C$66,MATCH(U217,真品获取算法!G$6:G$66,1)),0)*AL217)/(IFERROR(INDEX(真品获取算法!$C$6:$C$66,MATCH(U217,真品获取算法!G$6:G$66,1)),0)+付费投放!AJ217)</f>
        <v>0.8966573484803424</v>
      </c>
      <c r="AQ217" s="60">
        <f>IFERROR(INDEX(真品获取算法!$C$6:$C$66,MATCH(W217,真品获取算法!I$6:I$66,1)),0)*AM217/(IFERROR(INDEX(真品获取算法!$C$6:$C$66,MATCH(W217,真品获取算法!I$6:I$66,1)),0)+付费投放!AL217)</f>
        <v>0.24501027158446256</v>
      </c>
      <c r="AR217" s="60">
        <f>(付费投放!AL217+IFERROR(INDEX(真品获取算法!$C$6:$C$66,MATCH(W217,真品获取算法!I$6:I$66,1)),0)*AN217)/(IFERROR(INDEX(真品获取算法!$C$6:$C$66,MATCH(W217,真品获取算法!I$6:I$66,1)),0)+付费投放!AL217)</f>
        <v>0.75498972841553735</v>
      </c>
    </row>
    <row r="218" spans="3:44" x14ac:dyDescent="0.15">
      <c r="C218" s="29">
        <f t="shared" si="43"/>
        <v>2400</v>
      </c>
      <c r="D218" s="18">
        <f>求节点(节奏总纲!$H$4:$H$163,节奏总纲!$C$4:$C$163,$C218)</f>
        <v>131.79898277231624</v>
      </c>
      <c r="E218" s="18">
        <f>IFERROR(求节点(前期规划!$G$13:$G$23,前期规划!$B$13:$B$23,D218),0)</f>
        <v>20</v>
      </c>
      <c r="F218" s="63">
        <f>IFERROR(求节点(前期规划!$C$28:$C$35,前期规划!D$28:D$35,$D218),0)</f>
        <v>9</v>
      </c>
      <c r="G218" s="63">
        <f>IFERROR(求节点(前期规划!$C$28:$C$35,前期规划!E$28:E$35,$D218),0)</f>
        <v>9</v>
      </c>
      <c r="H218" s="63">
        <f>IFERROR(求节点(前期规划!$C$28:$C$35,前期规划!F$28:F$35,$D218),0)</f>
        <v>27</v>
      </c>
      <c r="I218" s="63">
        <f>IFERROR(求节点(前期规划!$C$28:$C$35,前期规划!G$28:G$35,$D218),0)</f>
        <v>27</v>
      </c>
      <c r="J218" s="63">
        <f>IFERROR(求节点(前期规划!$C$28:$C$35,前期规划!H$28:H$35,$D218),0)</f>
        <v>60</v>
      </c>
      <c r="K218" s="63">
        <f>IFERROR(求节点(前期规划!$C$28:$C$35,前期规划!I$28:I$35,$D218),0)</f>
        <v>33.849965843420506</v>
      </c>
      <c r="L218" s="63">
        <f>MIN($E218-SUM(M218:$Q218),F218)</f>
        <v>0</v>
      </c>
      <c r="M218" s="63">
        <f>MIN($E218-SUM(N218:$Q218),G218)</f>
        <v>0</v>
      </c>
      <c r="N218" s="63">
        <f>MIN($E218-SUM(O218:$Q218),H218)</f>
        <v>0</v>
      </c>
      <c r="O218" s="63">
        <f>MIN($E218-SUM(P218:$Q218),I218)</f>
        <v>0</v>
      </c>
      <c r="P218" s="63">
        <f>MIN($E218-SUM(Q218:$Q218),J218)</f>
        <v>0</v>
      </c>
      <c r="Q218" s="69">
        <f t="shared" si="41"/>
        <v>20</v>
      </c>
      <c r="R218" s="64">
        <f>活动投放!AC218+付费投放!AA218</f>
        <v>737.5</v>
      </c>
      <c r="S218" s="64">
        <f>活动投放!AD218+付费投放!AB218</f>
        <v>737.5</v>
      </c>
      <c r="T218" s="64">
        <f>活动投放!AE218+付费投放!AC218</f>
        <v>4415.6000000000004</v>
      </c>
      <c r="U218" s="64">
        <f>活动投放!AF218+付费投放!AD218</f>
        <v>1892.3999999999999</v>
      </c>
      <c r="V218" s="64">
        <f>活动投放!AG218+付费投放!AE218</f>
        <v>3312.9000000000005</v>
      </c>
      <c r="W218" s="64">
        <f>活动投放!AH218+付费投放!AF218</f>
        <v>368.1</v>
      </c>
      <c r="X218" s="63">
        <f>MIN(IFERROR(INDEX(真品获取算法!$C$6:$C$66,MATCH(R218,真品获取算法!D$6:D$66,1)),0)+付费投放!AG218,前期规划!D$8)</f>
        <v>9</v>
      </c>
      <c r="Y218" s="63">
        <f>MIN(IFERROR(INDEX(真品获取算法!$C$6:$C$66,MATCH(S218,真品获取算法!E$6:E$66,1)),0)+付费投放!AH218,前期规划!E$8)</f>
        <v>9</v>
      </c>
      <c r="Z218" s="63">
        <f>MIN(IFERROR(INDEX(真品获取算法!$C$6:$C$66,MATCH(T218,真品获取算法!F$6:F$66,1)),0)+付费投放!AI218,前期规划!F$8)</f>
        <v>27</v>
      </c>
      <c r="AA218" s="63">
        <f>MIN(IFERROR(INDEX(真品获取算法!$C$6:$C$66,MATCH(U218,真品获取算法!G$6:G$66,1)),0)+付费投放!AJ218,前期规划!G$8)</f>
        <v>27</v>
      </c>
      <c r="AB218" s="63">
        <f>MIN(IFERROR(INDEX(真品获取算法!$C$6:$C$66,MATCH(V218,真品获取算法!H$6:H$66,1)),0)+付费投放!AK218,前期规划!H$8)</f>
        <v>60</v>
      </c>
      <c r="AC218" s="63">
        <f>MIN(IFERROR(INDEX(真品获取算法!$C$6:$C$66,MATCH(W218,真品获取算法!I$6:I$66,1)),0)+付费投放!AL218,前期规划!I$8)</f>
        <v>60</v>
      </c>
      <c r="AD218" s="63">
        <f t="shared" si="42"/>
        <v>1</v>
      </c>
      <c r="AE218" s="63">
        <f t="shared" si="36"/>
        <v>1</v>
      </c>
      <c r="AF218" s="63">
        <f t="shared" si="37"/>
        <v>1</v>
      </c>
      <c r="AG218" s="63">
        <f t="shared" si="38"/>
        <v>1</v>
      </c>
      <c r="AH218" s="63">
        <f t="shared" si="39"/>
        <v>1</v>
      </c>
      <c r="AI218" s="63">
        <f t="shared" si="40"/>
        <v>1.7725276379167259</v>
      </c>
      <c r="AK218" s="60">
        <f>活动投放!AF218/U218</f>
        <v>0.12603043753963222</v>
      </c>
      <c r="AL218" s="60">
        <f>付费投放!AD218/U218</f>
        <v>0.87396956246036783</v>
      </c>
      <c r="AM218" s="60">
        <f>活动投放!AH218/W218</f>
        <v>0.53681064928008693</v>
      </c>
      <c r="AN218" s="60">
        <f>付费投放!AF218/W218</f>
        <v>0.46318935071991296</v>
      </c>
      <c r="AO218" s="60">
        <f>IFERROR(INDEX(真品获取算法!$C$6:$C$66,MATCH(U218,真品获取算法!G$6:G$66,1)),0)*AK218/(IFERROR(INDEX(真品获取算法!$C$6:$C$66,MATCH(U218,真品获取算法!G$6:G$66,1)),0)+付费投放!AJ218)</f>
        <v>0.10117408761853527</v>
      </c>
      <c r="AP218" s="60">
        <f>(付费投放!AJ218+IFERROR(INDEX(真品获取算法!$C$6:$C$66,MATCH(U218,真品获取算法!G$6:G$66,1)),0)*AL218)/(IFERROR(INDEX(真品获取算法!$C$6:$C$66,MATCH(U218,真品获取算法!G$6:G$66,1)),0)+付费投放!AJ218)</f>
        <v>0.89882591238146481</v>
      </c>
      <c r="AQ218" s="60">
        <f>IFERROR(INDEX(真品获取算法!$C$6:$C$66,MATCH(W218,真品获取算法!I$6:I$66,1)),0)*AM218/(IFERROR(INDEX(真品获取算法!$C$6:$C$66,MATCH(W218,真品获取算法!I$6:I$66,1)),0)+付费投放!AL218)</f>
        <v>0.23721583519741976</v>
      </c>
      <c r="AR218" s="60">
        <f>(付费投放!AL218+IFERROR(INDEX(真品获取算法!$C$6:$C$66,MATCH(W218,真品获取算法!I$6:I$66,1)),0)*AN218)/(IFERROR(INDEX(真品获取算法!$C$6:$C$66,MATCH(W218,真品获取算法!I$6:I$66,1)),0)+付费投放!AL218)</f>
        <v>0.76278416480258016</v>
      </c>
    </row>
    <row r="219" spans="3:44" x14ac:dyDescent="0.15">
      <c r="C219" s="29">
        <f t="shared" si="43"/>
        <v>2700</v>
      </c>
      <c r="D219" s="18">
        <f>求节点(节奏总纲!$H$4:$H$163,节奏总纲!$C$4:$C$163,$C219)</f>
        <v>133.57962992379356</v>
      </c>
      <c r="E219" s="18">
        <f>IFERROR(求节点(前期规划!$G$13:$G$23,前期规划!$B$13:$B$23,D219),0)</f>
        <v>20</v>
      </c>
      <c r="F219" s="63">
        <f>IFERROR(求节点(前期规划!$C$28:$C$35,前期规划!D$28:D$35,$D219),0)</f>
        <v>9</v>
      </c>
      <c r="G219" s="63">
        <f>IFERROR(求节点(前期规划!$C$28:$C$35,前期规划!E$28:E$35,$D219),0)</f>
        <v>9</v>
      </c>
      <c r="H219" s="63">
        <f>IFERROR(求节点(前期规划!$C$28:$C$35,前期规划!F$28:F$35,$D219),0)</f>
        <v>27</v>
      </c>
      <c r="I219" s="63">
        <f>IFERROR(求节点(前期规划!$C$28:$C$35,前期规划!G$28:G$35,$D219),0)</f>
        <v>27</v>
      </c>
      <c r="J219" s="63">
        <f>IFERROR(求节点(前期规划!$C$28:$C$35,前期规划!H$28:H$35,$D219),0)</f>
        <v>60</v>
      </c>
      <c r="K219" s="63">
        <f>IFERROR(求节点(前期规划!$C$28:$C$35,前期规划!I$28:I$35,$D219),0)</f>
        <v>35.501111383881302</v>
      </c>
      <c r="L219" s="63">
        <f>MIN($E219-SUM(M219:$Q219),F219)</f>
        <v>0</v>
      </c>
      <c r="M219" s="63">
        <f>MIN($E219-SUM(N219:$Q219),G219)</f>
        <v>0</v>
      </c>
      <c r="N219" s="63">
        <f>MIN($E219-SUM(O219:$Q219),H219)</f>
        <v>0</v>
      </c>
      <c r="O219" s="63">
        <f>MIN($E219-SUM(P219:$Q219),I219)</f>
        <v>0</v>
      </c>
      <c r="P219" s="63">
        <f>MIN($E219-SUM(Q219:$Q219),J219)</f>
        <v>0</v>
      </c>
      <c r="Q219" s="69">
        <f t="shared" si="41"/>
        <v>20</v>
      </c>
      <c r="R219" s="64">
        <f>活动投放!AC219+付费投放!AA219</f>
        <v>817.5</v>
      </c>
      <c r="S219" s="64">
        <f>活动投放!AD219+付费投放!AB219</f>
        <v>817.5</v>
      </c>
      <c r="T219" s="64">
        <f>活动投放!AE219+付费投放!AC219</f>
        <v>4975.5999999999995</v>
      </c>
      <c r="U219" s="64">
        <f>活动投放!AF219+付费投放!AD219</f>
        <v>2132.3999999999996</v>
      </c>
      <c r="V219" s="64">
        <f>活动投放!AG219+付费投放!AE219</f>
        <v>3744.9000000000005</v>
      </c>
      <c r="W219" s="64">
        <f>活动投放!AH219+付费投放!AF219</f>
        <v>416.1</v>
      </c>
      <c r="X219" s="63">
        <f>MIN(IFERROR(INDEX(真品获取算法!$C$6:$C$66,MATCH(R219,真品获取算法!D$6:D$66,1)),0)+付费投放!AG219,前期规划!D$8)</f>
        <v>9</v>
      </c>
      <c r="Y219" s="63">
        <f>MIN(IFERROR(INDEX(真品获取算法!$C$6:$C$66,MATCH(S219,真品获取算法!E$6:E$66,1)),0)+付费投放!AH219,前期规划!E$8)</f>
        <v>9</v>
      </c>
      <c r="Z219" s="63">
        <f>MIN(IFERROR(INDEX(真品获取算法!$C$6:$C$66,MATCH(T219,真品获取算法!F$6:F$66,1)),0)+付费投放!AI219,前期规划!F$8)</f>
        <v>27</v>
      </c>
      <c r="AA219" s="63">
        <f>MIN(IFERROR(INDEX(真品获取算法!$C$6:$C$66,MATCH(U219,真品获取算法!G$6:G$66,1)),0)+付费投放!AJ219,前期规划!G$8)</f>
        <v>27</v>
      </c>
      <c r="AB219" s="63">
        <f>MIN(IFERROR(INDEX(真品获取算法!$C$6:$C$66,MATCH(V219,真品获取算法!H$6:H$66,1)),0)+付费投放!AK219,前期规划!H$8)</f>
        <v>60</v>
      </c>
      <c r="AC219" s="63">
        <f>MIN(IFERROR(INDEX(真品获取算法!$C$6:$C$66,MATCH(W219,真品获取算法!I$6:I$66,1)),0)+付费投放!AL219,前期规划!I$8)</f>
        <v>60</v>
      </c>
      <c r="AD219" s="63">
        <f t="shared" si="42"/>
        <v>1</v>
      </c>
      <c r="AE219" s="63">
        <f t="shared" si="36"/>
        <v>1</v>
      </c>
      <c r="AF219" s="63">
        <f t="shared" si="37"/>
        <v>1</v>
      </c>
      <c r="AG219" s="63">
        <f t="shared" si="38"/>
        <v>1</v>
      </c>
      <c r="AH219" s="63">
        <f t="shared" si="39"/>
        <v>1</v>
      </c>
      <c r="AI219" s="63">
        <f t="shared" si="40"/>
        <v>1.6900879341834356</v>
      </c>
      <c r="AK219" s="60">
        <f>活动投放!AF219/U219</f>
        <v>0.12591446257737762</v>
      </c>
      <c r="AL219" s="60">
        <f>付费投放!AD219/U219</f>
        <v>0.87408553742262252</v>
      </c>
      <c r="AM219" s="60">
        <f>活动投放!AH219/W219</f>
        <v>0.53737082432107663</v>
      </c>
      <c r="AN219" s="60">
        <f>付费投放!AF219/W219</f>
        <v>0.46262917567892325</v>
      </c>
      <c r="AO219" s="60">
        <f>IFERROR(INDEX(真品获取算法!$C$6:$C$66,MATCH(U219,真品获取算法!G$6:G$66,1)),0)*AK219/(IFERROR(INDEX(真品获取算法!$C$6:$C$66,MATCH(U219,真品获取算法!G$6:G$66,1)),0)+付费投放!AJ219)</f>
        <v>9.9116340804349751E-2</v>
      </c>
      <c r="AP219" s="60">
        <f>(付费投放!AJ219+IFERROR(INDEX(真品获取算法!$C$6:$C$66,MATCH(U219,真品获取算法!G$6:G$66,1)),0)*AL219)/(IFERROR(INDEX(真品获取算法!$C$6:$C$66,MATCH(U219,真品获取算法!G$6:G$66,1)),0)+付费投放!AJ219)</f>
        <v>0.90088365919565039</v>
      </c>
      <c r="AQ219" s="60">
        <f>IFERROR(INDEX(真品获取算法!$C$6:$C$66,MATCH(W219,真品获取算法!I$6:I$66,1)),0)*AM219/(IFERROR(INDEX(真品获取算法!$C$6:$C$66,MATCH(W219,真品获取算法!I$6:I$66,1)),0)+付费投放!AL219)</f>
        <v>0.23534488656397518</v>
      </c>
      <c r="AR219" s="60">
        <f>(付费投放!AL219+IFERROR(INDEX(真品获取算法!$C$6:$C$66,MATCH(W219,真品获取算法!I$6:I$66,1)),0)*AN219)/(IFERROR(INDEX(真品获取算法!$C$6:$C$66,MATCH(W219,真品获取算法!I$6:I$66,1)),0)+付费投放!AL219)</f>
        <v>0.76465511343602488</v>
      </c>
    </row>
    <row r="220" spans="3:44" x14ac:dyDescent="0.15">
      <c r="C220" s="29">
        <f t="shared" si="43"/>
        <v>3000</v>
      </c>
      <c r="D220" s="18">
        <f>求节点(节奏总纲!$H$4:$H$163,节奏总纲!$C$4:$C$163,$C220)</f>
        <v>135.09124682527644</v>
      </c>
      <c r="E220" s="18">
        <f>IFERROR(求节点(前期规划!$G$13:$G$23,前期规划!$B$13:$B$23,D220),0)</f>
        <v>20</v>
      </c>
      <c r="F220" s="63">
        <f>IFERROR(求节点(前期规划!$C$28:$C$35,前期规划!D$28:D$35,$D220),0)</f>
        <v>9</v>
      </c>
      <c r="G220" s="63">
        <f>IFERROR(求节点(前期规划!$C$28:$C$35,前期规划!E$28:E$35,$D220),0)</f>
        <v>9</v>
      </c>
      <c r="H220" s="63">
        <f>IFERROR(求节点(前期规划!$C$28:$C$35,前期规划!F$28:F$35,$D220),0)</f>
        <v>27</v>
      </c>
      <c r="I220" s="63">
        <f>IFERROR(求节点(前期规划!$C$28:$C$35,前期规划!G$28:G$35,$D220),0)</f>
        <v>27</v>
      </c>
      <c r="J220" s="63">
        <f>IFERROR(求节点(前期规划!$C$28:$C$35,前期规划!H$28:H$35,$D220),0)</f>
        <v>60</v>
      </c>
      <c r="K220" s="63">
        <f>IFERROR(求节点(前期规划!$C$28:$C$35,前期规划!I$28:I$35,$D220),0)</f>
        <v>36.902792510710881</v>
      </c>
      <c r="L220" s="63">
        <f>MIN($E220-SUM(M220:$Q220),F220)</f>
        <v>0</v>
      </c>
      <c r="M220" s="63">
        <f>MIN($E220-SUM(N220:$Q220),G220)</f>
        <v>0</v>
      </c>
      <c r="N220" s="63">
        <f>MIN($E220-SUM(O220:$Q220),H220)</f>
        <v>0</v>
      </c>
      <c r="O220" s="63">
        <f>MIN($E220-SUM(P220:$Q220),I220)</f>
        <v>0</v>
      </c>
      <c r="P220" s="63">
        <f>MIN($E220-SUM(Q220:$Q220),J220)</f>
        <v>0</v>
      </c>
      <c r="Q220" s="69">
        <f t="shared" si="41"/>
        <v>20</v>
      </c>
      <c r="R220" s="64">
        <f>活动投放!AC220+付费投放!AA220</f>
        <v>897.5</v>
      </c>
      <c r="S220" s="64">
        <f>活动投放!AD220+付费投放!AB220</f>
        <v>897.5</v>
      </c>
      <c r="T220" s="64">
        <f>活动投放!AE220+付费投放!AC220</f>
        <v>5535.5999999999995</v>
      </c>
      <c r="U220" s="64">
        <f>活动投放!AF220+付费投放!AD220</f>
        <v>2372.3999999999996</v>
      </c>
      <c r="V220" s="64">
        <f>活动投放!AG220+付费投放!AE220</f>
        <v>4176.9000000000005</v>
      </c>
      <c r="W220" s="64">
        <f>活动投放!AH220+付费投放!AF220</f>
        <v>464.1</v>
      </c>
      <c r="X220" s="63">
        <f>MIN(IFERROR(INDEX(真品获取算法!$C$6:$C$66,MATCH(R220,真品获取算法!D$6:D$66,1)),0)+付费投放!AG220,前期规划!D$8)</f>
        <v>9</v>
      </c>
      <c r="Y220" s="63">
        <f>MIN(IFERROR(INDEX(真品获取算法!$C$6:$C$66,MATCH(S220,真品获取算法!E$6:E$66,1)),0)+付费投放!AH220,前期规划!E$8)</f>
        <v>9</v>
      </c>
      <c r="Z220" s="63">
        <f>MIN(IFERROR(INDEX(真品获取算法!$C$6:$C$66,MATCH(T220,真品获取算法!F$6:F$66,1)),0)+付费投放!AI220,前期规划!F$8)</f>
        <v>27</v>
      </c>
      <c r="AA220" s="63">
        <f>MIN(IFERROR(INDEX(真品获取算法!$C$6:$C$66,MATCH(U220,真品获取算法!G$6:G$66,1)),0)+付费投放!AJ220,前期规划!G$8)</f>
        <v>27</v>
      </c>
      <c r="AB220" s="63">
        <f>MIN(IFERROR(INDEX(真品获取算法!$C$6:$C$66,MATCH(V220,真品获取算法!H$6:H$66,1)),0)+付费投放!AK220,前期规划!H$8)</f>
        <v>60</v>
      </c>
      <c r="AC220" s="63">
        <f>MIN(IFERROR(INDEX(真品获取算法!$C$6:$C$66,MATCH(W220,真品获取算法!I$6:I$66,1)),0)+付费投放!AL220,前期规划!I$8)</f>
        <v>60</v>
      </c>
      <c r="AD220" s="63">
        <f t="shared" si="42"/>
        <v>1</v>
      </c>
      <c r="AE220" s="63">
        <f t="shared" si="36"/>
        <v>1</v>
      </c>
      <c r="AF220" s="63">
        <f t="shared" si="37"/>
        <v>1</v>
      </c>
      <c r="AG220" s="63">
        <f t="shared" si="38"/>
        <v>1</v>
      </c>
      <c r="AH220" s="63">
        <f t="shared" si="39"/>
        <v>1</v>
      </c>
      <c r="AI220" s="63">
        <f t="shared" si="40"/>
        <v>1.6258932161457769</v>
      </c>
      <c r="AK220" s="60">
        <f>活动投放!AF220/U220</f>
        <v>0.12582195245321195</v>
      </c>
      <c r="AL220" s="60">
        <f>付费投放!AD220/U220</f>
        <v>0.87417804754678807</v>
      </c>
      <c r="AM220" s="60">
        <f>活动投放!AH220/W220</f>
        <v>0.53781512605042014</v>
      </c>
      <c r="AN220" s="60">
        <f>付费投放!AF220/W220</f>
        <v>0.46218487394957974</v>
      </c>
      <c r="AO220" s="60">
        <f>IFERROR(INDEX(真品获取算法!$C$6:$C$66,MATCH(U220,真品获取算法!G$6:G$66,1)),0)*AK220/(IFERROR(INDEX(真品获取算法!$C$6:$C$66,MATCH(U220,真品获取算法!G$6:G$66,1)),0)+付费投放!AJ220)</f>
        <v>9.7155177776074048E-2</v>
      </c>
      <c r="AP220" s="60">
        <f>(付费投放!AJ220+IFERROR(INDEX(真品获取算法!$C$6:$C$66,MATCH(U220,真品获取算法!G$6:G$66,1)),0)*AL220)/(IFERROR(INDEX(真品获取算法!$C$6:$C$66,MATCH(U220,真品获取算法!G$6:G$66,1)),0)+付费投放!AJ220)</f>
        <v>0.90284482222392592</v>
      </c>
      <c r="AQ220" s="60">
        <f>IFERROR(INDEX(真品获取算法!$C$6:$C$66,MATCH(W220,真品获取算法!I$6:I$66,1)),0)*AM220/(IFERROR(INDEX(真品获取算法!$C$6:$C$66,MATCH(W220,真品获取算法!I$6:I$66,1)),0)+付费投放!AL220)</f>
        <v>0.22977415265171486</v>
      </c>
      <c r="AR220" s="60">
        <f>(付费投放!AL220+IFERROR(INDEX(真品获取算法!$C$6:$C$66,MATCH(W220,真品获取算法!I$6:I$66,1)),0)*AN220)/(IFERROR(INDEX(真品获取算法!$C$6:$C$66,MATCH(W220,真品获取算法!I$6:I$66,1)),0)+付费投放!AL220)</f>
        <v>0.77022584734828503</v>
      </c>
    </row>
    <row r="221" spans="3:44" x14ac:dyDescent="0.15">
      <c r="C221" s="29">
        <f t="shared" si="43"/>
        <v>3300</v>
      </c>
      <c r="D221" s="18">
        <f>求节点(节奏总纲!$H$4:$H$163,节奏总纲!$C$4:$C$163,$C221)</f>
        <v>136.4080820895465</v>
      </c>
      <c r="E221" s="18">
        <f>IFERROR(求节点(前期规划!$G$13:$G$23,前期规划!$B$13:$B$23,D221),0)</f>
        <v>20</v>
      </c>
      <c r="F221" s="63">
        <f>IFERROR(求节点(前期规划!$C$28:$C$35,前期规划!D$28:D$35,$D221),0)</f>
        <v>9</v>
      </c>
      <c r="G221" s="63">
        <f>IFERROR(求节点(前期规划!$C$28:$C$35,前期规划!E$28:E$35,$D221),0)</f>
        <v>9</v>
      </c>
      <c r="H221" s="63">
        <f>IFERROR(求节点(前期规划!$C$28:$C$35,前期规划!F$28:F$35,$D221),0)</f>
        <v>27</v>
      </c>
      <c r="I221" s="63">
        <f>IFERROR(求节点(前期规划!$C$28:$C$35,前期规划!G$28:G$35,$D221),0)</f>
        <v>27</v>
      </c>
      <c r="J221" s="63">
        <f>IFERROR(求节点(前期规划!$C$28:$C$35,前期规划!H$28:H$35,$D221),0)</f>
        <v>60</v>
      </c>
      <c r="K221" s="63">
        <f>IFERROR(求节点(前期规划!$C$28:$C$35,前期规划!I$28:I$35,$D221),0)</f>
        <v>38.123857937579473</v>
      </c>
      <c r="L221" s="63">
        <f>MIN($E221-SUM(M221:$Q221),F221)</f>
        <v>0</v>
      </c>
      <c r="M221" s="63">
        <f>MIN($E221-SUM(N221:$Q221),G221)</f>
        <v>0</v>
      </c>
      <c r="N221" s="63">
        <f>MIN($E221-SUM(O221:$Q221),H221)</f>
        <v>0</v>
      </c>
      <c r="O221" s="63">
        <f>MIN($E221-SUM(P221:$Q221),I221)</f>
        <v>0</v>
      </c>
      <c r="P221" s="63">
        <f>MIN($E221-SUM(Q221:$Q221),J221)</f>
        <v>0</v>
      </c>
      <c r="Q221" s="69">
        <f t="shared" si="41"/>
        <v>20</v>
      </c>
      <c r="R221" s="64">
        <f>活动投放!AC221+付费投放!AA221</f>
        <v>977.5</v>
      </c>
      <c r="S221" s="64">
        <f>活动投放!AD221+付费投放!AB221</f>
        <v>977.5</v>
      </c>
      <c r="T221" s="64">
        <f>活动投放!AE221+付费投放!AC221</f>
        <v>6095.5999999999995</v>
      </c>
      <c r="U221" s="64">
        <f>活动投放!AF221+付费投放!AD221</f>
        <v>2612.3999999999996</v>
      </c>
      <c r="V221" s="64">
        <f>活动投放!AG221+付费投放!AE221</f>
        <v>4608.9000000000005</v>
      </c>
      <c r="W221" s="64">
        <f>活动投放!AH221+付费投放!AF221</f>
        <v>512.1</v>
      </c>
      <c r="X221" s="63">
        <f>MIN(IFERROR(INDEX(真品获取算法!$C$6:$C$66,MATCH(R221,真品获取算法!D$6:D$66,1)),0)+付费投放!AG221,前期规划!D$8)</f>
        <v>9</v>
      </c>
      <c r="Y221" s="63">
        <f>MIN(IFERROR(INDEX(真品获取算法!$C$6:$C$66,MATCH(S221,真品获取算法!E$6:E$66,1)),0)+付费投放!AH221,前期规划!E$8)</f>
        <v>9</v>
      </c>
      <c r="Z221" s="63">
        <f>MIN(IFERROR(INDEX(真品获取算法!$C$6:$C$66,MATCH(T221,真品获取算法!F$6:F$66,1)),0)+付费投放!AI221,前期规划!F$8)</f>
        <v>27</v>
      </c>
      <c r="AA221" s="63">
        <f>MIN(IFERROR(INDEX(真品获取算法!$C$6:$C$66,MATCH(U221,真品获取算法!G$6:G$66,1)),0)+付费投放!AJ221,前期规划!G$8)</f>
        <v>27</v>
      </c>
      <c r="AB221" s="63">
        <f>MIN(IFERROR(INDEX(真品获取算法!$C$6:$C$66,MATCH(V221,真品获取算法!H$6:H$66,1)),0)+付费投放!AK221,前期规划!H$8)</f>
        <v>60</v>
      </c>
      <c r="AC221" s="63">
        <f>MIN(IFERROR(INDEX(真品获取算法!$C$6:$C$66,MATCH(W221,真品获取算法!I$6:I$66,1)),0)+付费投放!AL221,前期规划!I$8)</f>
        <v>60</v>
      </c>
      <c r="AD221" s="63">
        <f t="shared" si="42"/>
        <v>1</v>
      </c>
      <c r="AE221" s="63">
        <f t="shared" si="36"/>
        <v>1</v>
      </c>
      <c r="AF221" s="63">
        <f t="shared" si="37"/>
        <v>1</v>
      </c>
      <c r="AG221" s="63">
        <f t="shared" si="38"/>
        <v>1</v>
      </c>
      <c r="AH221" s="63">
        <f t="shared" si="39"/>
        <v>1</v>
      </c>
      <c r="AI221" s="63">
        <f t="shared" si="40"/>
        <v>1.5738176366683174</v>
      </c>
      <c r="AK221" s="60">
        <f>活动投放!AF221/U221</f>
        <v>0.12574644005512176</v>
      </c>
      <c r="AL221" s="60">
        <f>付费投放!AD221/U221</f>
        <v>0.8742535599448783</v>
      </c>
      <c r="AM221" s="60">
        <f>活动投放!AH221/W221</f>
        <v>0.53817613747314974</v>
      </c>
      <c r="AN221" s="60">
        <f>付费投放!AF221/W221</f>
        <v>0.46182386252685015</v>
      </c>
      <c r="AO221" s="60">
        <f>IFERROR(INDEX(真品获取算法!$C$6:$C$66,MATCH(U221,真品获取算法!G$6:G$66,1)),0)*AK221/(IFERROR(INDEX(真品获取算法!$C$6:$C$66,MATCH(U221,真品获取算法!G$6:G$66,1)),0)+付费投放!AJ221)</f>
        <v>9.5280277310241926E-2</v>
      </c>
      <c r="AP221" s="60">
        <f>(付费投放!AJ221+IFERROR(INDEX(真品获取算法!$C$6:$C$66,MATCH(U221,真品获取算法!G$6:G$66,1)),0)*AL221)/(IFERROR(INDEX(真品获取算法!$C$6:$C$66,MATCH(U221,真品获取算法!G$6:G$66,1)),0)+付费投放!AJ221)</f>
        <v>0.9047197226897582</v>
      </c>
      <c r="AQ221" s="60">
        <f>IFERROR(INDEX(真品获取算法!$C$6:$C$66,MATCH(W221,真品获取算法!I$6:I$66,1)),0)*AM221/(IFERROR(INDEX(真品获取算法!$C$6:$C$66,MATCH(W221,真品获取算法!I$6:I$66,1)),0)+付费投放!AL221)</f>
        <v>0.22506751136638489</v>
      </c>
      <c r="AR221" s="60">
        <f>(付费投放!AL221+IFERROR(INDEX(真品获取算法!$C$6:$C$66,MATCH(W221,真品获取算法!I$6:I$66,1)),0)*AN221)/(IFERROR(INDEX(真品获取算法!$C$6:$C$66,MATCH(W221,真品获取算法!I$6:I$66,1)),0)+付费投放!AL221)</f>
        <v>0.77493248863361508</v>
      </c>
    </row>
    <row r="222" spans="3:44" x14ac:dyDescent="0.15">
      <c r="C222" s="29">
        <f t="shared" si="43"/>
        <v>3600</v>
      </c>
      <c r="D222" s="18">
        <f>求节点(节奏总纲!$H$4:$H$163,节奏总纲!$C$4:$C$163,$C222)</f>
        <v>137.69441197975056</v>
      </c>
      <c r="E222" s="18">
        <f>IFERROR(求节点(前期规划!$G$13:$G$23,前期规划!$B$13:$B$23,D222),0)</f>
        <v>20</v>
      </c>
      <c r="F222" s="63">
        <f>IFERROR(求节点(前期规划!$C$28:$C$35,前期规划!D$28:D$35,$D222),0)</f>
        <v>9</v>
      </c>
      <c r="G222" s="63">
        <f>IFERROR(求节点(前期规划!$C$28:$C$35,前期规划!E$28:E$35,$D222),0)</f>
        <v>9</v>
      </c>
      <c r="H222" s="63">
        <f>IFERROR(求节点(前期规划!$C$28:$C$35,前期规划!F$28:F$35,$D222),0)</f>
        <v>27</v>
      </c>
      <c r="I222" s="63">
        <f>IFERROR(求节点(前期规划!$C$28:$C$35,前期规划!G$28:G$35,$D222),0)</f>
        <v>27</v>
      </c>
      <c r="J222" s="63">
        <f>IFERROR(求节点(前期规划!$C$28:$C$35,前期规划!H$28:H$35,$D222),0)</f>
        <v>60</v>
      </c>
      <c r="K222" s="63">
        <f>IFERROR(求节点(前期规划!$C$28:$C$35,前期规划!I$28:I$35,$D222),0)</f>
        <v>39.316636563041428</v>
      </c>
      <c r="L222" s="63">
        <f>MIN($E222-SUM(M222:$Q222),F222)</f>
        <v>0</v>
      </c>
      <c r="M222" s="63">
        <f>MIN($E222-SUM(N222:$Q222),G222)</f>
        <v>0</v>
      </c>
      <c r="N222" s="63">
        <f>MIN($E222-SUM(O222:$Q222),H222)</f>
        <v>0</v>
      </c>
      <c r="O222" s="63">
        <f>MIN($E222-SUM(P222:$Q222),I222)</f>
        <v>0</v>
      </c>
      <c r="P222" s="63">
        <f>MIN($E222-SUM(Q222:$Q222),J222)</f>
        <v>0</v>
      </c>
      <c r="Q222" s="69">
        <f t="shared" si="41"/>
        <v>20</v>
      </c>
      <c r="R222" s="64">
        <f>活动投放!AC222+付费投放!AA222</f>
        <v>1057.5</v>
      </c>
      <c r="S222" s="64">
        <f>活动投放!AD222+付费投放!AB222</f>
        <v>1057.5</v>
      </c>
      <c r="T222" s="64">
        <f>活动投放!AE222+付费投放!AC222</f>
        <v>6655.5999999999995</v>
      </c>
      <c r="U222" s="64">
        <f>活动投放!AF222+付费投放!AD222</f>
        <v>2852.3999999999996</v>
      </c>
      <c r="V222" s="64">
        <f>活动投放!AG222+付费投放!AE222</f>
        <v>5040.9000000000005</v>
      </c>
      <c r="W222" s="64">
        <f>活动投放!AH222+付费投放!AF222</f>
        <v>560.1</v>
      </c>
      <c r="X222" s="63">
        <f>MIN(IFERROR(INDEX(真品获取算法!$C$6:$C$66,MATCH(R222,真品获取算法!D$6:D$66,1)),0)+付费投放!AG222,前期规划!D$8)</f>
        <v>9</v>
      </c>
      <c r="Y222" s="63">
        <f>MIN(IFERROR(INDEX(真品获取算法!$C$6:$C$66,MATCH(S222,真品获取算法!E$6:E$66,1)),0)+付费投放!AH222,前期规划!E$8)</f>
        <v>9</v>
      </c>
      <c r="Z222" s="63">
        <f>MIN(IFERROR(INDEX(真品获取算法!$C$6:$C$66,MATCH(T222,真品获取算法!F$6:F$66,1)),0)+付费投放!AI222,前期规划!F$8)</f>
        <v>27</v>
      </c>
      <c r="AA222" s="63">
        <f>MIN(IFERROR(INDEX(真品获取算法!$C$6:$C$66,MATCH(U222,真品获取算法!G$6:G$66,1)),0)+付费投放!AJ222,前期规划!G$8)</f>
        <v>27</v>
      </c>
      <c r="AB222" s="63">
        <f>MIN(IFERROR(INDEX(真品获取算法!$C$6:$C$66,MATCH(V222,真品获取算法!H$6:H$66,1)),0)+付费投放!AK222,前期规划!H$8)</f>
        <v>60</v>
      </c>
      <c r="AC222" s="63">
        <f>MIN(IFERROR(INDEX(真品获取算法!$C$6:$C$66,MATCH(W222,真品获取算法!I$6:I$66,1)),0)+付费投放!AL222,前期规划!I$8)</f>
        <v>60</v>
      </c>
      <c r="AD222" s="63">
        <f t="shared" si="42"/>
        <v>1</v>
      </c>
      <c r="AE222" s="63">
        <f t="shared" si="36"/>
        <v>1</v>
      </c>
      <c r="AF222" s="63">
        <f t="shared" si="37"/>
        <v>1</v>
      </c>
      <c r="AG222" s="63">
        <f t="shared" si="38"/>
        <v>1</v>
      </c>
      <c r="AH222" s="63">
        <f t="shared" si="39"/>
        <v>1</v>
      </c>
      <c r="AI222" s="63">
        <f t="shared" si="40"/>
        <v>1.5260715372688167</v>
      </c>
      <c r="AK222" s="60">
        <f>活动投放!AF222/U222</f>
        <v>0.12568363483382416</v>
      </c>
      <c r="AL222" s="60">
        <f>付费投放!AD222/U222</f>
        <v>0.87431636516617584</v>
      </c>
      <c r="AM222" s="60">
        <f>活动投放!AH222/W222</f>
        <v>0.53847527227280845</v>
      </c>
      <c r="AN222" s="60">
        <f>付费投放!AF222/W222</f>
        <v>0.46152472772719155</v>
      </c>
      <c r="AO222" s="60">
        <f>IFERROR(INDEX(真品获取算法!$C$6:$C$66,MATCH(U222,真品获取算法!G$6:G$66,1)),0)*AK222/(IFERROR(INDEX(真品获取算法!$C$6:$C$66,MATCH(U222,真品获取算法!G$6:G$66,1)),0)+付费投放!AJ222)</f>
        <v>9.3483695330943598E-2</v>
      </c>
      <c r="AP222" s="60">
        <f>(付费投放!AJ222+IFERROR(INDEX(真品获取算法!$C$6:$C$66,MATCH(U222,真品获取算法!G$6:G$66,1)),0)*AL222)/(IFERROR(INDEX(真品获取算法!$C$6:$C$66,MATCH(U222,真品获取算法!G$6:G$66,1)),0)+付费投放!AJ222)</f>
        <v>0.90651630466905653</v>
      </c>
      <c r="AQ222" s="60">
        <f>IFERROR(INDEX(真品获取算法!$C$6:$C$66,MATCH(W222,真品获取算法!I$6:I$66,1)),0)*AM222/(IFERROR(INDEX(真品获取算法!$C$6:$C$66,MATCH(W222,真品获取算法!I$6:I$66,1)),0)+付费投放!AL222)</f>
        <v>0.22103888029442539</v>
      </c>
      <c r="AR222" s="60">
        <f>(付费投放!AL222+IFERROR(INDEX(真品获取算法!$C$6:$C$66,MATCH(W222,真品获取算法!I$6:I$66,1)),0)*AN222)/(IFERROR(INDEX(真品获取算法!$C$6:$C$66,MATCH(W222,真品获取算法!I$6:I$66,1)),0)+付费投放!AL222)</f>
        <v>0.77896111970557469</v>
      </c>
    </row>
    <row r="223" spans="3:44" x14ac:dyDescent="0.15">
      <c r="C223" s="29">
        <f t="shared" si="43"/>
        <v>3900</v>
      </c>
      <c r="D223" s="18">
        <f>求节点(节奏总纲!$H$4:$H$163,节奏总纲!$C$4:$C$163,$C223)</f>
        <v>138.91667176742632</v>
      </c>
      <c r="E223" s="18">
        <f>IFERROR(求节点(前期规划!$G$13:$G$23,前期规划!$B$13:$B$23,D223),0)</f>
        <v>20</v>
      </c>
      <c r="F223" s="63">
        <f>IFERROR(求节点(前期规划!$C$28:$C$35,前期规划!D$28:D$35,$D223),0)</f>
        <v>9</v>
      </c>
      <c r="G223" s="63">
        <f>IFERROR(求节点(前期规划!$C$28:$C$35,前期规划!E$28:E$35,$D223),0)</f>
        <v>9</v>
      </c>
      <c r="H223" s="63">
        <f>IFERROR(求节点(前期规划!$C$28:$C$35,前期规划!F$28:F$35,$D223),0)</f>
        <v>27</v>
      </c>
      <c r="I223" s="63">
        <f>IFERROR(求节点(前期规划!$C$28:$C$35,前期规划!G$28:G$35,$D223),0)</f>
        <v>27</v>
      </c>
      <c r="J223" s="63">
        <f>IFERROR(求节点(前期规划!$C$28:$C$35,前期规划!H$28:H$35,$D223),0)</f>
        <v>60</v>
      </c>
      <c r="K223" s="63">
        <f>IFERROR(求节点(前期规划!$C$28:$C$35,前期规划!I$28:I$35,$D223),0)</f>
        <v>40.450004729795317</v>
      </c>
      <c r="L223" s="63">
        <f>MIN($E223-SUM(M223:$Q223),F223)</f>
        <v>0</v>
      </c>
      <c r="M223" s="63">
        <f>MIN($E223-SUM(N223:$Q223),G223)</f>
        <v>0</v>
      </c>
      <c r="N223" s="63">
        <f>MIN($E223-SUM(O223:$Q223),H223)</f>
        <v>0</v>
      </c>
      <c r="O223" s="63">
        <f>MIN($E223-SUM(P223:$Q223),I223)</f>
        <v>0</v>
      </c>
      <c r="P223" s="63">
        <f>MIN($E223-SUM(Q223:$Q223),J223)</f>
        <v>0</v>
      </c>
      <c r="Q223" s="69">
        <f t="shared" si="41"/>
        <v>20</v>
      </c>
      <c r="R223" s="64">
        <f>活动投放!AC223+付费投放!AA223</f>
        <v>1137.5</v>
      </c>
      <c r="S223" s="64">
        <f>活动投放!AD223+付费投放!AB223</f>
        <v>1137.5</v>
      </c>
      <c r="T223" s="64">
        <f>活动投放!AE223+付费投放!AC223</f>
        <v>7215.5999999999995</v>
      </c>
      <c r="U223" s="64">
        <f>活动投放!AF223+付费投放!AD223</f>
        <v>3092.3999999999996</v>
      </c>
      <c r="V223" s="64">
        <f>活动投放!AG223+付费投放!AE223</f>
        <v>5472.9000000000005</v>
      </c>
      <c r="W223" s="64">
        <f>活动投放!AH223+付费投放!AF223</f>
        <v>608.1</v>
      </c>
      <c r="X223" s="63">
        <f>MIN(IFERROR(INDEX(真品获取算法!$C$6:$C$66,MATCH(R223,真品获取算法!D$6:D$66,1)),0)+付费投放!AG223,前期规划!D$8)</f>
        <v>9</v>
      </c>
      <c r="Y223" s="63">
        <f>MIN(IFERROR(INDEX(真品获取算法!$C$6:$C$66,MATCH(S223,真品获取算法!E$6:E$66,1)),0)+付费投放!AH223,前期规划!E$8)</f>
        <v>9</v>
      </c>
      <c r="Z223" s="63">
        <f>MIN(IFERROR(INDEX(真品获取算法!$C$6:$C$66,MATCH(T223,真品获取算法!F$6:F$66,1)),0)+付费投放!AI223,前期规划!F$8)</f>
        <v>27</v>
      </c>
      <c r="AA223" s="63">
        <f>MIN(IFERROR(INDEX(真品获取算法!$C$6:$C$66,MATCH(U223,真品获取算法!G$6:G$66,1)),0)+付费投放!AJ223,前期规划!G$8)</f>
        <v>27</v>
      </c>
      <c r="AB223" s="63">
        <f>MIN(IFERROR(INDEX(真品获取算法!$C$6:$C$66,MATCH(V223,真品获取算法!H$6:H$66,1)),0)+付费投放!AK223,前期规划!H$8)</f>
        <v>60</v>
      </c>
      <c r="AC223" s="63">
        <f>MIN(IFERROR(INDEX(真品获取算法!$C$6:$C$66,MATCH(W223,真品获取算法!I$6:I$66,1)),0)+付费投放!AL223,前期规划!I$8)</f>
        <v>60</v>
      </c>
      <c r="AD223" s="63">
        <f t="shared" si="42"/>
        <v>1</v>
      </c>
      <c r="AE223" s="63">
        <f t="shared" si="36"/>
        <v>1</v>
      </c>
      <c r="AF223" s="63">
        <f t="shared" si="37"/>
        <v>1</v>
      </c>
      <c r="AG223" s="63">
        <f t="shared" si="38"/>
        <v>1</v>
      </c>
      <c r="AH223" s="63">
        <f t="shared" si="39"/>
        <v>1</v>
      </c>
      <c r="AI223" s="63">
        <f t="shared" si="40"/>
        <v>1.4833125583247271</v>
      </c>
      <c r="AK223" s="60">
        <f>活动投放!AF223/U223</f>
        <v>0.12563057819169579</v>
      </c>
      <c r="AL223" s="60">
        <f>付费投放!AD223/U223</f>
        <v>0.87436942180830424</v>
      </c>
      <c r="AM223" s="60">
        <f>活动投放!AH223/W223</f>
        <v>0.53872718302910705</v>
      </c>
      <c r="AN223" s="60">
        <f>付费投放!AF223/W223</f>
        <v>0.46127281697089295</v>
      </c>
      <c r="AO223" s="60">
        <f>IFERROR(INDEX(真品获取算法!$C$6:$C$66,MATCH(U223,真品获取算法!G$6:G$66,1)),0)*AK223/(IFERROR(INDEX(真品获取算法!$C$6:$C$66,MATCH(U223,真品获取算法!G$6:G$66,1)),0)+付费投放!AJ223)</f>
        <v>9.1759033665711073E-2</v>
      </c>
      <c r="AP223" s="60">
        <f>(付费投放!AJ223+IFERROR(INDEX(真品获取算法!$C$6:$C$66,MATCH(U223,真品获取算法!G$6:G$66,1)),0)*AL223)/(IFERROR(INDEX(真品获取算法!$C$6:$C$66,MATCH(U223,真品获取算法!G$6:G$66,1)),0)+付费投放!AJ223)</f>
        <v>0.90824096633428886</v>
      </c>
      <c r="AQ223" s="60">
        <f>IFERROR(INDEX(真品获取算法!$C$6:$C$66,MATCH(W223,真品获取算法!I$6:I$66,1)),0)*AM223/(IFERROR(INDEX(真品获取算法!$C$6:$C$66,MATCH(W223,真品获取算法!I$6:I$66,1)),0)+付费投放!AL223)</f>
        <v>0.21755189112758838</v>
      </c>
      <c r="AR223" s="60">
        <f>(付费投放!AL223+IFERROR(INDEX(真品获取算法!$C$6:$C$66,MATCH(W223,真品获取算法!I$6:I$66,1)),0)*AN223)/(IFERROR(INDEX(真品获取算法!$C$6:$C$66,MATCH(W223,真品获取算法!I$6:I$66,1)),0)+付费投放!AL223)</f>
        <v>0.78244810887241167</v>
      </c>
    </row>
    <row r="224" spans="3:44" x14ac:dyDescent="0.15">
      <c r="C224" s="29">
        <f t="shared" si="43"/>
        <v>4200</v>
      </c>
      <c r="D224" s="18">
        <f>求节点(节奏总纲!$H$4:$H$163,节奏总纲!$C$4:$C$163,$C224)</f>
        <v>140.02552130500166</v>
      </c>
      <c r="E224" s="18">
        <f>IFERROR(求节点(前期规划!$G$13:$G$23,前期规划!$B$13:$B$23,D224),0)</f>
        <v>20</v>
      </c>
      <c r="F224" s="63">
        <f>IFERROR(求节点(前期规划!$C$28:$C$35,前期规划!D$28:D$35,$D224),0)</f>
        <v>9</v>
      </c>
      <c r="G224" s="63">
        <f>IFERROR(求节点(前期规划!$C$28:$C$35,前期规划!E$28:E$35,$D224),0)</f>
        <v>9</v>
      </c>
      <c r="H224" s="63">
        <f>IFERROR(求节点(前期规划!$C$28:$C$35,前期规划!F$28:F$35,$D224),0)</f>
        <v>27</v>
      </c>
      <c r="I224" s="63">
        <f>IFERROR(求节点(前期规划!$C$28:$C$35,前期规划!G$28:G$35,$D224),0)</f>
        <v>27</v>
      </c>
      <c r="J224" s="63">
        <f>IFERROR(求节点(前期规划!$C$28:$C$35,前期规划!H$28:H$35,$D224),0)</f>
        <v>60</v>
      </c>
      <c r="K224" s="63">
        <f>IFERROR(求节点(前期规划!$C$28:$C$35,前期规划!I$28:I$35,$D224),0)</f>
        <v>41.478210664637899</v>
      </c>
      <c r="L224" s="63">
        <f>MIN($E224-SUM(M224:$Q224),F224)</f>
        <v>0</v>
      </c>
      <c r="M224" s="63">
        <f>MIN($E224-SUM(N224:$Q224),G224)</f>
        <v>0</v>
      </c>
      <c r="N224" s="63">
        <f>MIN($E224-SUM(O224:$Q224),H224)</f>
        <v>0</v>
      </c>
      <c r="O224" s="63">
        <f>MIN($E224-SUM(P224:$Q224),I224)</f>
        <v>0</v>
      </c>
      <c r="P224" s="63">
        <f>MIN($E224-SUM(Q224:$Q224),J224)</f>
        <v>0</v>
      </c>
      <c r="Q224" s="69">
        <f t="shared" si="41"/>
        <v>20</v>
      </c>
      <c r="R224" s="64">
        <f>活动投放!AC224+付费投放!AA224</f>
        <v>1217.5</v>
      </c>
      <c r="S224" s="64">
        <f>活动投放!AD224+付费投放!AB224</f>
        <v>1217.5</v>
      </c>
      <c r="T224" s="64">
        <f>活动投放!AE224+付费投放!AC224</f>
        <v>7775.5999999999995</v>
      </c>
      <c r="U224" s="64">
        <f>活动投放!AF224+付费投放!AD224</f>
        <v>3332.3999999999996</v>
      </c>
      <c r="V224" s="64">
        <f>活动投放!AG224+付费投放!AE224</f>
        <v>5904.9000000000005</v>
      </c>
      <c r="W224" s="64">
        <f>活动投放!AH224+付费投放!AF224</f>
        <v>656.1</v>
      </c>
      <c r="X224" s="63">
        <f>MIN(IFERROR(INDEX(真品获取算法!$C$6:$C$66,MATCH(R224,真品获取算法!D$6:D$66,1)),0)+付费投放!AG224,前期规划!D$8)</f>
        <v>9</v>
      </c>
      <c r="Y224" s="63">
        <f>MIN(IFERROR(INDEX(真品获取算法!$C$6:$C$66,MATCH(S224,真品获取算法!E$6:E$66,1)),0)+付费投放!AH224,前期规划!E$8)</f>
        <v>9</v>
      </c>
      <c r="Z224" s="63">
        <f>MIN(IFERROR(INDEX(真品获取算法!$C$6:$C$66,MATCH(T224,真品获取算法!F$6:F$66,1)),0)+付费投放!AI224,前期规划!F$8)</f>
        <v>27</v>
      </c>
      <c r="AA224" s="63">
        <f>MIN(IFERROR(INDEX(真品获取算法!$C$6:$C$66,MATCH(U224,真品获取算法!G$6:G$66,1)),0)+付费投放!AJ224,前期规划!G$8)</f>
        <v>27</v>
      </c>
      <c r="AB224" s="63">
        <f>MIN(IFERROR(INDEX(真品获取算法!$C$6:$C$66,MATCH(V224,真品获取算法!H$6:H$66,1)),0)+付费投放!AK224,前期规划!H$8)</f>
        <v>60</v>
      </c>
      <c r="AC224" s="63">
        <f>MIN(IFERROR(INDEX(真品获取算法!$C$6:$C$66,MATCH(W224,真品获取算法!I$6:I$66,1)),0)+付费投放!AL224,前期规划!I$8)</f>
        <v>60</v>
      </c>
      <c r="AD224" s="63">
        <f t="shared" si="42"/>
        <v>1</v>
      </c>
      <c r="AE224" s="63">
        <f t="shared" si="36"/>
        <v>1</v>
      </c>
      <c r="AF224" s="63">
        <f t="shared" si="37"/>
        <v>1</v>
      </c>
      <c r="AG224" s="63">
        <f t="shared" si="38"/>
        <v>1</v>
      </c>
      <c r="AH224" s="63">
        <f t="shared" si="39"/>
        <v>1</v>
      </c>
      <c r="AI224" s="63">
        <f t="shared" si="40"/>
        <v>1.4465426313858034</v>
      </c>
      <c r="AK224" s="60">
        <f>活动投放!AF224/U224</f>
        <v>0.12558516384587687</v>
      </c>
      <c r="AL224" s="60">
        <f>付费投放!AD224/U224</f>
        <v>0.87441483615412319</v>
      </c>
      <c r="AM224" s="60">
        <f>活动投放!AH224/W224</f>
        <v>0.5389422344154855</v>
      </c>
      <c r="AN224" s="60">
        <f>付费投放!AF224/W224</f>
        <v>0.46105776558451456</v>
      </c>
      <c r="AO224" s="60">
        <f>IFERROR(INDEX(真品获取算法!$C$6:$C$66,MATCH(U224,真品获取算法!G$6:G$66,1)),0)*AK224/(IFERROR(INDEX(真品获取算法!$C$6:$C$66,MATCH(U224,真品获取算法!G$6:G$66,1)),0)+付费投放!AJ224)</f>
        <v>9.0100959003684922E-2</v>
      </c>
      <c r="AP224" s="60">
        <f>(付费投放!AJ224+IFERROR(INDEX(真品获取算法!$C$6:$C$66,MATCH(U224,真品获取算法!G$6:G$66,1)),0)*AL224)/(IFERROR(INDEX(真品获取算法!$C$6:$C$66,MATCH(U224,真品获取算法!G$6:G$66,1)),0)+付费投放!AJ224)</f>
        <v>0.90989904099631502</v>
      </c>
      <c r="AQ224" s="60">
        <f>IFERROR(INDEX(真品获取算法!$C$6:$C$66,MATCH(W224,真品获取算法!I$6:I$66,1)),0)*AM224/(IFERROR(INDEX(真品获取算法!$C$6:$C$66,MATCH(W224,真品获取算法!I$6:I$66,1)),0)+付费投放!AL224)</f>
        <v>0.21450437190666091</v>
      </c>
      <c r="AR224" s="60">
        <f>(付费投放!AL224+IFERROR(INDEX(真品获取算法!$C$6:$C$66,MATCH(W224,真品获取算法!I$6:I$66,1)),0)*AN224)/(IFERROR(INDEX(真品获取算法!$C$6:$C$66,MATCH(W224,真品获取算法!I$6:I$66,1)),0)+付费投放!AL224)</f>
        <v>0.78549562809333906</v>
      </c>
    </row>
    <row r="225" spans="3:44" x14ac:dyDescent="0.15">
      <c r="C225" s="29">
        <f t="shared" si="43"/>
        <v>4500</v>
      </c>
      <c r="D225" s="18">
        <f>求节点(节奏总纲!$H$4:$H$163,节奏总纲!$C$4:$C$163,$C225)</f>
        <v>141.0305191407117</v>
      </c>
      <c r="E225" s="18">
        <f>IFERROR(求节点(前期规划!$G$13:$G$23,前期规划!$B$13:$B$23,D225),0)</f>
        <v>20</v>
      </c>
      <c r="F225" s="63">
        <f>IFERROR(求节点(前期规划!$C$28:$C$35,前期规划!D$28:D$35,$D225),0)</f>
        <v>9</v>
      </c>
      <c r="G225" s="63">
        <f>IFERROR(求节点(前期规划!$C$28:$C$35,前期规划!E$28:E$35,$D225),0)</f>
        <v>9</v>
      </c>
      <c r="H225" s="63">
        <f>IFERROR(求节点(前期规划!$C$28:$C$35,前期规划!F$28:F$35,$D225),0)</f>
        <v>27</v>
      </c>
      <c r="I225" s="63">
        <f>IFERROR(求节点(前期规划!$C$28:$C$35,前期规划!G$28:G$35,$D225),0)</f>
        <v>27</v>
      </c>
      <c r="J225" s="63">
        <f>IFERROR(求节点(前期规划!$C$28:$C$35,前期规划!H$28:H$35,$D225),0)</f>
        <v>60</v>
      </c>
      <c r="K225" s="63">
        <f>IFERROR(求节点(前期规划!$C$28:$C$35,前期规划!I$28:I$35,$D225),0)</f>
        <v>42.410117748659943</v>
      </c>
      <c r="L225" s="63">
        <f>MIN($E225-SUM(M225:$Q225),F225)</f>
        <v>0</v>
      </c>
      <c r="M225" s="63">
        <f>MIN($E225-SUM(N225:$Q225),G225)</f>
        <v>0</v>
      </c>
      <c r="N225" s="63">
        <f>MIN($E225-SUM(O225:$Q225),H225)</f>
        <v>0</v>
      </c>
      <c r="O225" s="63">
        <f>MIN($E225-SUM(P225:$Q225),I225)</f>
        <v>0</v>
      </c>
      <c r="P225" s="63">
        <f>MIN($E225-SUM(Q225:$Q225),J225)</f>
        <v>0</v>
      </c>
      <c r="Q225" s="69">
        <f t="shared" si="41"/>
        <v>20</v>
      </c>
      <c r="R225" s="64">
        <f>活动投放!AC225+付费投放!AA225</f>
        <v>1297.5</v>
      </c>
      <c r="S225" s="64">
        <f>活动投放!AD225+付费投放!AB225</f>
        <v>1297.5</v>
      </c>
      <c r="T225" s="64">
        <f>活动投放!AE225+付费投放!AC225</f>
        <v>8335.5999999999985</v>
      </c>
      <c r="U225" s="64">
        <f>活动投放!AF225+付费投放!AD225</f>
        <v>3572.3999999999996</v>
      </c>
      <c r="V225" s="64">
        <f>活动投放!AG225+付费投放!AE225</f>
        <v>6336.9000000000005</v>
      </c>
      <c r="W225" s="64">
        <f>活动投放!AH225+付费投放!AF225</f>
        <v>704.1</v>
      </c>
      <c r="X225" s="63">
        <f>MIN(IFERROR(INDEX(真品获取算法!$C$6:$C$66,MATCH(R225,真品获取算法!D$6:D$66,1)),0)+付费投放!AG225,前期规划!D$8)</f>
        <v>9</v>
      </c>
      <c r="Y225" s="63">
        <f>MIN(IFERROR(INDEX(真品获取算法!$C$6:$C$66,MATCH(S225,真品获取算法!E$6:E$66,1)),0)+付费投放!AH225,前期规划!E$8)</f>
        <v>9</v>
      </c>
      <c r="Z225" s="63">
        <f>MIN(IFERROR(INDEX(真品获取算法!$C$6:$C$66,MATCH(T225,真品获取算法!F$6:F$66,1)),0)+付费投放!AI225,前期规划!F$8)</f>
        <v>27</v>
      </c>
      <c r="AA225" s="63">
        <f>MIN(IFERROR(INDEX(真品获取算法!$C$6:$C$66,MATCH(U225,真品获取算法!G$6:G$66,1)),0)+付费投放!AJ225,前期规划!G$8)</f>
        <v>27</v>
      </c>
      <c r="AB225" s="63">
        <f>MIN(IFERROR(INDEX(真品获取算法!$C$6:$C$66,MATCH(V225,真品获取算法!H$6:H$66,1)),0)+付费投放!AK225,前期规划!H$8)</f>
        <v>60</v>
      </c>
      <c r="AC225" s="63">
        <f>MIN(IFERROR(INDEX(真品获取算法!$C$6:$C$66,MATCH(W225,真品获取算法!I$6:I$66,1)),0)+付费投放!AL225,前期规划!I$8)</f>
        <v>60</v>
      </c>
      <c r="AD225" s="63">
        <f t="shared" si="42"/>
        <v>1</v>
      </c>
      <c r="AE225" s="63">
        <f t="shared" si="36"/>
        <v>1</v>
      </c>
      <c r="AF225" s="63">
        <f t="shared" si="37"/>
        <v>1</v>
      </c>
      <c r="AG225" s="63">
        <f t="shared" si="38"/>
        <v>1</v>
      </c>
      <c r="AH225" s="63">
        <f t="shared" si="39"/>
        <v>1</v>
      </c>
      <c r="AI225" s="63">
        <f t="shared" si="40"/>
        <v>1.4147567416715285</v>
      </c>
      <c r="AK225" s="60">
        <f>活动投放!AF225/U225</f>
        <v>0.12554585152838429</v>
      </c>
      <c r="AL225" s="60">
        <f>付费投放!AD225/U225</f>
        <v>0.87445414847161573</v>
      </c>
      <c r="AM225" s="60">
        <f>活动投放!AH225/W225</f>
        <v>0.53912796477773051</v>
      </c>
      <c r="AN225" s="60">
        <f>付费投放!AF225/W225</f>
        <v>0.46087203522226955</v>
      </c>
      <c r="AO225" s="60">
        <f>IFERROR(INDEX(真品获取算法!$C$6:$C$66,MATCH(U225,真品获取算法!G$6:G$66,1)),0)*AK225/(IFERROR(INDEX(真品获取算法!$C$6:$C$66,MATCH(U225,真品获取算法!G$6:G$66,1)),0)+付费投放!AJ225)</f>
        <v>8.8504908388156028E-2</v>
      </c>
      <c r="AP225" s="60">
        <f>(付费投放!AJ225+IFERROR(INDEX(真品获取算法!$C$6:$C$66,MATCH(U225,真品获取算法!G$6:G$66,1)),0)*AL225)/(IFERROR(INDEX(真品获取算法!$C$6:$C$66,MATCH(U225,真品获取算法!G$6:G$66,1)),0)+付费投放!AJ225)</f>
        <v>0.91149509161184405</v>
      </c>
      <c r="AQ225" s="60">
        <f>IFERROR(INDEX(真品获取算法!$C$6:$C$66,MATCH(W225,真品获取算法!I$6:I$66,1)),0)*AM225/(IFERROR(INDEX(真品获取算法!$C$6:$C$66,MATCH(W225,真品获取算法!I$6:I$66,1)),0)+付费投放!AL225)</f>
        <v>0.20872754065993346</v>
      </c>
      <c r="AR225" s="60">
        <f>(付费投放!AL225+IFERROR(INDEX(真品获取算法!$C$6:$C$66,MATCH(W225,真品获取算法!I$6:I$66,1)),0)*AN225)/(IFERROR(INDEX(真品获取算法!$C$6:$C$66,MATCH(W225,真品获取算法!I$6:I$66,1)),0)+付费投放!AL225)</f>
        <v>0.79127245934006663</v>
      </c>
    </row>
    <row r="226" spans="3:44" x14ac:dyDescent="0.15">
      <c r="C226" s="29">
        <f t="shared" si="43"/>
        <v>4800</v>
      </c>
      <c r="D226" s="18">
        <f>求节点(节奏总纲!$H$4:$H$163,节奏总纲!$C$4:$C$163,$C226)</f>
        <v>141.92990796852064</v>
      </c>
      <c r="E226" s="18">
        <f>IFERROR(求节点(前期规划!$G$13:$G$23,前期规划!$B$13:$B$23,D226),0)</f>
        <v>20</v>
      </c>
      <c r="F226" s="63">
        <f>IFERROR(求节点(前期规划!$C$28:$C$35,前期规划!D$28:D$35,$D226),0)</f>
        <v>9</v>
      </c>
      <c r="G226" s="63">
        <f>IFERROR(求节点(前期规划!$C$28:$C$35,前期规划!E$28:E$35,$D226),0)</f>
        <v>9</v>
      </c>
      <c r="H226" s="63">
        <f>IFERROR(求节点(前期规划!$C$28:$C$35,前期规划!F$28:F$35,$D226),0)</f>
        <v>27</v>
      </c>
      <c r="I226" s="63">
        <f>IFERROR(求节点(前期规划!$C$28:$C$35,前期规划!G$28:G$35,$D226),0)</f>
        <v>27</v>
      </c>
      <c r="J226" s="63">
        <f>IFERROR(求节点(前期规划!$C$28:$C$35,前期规划!H$28:H$35,$D226),0)</f>
        <v>60</v>
      </c>
      <c r="K226" s="63">
        <f>IFERROR(求节点(前期规划!$C$28:$C$35,前期规划!I$28:I$35,$D226),0)</f>
        <v>43.244096479900954</v>
      </c>
      <c r="L226" s="63">
        <f>MIN($E226-SUM(M226:$Q226),F226)</f>
        <v>0</v>
      </c>
      <c r="M226" s="63">
        <f>MIN($E226-SUM(N226:$Q226),G226)</f>
        <v>0</v>
      </c>
      <c r="N226" s="63">
        <f>MIN($E226-SUM(O226:$Q226),H226)</f>
        <v>0</v>
      </c>
      <c r="O226" s="63">
        <f>MIN($E226-SUM(P226:$Q226),I226)</f>
        <v>0</v>
      </c>
      <c r="P226" s="63">
        <f>MIN($E226-SUM(Q226:$Q226),J226)</f>
        <v>0</v>
      </c>
      <c r="Q226" s="69">
        <f t="shared" si="41"/>
        <v>20</v>
      </c>
      <c r="R226" s="64">
        <f>活动投放!AC226+付费投放!AA226</f>
        <v>1377.5</v>
      </c>
      <c r="S226" s="64">
        <f>活动投放!AD226+付费投放!AB226</f>
        <v>1377.5</v>
      </c>
      <c r="T226" s="64">
        <f>活动投放!AE226+付费投放!AC226</f>
        <v>8895.5999999999985</v>
      </c>
      <c r="U226" s="64">
        <f>活动投放!AF226+付费投放!AD226</f>
        <v>3812.3999999999996</v>
      </c>
      <c r="V226" s="64">
        <f>活动投放!AG226+付费投放!AE226</f>
        <v>6768.9000000000005</v>
      </c>
      <c r="W226" s="64">
        <f>活动投放!AH226+付费投放!AF226</f>
        <v>752.1</v>
      </c>
      <c r="X226" s="63">
        <f>MIN(IFERROR(INDEX(真品获取算法!$C$6:$C$66,MATCH(R226,真品获取算法!D$6:D$66,1)),0)+付费投放!AG226,前期规划!D$8)</f>
        <v>9</v>
      </c>
      <c r="Y226" s="63">
        <f>MIN(IFERROR(INDEX(真品获取算法!$C$6:$C$66,MATCH(S226,真品获取算法!E$6:E$66,1)),0)+付费投放!AH226,前期规划!E$8)</f>
        <v>9</v>
      </c>
      <c r="Z226" s="63">
        <f>MIN(IFERROR(INDEX(真品获取算法!$C$6:$C$66,MATCH(T226,真品获取算法!F$6:F$66,1)),0)+付费投放!AI226,前期规划!F$8)</f>
        <v>27</v>
      </c>
      <c r="AA226" s="63">
        <f>MIN(IFERROR(INDEX(真品获取算法!$C$6:$C$66,MATCH(U226,真品获取算法!G$6:G$66,1)),0)+付费投放!AJ226,前期规划!G$8)</f>
        <v>27</v>
      </c>
      <c r="AB226" s="63">
        <f>MIN(IFERROR(INDEX(真品获取算法!$C$6:$C$66,MATCH(V226,真品获取算法!H$6:H$66,1)),0)+付费投放!AK226,前期规划!H$8)</f>
        <v>60</v>
      </c>
      <c r="AC226" s="63">
        <f>MIN(IFERROR(INDEX(真品获取算法!$C$6:$C$66,MATCH(W226,真品获取算法!I$6:I$66,1)),0)+付费投放!AL226,前期规划!I$8)</f>
        <v>60</v>
      </c>
      <c r="AD226" s="63">
        <f t="shared" si="42"/>
        <v>1</v>
      </c>
      <c r="AE226" s="63">
        <f t="shared" si="36"/>
        <v>1</v>
      </c>
      <c r="AF226" s="63">
        <f t="shared" si="37"/>
        <v>1</v>
      </c>
      <c r="AG226" s="63">
        <f t="shared" si="38"/>
        <v>1</v>
      </c>
      <c r="AH226" s="63">
        <f t="shared" si="39"/>
        <v>1</v>
      </c>
      <c r="AI226" s="63">
        <f t="shared" si="40"/>
        <v>1.3874726236420936</v>
      </c>
      <c r="AK226" s="60">
        <f>活动投放!AF226/U226</f>
        <v>0.12551148882593643</v>
      </c>
      <c r="AL226" s="60">
        <f>付费投放!AD226/U226</f>
        <v>0.87448851117406357</v>
      </c>
      <c r="AM226" s="60">
        <f>活动投放!AH226/W226</f>
        <v>0.53928998803350625</v>
      </c>
      <c r="AN226" s="60">
        <f>付费投放!AF226/W226</f>
        <v>0.4607100119664938</v>
      </c>
      <c r="AO226" s="60">
        <f>IFERROR(INDEX(真品获取算法!$C$6:$C$66,MATCH(U226,真品获取算法!G$6:G$66,1)),0)*AK226/(IFERROR(INDEX(真品获取算法!$C$6:$C$66,MATCH(U226,真品获取算法!G$6:G$66,1)),0)+付费投放!AJ226)</f>
        <v>8.6966899870837042E-2</v>
      </c>
      <c r="AP226" s="60">
        <f>(付费投放!AJ226+IFERROR(INDEX(真品获取算法!$C$6:$C$66,MATCH(U226,真品获取算法!G$6:G$66,1)),0)*AL226)/(IFERROR(INDEX(真品获取算法!$C$6:$C$66,MATCH(U226,真品获取算法!G$6:G$66,1)),0)+付费投放!AJ226)</f>
        <v>0.91303310012916272</v>
      </c>
      <c r="AQ226" s="60">
        <f>IFERROR(INDEX(真品获取算法!$C$6:$C$66,MATCH(W226,真品获取算法!I$6:I$66,1)),0)*AM226/(IFERROR(INDEX(真品获取算法!$C$6:$C$66,MATCH(W226,真品获取算法!I$6:I$66,1)),0)+付费投放!AL226)</f>
        <v>0.20649572115263373</v>
      </c>
      <c r="AR226" s="60">
        <f>(付费投放!AL226+IFERROR(INDEX(真品获取算法!$C$6:$C$66,MATCH(W226,真品获取算法!I$6:I$66,1)),0)*AN226)/(IFERROR(INDEX(真品获取算法!$C$6:$C$66,MATCH(W226,真品获取算法!I$6:I$66,1)),0)+付费投放!AL226)</f>
        <v>0.7935042788473663</v>
      </c>
    </row>
    <row r="227" spans="3:44" x14ac:dyDescent="0.15">
      <c r="C227" s="29">
        <f t="shared" si="43"/>
        <v>65535</v>
      </c>
      <c r="D227" s="41">
        <v>160</v>
      </c>
      <c r="E227" s="18">
        <f>IFERROR(求节点(前期规划!$G$13:$G$23,前期规划!$B$13:$B$23,D227),0)</f>
        <v>20</v>
      </c>
      <c r="F227" s="63">
        <f>IFERROR(求节点(前期规划!$C$28:$C$35,前期规划!D$28:D$35,$D227),0)</f>
        <v>9</v>
      </c>
      <c r="G227" s="63">
        <f>IFERROR(求节点(前期规划!$C$28:$C$35,前期规划!E$28:E$35,$D227),0)</f>
        <v>9</v>
      </c>
      <c r="H227" s="63">
        <f>IFERROR(求节点(前期规划!$C$28:$C$35,前期规划!F$28:F$35,$D227),0)</f>
        <v>27</v>
      </c>
      <c r="I227" s="63">
        <f>IFERROR(求节点(前期规划!$C$28:$C$35,前期规划!G$28:G$35,$D227),0)</f>
        <v>27</v>
      </c>
      <c r="J227" s="63">
        <f>IFERROR(求节点(前期规划!$C$28:$C$35,前期规划!H$28:H$35,$D227),0)</f>
        <v>60</v>
      </c>
      <c r="K227" s="63">
        <f>IFERROR(求节点(前期规划!$C$28:$C$35,前期规划!I$28:I$35,$D227),0)</f>
        <v>60</v>
      </c>
      <c r="L227" s="63">
        <f>MIN($E227-SUM(M227:$Q227),F227)</f>
        <v>0</v>
      </c>
      <c r="M227" s="63">
        <f>MIN($E227-SUM(N227:$Q227),G227)</f>
        <v>0</v>
      </c>
      <c r="N227" s="63">
        <f>MIN($E227-SUM(O227:$Q227),H227)</f>
        <v>0</v>
      </c>
      <c r="O227" s="63">
        <f>MIN($E227-SUM(P227:$Q227),I227)</f>
        <v>0</v>
      </c>
      <c r="P227" s="63">
        <f>MIN($E227-SUM(Q227:$Q227),J227)</f>
        <v>0</v>
      </c>
      <c r="Q227" s="69">
        <f t="shared" ref="Q227" si="44">MIN($E227,K227)</f>
        <v>20</v>
      </c>
      <c r="R227" s="64">
        <f>活动投放!AC227+付费投放!AA227</f>
        <v>17573.5</v>
      </c>
      <c r="S227" s="64">
        <f>活动投放!AD227+付费投放!AB227</f>
        <v>17573.5</v>
      </c>
      <c r="T227" s="64">
        <f>活动投放!AE227+付费投放!AC227</f>
        <v>122267.59999999999</v>
      </c>
      <c r="U227" s="64">
        <f>活动投放!AF227+付费投放!AD227</f>
        <v>52400.4</v>
      </c>
      <c r="V227" s="64">
        <f>活动投放!AG227+付费投放!AE227</f>
        <v>94227.3</v>
      </c>
      <c r="W227" s="64">
        <f>活动投放!AH227+付费投放!AF227</f>
        <v>10469.700000000001</v>
      </c>
      <c r="X227" s="63">
        <f>MIN(IFERROR(INDEX(真品获取算法!$C$6:$C$66,MATCH(R227,真品获取算法!D$6:D$66,1)),0)+付费投放!AG227,前期规划!D$8)</f>
        <v>9</v>
      </c>
      <c r="Y227" s="63">
        <f>MIN(IFERROR(INDEX(真品获取算法!$C$6:$C$66,MATCH(S227,真品获取算法!E$6:E$66,1)),0)+付费投放!AH227,前期规划!E$8)</f>
        <v>9</v>
      </c>
      <c r="Z227" s="63">
        <f>MIN(IFERROR(INDEX(真品获取算法!$C$6:$C$66,MATCH(T227,真品获取算法!F$6:F$66,1)),0)+付费投放!AI227,前期规划!F$8)</f>
        <v>27</v>
      </c>
      <c r="AA227" s="63">
        <f>MIN(IFERROR(INDEX(真品获取算法!$C$6:$C$66,MATCH(U227,真品获取算法!G$6:G$66,1)),0)+付费投放!AJ227,前期规划!G$8)</f>
        <v>27</v>
      </c>
      <c r="AB227" s="63">
        <f>MIN(IFERROR(INDEX(真品获取算法!$C$6:$C$66,MATCH(V227,真品获取算法!H$6:H$66,1)),0)+付费投放!AK227,前期规划!H$8)</f>
        <v>60</v>
      </c>
      <c r="AC227" s="63">
        <f>MIN(IFERROR(INDEX(真品获取算法!$C$6:$C$66,MATCH(W227,真品获取算法!I$6:I$66,1)),0)+付费投放!AL227,前期规划!I$8)</f>
        <v>60</v>
      </c>
      <c r="AD227" s="63">
        <f t="shared" si="42"/>
        <v>1</v>
      </c>
      <c r="AE227" s="63">
        <f t="shared" si="36"/>
        <v>1</v>
      </c>
      <c r="AF227" s="63">
        <f t="shared" si="37"/>
        <v>1</v>
      </c>
      <c r="AG227" s="63">
        <f t="shared" si="38"/>
        <v>1</v>
      </c>
      <c r="AH227" s="63">
        <f t="shared" si="39"/>
        <v>1</v>
      </c>
      <c r="AI227" s="63">
        <f t="shared" si="40"/>
        <v>1</v>
      </c>
      <c r="AK227" s="60">
        <f>活动投放!AF227/U227</f>
        <v>0.12503721345638583</v>
      </c>
      <c r="AL227" s="60">
        <f>付费投放!AD227/U227</f>
        <v>0.87496278654361415</v>
      </c>
      <c r="AM227" s="60">
        <f>活动投放!AH227/W227</f>
        <v>0.54149593589119072</v>
      </c>
      <c r="AN227" s="60">
        <f>付费投放!AF227/W227</f>
        <v>0.45850406410880923</v>
      </c>
      <c r="AO227" s="60">
        <f>IFERROR(INDEX(真品获取算法!$C$6:$C$66,MATCH(U227,真品获取算法!G$6:G$66,1)),0)*AK227/(IFERROR(INDEX(真品获取算法!$C$6:$C$66,MATCH(U227,真品获取算法!G$6:G$66,1)),0)+付费投放!AJ227)</f>
        <v>1.940976291676361E-2</v>
      </c>
      <c r="AP227" s="60">
        <f>(付费投放!AJ227+IFERROR(INDEX(真品获取算法!$C$6:$C$66,MATCH(U227,真品获取算法!G$6:G$66,1)),0)*AL227)/(IFERROR(INDEX(真品获取算法!$C$6:$C$66,MATCH(U227,真品获取算法!G$6:G$66,1)),0)+付费投放!AJ227)</f>
        <v>0.98059023708323645</v>
      </c>
      <c r="AQ227" s="60">
        <f>IFERROR(INDEX(真品获取算法!$C$6:$C$66,MATCH(W227,真品获取算法!I$6:I$66,1)),0)*AM227/(IFERROR(INDEX(真品获取算法!$C$6:$C$66,MATCH(W227,真品获取算法!I$6:I$66,1)),0)+付费投放!AL227)</f>
        <v>3.1850204056026434E-2</v>
      </c>
      <c r="AR227" s="60">
        <f>(付费投放!AL227+IFERROR(INDEX(真品获取算法!$C$6:$C$66,MATCH(W227,真品获取算法!I$6:I$66,1)),0)*AN227)/(IFERROR(INDEX(真品获取算法!$C$6:$C$66,MATCH(W227,真品获取算法!I$6:I$66,1)),0)+付费投放!AL227)</f>
        <v>0.96814979594397355</v>
      </c>
    </row>
  </sheetData>
  <mergeCells count="45">
    <mergeCell ref="AK185:AL185"/>
    <mergeCell ref="AM185:AN185"/>
    <mergeCell ref="AO185:AP185"/>
    <mergeCell ref="AQ185:AR185"/>
    <mergeCell ref="AK97:AL97"/>
    <mergeCell ref="AM97:AN97"/>
    <mergeCell ref="AO97:AP97"/>
    <mergeCell ref="AQ97:AR97"/>
    <mergeCell ref="AK141:AL141"/>
    <mergeCell ref="AM141:AN141"/>
    <mergeCell ref="AO141:AP141"/>
    <mergeCell ref="AQ141:AR141"/>
    <mergeCell ref="AK9:AL9"/>
    <mergeCell ref="AM9:AN9"/>
    <mergeCell ref="AO9:AP9"/>
    <mergeCell ref="AQ9:AR9"/>
    <mergeCell ref="AK53:AL53"/>
    <mergeCell ref="AM53:AN53"/>
    <mergeCell ref="AO53:AP53"/>
    <mergeCell ref="AQ53:AR53"/>
    <mergeCell ref="AD9:AI9"/>
    <mergeCell ref="AD53:AI53"/>
    <mergeCell ref="AD97:AI97"/>
    <mergeCell ref="AD141:AI141"/>
    <mergeCell ref="AD185:AI185"/>
    <mergeCell ref="X141:AC141"/>
    <mergeCell ref="X185:AC185"/>
    <mergeCell ref="L141:Q141"/>
    <mergeCell ref="L185:Q185"/>
    <mergeCell ref="R141:W141"/>
    <mergeCell ref="R185:W185"/>
    <mergeCell ref="X9:AC9"/>
    <mergeCell ref="L9:Q9"/>
    <mergeCell ref="L53:Q53"/>
    <mergeCell ref="L97:Q97"/>
    <mergeCell ref="R9:W9"/>
    <mergeCell ref="R53:W53"/>
    <mergeCell ref="R97:W97"/>
    <mergeCell ref="X53:AC53"/>
    <mergeCell ref="X97:AC97"/>
    <mergeCell ref="F9:K9"/>
    <mergeCell ref="F53:K53"/>
    <mergeCell ref="F97:K97"/>
    <mergeCell ref="F141:K141"/>
    <mergeCell ref="F185:K18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CDA13-0C65-4658-9BE0-63BEAF7AF12B}">
  <sheetPr codeName="Sheet10"/>
  <dimension ref="A1:V227"/>
  <sheetViews>
    <sheetView topLeftCell="A7" workbookViewId="0">
      <selection activeCell="F10" sqref="F10:J10"/>
    </sheetView>
  </sheetViews>
  <sheetFormatPr defaultColWidth="9" defaultRowHeight="11.25" x14ac:dyDescent="0.15"/>
  <cols>
    <col min="1" max="2" width="9" style="16"/>
    <col min="3" max="3" width="15.375" style="16" bestFit="1" customWidth="1"/>
    <col min="4" max="5" width="10.375" style="16" bestFit="1" customWidth="1"/>
    <col min="6" max="6" width="9" style="16"/>
    <col min="7" max="10" width="9" style="51"/>
    <col min="11" max="12" width="9" style="16"/>
    <col min="13" max="13" width="9" style="51"/>
    <col min="14" max="14" width="7.25" style="31" customWidth="1"/>
    <col min="15" max="15" width="7.25" style="47" customWidth="1"/>
    <col min="16" max="16" width="9.75" style="47" bestFit="1" customWidth="1"/>
    <col min="17" max="17" width="10.375" style="47" bestFit="1" customWidth="1"/>
    <col min="18" max="22" width="7.25" style="47" customWidth="1"/>
    <col min="23" max="16384" width="9" style="16"/>
  </cols>
  <sheetData>
    <row r="1" spans="1:22" x14ac:dyDescent="0.15">
      <c r="N1" s="30"/>
      <c r="O1" s="43"/>
      <c r="P1" s="43"/>
      <c r="Q1" s="43"/>
      <c r="R1" s="43"/>
      <c r="S1" s="43"/>
      <c r="T1" s="43"/>
      <c r="U1" s="43"/>
      <c r="V1" s="43"/>
    </row>
    <row r="2" spans="1:22" x14ac:dyDescent="0.15">
      <c r="A2" s="51"/>
      <c r="B2" s="51"/>
      <c r="C2" s="51"/>
      <c r="D2" s="51"/>
      <c r="E2" s="51"/>
      <c r="F2" s="51"/>
      <c r="K2" s="51"/>
      <c r="L2" s="51"/>
      <c r="N2" s="30"/>
      <c r="O2" s="43"/>
      <c r="P2" s="43"/>
      <c r="Q2" s="43"/>
      <c r="R2" s="43"/>
      <c r="S2" s="43"/>
      <c r="T2" s="43"/>
      <c r="U2" s="43"/>
      <c r="V2" s="43"/>
    </row>
    <row r="3" spans="1:22" x14ac:dyDescent="0.15">
      <c r="A3" s="51"/>
      <c r="B3" s="51"/>
      <c r="C3" s="51"/>
      <c r="D3" s="51"/>
      <c r="E3" s="51"/>
      <c r="F3" s="51"/>
      <c r="K3" s="51"/>
      <c r="L3" s="51"/>
      <c r="N3" s="30"/>
      <c r="O3" s="43"/>
      <c r="P3" s="43"/>
      <c r="Q3" s="43"/>
      <c r="R3" s="43"/>
      <c r="S3" s="43"/>
      <c r="T3" s="43"/>
      <c r="U3" s="43"/>
      <c r="V3" s="43"/>
    </row>
    <row r="4" spans="1:22" x14ac:dyDescent="0.15">
      <c r="A4" s="51"/>
      <c r="B4" s="51"/>
      <c r="C4" s="51"/>
      <c r="D4" s="51"/>
      <c r="E4" s="51"/>
      <c r="F4" s="51"/>
      <c r="K4" s="51"/>
      <c r="L4" s="51"/>
      <c r="N4" s="30"/>
      <c r="O4" s="43"/>
      <c r="P4" s="43"/>
      <c r="Q4" s="43"/>
      <c r="R4" s="43"/>
      <c r="S4" s="43"/>
      <c r="T4" s="43"/>
      <c r="U4" s="43"/>
      <c r="V4" s="43"/>
    </row>
    <row r="5" spans="1:22" x14ac:dyDescent="0.15">
      <c r="A5" s="51"/>
      <c r="B5" s="51"/>
      <c r="C5" s="51"/>
      <c r="D5" s="51"/>
      <c r="E5" s="51"/>
      <c r="F5" s="51"/>
      <c r="K5" s="51"/>
      <c r="L5" s="51"/>
      <c r="N5" s="30"/>
      <c r="O5" s="43"/>
      <c r="P5" s="43"/>
      <c r="Q5" s="43"/>
      <c r="R5" s="43"/>
      <c r="S5" s="43"/>
      <c r="T5" s="43"/>
      <c r="U5" s="43"/>
      <c r="V5" s="43"/>
    </row>
    <row r="6" spans="1:22" x14ac:dyDescent="0.15">
      <c r="A6" s="51"/>
      <c r="B6" s="51"/>
      <c r="C6" s="51"/>
      <c r="D6" s="51"/>
      <c r="E6" s="51"/>
      <c r="F6" s="51"/>
      <c r="K6" s="51"/>
      <c r="L6" s="51"/>
      <c r="N6" s="30"/>
      <c r="O6" s="43"/>
      <c r="P6" s="43"/>
      <c r="Q6" s="43"/>
      <c r="R6" s="43"/>
      <c r="S6" s="43"/>
      <c r="T6" s="43"/>
      <c r="U6" s="43"/>
      <c r="V6" s="43"/>
    </row>
    <row r="7" spans="1:22" x14ac:dyDescent="0.15">
      <c r="A7" s="51"/>
      <c r="B7" s="51"/>
      <c r="C7" s="51" t="s">
        <v>198</v>
      </c>
      <c r="D7" s="51">
        <v>4</v>
      </c>
      <c r="E7" s="51"/>
      <c r="F7" s="51"/>
      <c r="K7" s="51"/>
      <c r="L7" s="51"/>
      <c r="N7" s="30"/>
      <c r="O7" s="43"/>
      <c r="P7" s="43"/>
      <c r="Q7" s="43"/>
      <c r="R7" s="43"/>
      <c r="S7" s="43"/>
      <c r="T7" s="43"/>
      <c r="U7" s="43"/>
      <c r="V7" s="43"/>
    </row>
    <row r="8" spans="1:22" x14ac:dyDescent="0.15">
      <c r="C8" s="16" t="s">
        <v>197</v>
      </c>
      <c r="D8" s="16">
        <v>2</v>
      </c>
      <c r="N8" s="30"/>
      <c r="O8" s="43"/>
      <c r="P8" s="43"/>
      <c r="Q8" s="43"/>
      <c r="R8" s="43"/>
      <c r="S8" s="43"/>
      <c r="T8" s="43"/>
      <c r="U8" s="43"/>
      <c r="V8" s="43"/>
    </row>
    <row r="9" spans="1:22" x14ac:dyDescent="0.15">
      <c r="F9" s="92" t="s">
        <v>56</v>
      </c>
      <c r="G9" s="92"/>
      <c r="H9" s="92"/>
      <c r="I9" s="92"/>
      <c r="J9" s="92"/>
      <c r="N9" s="32" t="s">
        <v>17</v>
      </c>
      <c r="O9" s="43"/>
      <c r="P9" s="43"/>
      <c r="Q9" s="43"/>
      <c r="R9" s="43"/>
      <c r="S9" s="56"/>
      <c r="T9" s="56"/>
      <c r="U9" s="56"/>
      <c r="V9" s="56"/>
    </row>
    <row r="10" spans="1:22" ht="22.5" x14ac:dyDescent="0.15">
      <c r="C10" s="16" t="s">
        <v>53</v>
      </c>
      <c r="D10" s="16" t="s">
        <v>54</v>
      </c>
      <c r="E10" s="16" t="s">
        <v>55</v>
      </c>
      <c r="F10" s="16" t="s">
        <v>17</v>
      </c>
      <c r="G10" s="51" t="s">
        <v>18</v>
      </c>
      <c r="H10" s="51" t="s">
        <v>19</v>
      </c>
      <c r="I10" s="51" t="s">
        <v>20</v>
      </c>
      <c r="J10" s="51" t="s">
        <v>21</v>
      </c>
      <c r="N10" s="27" t="s">
        <v>31</v>
      </c>
      <c r="O10" s="45" t="s">
        <v>25</v>
      </c>
      <c r="P10" s="48" t="s">
        <v>194</v>
      </c>
      <c r="Q10" s="48" t="s">
        <v>195</v>
      </c>
      <c r="R10" s="48" t="s">
        <v>196</v>
      </c>
      <c r="S10" s="56"/>
      <c r="T10" s="56"/>
      <c r="U10" s="56"/>
      <c r="V10" s="56"/>
    </row>
    <row r="11" spans="1:22" x14ac:dyDescent="0.15">
      <c r="C11" s="16">
        <v>1</v>
      </c>
      <c r="D11" s="16">
        <v>100</v>
      </c>
      <c r="E11" s="16">
        <f>SUM($D$11:D11)</f>
        <v>100</v>
      </c>
      <c r="F11" s="35">
        <f>F12</f>
        <v>45</v>
      </c>
      <c r="G11" s="35">
        <f t="shared" ref="G11:J11" si="0">G12</f>
        <v>45</v>
      </c>
      <c r="H11" s="35">
        <f t="shared" si="0"/>
        <v>45</v>
      </c>
      <c r="I11" s="35">
        <f t="shared" si="0"/>
        <v>45</v>
      </c>
      <c r="J11" s="35">
        <f t="shared" si="0"/>
        <v>45</v>
      </c>
      <c r="N11" s="29">
        <f>基础状态预估!C11</f>
        <v>15</v>
      </c>
      <c r="O11" s="29">
        <f>基础状态预估!D11</f>
        <v>40</v>
      </c>
      <c r="P11" s="46">
        <f t="shared" ref="P11:P51" si="1">IFERROR(求节点($F$11:$F$31,$E$11:$E$31,$O11),0)</f>
        <v>0</v>
      </c>
      <c r="Q11" s="46">
        <f>活动投放!AA11+付费投放!AM11+SUMPRODUCT(基础状态预估!R11:W11,藏品属性!$D$18:$I$18)-SUMPRODUCT(基础状态预估!X11:AC11,藏品属性!$D$18:$I$18)</f>
        <v>0</v>
      </c>
      <c r="R11" s="46" t="e">
        <f>Q11/P11</f>
        <v>#DIV/0!</v>
      </c>
      <c r="S11" s="57"/>
      <c r="T11" s="57"/>
      <c r="U11" s="57"/>
      <c r="V11" s="57"/>
    </row>
    <row r="12" spans="1:22" x14ac:dyDescent="0.15">
      <c r="C12" s="16">
        <v>2</v>
      </c>
      <c r="D12" s="51">
        <v>200</v>
      </c>
      <c r="E12" s="16">
        <f>SUM($D$11:D12)</f>
        <v>300</v>
      </c>
      <c r="F12" s="16">
        <f>求节点(前期规划!$B$13:$B$21,前期规划!C$13:C$21,$C12)</f>
        <v>45</v>
      </c>
      <c r="G12" s="51">
        <f>求节点(前期规划!$B$13:$B$21,前期规划!D$13:D$21,$C12)</f>
        <v>45</v>
      </c>
      <c r="H12" s="51">
        <f>求节点(前期规划!$B$13:$B$21,前期规划!E$13:E$21,$C12)</f>
        <v>45</v>
      </c>
      <c r="I12" s="51">
        <f>求节点(前期规划!$B$13:$B$21,前期规划!F$13:F$21,$C12)</f>
        <v>45</v>
      </c>
      <c r="J12" s="51">
        <f>求节点(前期规划!$B$13:$B$21,前期规划!G$13:G$21,$C12)</f>
        <v>45</v>
      </c>
      <c r="N12" s="29">
        <f>基础状态预估!C12</f>
        <v>30</v>
      </c>
      <c r="O12" s="29">
        <f>基础状态预估!D12</f>
        <v>49.533352307096472</v>
      </c>
      <c r="P12" s="46">
        <f t="shared" si="1"/>
        <v>2001.3454765417418</v>
      </c>
      <c r="Q12" s="46">
        <f>活动投放!AA12+付费投放!AM12+SUMPRODUCT(基础状态预估!R12:W12,藏品属性!$D$18:$I$18)-SUMPRODUCT(基础状态预估!X12:AC12,藏品属性!$D$18:$I$18)</f>
        <v>1353.3333333333333</v>
      </c>
      <c r="R12" s="46">
        <f t="shared" ref="R12:R51" si="2">Q12/P12</f>
        <v>0.67621175314111592</v>
      </c>
      <c r="S12" s="57"/>
      <c r="T12" s="57"/>
      <c r="U12" s="57"/>
      <c r="V12" s="57"/>
    </row>
    <row r="13" spans="1:22" x14ac:dyDescent="0.15">
      <c r="C13" s="16">
        <v>3</v>
      </c>
      <c r="D13" s="51">
        <v>400</v>
      </c>
      <c r="E13" s="16">
        <f>SUM($D$11:D13)</f>
        <v>700</v>
      </c>
      <c r="F13" s="51">
        <f>求节点(前期规划!$B$13:$B$21,前期规划!C$13:C$21,$C13)</f>
        <v>47.5</v>
      </c>
      <c r="G13" s="51">
        <f>求节点(前期规划!$B$13:$B$21,前期规划!D$13:D$21,$C13)</f>
        <v>47</v>
      </c>
      <c r="H13" s="51">
        <f>求节点(前期规划!$B$13:$B$21,前期规划!E$13:E$21,$C13)</f>
        <v>46.5</v>
      </c>
      <c r="I13" s="51">
        <f>求节点(前期规划!$B$13:$B$21,前期规划!F$13:F$21,$C13)</f>
        <v>46</v>
      </c>
      <c r="J13" s="51">
        <f>求节点(前期规划!$B$13:$B$21,前期规划!G$13:G$21,$C13)</f>
        <v>45.5</v>
      </c>
      <c r="N13" s="29">
        <f>基础状态预估!C13</f>
        <v>45</v>
      </c>
      <c r="O13" s="29">
        <f>基础状态预估!D13</f>
        <v>55.229416240679981</v>
      </c>
      <c r="P13" s="46">
        <f t="shared" si="1"/>
        <v>9067.0659850879711</v>
      </c>
      <c r="Q13" s="46">
        <f>活动投放!AA13+付费投放!AM13+SUMPRODUCT(基础状态预估!R13:W13,藏品属性!$D$18:$I$18)-SUMPRODUCT(基础状态预估!X13:AC13,藏品属性!$D$18:$I$18)</f>
        <v>2906.6666666666665</v>
      </c>
      <c r="R13" s="46">
        <f t="shared" si="2"/>
        <v>0.32057411641727068</v>
      </c>
      <c r="S13" s="57"/>
      <c r="T13" s="57"/>
      <c r="U13" s="57"/>
      <c r="V13" s="57"/>
    </row>
    <row r="14" spans="1:22" x14ac:dyDescent="0.15">
      <c r="C14" s="16">
        <v>4</v>
      </c>
      <c r="D14" s="51">
        <v>1600</v>
      </c>
      <c r="E14" s="16">
        <f>SUM($D$11:D14)</f>
        <v>2300</v>
      </c>
      <c r="F14" s="51">
        <f>求节点(前期规划!$B$13:$B$21,前期规划!C$13:C$21,$C14)</f>
        <v>50</v>
      </c>
      <c r="G14" s="51">
        <f>求节点(前期规划!$B$13:$B$21,前期规划!D$13:D$21,$C14)</f>
        <v>49</v>
      </c>
      <c r="H14" s="51">
        <f>求节点(前期规划!$B$13:$B$21,前期规划!E$13:E$21,$C14)</f>
        <v>48</v>
      </c>
      <c r="I14" s="51">
        <f>求节点(前期规划!$B$13:$B$21,前期规划!F$13:F$21,$C14)</f>
        <v>47</v>
      </c>
      <c r="J14" s="51">
        <f>求节点(前期规划!$B$13:$B$21,前期规划!G$13:G$21,$C14)</f>
        <v>46</v>
      </c>
      <c r="N14" s="29">
        <f>基础状态预估!C14</f>
        <v>60</v>
      </c>
      <c r="O14" s="29">
        <f>基础状态预估!D14</f>
        <v>59.300028460644697</v>
      </c>
      <c r="P14" s="46">
        <f t="shared" si="1"/>
        <v>16334.337756607445</v>
      </c>
      <c r="Q14" s="46">
        <f>活动投放!AA14+付费投放!AM14+SUMPRODUCT(基础状态预估!R14:W14,藏品属性!$D$18:$I$18)-SUMPRODUCT(基础状态预估!X14:AC14,藏品属性!$D$18:$I$18)</f>
        <v>4460</v>
      </c>
      <c r="R14" s="46">
        <f t="shared" si="2"/>
        <v>0.27304443353976038</v>
      </c>
      <c r="S14" s="57"/>
      <c r="T14" s="57"/>
      <c r="U14" s="57"/>
      <c r="V14" s="57"/>
    </row>
    <row r="15" spans="1:22" x14ac:dyDescent="0.15">
      <c r="C15" s="16">
        <v>5</v>
      </c>
      <c r="D15" s="51">
        <v>3200</v>
      </c>
      <c r="E15" s="16">
        <f>SUM($D$11:D15)</f>
        <v>5500</v>
      </c>
      <c r="F15" s="51">
        <f>求节点(前期规划!$B$13:$B$21,前期规划!C$13:C$21,$C15)</f>
        <v>53</v>
      </c>
      <c r="G15" s="51">
        <f>求节点(前期规划!$B$13:$B$21,前期规划!D$13:D$21,$C15)</f>
        <v>52</v>
      </c>
      <c r="H15" s="51">
        <f>求节点(前期规划!$B$13:$B$21,前期规划!E$13:E$21,$C15)</f>
        <v>51</v>
      </c>
      <c r="I15" s="51">
        <f>求节点(前期规划!$B$13:$B$21,前期规划!F$13:F$21,$C15)</f>
        <v>50</v>
      </c>
      <c r="J15" s="51">
        <f>求节点(前期规划!$B$13:$B$21,前期规划!G$13:G$21,$C15)</f>
        <v>49</v>
      </c>
      <c r="N15" s="29">
        <f>基础状态预估!C15</f>
        <v>75</v>
      </c>
      <c r="O15" s="29">
        <f>基础状态预估!D15</f>
        <v>62.470630686057078</v>
      </c>
      <c r="P15" s="46">
        <f t="shared" si="1"/>
        <v>25187.516245877363</v>
      </c>
      <c r="Q15" s="46">
        <f>活动投放!AA15+付费投放!AM15+SUMPRODUCT(基础状态预估!R15:W15,藏品属性!$D$18:$I$18)-SUMPRODUCT(基础状态预估!X15:AC15,藏品属性!$D$18:$I$18)</f>
        <v>6113.3333333333339</v>
      </c>
      <c r="R15" s="46">
        <f t="shared" si="2"/>
        <v>0.24271282938959696</v>
      </c>
      <c r="S15" s="57"/>
      <c r="T15" s="57"/>
      <c r="U15" s="57"/>
      <c r="V15" s="57"/>
    </row>
    <row r="16" spans="1:22" x14ac:dyDescent="0.15">
      <c r="C16" s="16">
        <v>6</v>
      </c>
      <c r="D16" s="51">
        <v>4800</v>
      </c>
      <c r="E16" s="16">
        <f>SUM($D$11:D16)</f>
        <v>10300</v>
      </c>
      <c r="F16" s="51">
        <f>求节点(前期规划!$B$13:$B$21,前期规划!C$13:C$21,$C16)</f>
        <v>56</v>
      </c>
      <c r="G16" s="51">
        <f>求节点(前期规划!$B$13:$B$21,前期规划!D$13:D$21,$C16)</f>
        <v>55</v>
      </c>
      <c r="H16" s="51">
        <f>求节点(前期规划!$B$13:$B$21,前期规划!E$13:E$21,$C16)</f>
        <v>54</v>
      </c>
      <c r="I16" s="51">
        <f>求节点(前期规划!$B$13:$B$21,前期规划!F$13:F$21,$C16)</f>
        <v>53</v>
      </c>
      <c r="J16" s="51">
        <f>求节点(前期规划!$B$13:$B$21,前期规划!G$13:G$21,$C16)</f>
        <v>52</v>
      </c>
      <c r="N16" s="29">
        <f>基础状态预估!C16</f>
        <v>90</v>
      </c>
      <c r="O16" s="29">
        <f>基础状态预估!D16</f>
        <v>65.075479910097457</v>
      </c>
      <c r="P16" s="46">
        <f t="shared" si="1"/>
        <v>37077.399550487287</v>
      </c>
      <c r="Q16" s="46">
        <f>活动投放!AA16+付费投放!AM16+SUMPRODUCT(基础状态预估!R16:W16,藏品属性!$D$18:$I$18)-SUMPRODUCT(基础状态预估!X16:AC16,藏品属性!$D$18:$I$18)</f>
        <v>11946.666666666666</v>
      </c>
      <c r="R16" s="46">
        <f t="shared" si="2"/>
        <v>0.32220886069421384</v>
      </c>
      <c r="S16" s="57"/>
      <c r="T16" s="57"/>
      <c r="U16" s="57"/>
      <c r="V16" s="57"/>
    </row>
    <row r="17" spans="3:22" x14ac:dyDescent="0.15">
      <c r="C17" s="16">
        <v>7</v>
      </c>
      <c r="D17" s="51">
        <v>6400</v>
      </c>
      <c r="E17" s="16">
        <f>SUM($D$11:D17)</f>
        <v>16700</v>
      </c>
      <c r="F17" s="51">
        <f>求节点(前期规划!$B$13:$B$21,前期规划!C$13:C$21,$C17)</f>
        <v>59.5</v>
      </c>
      <c r="G17" s="51">
        <f>求节点(前期规划!$B$13:$B$21,前期规划!D$13:D$21,$C17)</f>
        <v>58.5</v>
      </c>
      <c r="H17" s="51">
        <f>求节点(前期规划!$B$13:$B$21,前期规划!E$13:E$21,$C17)</f>
        <v>57.5</v>
      </c>
      <c r="I17" s="51">
        <f>求节点(前期规划!$B$13:$B$21,前期规划!F$13:F$21,$C17)</f>
        <v>56.5</v>
      </c>
      <c r="J17" s="51">
        <f>求节点(前期规划!$B$13:$B$21,前期规划!G$13:G$21,$C17)</f>
        <v>55.5</v>
      </c>
      <c r="N17" s="29">
        <f>基础状态预估!C17</f>
        <v>105</v>
      </c>
      <c r="O17" s="29">
        <f>基础状态预估!D17</f>
        <v>67.272265912925377</v>
      </c>
      <c r="P17" s="46">
        <f t="shared" si="1"/>
        <v>48741.99434694033</v>
      </c>
      <c r="Q17" s="46">
        <f>活动投放!AA17+付费投放!AM17+SUMPRODUCT(基础状态预估!R17:W17,藏品属性!$D$18:$I$18)-SUMPRODUCT(基础状态预估!X17:AC17,藏品属性!$D$18:$I$18)</f>
        <v>17380</v>
      </c>
      <c r="R17" s="46">
        <f t="shared" si="2"/>
        <v>0.35657137613801787</v>
      </c>
      <c r="S17" s="57"/>
      <c r="T17" s="57"/>
      <c r="U17" s="57"/>
      <c r="V17" s="57"/>
    </row>
    <row r="18" spans="3:22" x14ac:dyDescent="0.15">
      <c r="C18" s="16">
        <v>8</v>
      </c>
      <c r="D18" s="51">
        <v>10000</v>
      </c>
      <c r="E18" s="16">
        <f>SUM($D$11:D18)</f>
        <v>26700</v>
      </c>
      <c r="F18" s="51">
        <f>求节点(前期规划!$B$13:$B$21,前期规划!C$13:C$21,$C18)</f>
        <v>63</v>
      </c>
      <c r="G18" s="51">
        <f>求节点(前期规划!$B$13:$B$21,前期规划!D$13:D$21,$C18)</f>
        <v>62</v>
      </c>
      <c r="H18" s="51">
        <f>求节点(前期规划!$B$13:$B$21,前期规划!E$13:E$21,$C18)</f>
        <v>61</v>
      </c>
      <c r="I18" s="51">
        <f>求节点(前期规划!$B$13:$B$21,前期规划!F$13:F$21,$C18)</f>
        <v>60</v>
      </c>
      <c r="J18" s="51">
        <f>求节点(前期规划!$B$13:$B$21,前期规划!G$13:G$21,$C18)</f>
        <v>59</v>
      </c>
      <c r="N18" s="29">
        <f>基础状态预估!C18</f>
        <v>120</v>
      </c>
      <c r="O18" s="29">
        <f>基础状态预估!D18</f>
        <v>69.18336653741882</v>
      </c>
      <c r="P18" s="46">
        <f t="shared" si="1"/>
        <v>63075.249030641149</v>
      </c>
      <c r="Q18" s="46">
        <f>活动投放!AA18+付费投放!AM18+SUMPRODUCT(基础状态预估!R18:W18,藏品属性!$D$18:$I$18)-SUMPRODUCT(基础状态预估!X18:AC18,藏品属性!$D$18:$I$18)</f>
        <v>21213.333333333332</v>
      </c>
      <c r="R18" s="46">
        <f t="shared" si="2"/>
        <v>0.33631786888432524</v>
      </c>
      <c r="S18" s="57"/>
      <c r="T18" s="57"/>
      <c r="U18" s="57"/>
      <c r="V18" s="57"/>
    </row>
    <row r="19" spans="3:22" x14ac:dyDescent="0.15">
      <c r="C19" s="16">
        <v>9</v>
      </c>
      <c r="D19" s="51">
        <v>20000</v>
      </c>
      <c r="E19" s="16">
        <f>SUM($D$11:D19)</f>
        <v>46700</v>
      </c>
      <c r="F19" s="51">
        <f>求节点(前期规划!$B$13:$B$21,前期规划!C$13:C$21,$C19)</f>
        <v>67</v>
      </c>
      <c r="G19" s="51">
        <f>求节点(前期规划!$B$13:$B$21,前期规划!D$13:D$21,$C19)</f>
        <v>66</v>
      </c>
      <c r="H19" s="51">
        <f>求节点(前期规划!$B$13:$B$21,前期规划!E$13:E$21,$C19)</f>
        <v>65</v>
      </c>
      <c r="I19" s="51">
        <f>求节点(前期规划!$B$13:$B$21,前期规划!F$13:F$21,$C19)</f>
        <v>64</v>
      </c>
      <c r="J19" s="51">
        <f>求节点(前期规划!$B$13:$B$21,前期规划!G$13:G$21,$C19)</f>
        <v>63</v>
      </c>
      <c r="N19" s="29">
        <f>基础状态预估!C19</f>
        <v>150</v>
      </c>
      <c r="O19" s="29">
        <f>基础状态预估!D19</f>
        <v>72.375871759353331</v>
      </c>
      <c r="P19" s="46">
        <f t="shared" si="1"/>
        <v>88929.971194251819</v>
      </c>
      <c r="Q19" s="46">
        <f>活动投放!AA19+付费投放!AM19+SUMPRODUCT(基础状态预估!R19:W19,藏品属性!$D$18:$I$18)-SUMPRODUCT(基础状态预估!X19:AC19,藏品属性!$D$18:$I$18)</f>
        <v>33680</v>
      </c>
      <c r="R19" s="46">
        <f t="shared" si="2"/>
        <v>0.37872496243625209</v>
      </c>
      <c r="S19" s="57"/>
      <c r="T19" s="57"/>
      <c r="U19" s="57"/>
      <c r="V19" s="57"/>
    </row>
    <row r="20" spans="3:22" x14ac:dyDescent="0.15">
      <c r="C20" s="16">
        <v>10</v>
      </c>
      <c r="D20" s="51">
        <v>30000</v>
      </c>
      <c r="E20" s="16">
        <f>SUM($D$11:D20)</f>
        <v>76700</v>
      </c>
      <c r="F20" s="51">
        <f>求节点(前期规划!$B$13:$B$21,前期规划!C$13:C$21,$C20)</f>
        <v>71</v>
      </c>
      <c r="G20" s="51">
        <f>求节点(前期规划!$B$13:$B$21,前期规划!D$13:D$21,$C20)</f>
        <v>70</v>
      </c>
      <c r="H20" s="51">
        <f>求节点(前期规划!$B$13:$B$21,前期规划!E$13:E$21,$C20)</f>
        <v>69</v>
      </c>
      <c r="I20" s="51">
        <f>求节点(前期规划!$B$13:$B$21,前期规划!F$13:F$21,$C20)</f>
        <v>68</v>
      </c>
      <c r="J20" s="51">
        <f>求节点(前期规划!$B$13:$B$21,前期规划!G$13:G$21,$C20)</f>
        <v>67</v>
      </c>
      <c r="N20" s="29">
        <f>基础状态预估!C20</f>
        <v>180</v>
      </c>
      <c r="O20" s="29">
        <f>基础状态预估!D20</f>
        <v>74.998404927577795</v>
      </c>
      <c r="P20" s="46">
        <f t="shared" si="1"/>
        <v>112241.37713402483</v>
      </c>
      <c r="Q20" s="46">
        <f>活动投放!AA20+付费投放!AM20+SUMPRODUCT(基础状态预估!R20:W20,藏品属性!$D$18:$I$18)-SUMPRODUCT(基础状态预估!X20:AC20,藏品属性!$D$18:$I$18)</f>
        <v>42346.666666666672</v>
      </c>
      <c r="R20" s="46">
        <f t="shared" si="2"/>
        <v>0.37728213737168864</v>
      </c>
      <c r="S20" s="57"/>
      <c r="T20" s="57"/>
      <c r="U20" s="57"/>
      <c r="V20" s="57"/>
    </row>
    <row r="21" spans="3:22" x14ac:dyDescent="0.15">
      <c r="C21" s="16">
        <v>11</v>
      </c>
      <c r="D21" s="51">
        <v>40000</v>
      </c>
      <c r="E21" s="16">
        <f>SUM($D$11:D21)</f>
        <v>116700</v>
      </c>
      <c r="F21" s="51">
        <f>求节点(前期规划!$B$13:$B$21,前期规划!C$13:C$21,$C21)</f>
        <v>75.5</v>
      </c>
      <c r="G21" s="51">
        <f>求节点(前期规划!$B$13:$B$21,前期规划!D$13:D$21,$C21)</f>
        <v>74.5</v>
      </c>
      <c r="H21" s="51">
        <f>求节点(前期规划!$B$13:$B$21,前期规划!E$13:E$21,$C21)</f>
        <v>73.5</v>
      </c>
      <c r="I21" s="51">
        <f>求节点(前期规划!$B$13:$B$21,前期规划!F$13:F$21,$C21)</f>
        <v>72.5</v>
      </c>
      <c r="J21" s="51">
        <f>求节点(前期规划!$B$13:$B$21,前期规划!G$13:G$21,$C21)</f>
        <v>71.5</v>
      </c>
      <c r="N21" s="29">
        <f>基础状态预估!C21</f>
        <v>210</v>
      </c>
      <c r="O21" s="29">
        <f>基础状态预估!D21</f>
        <v>77.205261233275195</v>
      </c>
      <c r="P21" s="46">
        <f t="shared" si="1"/>
        <v>135647.34703639106</v>
      </c>
      <c r="Q21" s="46">
        <f>活动投放!AA21+付费投放!AM21+SUMPRODUCT(基础状态预估!R21:W21,藏品属性!$D$18:$I$18)-SUMPRODUCT(基础状态预估!X21:AC21,藏品属性!$D$18:$I$18)</f>
        <v>56013.333333333328</v>
      </c>
      <c r="R21" s="46">
        <f t="shared" si="2"/>
        <v>0.41293349672593477</v>
      </c>
      <c r="S21" s="57"/>
      <c r="T21" s="57"/>
      <c r="U21" s="57"/>
      <c r="V21" s="57"/>
    </row>
    <row r="22" spans="3:22" x14ac:dyDescent="0.15">
      <c r="C22" s="16">
        <v>12</v>
      </c>
      <c r="D22" s="51">
        <v>50000</v>
      </c>
      <c r="E22" s="16">
        <f>SUM($D$11:D22)</f>
        <v>166700</v>
      </c>
      <c r="F22" s="51">
        <f>求节点(前期规划!$B$13:$B$21,前期规划!C$13:C$21,$C22)</f>
        <v>80</v>
      </c>
      <c r="G22" s="51">
        <f>求节点(前期规划!$B$13:$B$21,前期规划!D$13:D$21,$C22)</f>
        <v>79</v>
      </c>
      <c r="H22" s="51">
        <f>求节点(前期规划!$B$13:$B$21,前期规划!E$13:E$21,$C22)</f>
        <v>78</v>
      </c>
      <c r="I22" s="51">
        <f>求节点(前期规划!$B$13:$B$21,前期规划!F$13:F$21,$C22)</f>
        <v>77</v>
      </c>
      <c r="J22" s="51">
        <f>求节点(前期规划!$B$13:$B$21,前期规划!G$13:G$21,$C22)</f>
        <v>76</v>
      </c>
      <c r="N22" s="29">
        <f>基础状态预估!C22</f>
        <v>240</v>
      </c>
      <c r="O22" s="29">
        <f>基础状态预估!D22</f>
        <v>79.125035575805882</v>
      </c>
      <c r="P22" s="46">
        <f t="shared" si="1"/>
        <v>156978.17306450981</v>
      </c>
      <c r="Q22" s="46">
        <f>活动投放!AA22+付费投放!AM22+SUMPRODUCT(基础状态预估!R22:W22,藏品属性!$D$18:$I$18)-SUMPRODUCT(基础状态预估!X22:AC22,藏品属性!$D$18:$I$18)</f>
        <v>73280</v>
      </c>
      <c r="R22" s="46">
        <f t="shared" si="2"/>
        <v>0.46681649155061677</v>
      </c>
      <c r="S22" s="57"/>
      <c r="T22" s="57"/>
      <c r="U22" s="57"/>
      <c r="V22" s="57"/>
    </row>
    <row r="23" spans="3:22" x14ac:dyDescent="0.15">
      <c r="C23" s="16">
        <v>13</v>
      </c>
      <c r="D23" s="51">
        <v>75000</v>
      </c>
      <c r="E23" s="16">
        <f>SUM($D$11:D23)</f>
        <v>241700</v>
      </c>
      <c r="F23" s="51">
        <f>求节点(前期规划!$B$13:$B$21,前期规划!C$13:C$21,$C23)</f>
        <v>85</v>
      </c>
      <c r="G23" s="51">
        <f>求节点(前期规划!$B$13:$B$21,前期规划!D$13:D$21,$C23)</f>
        <v>84</v>
      </c>
      <c r="H23" s="51">
        <f>求节点(前期规划!$B$13:$B$21,前期规划!E$13:E$21,$C23)</f>
        <v>83</v>
      </c>
      <c r="I23" s="51">
        <f>求节点(前期规划!$B$13:$B$21,前期规划!F$13:F$21,$C23)</f>
        <v>82</v>
      </c>
      <c r="J23" s="51">
        <f>求节点(前期规划!$B$13:$B$21,前期规划!G$13:G$21,$C23)</f>
        <v>81</v>
      </c>
      <c r="N23" s="29">
        <f>基础状态预估!C23</f>
        <v>270</v>
      </c>
      <c r="O23" s="29">
        <f>基础状态预估!D23</f>
        <v>80.816370674194118</v>
      </c>
      <c r="P23" s="46">
        <f t="shared" si="1"/>
        <v>178945.56011291177</v>
      </c>
      <c r="Q23" s="46">
        <f>活动投放!AA23+付费投放!AM23+SUMPRODUCT(基础状态预估!R23:W23,藏品属性!$D$18:$I$18)-SUMPRODUCT(基础状态预估!X23:AC23,藏品属性!$D$18:$I$18)</f>
        <v>85146.666666666672</v>
      </c>
      <c r="R23" s="46">
        <f t="shared" si="2"/>
        <v>0.47582441616847321</v>
      </c>
      <c r="S23" s="57"/>
      <c r="T23" s="57"/>
      <c r="U23" s="57"/>
      <c r="V23" s="57"/>
    </row>
    <row r="24" spans="3:22" x14ac:dyDescent="0.15">
      <c r="C24" s="16">
        <v>14</v>
      </c>
      <c r="D24" s="51">
        <v>100000</v>
      </c>
      <c r="E24" s="16">
        <f>SUM($D$11:D24)</f>
        <v>341700</v>
      </c>
      <c r="F24" s="51">
        <f>求节点(前期规划!$B$13:$B$21,前期规划!C$13:C$21,$C24)</f>
        <v>90</v>
      </c>
      <c r="G24" s="51">
        <f>求节点(前期规划!$B$13:$B$21,前期规划!D$13:D$21,$C24)</f>
        <v>89</v>
      </c>
      <c r="H24" s="51">
        <f>求节点(前期规划!$B$13:$B$21,前期规划!E$13:E$21,$C24)</f>
        <v>88</v>
      </c>
      <c r="I24" s="51">
        <f>求节点(前期规划!$B$13:$B$21,前期规划!F$13:F$21,$C24)</f>
        <v>87</v>
      </c>
      <c r="J24" s="51">
        <f>求节点(前期规划!$B$13:$B$21,前期规划!G$13:G$21,$C24)</f>
        <v>86</v>
      </c>
      <c r="N24" s="29">
        <f>基础状态预估!C24</f>
        <v>300</v>
      </c>
      <c r="O24" s="29">
        <f>基础状态预估!D24</f>
        <v>82.328492296001457</v>
      </c>
      <c r="P24" s="46">
        <f t="shared" si="1"/>
        <v>201627.38444002185</v>
      </c>
      <c r="Q24" s="46">
        <f>活动投放!AA24+付费投放!AM24+SUMPRODUCT(基础状态预估!R24:W24,藏品属性!$D$18:$I$18)-SUMPRODUCT(基础状态预估!X24:AC24,藏品属性!$D$18:$I$18)</f>
        <v>107613.33333333333</v>
      </c>
      <c r="R24" s="46">
        <f t="shared" si="2"/>
        <v>0.53372379764885114</v>
      </c>
      <c r="S24" s="57"/>
      <c r="T24" s="57"/>
      <c r="U24" s="57"/>
      <c r="V24" s="57"/>
    </row>
    <row r="25" spans="3:22" x14ac:dyDescent="0.15">
      <c r="C25" s="16">
        <v>15</v>
      </c>
      <c r="D25" s="51">
        <v>150000</v>
      </c>
      <c r="E25" s="16">
        <f>SUM($D$11:D25)</f>
        <v>491700</v>
      </c>
      <c r="F25" s="51">
        <f>求节点(前期规划!$B$13:$B$21,前期规划!C$13:C$21,$C25)</f>
        <v>95.5</v>
      </c>
      <c r="G25" s="51">
        <f>求节点(前期规划!$B$13:$B$21,前期规划!D$13:D$21,$C25)</f>
        <v>94.5</v>
      </c>
      <c r="H25" s="51">
        <f>求节点(前期规划!$B$13:$B$21,前期规划!E$13:E$21,$C25)</f>
        <v>93.5</v>
      </c>
      <c r="I25" s="51">
        <f>求节点(前期规划!$B$13:$B$21,前期规划!F$13:F$21,$C25)</f>
        <v>92.5</v>
      </c>
      <c r="J25" s="51">
        <f>求节点(前期规划!$B$13:$B$21,前期规划!G$13:G$21,$C25)</f>
        <v>91.5</v>
      </c>
      <c r="N25" s="29">
        <f>基础状态预估!C25</f>
        <v>360</v>
      </c>
      <c r="O25" s="29">
        <f>基础状态预估!D25</f>
        <v>84.957158709068153</v>
      </c>
      <c r="P25" s="46">
        <f t="shared" si="1"/>
        <v>241057.38063602231</v>
      </c>
      <c r="Q25" s="46">
        <f>活动投放!AA25+付费投放!AM25+SUMPRODUCT(基础状态预估!R25:W25,藏品属性!$D$18:$I$18)-SUMPRODUCT(基础状态预估!X25:AC25,藏品属性!$D$18:$I$18)</f>
        <v>145546.66666666669</v>
      </c>
      <c r="R25" s="46">
        <f t="shared" si="2"/>
        <v>0.60378432007618432</v>
      </c>
      <c r="S25" s="57"/>
      <c r="T25" s="57"/>
      <c r="U25" s="57"/>
      <c r="V25" s="57"/>
    </row>
    <row r="26" spans="3:22" x14ac:dyDescent="0.15">
      <c r="C26" s="16">
        <v>16</v>
      </c>
      <c r="D26" s="51">
        <v>300000</v>
      </c>
      <c r="E26" s="16">
        <f>SUM($D$11:D26)</f>
        <v>791700</v>
      </c>
      <c r="F26" s="51">
        <f>求节点(前期规划!$B$13:$B$21,前期规划!C$13:C$21,$C26)</f>
        <v>101</v>
      </c>
      <c r="G26" s="51">
        <f>求节点(前期规划!$B$13:$B$21,前期规划!D$13:D$21,$C26)</f>
        <v>100</v>
      </c>
      <c r="H26" s="51">
        <f>求节点(前期规划!$B$13:$B$21,前期规划!E$13:E$21,$C26)</f>
        <v>99</v>
      </c>
      <c r="I26" s="51">
        <f>求节点(前期规划!$B$13:$B$21,前期规划!F$13:F$21,$C26)</f>
        <v>98</v>
      </c>
      <c r="J26" s="51">
        <f>求节点(前期规划!$B$13:$B$21,前期规划!G$13:G$21,$C26)</f>
        <v>97</v>
      </c>
      <c r="N26" s="29">
        <f>基础状态预估!C26</f>
        <v>420</v>
      </c>
      <c r="O26" s="29">
        <f>基础状态预估!D26</f>
        <v>87.171758893450118</v>
      </c>
      <c r="P26" s="46">
        <f t="shared" si="1"/>
        <v>285135.17786900233</v>
      </c>
      <c r="Q26" s="46">
        <f>活动投放!AA26+付费投放!AM26+SUMPRODUCT(基础状态预估!R26:W26,藏品属性!$D$18:$I$18)-SUMPRODUCT(基础状态预估!X26:AC26,藏品属性!$D$18:$I$18)</f>
        <v>192480</v>
      </c>
      <c r="R26" s="46">
        <f t="shared" si="2"/>
        <v>0.67504824006117459</v>
      </c>
      <c r="S26" s="57"/>
      <c r="T26" s="57"/>
      <c r="U26" s="57"/>
      <c r="V26" s="57"/>
    </row>
    <row r="27" spans="3:22" x14ac:dyDescent="0.15">
      <c r="C27" s="16">
        <v>17</v>
      </c>
      <c r="D27" s="51">
        <v>600000</v>
      </c>
      <c r="E27" s="16">
        <f>SUM($D$11:D27)</f>
        <v>1391700</v>
      </c>
      <c r="F27" s="51">
        <f>求节点(前期规划!$B$13:$B$21,前期规划!C$13:C$21,$C27)</f>
        <v>107</v>
      </c>
      <c r="G27" s="51">
        <f>求节点(前期规划!$B$13:$B$21,前期规划!D$13:D$21,$C27)</f>
        <v>106</v>
      </c>
      <c r="H27" s="51">
        <f>求节点(前期规划!$B$13:$B$21,前期规划!E$13:E$21,$C27)</f>
        <v>105</v>
      </c>
      <c r="I27" s="51">
        <f>求节点(前期规划!$B$13:$B$21,前期规划!F$13:F$21,$C27)</f>
        <v>104</v>
      </c>
      <c r="J27" s="51">
        <f>求节点(前期规划!$B$13:$B$21,前期规划!G$13:G$21,$C27)</f>
        <v>103</v>
      </c>
      <c r="N27" s="29">
        <f>基础状态预估!C27</f>
        <v>480</v>
      </c>
      <c r="O27" s="29">
        <f>基础状态预估!D27</f>
        <v>89.095870094999412</v>
      </c>
      <c r="P27" s="46">
        <f t="shared" si="1"/>
        <v>323617.40189998824</v>
      </c>
      <c r="Q27" s="46">
        <f>活动投放!AA27+付费投放!AM27+SUMPRODUCT(基础状态预估!R27:W27,藏品属性!$D$18:$I$18)-SUMPRODUCT(基础状态预估!X27:AC27,藏品属性!$D$18:$I$18)</f>
        <v>246813.33333333331</v>
      </c>
      <c r="R27" s="46">
        <f t="shared" si="2"/>
        <v>0.76267015273056704</v>
      </c>
      <c r="S27" s="57"/>
      <c r="T27" s="57"/>
      <c r="U27" s="57"/>
      <c r="V27" s="57"/>
    </row>
    <row r="28" spans="3:22" x14ac:dyDescent="0.15">
      <c r="C28" s="16">
        <v>18</v>
      </c>
      <c r="D28" s="51">
        <v>1500000</v>
      </c>
      <c r="E28" s="16">
        <f>SUM($D$11:D28)</f>
        <v>2891700</v>
      </c>
      <c r="F28" s="51">
        <f>求节点(前期规划!$B$13:$B$21,前期规划!C$13:C$21,$C28)</f>
        <v>113</v>
      </c>
      <c r="G28" s="51">
        <f>求节点(前期规划!$B$13:$B$21,前期规划!D$13:D$21,$C28)</f>
        <v>112</v>
      </c>
      <c r="H28" s="51">
        <f>求节点(前期规划!$B$13:$B$21,前期规划!E$13:E$21,$C28)</f>
        <v>111</v>
      </c>
      <c r="I28" s="51">
        <f>求节点(前期规划!$B$13:$B$21,前期规划!F$13:F$21,$C28)</f>
        <v>110</v>
      </c>
      <c r="J28" s="51">
        <f>求节点(前期规划!$B$13:$B$21,前期规划!G$13:G$21,$C28)</f>
        <v>109</v>
      </c>
      <c r="N28" s="29">
        <f>基础状态预估!C28</f>
        <v>540</v>
      </c>
      <c r="O28" s="29">
        <f>基础状态预估!D28</f>
        <v>90.789158318387649</v>
      </c>
      <c r="P28" s="46">
        <f t="shared" si="1"/>
        <v>363222.49959239044</v>
      </c>
      <c r="Q28" s="46">
        <f>活动投放!AA28+付费投放!AM28+SUMPRODUCT(基础状态预估!R28:W28,藏品属性!$D$18:$I$18)-SUMPRODUCT(基础状态预估!X28:AC28,藏品属性!$D$18:$I$18)</f>
        <v>311546.66666666669</v>
      </c>
      <c r="R28" s="46">
        <f t="shared" si="2"/>
        <v>0.85772953772490812</v>
      </c>
      <c r="S28" s="57"/>
      <c r="T28" s="57"/>
      <c r="U28" s="57"/>
      <c r="V28" s="57"/>
    </row>
    <row r="29" spans="3:22" x14ac:dyDescent="0.15">
      <c r="C29" s="16">
        <v>19</v>
      </c>
      <c r="D29" s="51">
        <v>5000000</v>
      </c>
      <c r="E29" s="16">
        <f>SUM($D$11:D29)</f>
        <v>7891700</v>
      </c>
      <c r="F29" s="51">
        <f>求节点(前期规划!$B$13:$B$21,前期规划!C$13:C$21,$C29)</f>
        <v>119.5</v>
      </c>
      <c r="G29" s="51">
        <f>求节点(前期规划!$B$13:$B$21,前期规划!D$13:D$21,$C29)</f>
        <v>118.5</v>
      </c>
      <c r="H29" s="51">
        <f>求节点(前期规划!$B$13:$B$21,前期规划!E$13:E$21,$C29)</f>
        <v>117.5</v>
      </c>
      <c r="I29" s="51">
        <f>求节点(前期规划!$B$13:$B$21,前期规划!F$13:F$21,$C29)</f>
        <v>116.5</v>
      </c>
      <c r="J29" s="51">
        <f>求节点(前期规划!$B$13:$B$21,前期规划!G$13:G$21,$C29)</f>
        <v>115.5</v>
      </c>
      <c r="N29" s="29">
        <f>基础状态预估!C29</f>
        <v>600</v>
      </c>
      <c r="O29" s="29">
        <f>基础状态预估!D29</f>
        <v>92.304802564325527</v>
      </c>
      <c r="P29" s="46">
        <f t="shared" si="1"/>
        <v>404558.25175433257</v>
      </c>
      <c r="Q29" s="46">
        <f>活动投放!AA29+付费投放!AM29+SUMPRODUCT(基础状态预估!R29:W29,藏品属性!$D$18:$I$18)-SUMPRODUCT(基础状态预估!X29:AC29,藏品属性!$D$18:$I$18)</f>
        <v>386280</v>
      </c>
      <c r="R29" s="46">
        <f t="shared" si="2"/>
        <v>0.95481923388023737</v>
      </c>
      <c r="S29" s="57"/>
      <c r="T29" s="57"/>
      <c r="U29" s="57"/>
      <c r="V29" s="57"/>
    </row>
    <row r="30" spans="3:22" x14ac:dyDescent="0.15">
      <c r="C30" s="16">
        <v>20</v>
      </c>
      <c r="D30" s="51">
        <v>10000000</v>
      </c>
      <c r="E30" s="16">
        <f>SUM($D$11:D30)</f>
        <v>17891700</v>
      </c>
      <c r="F30" s="51">
        <f>求节点(前期规划!$B$13:$B$21,前期规划!C$13:C$21,$C30)</f>
        <v>126</v>
      </c>
      <c r="G30" s="51">
        <f>求节点(前期规划!$B$13:$B$21,前期规划!D$13:D$21,$C30)</f>
        <v>125</v>
      </c>
      <c r="H30" s="51">
        <f>求节点(前期规划!$B$13:$B$21,前期规划!E$13:E$21,$C30)</f>
        <v>124</v>
      </c>
      <c r="I30" s="51">
        <f>求节点(前期规划!$B$13:$B$21,前期规划!F$13:F$21,$C30)</f>
        <v>123</v>
      </c>
      <c r="J30" s="51">
        <f>求节点(前期规划!$B$13:$B$21,前期规划!G$13:G$21,$C30)</f>
        <v>122</v>
      </c>
      <c r="N30" s="29">
        <f>基础状态预估!C30</f>
        <v>660</v>
      </c>
      <c r="O30" s="29">
        <f>基础状态预估!D30</f>
        <v>93.677555929742169</v>
      </c>
      <c r="P30" s="46">
        <f t="shared" si="1"/>
        <v>441996.97990205919</v>
      </c>
      <c r="Q30" s="46">
        <f>活动投放!AA30+付费投放!AM30+SUMPRODUCT(基础状态预估!R30:W30,藏品属性!$D$18:$I$18)-SUMPRODUCT(基础状态预估!X30:AC30,藏品属性!$D$18:$I$18)</f>
        <v>476413.33333333331</v>
      </c>
      <c r="R30" s="46">
        <f t="shared" si="2"/>
        <v>1.0778655850519621</v>
      </c>
      <c r="S30" s="57"/>
      <c r="T30" s="57"/>
      <c r="U30" s="57"/>
      <c r="V30" s="57"/>
    </row>
    <row r="31" spans="3:22" x14ac:dyDescent="0.15">
      <c r="C31" s="36">
        <v>20</v>
      </c>
      <c r="D31" s="51">
        <v>10000000</v>
      </c>
      <c r="E31" s="36">
        <f>E30</f>
        <v>17891700</v>
      </c>
      <c r="F31" s="36">
        <v>160</v>
      </c>
      <c r="G31" s="36">
        <v>160</v>
      </c>
      <c r="H31" s="36">
        <v>160</v>
      </c>
      <c r="I31" s="36">
        <v>160</v>
      </c>
      <c r="J31" s="36">
        <v>160</v>
      </c>
      <c r="K31" s="10" t="s">
        <v>57</v>
      </c>
      <c r="N31" s="29">
        <f>基础状态预估!C31</f>
        <v>720</v>
      </c>
      <c r="O31" s="29">
        <f>基础状态预估!D31</f>
        <v>94.936535599813325</v>
      </c>
      <c r="P31" s="46">
        <f t="shared" si="1"/>
        <v>476332.78908581799</v>
      </c>
      <c r="Q31" s="46">
        <f>活动投放!AA31+付费投放!AM31+SUMPRODUCT(基础状态预估!R31:W31,藏品属性!$D$18:$I$18)-SUMPRODUCT(基础状态预估!X31:AC31,藏品属性!$D$18:$I$18)</f>
        <v>572546.66666666674</v>
      </c>
      <c r="R31" s="46">
        <f t="shared" si="2"/>
        <v>1.2019887771436084</v>
      </c>
      <c r="S31" s="57"/>
      <c r="T31" s="57"/>
      <c r="U31" s="57"/>
      <c r="V31" s="57"/>
    </row>
    <row r="32" spans="3:22" x14ac:dyDescent="0.15">
      <c r="N32" s="29">
        <f>基础状态预估!C32</f>
        <v>780</v>
      </c>
      <c r="O32" s="29">
        <f>基础状态预估!D32</f>
        <v>96.088925601853575</v>
      </c>
      <c r="P32" s="46">
        <f t="shared" si="1"/>
        <v>523823.21464655863</v>
      </c>
      <c r="Q32" s="46">
        <f>活动投放!AA32+付费投放!AM32+SUMPRODUCT(基础状态预估!R32:W32,藏品属性!$D$18:$I$18)-SUMPRODUCT(基础状态预估!X32:AC32,藏品属性!$D$18:$I$18)</f>
        <v>684080</v>
      </c>
      <c r="R32" s="46">
        <f t="shared" si="2"/>
        <v>1.3059367757528122</v>
      </c>
      <c r="S32" s="57"/>
      <c r="T32" s="57"/>
      <c r="U32" s="57"/>
      <c r="V32" s="57"/>
    </row>
    <row r="33" spans="3:22" x14ac:dyDescent="0.15">
      <c r="N33" s="29">
        <f>基础状态预估!C33</f>
        <v>840</v>
      </c>
      <c r="O33" s="29">
        <f>基础状态预估!D33</f>
        <v>97.155007723537565</v>
      </c>
      <c r="P33" s="46">
        <f t="shared" si="1"/>
        <v>581973.1485565945</v>
      </c>
      <c r="Q33" s="46">
        <f>活动投放!AA33+付费投放!AM33+SUMPRODUCT(基础状态预估!R33:W33,藏品属性!$D$18:$I$18)-SUMPRODUCT(基础状态预估!X33:AC33,藏品属性!$D$18:$I$18)</f>
        <v>810613.33333333326</v>
      </c>
      <c r="R33" s="46">
        <f t="shared" si="2"/>
        <v>1.3928706768410373</v>
      </c>
      <c r="S33" s="57"/>
      <c r="T33" s="57"/>
      <c r="U33" s="57"/>
      <c r="V33" s="57"/>
    </row>
    <row r="34" spans="3:22" x14ac:dyDescent="0.15">
      <c r="N34" s="29">
        <f>基础状态预估!C34</f>
        <v>900</v>
      </c>
      <c r="O34" s="29">
        <f>基础状态预估!D34</f>
        <v>98.149357978981357</v>
      </c>
      <c r="P34" s="46">
        <f t="shared" si="1"/>
        <v>636210.43521716492</v>
      </c>
      <c r="Q34" s="46">
        <f>活动投放!AA34+付费投放!AM34+SUMPRODUCT(基础状态预估!R34:W34,藏品属性!$D$18:$I$18)-SUMPRODUCT(基础状态预估!X34:AC34,藏品属性!$D$18:$I$18)</f>
        <v>938146.66666666674</v>
      </c>
      <c r="R34" s="46">
        <f t="shared" si="2"/>
        <v>1.4745854747673834</v>
      </c>
      <c r="S34" s="57"/>
      <c r="T34" s="57"/>
      <c r="U34" s="57"/>
      <c r="V34" s="57"/>
    </row>
    <row r="35" spans="3:22" x14ac:dyDescent="0.15">
      <c r="N35" s="29">
        <f>基础状态预估!C35</f>
        <v>1020</v>
      </c>
      <c r="O35" s="29">
        <f>基础状态预估!D35</f>
        <v>99.956251778790289</v>
      </c>
      <c r="P35" s="46">
        <f t="shared" si="1"/>
        <v>734768.2788431067</v>
      </c>
      <c r="Q35" s="46">
        <f>活动投放!AA35+付费投放!AM35+SUMPRODUCT(基础状态预估!R35:W35,藏品属性!$D$18:$I$18)-SUMPRODUCT(基础状态预估!X35:AC35,藏品属性!$D$18:$I$18)</f>
        <v>1242013.3333333333</v>
      </c>
      <c r="R35" s="46">
        <f t="shared" si="2"/>
        <v>1.6903469693722819</v>
      </c>
      <c r="S35" s="57"/>
      <c r="T35" s="57"/>
      <c r="U35" s="57"/>
      <c r="V35" s="57"/>
    </row>
    <row r="36" spans="3:22" x14ac:dyDescent="0.15">
      <c r="N36" s="29">
        <f>基础状态预估!C36</f>
        <v>1140</v>
      </c>
      <c r="O36" s="29">
        <f>基础状态预估!D36</f>
        <v>101.55228351453842</v>
      </c>
      <c r="P36" s="46">
        <f t="shared" si="1"/>
        <v>846928.35145384166</v>
      </c>
      <c r="Q36" s="46">
        <f>活动投放!AA36+付费投放!AM36+SUMPRODUCT(基础状态预估!R36:W36,藏品属性!$D$18:$I$18)-SUMPRODUCT(基础状态预估!X36:AC36,藏品属性!$D$18:$I$18)</f>
        <v>1551880</v>
      </c>
      <c r="R36" s="46">
        <f t="shared" si="2"/>
        <v>1.8323627935421392</v>
      </c>
      <c r="S36" s="57"/>
      <c r="T36" s="57"/>
      <c r="U36" s="57"/>
      <c r="V36" s="57"/>
    </row>
    <row r="37" spans="3:22" x14ac:dyDescent="0.15">
      <c r="C37" s="16" t="s">
        <v>153</v>
      </c>
      <c r="N37" s="29">
        <f>基础状态预估!C37</f>
        <v>1260</v>
      </c>
      <c r="O37" s="29">
        <f>基础状态预估!D37</f>
        <v>103.0034052427059</v>
      </c>
      <c r="P37" s="46">
        <f t="shared" si="1"/>
        <v>992040.52427058946</v>
      </c>
      <c r="Q37" s="46">
        <f>活动投放!AA37+付费投放!AM37+SUMPRODUCT(基础状态预估!R37:W37,藏品属性!$D$18:$I$18)-SUMPRODUCT(基础状态预估!X37:AC37,藏品属性!$D$18:$I$18)</f>
        <v>1907546.6666666667</v>
      </c>
      <c r="R37" s="46">
        <f t="shared" si="2"/>
        <v>1.9228515569655937</v>
      </c>
      <c r="S37" s="57"/>
      <c r="T37" s="57"/>
      <c r="U37" s="57"/>
      <c r="V37" s="57"/>
    </row>
    <row r="38" spans="3:22" x14ac:dyDescent="0.15">
      <c r="N38" s="29">
        <f>基础状态预估!C38</f>
        <v>1380</v>
      </c>
      <c r="O38" s="29">
        <f>基础状态预估!D38</f>
        <v>104.30753076754127</v>
      </c>
      <c r="P38" s="46">
        <f t="shared" si="1"/>
        <v>1122453.0767541267</v>
      </c>
      <c r="Q38" s="46">
        <f>活动投放!AA38+付费投放!AM38+SUMPRODUCT(基础状态预估!R38:W38,藏品属性!$D$18:$I$18)-SUMPRODUCT(基础状态预估!X38:AC38,藏品属性!$D$18:$I$18)</f>
        <v>2268213.3333333335</v>
      </c>
      <c r="R38" s="46">
        <f t="shared" si="2"/>
        <v>2.0207645025950476</v>
      </c>
      <c r="S38" s="57"/>
      <c r="T38" s="57"/>
      <c r="U38" s="57"/>
      <c r="V38" s="57"/>
    </row>
    <row r="39" spans="3:22" x14ac:dyDescent="0.15">
      <c r="C39" s="16">
        <v>1</v>
      </c>
      <c r="D39" s="16" t="s">
        <v>151</v>
      </c>
      <c r="E39" s="16" t="s">
        <v>154</v>
      </c>
      <c r="F39" s="16">
        <v>1</v>
      </c>
      <c r="G39" s="16" t="s">
        <v>155</v>
      </c>
      <c r="N39" s="29">
        <f>基础状态预估!C39</f>
        <v>1500</v>
      </c>
      <c r="O39" s="29">
        <f>基础状态预估!D39</f>
        <v>105.50842583986083</v>
      </c>
      <c r="P39" s="46">
        <f t="shared" si="1"/>
        <v>1242542.5839860835</v>
      </c>
      <c r="Q39" s="46">
        <f>活动投放!AA39+付费投放!AM39+SUMPRODUCT(基础状态预估!R39:W39,藏品属性!$D$18:$I$18)-SUMPRODUCT(基础状态预估!X39:AC39,藏品属性!$D$18:$I$18)</f>
        <v>2669680</v>
      </c>
      <c r="R39" s="46">
        <f t="shared" si="2"/>
        <v>2.1485621775920563</v>
      </c>
      <c r="S39" s="57"/>
      <c r="T39" s="57"/>
      <c r="U39" s="57"/>
      <c r="V39" s="57"/>
    </row>
    <row r="40" spans="3:22" x14ac:dyDescent="0.15">
      <c r="N40" s="29">
        <f>基础状态预估!C40</f>
        <v>1800</v>
      </c>
      <c r="O40" s="29">
        <f>基础状态预估!D40</f>
        <v>108.14154328189373</v>
      </c>
      <c r="P40" s="46">
        <f t="shared" si="1"/>
        <v>1677085.820473433</v>
      </c>
      <c r="Q40" s="46">
        <f>活动投放!AA40+付费投放!AM40+SUMPRODUCT(基础状态预估!R40:W40,藏品属性!$D$18:$I$18)-SUMPRODUCT(基础状态预估!X40:AC40,藏品属性!$D$18:$I$18)</f>
        <v>3784346.6666666665</v>
      </c>
      <c r="R40" s="46">
        <f t="shared" si="2"/>
        <v>2.2565014982944427</v>
      </c>
      <c r="S40" s="57"/>
      <c r="T40" s="57"/>
      <c r="U40" s="57"/>
      <c r="V40" s="57"/>
    </row>
    <row r="41" spans="3:22" x14ac:dyDescent="0.15">
      <c r="N41" s="29">
        <f>基础状态预估!C41</f>
        <v>2100</v>
      </c>
      <c r="O41" s="29">
        <f>基础状态预估!D41</f>
        <v>110.36056371443574</v>
      </c>
      <c r="P41" s="46">
        <f t="shared" si="1"/>
        <v>2231840.9286089353</v>
      </c>
      <c r="Q41" s="46">
        <f>活动投放!AA41+付费投放!AM41+SUMPRODUCT(基础状态预估!R41:W41,藏品属性!$D$18:$I$18)-SUMPRODUCT(基础状态预估!X41:AC41,藏品属性!$D$18:$I$18)</f>
        <v>4894013.333333333</v>
      </c>
      <c r="R41" s="46">
        <f t="shared" si="2"/>
        <v>2.1928145821681295</v>
      </c>
      <c r="S41" s="57"/>
      <c r="T41" s="57"/>
      <c r="U41" s="57"/>
      <c r="V41" s="57"/>
    </row>
    <row r="42" spans="3:22" x14ac:dyDescent="0.15">
      <c r="N42" s="29">
        <f>基础状态预估!C42</f>
        <v>2400</v>
      </c>
      <c r="O42" s="29">
        <f>基础状态预估!D42</f>
        <v>112.28703526556856</v>
      </c>
      <c r="P42" s="46">
        <f t="shared" si="1"/>
        <v>2713458.8163921405</v>
      </c>
      <c r="Q42" s="46">
        <f>活动投放!AA42+付费投放!AM42+SUMPRODUCT(基础状态预估!R42:W42,藏品属性!$D$18:$I$18)-SUMPRODUCT(基础状态预估!X42:AC42,藏品属性!$D$18:$I$18)</f>
        <v>6105740</v>
      </c>
      <c r="R42" s="46">
        <f t="shared" si="2"/>
        <v>2.2501686641105141</v>
      </c>
      <c r="S42" s="57"/>
      <c r="T42" s="57"/>
      <c r="U42" s="57"/>
      <c r="V42" s="57"/>
    </row>
    <row r="43" spans="3:22" x14ac:dyDescent="0.15">
      <c r="N43" s="29">
        <f>基础状态预估!C43</f>
        <v>2700</v>
      </c>
      <c r="O43" s="29">
        <f>基础状态预估!D43</f>
        <v>113.99252797204601</v>
      </c>
      <c r="P43" s="46">
        <f t="shared" si="1"/>
        <v>3655183.0554200043</v>
      </c>
      <c r="Q43" s="46">
        <f>活动投放!AA43+付费投放!AM43+SUMPRODUCT(基础状态预估!R43:W43,藏品属性!$D$18:$I$18)-SUMPRODUCT(基础状态预估!X43:AC43,藏品属性!$D$18:$I$18)</f>
        <v>7318540</v>
      </c>
      <c r="R43" s="46">
        <f t="shared" si="2"/>
        <v>2.0022362461841334</v>
      </c>
      <c r="S43" s="57"/>
      <c r="T43" s="57"/>
      <c r="U43" s="57"/>
      <c r="V43" s="57"/>
    </row>
    <row r="44" spans="3:22" x14ac:dyDescent="0.15">
      <c r="N44" s="29">
        <f>基础状态预估!C44</f>
        <v>3000</v>
      </c>
      <c r="O44" s="29">
        <f>基础状态预估!D44</f>
        <v>115.50361532953012</v>
      </c>
      <c r="P44" s="46">
        <f t="shared" si="1"/>
        <v>4817557.9457924003</v>
      </c>
      <c r="Q44" s="46">
        <f>活动投放!AA44+付费投放!AM44+SUMPRODUCT(基础状态预估!R44:W44,藏品属性!$D$18:$I$18)-SUMPRODUCT(基础状态预估!X44:AC44,藏品属性!$D$18:$I$18)</f>
        <v>8638340</v>
      </c>
      <c r="R44" s="46">
        <f t="shared" si="2"/>
        <v>1.7930951941210436</v>
      </c>
      <c r="S44" s="57"/>
      <c r="T44" s="57"/>
      <c r="U44" s="57"/>
      <c r="V44" s="57"/>
    </row>
    <row r="45" spans="3:22" x14ac:dyDescent="0.15">
      <c r="N45" s="29">
        <f>基础状态预估!C45</f>
        <v>3300</v>
      </c>
      <c r="O45" s="29">
        <f>基础状态预估!D45</f>
        <v>116.88336617936118</v>
      </c>
      <c r="P45" s="46">
        <f t="shared" si="1"/>
        <v>5878904.7533547506</v>
      </c>
      <c r="Q45" s="46">
        <f>活动投放!AA45+付费投放!AM45+SUMPRODUCT(基础状态预估!R45:W45,藏品属性!$D$18:$I$18)-SUMPRODUCT(基础状态预估!X45:AC45,藏品属性!$D$18:$I$18)</f>
        <v>9953140</v>
      </c>
      <c r="R45" s="46">
        <f t="shared" si="2"/>
        <v>1.6930262383176593</v>
      </c>
      <c r="S45" s="57"/>
      <c r="T45" s="57"/>
      <c r="U45" s="57"/>
      <c r="V45" s="57"/>
    </row>
    <row r="46" spans="3:22" x14ac:dyDescent="0.15">
      <c r="N46" s="29">
        <f>基础状态预估!C46</f>
        <v>3600</v>
      </c>
      <c r="O46" s="29">
        <f>基础状态预估!D46</f>
        <v>118.13763593334991</v>
      </c>
      <c r="P46" s="46">
        <f t="shared" si="1"/>
        <v>6843727.6410383936</v>
      </c>
      <c r="Q46" s="46">
        <f>活动投放!AA46+付费投放!AM46+SUMPRODUCT(基础状态预估!R46:W46,藏品属性!$D$18:$I$18)-SUMPRODUCT(基础状态预估!X46:AC46,藏品属性!$D$18:$I$18)</f>
        <v>11369940</v>
      </c>
      <c r="R46" s="46">
        <f t="shared" si="2"/>
        <v>1.6613665236793158</v>
      </c>
      <c r="S46" s="57"/>
      <c r="T46" s="57"/>
      <c r="U46" s="57"/>
      <c r="V46" s="57"/>
    </row>
    <row r="47" spans="3:22" x14ac:dyDescent="0.15">
      <c r="N47" s="29">
        <f>基础状态预估!C47</f>
        <v>3900</v>
      </c>
      <c r="O47" s="29">
        <f>基础状态预估!D47</f>
        <v>119.28909140534228</v>
      </c>
      <c r="P47" s="46">
        <f t="shared" si="1"/>
        <v>7729462.6194940591</v>
      </c>
      <c r="Q47" s="46">
        <f>活动投放!AA47+付费投放!AM47+SUMPRODUCT(基础状态预估!R47:W47,藏品属性!$D$18:$I$18)-SUMPRODUCT(基础状态预估!X47:AC47,藏品属性!$D$18:$I$18)</f>
        <v>12786740</v>
      </c>
      <c r="R47" s="46">
        <f t="shared" si="2"/>
        <v>1.6542857672603597</v>
      </c>
      <c r="S47" s="57"/>
      <c r="T47" s="57"/>
      <c r="U47" s="57"/>
      <c r="V47" s="57"/>
    </row>
    <row r="48" spans="3:22" x14ac:dyDescent="0.15">
      <c r="N48" s="29">
        <f>基础状态预估!C48</f>
        <v>4200</v>
      </c>
      <c r="O48" s="29">
        <f>基础状态预估!D48</f>
        <v>120.35716216995992</v>
      </c>
      <c r="P48" s="46">
        <f t="shared" si="1"/>
        <v>9210411.0307075698</v>
      </c>
      <c r="Q48" s="46">
        <f>活动投放!AA48+付费投放!AM48+SUMPRODUCT(基础状态预估!R48:W48,藏品属性!$D$18:$I$18)-SUMPRODUCT(基础状态预估!X48:AC48,藏品属性!$D$18:$I$18)</f>
        <v>14310540</v>
      </c>
      <c r="R48" s="46">
        <f t="shared" si="2"/>
        <v>1.553735219013415</v>
      </c>
      <c r="S48" s="57"/>
      <c r="T48" s="57"/>
      <c r="U48" s="57"/>
      <c r="V48" s="57"/>
    </row>
    <row r="49" spans="14:22" x14ac:dyDescent="0.15">
      <c r="N49" s="29">
        <f>基础状态预估!C49</f>
        <v>4500</v>
      </c>
      <c r="O49" s="29">
        <f>基础状态预估!D49</f>
        <v>121.35233706179751</v>
      </c>
      <c r="P49" s="46">
        <f t="shared" si="1"/>
        <v>10741449.325842328</v>
      </c>
      <c r="Q49" s="46">
        <f>活动投放!AA49+付费投放!AM49+SUMPRODUCT(基础状态预估!R49:W49,藏品属性!$D$18:$I$18)-SUMPRODUCT(基础状态预估!X49:AC49,藏品属性!$D$18:$I$18)</f>
        <v>15829340</v>
      </c>
      <c r="R49" s="46">
        <f t="shared" si="2"/>
        <v>1.4736689174632109</v>
      </c>
      <c r="S49" s="57"/>
      <c r="T49" s="57"/>
      <c r="U49" s="57"/>
      <c r="V49" s="57"/>
    </row>
    <row r="50" spans="14:22" x14ac:dyDescent="0.15">
      <c r="N50" s="29">
        <f>基础状态预估!C50</f>
        <v>4800</v>
      </c>
      <c r="O50" s="29">
        <f>基础状态预估!D50</f>
        <v>122.28407404910907</v>
      </c>
      <c r="P50" s="46">
        <f t="shared" si="1"/>
        <v>12174890.844783178</v>
      </c>
      <c r="Q50" s="46">
        <f>活动投放!AA50+付费投放!AM50+SUMPRODUCT(基础状态预估!R50:W50,藏品属性!$D$18:$I$18)-SUMPRODUCT(基础状态预估!X50:AC50,藏品属性!$D$18:$I$18)</f>
        <v>17348140</v>
      </c>
      <c r="R50" s="46">
        <f t="shared" si="2"/>
        <v>1.4249113377006997</v>
      </c>
      <c r="S50" s="57"/>
      <c r="T50" s="57"/>
      <c r="U50" s="57"/>
      <c r="V50" s="57"/>
    </row>
    <row r="51" spans="14:22" x14ac:dyDescent="0.15">
      <c r="N51" s="29">
        <f>基础状态预估!C51</f>
        <v>65535</v>
      </c>
      <c r="O51" s="29">
        <f>基础状态预估!D51</f>
        <v>160</v>
      </c>
      <c r="P51" s="46">
        <f t="shared" si="1"/>
        <v>17891700</v>
      </c>
      <c r="Q51" s="46">
        <f>活动投放!AA51+付费投放!AM51+SUMPRODUCT(基础状态预估!R51:W51,藏品属性!$D$18:$I$18)-SUMPRODUCT(基础状态预估!X51:AC51,藏品属性!$D$18:$I$18)</f>
        <v>326755980</v>
      </c>
      <c r="R51" s="46">
        <f t="shared" si="2"/>
        <v>18.262992337228994</v>
      </c>
      <c r="S51" s="57"/>
      <c r="T51" s="57"/>
      <c r="U51" s="57"/>
      <c r="V51" s="57"/>
    </row>
    <row r="53" spans="14:22" x14ac:dyDescent="0.15">
      <c r="N53" s="32" t="s">
        <v>18</v>
      </c>
      <c r="O53" s="43"/>
      <c r="P53" s="43"/>
      <c r="Q53" s="43"/>
      <c r="R53" s="43"/>
      <c r="S53" s="56"/>
      <c r="T53" s="56"/>
      <c r="U53" s="56"/>
      <c r="V53" s="56"/>
    </row>
    <row r="54" spans="14:22" ht="22.5" x14ac:dyDescent="0.15">
      <c r="N54" s="27" t="s">
        <v>31</v>
      </c>
      <c r="O54" s="45" t="s">
        <v>25</v>
      </c>
      <c r="P54" s="48" t="s">
        <v>194</v>
      </c>
      <c r="Q54" s="48" t="s">
        <v>195</v>
      </c>
      <c r="R54" s="48" t="s">
        <v>196</v>
      </c>
      <c r="S54" s="56"/>
      <c r="T54" s="56"/>
      <c r="U54" s="56"/>
      <c r="V54" s="56"/>
    </row>
    <row r="55" spans="14:22" x14ac:dyDescent="0.15">
      <c r="N55" s="29">
        <f>基础状态预估!C55</f>
        <v>15</v>
      </c>
      <c r="O55" s="29">
        <f>基础状态预估!D55</f>
        <v>41.83669503626701</v>
      </c>
      <c r="P55" s="46">
        <f>IFERROR(求节点($G$11:$G$31,$E$11:$E$31,$O55),0)</f>
        <v>0</v>
      </c>
      <c r="Q55" s="46">
        <f>活动投放!AA55+付费投放!AM55+SUMPRODUCT(基础状态预估!R55:W55,藏品属性!$D$18:$I$18)-SUMPRODUCT(基础状态预估!X55:AC55,藏品属性!$D$18:$I$18)</f>
        <v>0</v>
      </c>
      <c r="R55" s="46" t="e">
        <f>Q55/P55</f>
        <v>#DIV/0!</v>
      </c>
      <c r="S55" s="57"/>
      <c r="T55" s="57"/>
      <c r="U55" s="57"/>
      <c r="V55" s="57"/>
    </row>
    <row r="56" spans="14:22" x14ac:dyDescent="0.15">
      <c r="N56" s="29">
        <f>基础状态预估!C56</f>
        <v>30</v>
      </c>
      <c r="O56" s="29">
        <f>基础状态预估!D56</f>
        <v>51.497823295559343</v>
      </c>
      <c r="P56" s="46">
        <f t="shared" ref="P56:P95" si="3">IFERROR(求节点($G$11:$G$31,$E$11:$E$31,$O56),0)</f>
        <v>4964.3448485966328</v>
      </c>
      <c r="Q56" s="46">
        <f>活动投放!AA56+付费投放!AM56+SUMPRODUCT(基础状态预估!R56:W56,藏品属性!$D$18:$I$18)-SUMPRODUCT(基础状态预估!X56:AC56,藏品属性!$D$18:$I$18)</f>
        <v>3056.7676767676767</v>
      </c>
      <c r="R56" s="46">
        <f t="shared" ref="R56:R95" si="4">Q56/P56</f>
        <v>0.61574442751127412</v>
      </c>
      <c r="S56" s="57"/>
      <c r="T56" s="57"/>
      <c r="U56" s="57"/>
      <c r="V56" s="57"/>
    </row>
    <row r="57" spans="14:22" x14ac:dyDescent="0.15">
      <c r="N57" s="29">
        <f>基础状态预估!C57</f>
        <v>45</v>
      </c>
      <c r="O57" s="29">
        <f>基础状态预估!D57</f>
        <v>57.218966664386244</v>
      </c>
      <c r="P57" s="46">
        <f t="shared" si="3"/>
        <v>14357.539043449131</v>
      </c>
      <c r="Q57" s="46">
        <f>活动投放!AA57+付费投放!AM57+SUMPRODUCT(基础状态预估!R57:W57,藏品属性!$D$18:$I$18)-SUMPRODUCT(基础状态预估!X57:AC57,藏品属性!$D$18:$I$18)</f>
        <v>5413.5353535353534</v>
      </c>
      <c r="R57" s="46">
        <f t="shared" si="4"/>
        <v>0.3770517591596152</v>
      </c>
      <c r="S57" s="57"/>
      <c r="T57" s="57"/>
      <c r="U57" s="57"/>
      <c r="V57" s="57"/>
    </row>
    <row r="58" spans="14:22" x14ac:dyDescent="0.15">
      <c r="N58" s="29">
        <f>基础状态预估!C58</f>
        <v>60</v>
      </c>
      <c r="O58" s="29">
        <f>基础状态预估!D58</f>
        <v>61.330461663183208</v>
      </c>
      <c r="P58" s="46">
        <f t="shared" si="3"/>
        <v>24787.033323380594</v>
      </c>
      <c r="Q58" s="46">
        <f>活动投放!AA58+付费投放!AM58+SUMPRODUCT(基础状态预估!R58:W58,藏品属性!$D$18:$I$18)-SUMPRODUCT(基础状态预估!X58:AC58,藏品属性!$D$18:$I$18)</f>
        <v>8870.3030303030318</v>
      </c>
      <c r="R58" s="46">
        <f t="shared" si="4"/>
        <v>0.35786061666105229</v>
      </c>
      <c r="S58" s="57"/>
      <c r="T58" s="57"/>
      <c r="U58" s="57"/>
      <c r="V58" s="57"/>
    </row>
    <row r="59" spans="14:22" x14ac:dyDescent="0.15">
      <c r="N59" s="29">
        <f>基础状态预估!C59</f>
        <v>75</v>
      </c>
      <c r="O59" s="29">
        <f>基础状态预估!D59</f>
        <v>64.495279642868965</v>
      </c>
      <c r="P59" s="46">
        <f t="shared" si="3"/>
        <v>39176.398214344823</v>
      </c>
      <c r="Q59" s="46">
        <f>活动投放!AA59+付费投放!AM59+SUMPRODUCT(基础状态预估!R59:W59,藏品属性!$D$18:$I$18)-SUMPRODUCT(基础状态预估!X59:AC59,藏品属性!$D$18:$I$18)</f>
        <v>13427.070707070707</v>
      </c>
      <c r="R59" s="46">
        <f t="shared" si="4"/>
        <v>0.34273366922623971</v>
      </c>
      <c r="S59" s="57"/>
      <c r="T59" s="57"/>
      <c r="U59" s="57"/>
      <c r="V59" s="57"/>
    </row>
    <row r="60" spans="14:22" x14ac:dyDescent="0.15">
      <c r="N60" s="29">
        <f>基础状态预估!C60</f>
        <v>90</v>
      </c>
      <c r="O60" s="29">
        <f>基础状态预估!D60</f>
        <v>67.083433628014333</v>
      </c>
      <c r="P60" s="46">
        <f t="shared" si="3"/>
        <v>54825.752210107501</v>
      </c>
      <c r="Q60" s="46">
        <f>活动投放!AA60+付费投放!AM60+SUMPRODUCT(基础状态预估!R60:W60,藏品属性!$D$18:$I$18)-SUMPRODUCT(基础状态预估!X60:AC60,藏品属性!$D$18:$I$18)</f>
        <v>21119.663299663298</v>
      </c>
      <c r="R60" s="46">
        <f t="shared" si="4"/>
        <v>0.38521429161111892</v>
      </c>
      <c r="S60" s="57"/>
      <c r="T60" s="57"/>
      <c r="U60" s="57"/>
      <c r="V60" s="57"/>
    </row>
    <row r="61" spans="14:22" x14ac:dyDescent="0.15">
      <c r="N61" s="29">
        <f>基础状态预估!C61</f>
        <v>105</v>
      </c>
      <c r="O61" s="29">
        <f>基础状态预估!D61</f>
        <v>69.333680194119751</v>
      </c>
      <c r="P61" s="46">
        <f t="shared" si="3"/>
        <v>71702.601455898126</v>
      </c>
      <c r="Q61" s="46">
        <f>活动投放!AA61+付费投放!AM61+SUMPRODUCT(基础状态预估!R61:W61,藏品属性!$D$18:$I$18)-SUMPRODUCT(基础状态预估!X61:AC61,藏品属性!$D$18:$I$18)</f>
        <v>29512.255892255889</v>
      </c>
      <c r="R61" s="46">
        <f t="shared" si="4"/>
        <v>0.41159254047996979</v>
      </c>
      <c r="S61" s="57"/>
      <c r="T61" s="57"/>
      <c r="U61" s="57"/>
      <c r="V61" s="57"/>
    </row>
    <row r="62" spans="14:22" x14ac:dyDescent="0.15">
      <c r="N62" s="29">
        <f>基础状态预估!C62</f>
        <v>120</v>
      </c>
      <c r="O62" s="29">
        <f>基础状态预估!D62</f>
        <v>71.230067506391322</v>
      </c>
      <c r="P62" s="46">
        <f t="shared" si="3"/>
        <v>87633.933390145088</v>
      </c>
      <c r="Q62" s="46">
        <f>活动投放!AA62+付费投放!AM62+SUMPRODUCT(基础状态预估!R62:W62,藏品属性!$D$18:$I$18)-SUMPRODUCT(基础状态预估!X62:AC62,藏品属性!$D$18:$I$18)</f>
        <v>38304.84848484848</v>
      </c>
      <c r="R62" s="46">
        <f t="shared" si="4"/>
        <v>0.43710064130427434</v>
      </c>
      <c r="S62" s="57"/>
      <c r="T62" s="57"/>
      <c r="U62" s="57"/>
      <c r="V62" s="57"/>
    </row>
    <row r="63" spans="14:22" x14ac:dyDescent="0.15">
      <c r="N63" s="29">
        <f>基础状态预估!C63</f>
        <v>150</v>
      </c>
      <c r="O63" s="29">
        <f>基础状态预估!D63</f>
        <v>74.456724480300707</v>
      </c>
      <c r="P63" s="46">
        <f t="shared" si="3"/>
        <v>116315.32871378405</v>
      </c>
      <c r="Q63" s="46">
        <f>活动投放!AA63+付费投放!AM63+SUMPRODUCT(基础状态预估!R63:W63,藏品属性!$D$18:$I$18)-SUMPRODUCT(基础状态预估!X63:AC63,藏品属性!$D$18:$I$18)</f>
        <v>51690.033670033663</v>
      </c>
      <c r="R63" s="46">
        <f t="shared" si="4"/>
        <v>0.44439571500697733</v>
      </c>
      <c r="S63" s="57"/>
      <c r="T63" s="57"/>
      <c r="U63" s="57"/>
      <c r="V63" s="57"/>
    </row>
    <row r="64" spans="14:22" x14ac:dyDescent="0.15">
      <c r="N64" s="29">
        <f>基础状态预估!C64</f>
        <v>180</v>
      </c>
      <c r="O64" s="29">
        <f>基础状态预估!D64</f>
        <v>77.06778397927944</v>
      </c>
      <c r="P64" s="46">
        <f t="shared" si="3"/>
        <v>145230.93310310488</v>
      </c>
      <c r="Q64" s="46">
        <f>活动投放!AA64+付费投放!AM64+SUMPRODUCT(基础状态预估!R64:W64,藏品属性!$D$18:$I$18)-SUMPRODUCT(基础状态预估!X64:AC64,藏品属性!$D$18:$I$18)</f>
        <v>68275.218855218845</v>
      </c>
      <c r="R64" s="46">
        <f t="shared" si="4"/>
        <v>0.47011485360868482</v>
      </c>
      <c r="S64" s="57"/>
      <c r="T64" s="57"/>
      <c r="U64" s="57"/>
      <c r="V64" s="57"/>
    </row>
    <row r="65" spans="14:22" x14ac:dyDescent="0.15">
      <c r="N65" s="29">
        <f>基础状态预估!C65</f>
        <v>210</v>
      </c>
      <c r="O65" s="29">
        <f>基础状态预估!D65</f>
        <v>79.261304112721092</v>
      </c>
      <c r="P65" s="46">
        <f t="shared" si="3"/>
        <v>170619.56169081639</v>
      </c>
      <c r="Q65" s="46">
        <f>活动投放!AA65+付费投放!AM65+SUMPRODUCT(基础状态预估!R65:W65,藏品属性!$D$18:$I$18)-SUMPRODUCT(基础状态预估!X65:AC65,藏品属性!$D$18:$I$18)</f>
        <v>90260.404040404042</v>
      </c>
      <c r="R65" s="46">
        <f t="shared" si="4"/>
        <v>0.52901556624536983</v>
      </c>
      <c r="S65" s="57"/>
      <c r="T65" s="57"/>
      <c r="U65" s="57"/>
      <c r="V65" s="57"/>
    </row>
    <row r="66" spans="14:22" x14ac:dyDescent="0.15">
      <c r="N66" s="29">
        <f>基础状态预估!C66</f>
        <v>240</v>
      </c>
      <c r="O66" s="29">
        <f>基础状态预估!D66</f>
        <v>81.216820623674849</v>
      </c>
      <c r="P66" s="46">
        <f t="shared" si="3"/>
        <v>199952.30935512274</v>
      </c>
      <c r="Q66" s="46">
        <f>活动投放!AA66+付费投放!AM66+SUMPRODUCT(基础状态预估!R66:W66,藏品属性!$D$18:$I$18)-SUMPRODUCT(基础状态预估!X66:AC66,藏品属性!$D$18:$I$18)</f>
        <v>113045.58922558921</v>
      </c>
      <c r="R66" s="46">
        <f t="shared" si="4"/>
        <v>0.56536275870070618</v>
      </c>
      <c r="S66" s="57"/>
      <c r="T66" s="57"/>
      <c r="U66" s="57"/>
      <c r="V66" s="57"/>
    </row>
    <row r="67" spans="14:22" x14ac:dyDescent="0.15">
      <c r="N67" s="29">
        <f>基础状态预估!C67</f>
        <v>270</v>
      </c>
      <c r="O67" s="29">
        <f>基础状态预估!D67</f>
        <v>82.916268958926821</v>
      </c>
      <c r="P67" s="46">
        <f t="shared" si="3"/>
        <v>225444.03438390233</v>
      </c>
      <c r="Q67" s="46">
        <f>活动投放!AA67+付费投放!AM67+SUMPRODUCT(基础状态预估!R67:W67,藏品属性!$D$18:$I$18)-SUMPRODUCT(基础状态预估!X67:AC67,藏品属性!$D$18:$I$18)</f>
        <v>137230.77441077441</v>
      </c>
      <c r="R67" s="46">
        <f t="shared" si="4"/>
        <v>0.6087132657371096</v>
      </c>
      <c r="S67" s="57"/>
      <c r="T67" s="57"/>
      <c r="U67" s="57"/>
      <c r="V67" s="57"/>
    </row>
    <row r="68" spans="14:22" x14ac:dyDescent="0.15">
      <c r="N68" s="29">
        <f>基础状态预估!C68</f>
        <v>300</v>
      </c>
      <c r="O68" s="29">
        <f>基础状态预估!D68</f>
        <v>84.427173250438543</v>
      </c>
      <c r="P68" s="46">
        <f t="shared" si="3"/>
        <v>250243.46500877084</v>
      </c>
      <c r="Q68" s="46">
        <f>活动投放!AA68+付费投放!AM68+SUMPRODUCT(基础状态预估!R68:W68,藏品属性!$D$18:$I$18)-SUMPRODUCT(基础状态预估!X68:AC68,藏品属性!$D$18:$I$18)</f>
        <v>161615.95959595958</v>
      </c>
      <c r="R68" s="46">
        <f t="shared" si="4"/>
        <v>0.64583488559949032</v>
      </c>
      <c r="S68" s="57"/>
      <c r="T68" s="57"/>
      <c r="U68" s="57"/>
      <c r="V68" s="57"/>
    </row>
    <row r="69" spans="14:22" x14ac:dyDescent="0.15">
      <c r="N69" s="29">
        <f>基础状态预估!C69</f>
        <v>360</v>
      </c>
      <c r="O69" s="29">
        <f>基础状态预估!D69</f>
        <v>87.064762367263285</v>
      </c>
      <c r="P69" s="46">
        <f t="shared" si="3"/>
        <v>302995.2473452657</v>
      </c>
      <c r="Q69" s="46">
        <f>活动投放!AA69+付费投放!AM69+SUMPRODUCT(基础状态预估!R69:W69,藏品属性!$D$18:$I$18)-SUMPRODUCT(基础状态预估!X69:AC69,藏品属性!$D$18:$I$18)</f>
        <v>230386.32996632994</v>
      </c>
      <c r="R69" s="46">
        <f t="shared" si="4"/>
        <v>0.76036285052287544</v>
      </c>
      <c r="S69" s="57"/>
      <c r="T69" s="57"/>
      <c r="U69" s="57"/>
      <c r="V69" s="57"/>
    </row>
    <row r="70" spans="14:22" x14ac:dyDescent="0.15">
      <c r="N70" s="29">
        <f>基础状态预估!C70</f>
        <v>420</v>
      </c>
      <c r="O70" s="29">
        <f>基础状态预估!D70</f>
        <v>89.311817863093353</v>
      </c>
      <c r="P70" s="46">
        <f t="shared" si="3"/>
        <v>350204.1235389096</v>
      </c>
      <c r="Q70" s="46">
        <f>活动投放!AA70+付费投放!AM70+SUMPRODUCT(基础状态预估!R70:W70,藏品属性!$D$18:$I$18)-SUMPRODUCT(基础状态预估!X70:AC70,藏品属性!$D$18:$I$18)</f>
        <v>316956.70033670031</v>
      </c>
      <c r="R70" s="46">
        <f t="shared" si="4"/>
        <v>0.90506273065481102</v>
      </c>
      <c r="S70" s="57"/>
      <c r="T70" s="57"/>
      <c r="U70" s="57"/>
      <c r="V70" s="57"/>
    </row>
    <row r="71" spans="14:22" x14ac:dyDescent="0.15">
      <c r="N71" s="29">
        <f>基础状态预估!C71</f>
        <v>480</v>
      </c>
      <c r="O71" s="29">
        <f>基础状态预估!D71</f>
        <v>91.317295791340641</v>
      </c>
      <c r="P71" s="46">
        <f t="shared" si="3"/>
        <v>404898.97612747201</v>
      </c>
      <c r="Q71" s="46">
        <f>活动投放!AA71+付费投放!AM71+SUMPRODUCT(基础状态预估!R71:W71,藏品属性!$D$18:$I$18)-SUMPRODUCT(基础状态预估!X71:AC71,藏品属性!$D$18:$I$18)</f>
        <v>427927.07070707082</v>
      </c>
      <c r="R71" s="46">
        <f t="shared" si="4"/>
        <v>1.0568736794541782</v>
      </c>
      <c r="S71" s="57"/>
      <c r="T71" s="57"/>
      <c r="U71" s="57"/>
      <c r="V71" s="57"/>
    </row>
    <row r="72" spans="14:22" x14ac:dyDescent="0.15">
      <c r="N72" s="29">
        <f>基础状态预估!C72</f>
        <v>540</v>
      </c>
      <c r="O72" s="29">
        <f>基础状态预估!D72</f>
        <v>93.043666179806593</v>
      </c>
      <c r="P72" s="46">
        <f t="shared" si="3"/>
        <v>451981.80490381614</v>
      </c>
      <c r="Q72" s="46">
        <f>活动投放!AA72+付费投放!AM72+SUMPRODUCT(基础状态预估!R72:W72,藏品属性!$D$18:$I$18)-SUMPRODUCT(基础状态预估!X72:AC72,藏品属性!$D$18:$I$18)</f>
        <v>566297.44107744098</v>
      </c>
      <c r="R72" s="46">
        <f t="shared" si="4"/>
        <v>1.2529208807375591</v>
      </c>
      <c r="S72" s="57"/>
      <c r="T72" s="57"/>
      <c r="U72" s="57"/>
      <c r="V72" s="57"/>
    </row>
    <row r="73" spans="14:22" x14ac:dyDescent="0.15">
      <c r="N73" s="29">
        <f>基础状态预估!C73</f>
        <v>600</v>
      </c>
      <c r="O73" s="29">
        <f>基础状态预估!D73</f>
        <v>94.566182978175902</v>
      </c>
      <c r="P73" s="46">
        <f t="shared" si="3"/>
        <v>495309.98062777647</v>
      </c>
      <c r="Q73" s="46">
        <f>活动投放!AA73+付费投放!AM73+SUMPRODUCT(基础状态预估!R73:W73,藏品属性!$D$18:$I$18)-SUMPRODUCT(基础状态预估!X73:AC73,藏品属性!$D$18:$I$18)</f>
        <v>703667.81144781143</v>
      </c>
      <c r="R73" s="46">
        <f t="shared" si="4"/>
        <v>1.4206614826455821</v>
      </c>
      <c r="S73" s="57"/>
      <c r="T73" s="57"/>
      <c r="U73" s="57"/>
      <c r="V73" s="57"/>
    </row>
    <row r="74" spans="14:22" x14ac:dyDescent="0.15">
      <c r="N74" s="29">
        <f>基础状态预估!C74</f>
        <v>660</v>
      </c>
      <c r="O74" s="29">
        <f>基础状态预估!D74</f>
        <v>95.975804150655222</v>
      </c>
      <c r="P74" s="46">
        <f t="shared" si="3"/>
        <v>572198.40821755759</v>
      </c>
      <c r="Q74" s="46">
        <f>活动投放!AA74+付费投放!AM74+SUMPRODUCT(基础状态预估!R74:W74,藏品属性!$D$18:$I$18)-SUMPRODUCT(基础状态预估!X74:AC74,藏品属性!$D$18:$I$18)</f>
        <v>877438.18181818188</v>
      </c>
      <c r="R74" s="46">
        <f t="shared" si="4"/>
        <v>1.5334509310353901</v>
      </c>
      <c r="S74" s="57"/>
      <c r="T74" s="57"/>
      <c r="U74" s="57"/>
      <c r="V74" s="57"/>
    </row>
    <row r="75" spans="14:22" x14ac:dyDescent="0.15">
      <c r="N75" s="29">
        <f>基础状态预估!C75</f>
        <v>720</v>
      </c>
      <c r="O75" s="29">
        <f>基础状态预估!D75</f>
        <v>97.233430615704805</v>
      </c>
      <c r="P75" s="46">
        <f t="shared" si="3"/>
        <v>640796.21540208021</v>
      </c>
      <c r="Q75" s="46">
        <f>活动投放!AA75+付费投放!AM75+SUMPRODUCT(基础状态预估!R75:W75,藏品属性!$D$18:$I$18)-SUMPRODUCT(基础状态预估!X75:AC75,藏品属性!$D$18:$I$18)</f>
        <v>1061208.5521885522</v>
      </c>
      <c r="R75" s="46">
        <f t="shared" si="4"/>
        <v>1.65607805833041</v>
      </c>
      <c r="S75" s="57"/>
      <c r="T75" s="57"/>
      <c r="U75" s="57"/>
      <c r="V75" s="57"/>
    </row>
    <row r="76" spans="14:22" x14ac:dyDescent="0.15">
      <c r="N76" s="29">
        <f>基础状态预估!C76</f>
        <v>780</v>
      </c>
      <c r="O76" s="29">
        <f>基础状态预估!D76</f>
        <v>98.349886009806795</v>
      </c>
      <c r="P76" s="46">
        <f t="shared" si="3"/>
        <v>701693.78235309792</v>
      </c>
      <c r="Q76" s="46">
        <f>活动投放!AA76+付费投放!AM76+SUMPRODUCT(基础状态预估!R76:W76,藏品属性!$D$18:$I$18)-SUMPRODUCT(基础状态预估!X76:AC76,藏品属性!$D$18:$I$18)</f>
        <v>1239978.9225589228</v>
      </c>
      <c r="R76" s="46">
        <f t="shared" si="4"/>
        <v>1.7671225736113982</v>
      </c>
      <c r="S76" s="57"/>
      <c r="T76" s="57"/>
      <c r="U76" s="57"/>
      <c r="V76" s="57"/>
    </row>
    <row r="77" spans="14:22" x14ac:dyDescent="0.15">
      <c r="N77" s="29">
        <f>基础状态预估!C77</f>
        <v>840</v>
      </c>
      <c r="O77" s="29">
        <f>基础状态预估!D77</f>
        <v>99.398994483715043</v>
      </c>
      <c r="P77" s="46">
        <f t="shared" si="3"/>
        <v>758917.88092991151</v>
      </c>
      <c r="Q77" s="46">
        <f>活动投放!AA77+付费投放!AM77+SUMPRODUCT(基础状态预估!R77:W77,藏品属性!$D$18:$I$18)-SUMPRODUCT(基础状态预估!X77:AC77,藏品属性!$D$18:$I$18)</f>
        <v>1444149.2929292931</v>
      </c>
      <c r="R77" s="46">
        <f t="shared" si="4"/>
        <v>1.9029058732411985</v>
      </c>
      <c r="S77" s="57"/>
      <c r="T77" s="57"/>
      <c r="U77" s="57"/>
      <c r="V77" s="57"/>
    </row>
    <row r="78" spans="14:22" x14ac:dyDescent="0.15">
      <c r="N78" s="29">
        <f>基础状态预估!C78</f>
        <v>900</v>
      </c>
      <c r="O78" s="29">
        <f>基础状态预估!D78</f>
        <v>100.38607135362956</v>
      </c>
      <c r="P78" s="46">
        <f t="shared" si="3"/>
        <v>830307.13536295609</v>
      </c>
      <c r="Q78" s="46">
        <f>活动投放!AA78+付费投放!AM78+SUMPRODUCT(基础状态预估!R78:W78,藏品属性!$D$18:$I$18)-SUMPRODUCT(基础状态预估!X78:AC78,藏品属性!$D$18:$I$18)</f>
        <v>1658319.6632996635</v>
      </c>
      <c r="R78" s="46">
        <f t="shared" si="4"/>
        <v>1.9972364353761145</v>
      </c>
      <c r="S78" s="57"/>
      <c r="T78" s="57"/>
      <c r="U78" s="57"/>
      <c r="V78" s="57"/>
    </row>
    <row r="79" spans="14:22" x14ac:dyDescent="0.15">
      <c r="N79" s="29">
        <f>基础状态预估!C79</f>
        <v>1020</v>
      </c>
      <c r="O79" s="29">
        <f>基础状态预估!D79</f>
        <v>102.22764429032095</v>
      </c>
      <c r="P79" s="46">
        <f t="shared" si="3"/>
        <v>1014464.4290320952</v>
      </c>
      <c r="Q79" s="46">
        <f>活动投放!AA79+付费投放!AM79+SUMPRODUCT(基础状态预估!R79:W79,藏品属性!$D$18:$I$18)-SUMPRODUCT(基础状态预估!X79:AC79,藏品属性!$D$18:$I$18)</f>
        <v>2113460.4040404041</v>
      </c>
      <c r="R79" s="46">
        <f t="shared" si="4"/>
        <v>2.083326278928149</v>
      </c>
      <c r="S79" s="57"/>
      <c r="T79" s="57"/>
      <c r="U79" s="57"/>
      <c r="V79" s="57"/>
    </row>
    <row r="80" spans="14:22" x14ac:dyDescent="0.15">
      <c r="N80" s="29">
        <f>基础状态预估!C80</f>
        <v>1140</v>
      </c>
      <c r="O80" s="29">
        <f>基础状态预估!D80</f>
        <v>103.86099440914086</v>
      </c>
      <c r="P80" s="46">
        <f t="shared" si="3"/>
        <v>1177799.4409140858</v>
      </c>
      <c r="Q80" s="46">
        <f>活动投放!AA80+付费投放!AM80+SUMPRODUCT(基础状态预估!R80:W80,藏品属性!$D$18:$I$18)-SUMPRODUCT(基础状态预估!X80:AC80,藏品属性!$D$18:$I$18)</f>
        <v>2578601.1447811453</v>
      </c>
      <c r="R80" s="46">
        <f t="shared" si="4"/>
        <v>2.1893380614783635</v>
      </c>
      <c r="S80" s="57"/>
      <c r="T80" s="57"/>
      <c r="U80" s="57"/>
      <c r="V80" s="57"/>
    </row>
    <row r="81" spans="14:22" x14ac:dyDescent="0.15">
      <c r="N81" s="29">
        <f>基础状态预估!C81</f>
        <v>1260</v>
      </c>
      <c r="O81" s="29">
        <f>基础状态预估!D81</f>
        <v>105.28054430059714</v>
      </c>
      <c r="P81" s="46">
        <f t="shared" si="3"/>
        <v>1319754.4300597142</v>
      </c>
      <c r="Q81" s="46">
        <f>活动投放!AA81+付费投放!AM81+SUMPRODUCT(基础状态预估!R81:W81,藏品属性!$D$18:$I$18)-SUMPRODUCT(基础状态预估!X81:AC81,藏品属性!$D$18:$I$18)</f>
        <v>3089541.8855218855</v>
      </c>
      <c r="R81" s="46">
        <f t="shared" si="4"/>
        <v>2.3409975485985637</v>
      </c>
      <c r="S81" s="57"/>
      <c r="T81" s="57"/>
      <c r="U81" s="57"/>
      <c r="V81" s="57"/>
    </row>
    <row r="82" spans="14:22" x14ac:dyDescent="0.15">
      <c r="N82" s="29">
        <f>基础状态预估!C82</f>
        <v>1380</v>
      </c>
      <c r="O82" s="29">
        <f>基础状态预估!D82</f>
        <v>106.5877808636499</v>
      </c>
      <c r="P82" s="46">
        <f t="shared" si="3"/>
        <v>1538645.2159124743</v>
      </c>
      <c r="Q82" s="46">
        <f>活动投放!AA82+付费投放!AM82+SUMPRODUCT(基础状态预估!R82:W82,藏品属性!$D$18:$I$18)-SUMPRODUCT(基础状态预估!X82:AC82,藏品属性!$D$18:$I$18)</f>
        <v>3595482.6262626266</v>
      </c>
      <c r="R82" s="46">
        <f t="shared" si="4"/>
        <v>2.33678471754151</v>
      </c>
      <c r="S82" s="57"/>
      <c r="T82" s="57"/>
      <c r="U82" s="57"/>
      <c r="V82" s="57"/>
    </row>
    <row r="83" spans="14:22" x14ac:dyDescent="0.15">
      <c r="N83" s="29">
        <f>基础状态预估!C83</f>
        <v>1500</v>
      </c>
      <c r="O83" s="29">
        <f>基础状态预估!D83</f>
        <v>107.79548237561555</v>
      </c>
      <c r="P83" s="46">
        <f t="shared" si="3"/>
        <v>1840570.5939038873</v>
      </c>
      <c r="Q83" s="46">
        <f>活动投放!AA83+付费投放!AM83+SUMPRODUCT(基础状态预估!R83:W83,藏品属性!$D$18:$I$18)-SUMPRODUCT(基础状态预估!X83:AC83,藏品属性!$D$18:$I$18)</f>
        <v>4142223.3670033677</v>
      </c>
      <c r="R83" s="46">
        <f t="shared" si="4"/>
        <v>2.2505104562263099</v>
      </c>
      <c r="S83" s="57"/>
      <c r="T83" s="57"/>
      <c r="U83" s="57"/>
      <c r="V83" s="57"/>
    </row>
    <row r="84" spans="14:22" x14ac:dyDescent="0.15">
      <c r="N84" s="29">
        <f>基础状态预估!C84</f>
        <v>1800</v>
      </c>
      <c r="O84" s="29">
        <f>基础状态预估!D84</f>
        <v>110.45909768117225</v>
      </c>
      <c r="P84" s="46">
        <f t="shared" si="3"/>
        <v>2506474.4202930629</v>
      </c>
      <c r="Q84" s="46">
        <f>活动投放!AA84+付费投放!AM84+SUMPRODUCT(基础状态预估!R84:W84,藏品属性!$D$18:$I$18)-SUMPRODUCT(基础状态预估!X84:AC84,藏品属性!$D$18:$I$18)</f>
        <v>5513075.218855219</v>
      </c>
      <c r="R84" s="46">
        <f t="shared" si="4"/>
        <v>2.1995338050210851</v>
      </c>
      <c r="S84" s="57"/>
      <c r="T84" s="57"/>
      <c r="U84" s="57"/>
      <c r="V84" s="57"/>
    </row>
    <row r="85" spans="14:22" x14ac:dyDescent="0.15">
      <c r="N85" s="29">
        <f>基础状态预估!C85</f>
        <v>2100</v>
      </c>
      <c r="O85" s="29">
        <f>基础状态预估!D85</f>
        <v>112.6575750662045</v>
      </c>
      <c r="P85" s="46">
        <f t="shared" si="3"/>
        <v>3397526.9740034621</v>
      </c>
      <c r="Q85" s="46">
        <f>活动投放!AA85+付费投放!AM85+SUMPRODUCT(基础状态预估!R85:W85,藏品属性!$D$18:$I$18)-SUMPRODUCT(基础状态预估!X85:AC85,藏品属性!$D$18:$I$18)</f>
        <v>6986349.3939393936</v>
      </c>
      <c r="R85" s="46">
        <f t="shared" si="4"/>
        <v>2.0563043199939801</v>
      </c>
      <c r="S85" s="57"/>
      <c r="T85" s="57"/>
      <c r="U85" s="57"/>
      <c r="V85" s="57"/>
    </row>
    <row r="86" spans="14:22" x14ac:dyDescent="0.15">
      <c r="N86" s="29">
        <f>基础状态预估!C86</f>
        <v>2400</v>
      </c>
      <c r="O86" s="29">
        <f>基础状态预估!D86</f>
        <v>114.60231372852645</v>
      </c>
      <c r="P86" s="46">
        <f t="shared" si="3"/>
        <v>4893479.7911741957</v>
      </c>
      <c r="Q86" s="46">
        <f>活动投放!AA86+付费投放!AM86+SUMPRODUCT(基础状态预估!R86:W86,藏品属性!$D$18:$I$18)-SUMPRODUCT(基础状态预估!X86:AC86,藏品属性!$D$18:$I$18)</f>
        <v>8562401.245791249</v>
      </c>
      <c r="R86" s="46">
        <f t="shared" si="4"/>
        <v>1.749757148529409</v>
      </c>
      <c r="S86" s="57"/>
      <c r="T86" s="57"/>
      <c r="U86" s="57"/>
      <c r="V86" s="57"/>
    </row>
    <row r="87" spans="14:22" x14ac:dyDescent="0.15">
      <c r="N87" s="29">
        <f>基础状态预估!C87</f>
        <v>2700</v>
      </c>
      <c r="O87" s="29">
        <f>基础状态预估!D87</f>
        <v>116.33278549477166</v>
      </c>
      <c r="P87" s="46">
        <f t="shared" si="3"/>
        <v>6224611.9190551201</v>
      </c>
      <c r="Q87" s="46">
        <f>活动投放!AA87+付费投放!AM87+SUMPRODUCT(基础状态预估!R87:W87,藏品属性!$D$18:$I$18)-SUMPRODUCT(基础状态预估!X87:AC87,藏品属性!$D$18:$I$18)</f>
        <v>10138453.097643098</v>
      </c>
      <c r="R87" s="46">
        <f t="shared" si="4"/>
        <v>1.6287687055006135</v>
      </c>
      <c r="S87" s="57"/>
      <c r="T87" s="57"/>
      <c r="U87" s="57"/>
      <c r="V87" s="57"/>
    </row>
    <row r="88" spans="14:22" x14ac:dyDescent="0.15">
      <c r="N88" s="29">
        <f>基础状态预估!C88</f>
        <v>3000</v>
      </c>
      <c r="O88" s="29">
        <f>基础状态预估!D88</f>
        <v>117.85065637558189</v>
      </c>
      <c r="P88" s="46">
        <f t="shared" si="3"/>
        <v>7392204.9042937625</v>
      </c>
      <c r="Q88" s="46">
        <f>活动投放!AA88+付费投放!AM88+SUMPRODUCT(基础状态预估!R88:W88,藏品属性!$D$18:$I$18)-SUMPRODUCT(基础状态预估!X88:AC88,藏品属性!$D$18:$I$18)</f>
        <v>11714504.94949495</v>
      </c>
      <c r="R88" s="46">
        <f t="shared" si="4"/>
        <v>1.584710529694676</v>
      </c>
      <c r="S88" s="57"/>
      <c r="T88" s="57"/>
      <c r="U88" s="57"/>
      <c r="V88" s="57"/>
    </row>
    <row r="89" spans="14:22" x14ac:dyDescent="0.15">
      <c r="N89" s="29">
        <f>基础状态预估!C89</f>
        <v>3300</v>
      </c>
      <c r="O89" s="29">
        <f>基础状态预估!D89</f>
        <v>119.21088872323202</v>
      </c>
      <c r="P89" s="46">
        <f t="shared" si="3"/>
        <v>8985374.9588184878</v>
      </c>
      <c r="Q89" s="46">
        <f>活动投放!AA89+付费投放!AM89+SUMPRODUCT(基础状态预估!R89:W89,藏品属性!$D$18:$I$18)-SUMPRODUCT(基础状态预估!X89:AC89,藏品属性!$D$18:$I$18)</f>
        <v>13290556.801346801</v>
      </c>
      <c r="R89" s="46">
        <f t="shared" si="4"/>
        <v>1.4791321299622664</v>
      </c>
      <c r="S89" s="57"/>
      <c r="T89" s="57"/>
      <c r="U89" s="57"/>
      <c r="V89" s="57"/>
    </row>
    <row r="90" spans="14:22" x14ac:dyDescent="0.15">
      <c r="N90" s="29">
        <f>基础状态预估!C90</f>
        <v>3600</v>
      </c>
      <c r="O90" s="29">
        <f>基础状态预估!D90</f>
        <v>120.46417102385924</v>
      </c>
      <c r="P90" s="46">
        <f t="shared" si="3"/>
        <v>10913501.575168056</v>
      </c>
      <c r="Q90" s="46">
        <f>活动投放!AA90+付费投放!AM90+SUMPRODUCT(基础状态预估!R90:W90,藏品属性!$D$18:$I$18)-SUMPRODUCT(基础状态预估!X90:AC90,藏品属性!$D$18:$I$18)</f>
        <v>14866608.653198654</v>
      </c>
      <c r="R90" s="46">
        <f t="shared" si="4"/>
        <v>1.3622216985816236</v>
      </c>
      <c r="S90" s="57"/>
      <c r="T90" s="57"/>
      <c r="U90" s="57"/>
      <c r="V90" s="57"/>
    </row>
    <row r="91" spans="14:22" x14ac:dyDescent="0.15">
      <c r="N91" s="29">
        <f>基础状态预估!C91</f>
        <v>3900</v>
      </c>
      <c r="O91" s="29">
        <f>基础状态预估!D91</f>
        <v>121.65302977187105</v>
      </c>
      <c r="P91" s="46">
        <f t="shared" si="3"/>
        <v>12742515.033647764</v>
      </c>
      <c r="Q91" s="46">
        <f>活动投放!AA91+付费投放!AM91+SUMPRODUCT(基础状态预估!R91:W91,藏品属性!$D$18:$I$18)-SUMPRODUCT(基础状态预估!X91:AC91,藏品属性!$D$18:$I$18)</f>
        <v>16442660.505050506</v>
      </c>
      <c r="R91" s="46">
        <f t="shared" si="4"/>
        <v>1.2903779561281405</v>
      </c>
      <c r="S91" s="57"/>
      <c r="T91" s="57"/>
      <c r="U91" s="57"/>
      <c r="V91" s="57"/>
    </row>
    <row r="92" spans="14:22" x14ac:dyDescent="0.15">
      <c r="N92" s="29">
        <f>基础状态预估!C92</f>
        <v>4200</v>
      </c>
      <c r="O92" s="29">
        <f>基础状态预估!D92</f>
        <v>122.73490799469288</v>
      </c>
      <c r="P92" s="46">
        <f t="shared" si="3"/>
        <v>14406943.06875827</v>
      </c>
      <c r="Q92" s="46">
        <f>活动投放!AA92+付费投放!AM92+SUMPRODUCT(基础状态预估!R92:W92,藏品属性!$D$18:$I$18)-SUMPRODUCT(基础状态预估!X92:AC92,藏品属性!$D$18:$I$18)</f>
        <v>18023712.356902353</v>
      </c>
      <c r="R92" s="46">
        <f t="shared" si="4"/>
        <v>1.2510434913834787</v>
      </c>
      <c r="S92" s="57"/>
      <c r="T92" s="57"/>
      <c r="U92" s="57"/>
      <c r="V92" s="57"/>
    </row>
    <row r="93" spans="14:22" x14ac:dyDescent="0.15">
      <c r="N93" s="29">
        <f>基础状态预估!C93</f>
        <v>4500</v>
      </c>
      <c r="O93" s="29">
        <f>基础状态预估!D93</f>
        <v>123.70999272209546</v>
      </c>
      <c r="P93" s="46">
        <f t="shared" si="3"/>
        <v>15907073.418608407</v>
      </c>
      <c r="Q93" s="46">
        <f>活动投放!AA93+付费投放!AM93+SUMPRODUCT(基础状态预估!R93:W93,藏品属性!$D$18:$I$18)-SUMPRODUCT(基础状态预估!X93:AC93,藏品属性!$D$18:$I$18)</f>
        <v>19599764.208754204</v>
      </c>
      <c r="R93" s="46">
        <f t="shared" si="4"/>
        <v>1.2321414312343599</v>
      </c>
      <c r="S93" s="57"/>
      <c r="T93" s="57"/>
      <c r="U93" s="57"/>
      <c r="V93" s="57"/>
    </row>
    <row r="94" spans="14:22" x14ac:dyDescent="0.15">
      <c r="N94" s="29">
        <f>基础状态预估!C94</f>
        <v>4800</v>
      </c>
      <c r="O94" s="29">
        <f>基础状态预估!D94</f>
        <v>124.63695716337583</v>
      </c>
      <c r="P94" s="46">
        <f t="shared" si="3"/>
        <v>17333172.559039734</v>
      </c>
      <c r="Q94" s="46">
        <f>活动投放!AA94+付费投放!AM94+SUMPRODUCT(基础状态预估!R94:W94,藏品属性!$D$18:$I$18)-SUMPRODUCT(基础状态预估!X94:AC94,藏品属性!$D$18:$I$18)</f>
        <v>21175816.060606062</v>
      </c>
      <c r="R94" s="46">
        <f t="shared" si="4"/>
        <v>1.2216930275445901</v>
      </c>
      <c r="S94" s="57"/>
      <c r="T94" s="57"/>
      <c r="U94" s="57"/>
      <c r="V94" s="57"/>
    </row>
    <row r="95" spans="14:22" x14ac:dyDescent="0.15">
      <c r="N95" s="29">
        <f>基础状态预估!C95</f>
        <v>65535</v>
      </c>
      <c r="O95" s="29">
        <f>基础状态预估!D95</f>
        <v>160</v>
      </c>
      <c r="P95" s="46">
        <f t="shared" si="3"/>
        <v>17891700</v>
      </c>
      <c r="Q95" s="46">
        <f>活动投放!AA95+付费投放!AM95+SUMPRODUCT(基础状态预估!R95:W95,藏品属性!$D$18:$I$18)-SUMPRODUCT(基础状态预估!X95:AC95,藏品属性!$D$18:$I$18)</f>
        <v>342270259.39393938</v>
      </c>
      <c r="R95" s="46">
        <f t="shared" si="4"/>
        <v>19.130113929584073</v>
      </c>
      <c r="S95" s="57"/>
      <c r="T95" s="57"/>
      <c r="U95" s="57"/>
      <c r="V95" s="57"/>
    </row>
    <row r="97" spans="14:22" x14ac:dyDescent="0.15">
      <c r="N97" s="32" t="s">
        <v>19</v>
      </c>
      <c r="O97" s="43"/>
      <c r="P97" s="43"/>
      <c r="Q97" s="43"/>
      <c r="R97" s="43"/>
      <c r="S97" s="56"/>
      <c r="T97" s="56"/>
      <c r="U97" s="56"/>
      <c r="V97" s="56"/>
    </row>
    <row r="98" spans="14:22" ht="22.5" x14ac:dyDescent="0.15">
      <c r="N98" s="27" t="s">
        <v>31</v>
      </c>
      <c r="O98" s="45" t="s">
        <v>25</v>
      </c>
      <c r="P98" s="48" t="s">
        <v>194</v>
      </c>
      <c r="Q98" s="48" t="s">
        <v>195</v>
      </c>
      <c r="R98" s="48" t="s">
        <v>196</v>
      </c>
      <c r="S98" s="56"/>
      <c r="T98" s="56"/>
      <c r="U98" s="56"/>
      <c r="V98" s="56"/>
    </row>
    <row r="99" spans="14:22" x14ac:dyDescent="0.15">
      <c r="N99" s="29">
        <f>基础状态预估!C99</f>
        <v>15</v>
      </c>
      <c r="O99" s="29">
        <f>基础状态预估!D99</f>
        <v>44.442238853326032</v>
      </c>
      <c r="P99" s="46">
        <f>IFERROR(求节点($H$11:$H$31,$E$11:$E$31,$O99),0)</f>
        <v>0</v>
      </c>
      <c r="Q99" s="46">
        <f>活动投放!AA99+付费投放!AM99+SUMPRODUCT(基础状态预估!R99:W99,藏品属性!$D$18:$I$18)-SUMPRODUCT(基础状态预估!X99:AC99,藏品属性!$D$18:$I$18)</f>
        <v>300</v>
      </c>
      <c r="R99" s="46" t="e">
        <f>Q99/P99</f>
        <v>#DIV/0!</v>
      </c>
      <c r="S99" s="57"/>
      <c r="T99" s="57"/>
      <c r="U99" s="57"/>
      <c r="V99" s="57"/>
    </row>
    <row r="100" spans="14:22" x14ac:dyDescent="0.15">
      <c r="N100" s="29">
        <f>基础状态预估!C100</f>
        <v>30</v>
      </c>
      <c r="O100" s="29">
        <f>基础状态预估!D100</f>
        <v>54.213705787583436</v>
      </c>
      <c r="P100" s="46">
        <f t="shared" ref="P100:P139" si="5">IFERROR(求节点($H$11:$H$31,$E$11:$E$31,$O100),0)</f>
        <v>10690.776297295426</v>
      </c>
      <c r="Q100" s="46">
        <f>活动投放!AA100+付费投放!AM100+SUMPRODUCT(基础状态预估!R100:W100,藏品属性!$D$18:$I$18)-SUMPRODUCT(基础状态预估!X100:AC100,藏品属性!$D$18:$I$18)</f>
        <v>9613.1313131313127</v>
      </c>
      <c r="R100" s="46">
        <f t="shared" ref="R100:R139" si="6">Q100/P100</f>
        <v>0.89919862185903765</v>
      </c>
      <c r="S100" s="57"/>
      <c r="T100" s="57"/>
      <c r="U100" s="57"/>
      <c r="V100" s="57"/>
    </row>
    <row r="101" spans="14:22" x14ac:dyDescent="0.15">
      <c r="N101" s="29">
        <f>基础状态预估!C101</f>
        <v>45</v>
      </c>
      <c r="O101" s="29">
        <f>基础状态预估!D101</f>
        <v>60.086674688654931</v>
      </c>
      <c r="P101" s="46">
        <f t="shared" si="5"/>
        <v>24090.499110442659</v>
      </c>
      <c r="Q101" s="46">
        <f>活动投放!AA101+付费投放!AM101+SUMPRODUCT(基础状态预估!R101:W101,藏品属性!$D$18:$I$18)-SUMPRODUCT(基础状态预估!X101:AC101,藏品属性!$D$18:$I$18)</f>
        <v>18426.262626262625</v>
      </c>
      <c r="R101" s="46">
        <f t="shared" si="6"/>
        <v>0.76487674837236053</v>
      </c>
      <c r="S101" s="57"/>
      <c r="T101" s="57"/>
      <c r="U101" s="57"/>
      <c r="V101" s="57"/>
    </row>
    <row r="102" spans="14:22" x14ac:dyDescent="0.15">
      <c r="N102" s="29">
        <f>基础状态预估!C102</f>
        <v>60</v>
      </c>
      <c r="O102" s="29">
        <f>基础状态预估!D102</f>
        <v>64.14304723627319</v>
      </c>
      <c r="P102" s="46">
        <f t="shared" si="5"/>
        <v>42415.236181365952</v>
      </c>
      <c r="Q102" s="46">
        <f>活动投放!AA102+付费投放!AM102+SUMPRODUCT(基础状态预估!R102:W102,藏品属性!$D$18:$I$18)-SUMPRODUCT(基础状态预估!X102:AC102,藏品属性!$D$18:$I$18)</f>
        <v>28739.393939393936</v>
      </c>
      <c r="R102" s="46">
        <f t="shared" si="6"/>
        <v>0.67757241328341</v>
      </c>
      <c r="S102" s="57"/>
      <c r="T102" s="57"/>
      <c r="U102" s="57"/>
      <c r="V102" s="57"/>
    </row>
    <row r="103" spans="14:22" x14ac:dyDescent="0.15">
      <c r="N103" s="29">
        <f>基础状态预估!C103</f>
        <v>75</v>
      </c>
      <c r="O103" s="29">
        <f>基础状态预估!D103</f>
        <v>67.344310856946692</v>
      </c>
      <c r="P103" s="46">
        <f t="shared" si="5"/>
        <v>64282.331427100187</v>
      </c>
      <c r="Q103" s="46">
        <f>活动投放!AA103+付费投放!AM103+SUMPRODUCT(基础状态预估!R103:W103,藏品属性!$D$18:$I$18)-SUMPRODUCT(基础状态预估!X103:AC103,藏品属性!$D$18:$I$18)</f>
        <v>40152.525252525244</v>
      </c>
      <c r="R103" s="46">
        <f t="shared" si="6"/>
        <v>0.62462770657378053</v>
      </c>
      <c r="S103" s="57"/>
      <c r="T103" s="57"/>
      <c r="U103" s="57"/>
      <c r="V103" s="57"/>
    </row>
    <row r="104" spans="14:22" x14ac:dyDescent="0.15">
      <c r="N104" s="29">
        <f>基础状态预估!C104</f>
        <v>90</v>
      </c>
      <c r="O104" s="29">
        <f>基础状态预估!D104</f>
        <v>69.982855616450394</v>
      </c>
      <c r="P104" s="46">
        <f t="shared" si="5"/>
        <v>85436.494368447951</v>
      </c>
      <c r="Q104" s="46">
        <f>活动投放!AA104+付费投放!AM104+SUMPRODUCT(基础状态预估!R104:W104,藏品属性!$D$18:$I$18)-SUMPRODUCT(基础状态预估!X104:AC104,藏品属性!$D$18:$I$18)</f>
        <v>57989.562289562295</v>
      </c>
      <c r="R104" s="46">
        <f t="shared" si="6"/>
        <v>0.67874463621459258</v>
      </c>
      <c r="S104" s="57"/>
      <c r="T104" s="57"/>
      <c r="U104" s="57"/>
      <c r="V104" s="57"/>
    </row>
    <row r="105" spans="14:22" x14ac:dyDescent="0.15">
      <c r="N105" s="29">
        <f>基础状态预估!C105</f>
        <v>105</v>
      </c>
      <c r="O105" s="29">
        <f>基础状态预估!D105</f>
        <v>72.23150684883845</v>
      </c>
      <c r="P105" s="46">
        <f t="shared" si="5"/>
        <v>105424.50532300844</v>
      </c>
      <c r="Q105" s="46">
        <f>活动投放!AA105+付费投放!AM105+SUMPRODUCT(基础状态预估!R105:W105,藏品属性!$D$18:$I$18)-SUMPRODUCT(基础状态预估!X105:AC105,藏品属性!$D$18:$I$18)</f>
        <v>70826.599326599331</v>
      </c>
      <c r="R105" s="46">
        <f t="shared" si="6"/>
        <v>0.67182292304426616</v>
      </c>
      <c r="S105" s="57"/>
      <c r="T105" s="57"/>
      <c r="U105" s="57"/>
      <c r="V105" s="57"/>
    </row>
    <row r="106" spans="14:22" x14ac:dyDescent="0.15">
      <c r="N106" s="29">
        <f>基础状态预估!C106</f>
        <v>120</v>
      </c>
      <c r="O106" s="29">
        <f>基础状态预估!D106</f>
        <v>74.149428238300118</v>
      </c>
      <c r="P106" s="46">
        <f t="shared" si="5"/>
        <v>123915.86931444575</v>
      </c>
      <c r="Q106" s="46">
        <f>活动投放!AA106+付费投放!AM106+SUMPRODUCT(基础状态预估!R106:W106,藏品属性!$D$18:$I$18)-SUMPRODUCT(基础状态预估!X106:AC106,藏品属性!$D$18:$I$18)</f>
        <v>85363.636363636353</v>
      </c>
      <c r="R106" s="46">
        <f t="shared" si="6"/>
        <v>0.68888381154006806</v>
      </c>
      <c r="S106" s="57"/>
      <c r="T106" s="57"/>
      <c r="U106" s="57"/>
      <c r="V106" s="57"/>
    </row>
    <row r="107" spans="14:22" x14ac:dyDescent="0.15">
      <c r="N107" s="29">
        <f>基础状态预估!C107</f>
        <v>150</v>
      </c>
      <c r="O107" s="29">
        <f>基础状态预估!D107</f>
        <v>77.324097991611154</v>
      </c>
      <c r="P107" s="46">
        <f t="shared" si="5"/>
        <v>159189.97768456838</v>
      </c>
      <c r="Q107" s="46">
        <f>活动投放!AA107+付费投放!AM107+SUMPRODUCT(基础状态预估!R107:W107,藏品属性!$D$18:$I$18)-SUMPRODUCT(基础状态预估!X107:AC107,藏品属性!$D$18:$I$18)</f>
        <v>119437.71043771043</v>
      </c>
      <c r="R107" s="46">
        <f t="shared" si="6"/>
        <v>0.75028410817654456</v>
      </c>
      <c r="S107" s="57"/>
      <c r="T107" s="57"/>
      <c r="U107" s="57"/>
      <c r="V107" s="57"/>
    </row>
    <row r="108" spans="14:22" x14ac:dyDescent="0.15">
      <c r="N108" s="29">
        <f>基础状态预估!C108</f>
        <v>180</v>
      </c>
      <c r="O108" s="29">
        <f>基础状态预估!D108</f>
        <v>79.97103607409106</v>
      </c>
      <c r="P108" s="46">
        <f t="shared" si="5"/>
        <v>196265.54111136589</v>
      </c>
      <c r="Q108" s="46">
        <f>活动投放!AA108+付费投放!AM108+SUMPRODUCT(基础状态预估!R108:W108,藏品属性!$D$18:$I$18)-SUMPRODUCT(基础状态预估!X108:AC108,藏品属性!$D$18:$I$18)</f>
        <v>154511.7845117845</v>
      </c>
      <c r="R108" s="46">
        <f t="shared" si="6"/>
        <v>0.78725885163973186</v>
      </c>
      <c r="S108" s="57"/>
      <c r="T108" s="57"/>
      <c r="U108" s="57"/>
      <c r="V108" s="57"/>
    </row>
    <row r="109" spans="14:22" x14ac:dyDescent="0.15">
      <c r="N109" s="29">
        <f>基础状态预估!C109</f>
        <v>210</v>
      </c>
      <c r="O109" s="29">
        <f>基础状态预估!D109</f>
        <v>82.238672852681816</v>
      </c>
      <c r="P109" s="46">
        <f t="shared" si="5"/>
        <v>230280.09279022724</v>
      </c>
      <c r="Q109" s="46">
        <f>活动投放!AA109+付费投放!AM109+SUMPRODUCT(基础状态预估!R109:W109,藏品属性!$D$18:$I$18)-SUMPRODUCT(基础状态预估!X109:AC109,藏品属性!$D$18:$I$18)</f>
        <v>195385.8585858586</v>
      </c>
      <c r="R109" s="46">
        <f t="shared" si="6"/>
        <v>0.84847047010635257</v>
      </c>
      <c r="S109" s="57"/>
      <c r="T109" s="57"/>
      <c r="U109" s="57"/>
      <c r="V109" s="57"/>
    </row>
    <row r="110" spans="14:22" x14ac:dyDescent="0.15">
      <c r="N110" s="29">
        <f>基础状态预估!C110</f>
        <v>240</v>
      </c>
      <c r="O110" s="29">
        <f>基础状态预估!D110</f>
        <v>84.163908914135135</v>
      </c>
      <c r="P110" s="46">
        <f t="shared" si="5"/>
        <v>264978.17828270269</v>
      </c>
      <c r="Q110" s="46">
        <f>活动投放!AA110+付费投放!AM110+SUMPRODUCT(基础状态预估!R110:W110,藏品属性!$D$18:$I$18)-SUMPRODUCT(基础状态预估!X110:AC110,藏品属性!$D$18:$I$18)</f>
        <v>242859.93265993265</v>
      </c>
      <c r="R110" s="46">
        <f t="shared" si="6"/>
        <v>0.91652804858831693</v>
      </c>
      <c r="S110" s="57"/>
      <c r="T110" s="57"/>
      <c r="U110" s="57"/>
      <c r="V110" s="57"/>
    </row>
    <row r="111" spans="14:22" x14ac:dyDescent="0.15">
      <c r="N111" s="29">
        <f>基础状态预估!C111</f>
        <v>270</v>
      </c>
      <c r="O111" s="29">
        <f>基础状态预估!D111</f>
        <v>85.878108880436827</v>
      </c>
      <c r="P111" s="46">
        <f t="shared" si="5"/>
        <v>299262.17760873656</v>
      </c>
      <c r="Q111" s="46">
        <f>活动投放!AA111+付费投放!AM111+SUMPRODUCT(基础状态预估!R111:W111,藏品属性!$D$18:$I$18)-SUMPRODUCT(基础状态预估!X111:AC111,藏品属性!$D$18:$I$18)</f>
        <v>294334.00673400681</v>
      </c>
      <c r="R111" s="46">
        <f t="shared" si="6"/>
        <v>0.9835322628669334</v>
      </c>
      <c r="S111" s="57"/>
      <c r="T111" s="57"/>
      <c r="U111" s="57"/>
      <c r="V111" s="57"/>
    </row>
    <row r="112" spans="14:22" x14ac:dyDescent="0.15">
      <c r="N112" s="29">
        <f>基础状态预估!C112</f>
        <v>300</v>
      </c>
      <c r="O112" s="29">
        <f>基础状态预估!D112</f>
        <v>87.370536081129359</v>
      </c>
      <c r="P112" s="46">
        <f t="shared" si="5"/>
        <v>329110.72162258718</v>
      </c>
      <c r="Q112" s="46">
        <f>活动投放!AA112+付费投放!AM112+SUMPRODUCT(基础状态预估!R112:W112,藏品属性!$D$18:$I$18)-SUMPRODUCT(基础状态预估!X112:AC112,藏品属性!$D$18:$I$18)</f>
        <v>353008.08080808085</v>
      </c>
      <c r="R112" s="46">
        <f t="shared" si="6"/>
        <v>1.0726119133028378</v>
      </c>
      <c r="S112" s="57"/>
      <c r="T112" s="57"/>
      <c r="U112" s="57"/>
      <c r="V112" s="57"/>
    </row>
    <row r="113" spans="14:22" x14ac:dyDescent="0.15">
      <c r="N113" s="29">
        <f>基础状态预估!C113</f>
        <v>360</v>
      </c>
      <c r="O113" s="29">
        <f>基础状态预估!D113</f>
        <v>90.241691698216215</v>
      </c>
      <c r="P113" s="46">
        <f t="shared" si="5"/>
        <v>402837.0463149877</v>
      </c>
      <c r="Q113" s="46">
        <f>活动投放!AA113+付费投放!AM113+SUMPRODUCT(基础状态预估!R113:W113,藏品属性!$D$18:$I$18)-SUMPRODUCT(基础状态预估!X113:AC113,藏品属性!$D$18:$I$18)</f>
        <v>506156.228956229</v>
      </c>
      <c r="R113" s="46">
        <f t="shared" si="6"/>
        <v>1.256478850657776</v>
      </c>
      <c r="S113" s="57"/>
      <c r="T113" s="57"/>
      <c r="U113" s="57"/>
      <c r="V113" s="57"/>
    </row>
    <row r="114" spans="14:22" x14ac:dyDescent="0.15">
      <c r="N114" s="29">
        <f>基础状态预估!C114</f>
        <v>420</v>
      </c>
      <c r="O114" s="29">
        <f>基础状态预估!D114</f>
        <v>92.520930542961992</v>
      </c>
      <c r="P114" s="46">
        <f t="shared" si="5"/>
        <v>464998.10571714526</v>
      </c>
      <c r="Q114" s="46">
        <f>活动投放!AA114+付费投放!AM114+SUMPRODUCT(基础状态预估!R114:W114,藏品属性!$D$18:$I$18)-SUMPRODUCT(基础状态预估!X114:AC114,藏品属性!$D$18:$I$18)</f>
        <v>688704.37710437714</v>
      </c>
      <c r="R114" s="46">
        <f t="shared" si="6"/>
        <v>1.4810907155034965</v>
      </c>
      <c r="S114" s="57"/>
      <c r="T114" s="57"/>
      <c r="U114" s="57"/>
      <c r="V114" s="57"/>
    </row>
    <row r="115" spans="14:22" x14ac:dyDescent="0.15">
      <c r="N115" s="29">
        <f>基础状态预估!C115</f>
        <v>480</v>
      </c>
      <c r="O115" s="29">
        <f>基础状态预估!D115</f>
        <v>94.499876682726793</v>
      </c>
      <c r="P115" s="46">
        <f t="shared" si="5"/>
        <v>546238.7281487342</v>
      </c>
      <c r="Q115" s="46">
        <f>活动投放!AA115+付费投放!AM115+SUMPRODUCT(基础状态预估!R115:W115,藏品属性!$D$18:$I$18)-SUMPRODUCT(基础状态预估!X115:AC115,藏品属性!$D$18:$I$18)</f>
        <v>893252.52525252523</v>
      </c>
      <c r="R115" s="46">
        <f t="shared" si="6"/>
        <v>1.6352786414098843</v>
      </c>
      <c r="S115" s="57"/>
      <c r="T115" s="57"/>
      <c r="U115" s="57"/>
      <c r="V115" s="57"/>
    </row>
    <row r="116" spans="14:22" x14ac:dyDescent="0.15">
      <c r="N116" s="29">
        <f>基础状态预估!C116</f>
        <v>540</v>
      </c>
      <c r="O116" s="29">
        <f>基础状态预估!D116</f>
        <v>96.254819565842766</v>
      </c>
      <c r="P116" s="46">
        <f t="shared" si="5"/>
        <v>641962.88540960546</v>
      </c>
      <c r="Q116" s="46">
        <f>活动投放!AA116+付费投放!AM116+SUMPRODUCT(基础状态预估!R116:W116,藏品属性!$D$18:$I$18)-SUMPRODUCT(基础状态预估!X116:AC116,藏品属性!$D$18:$I$18)</f>
        <v>1122200.6734006735</v>
      </c>
      <c r="R116" s="46">
        <f t="shared" si="6"/>
        <v>1.7480771846874785</v>
      </c>
      <c r="S116" s="57"/>
      <c r="T116" s="57"/>
      <c r="U116" s="57"/>
      <c r="V116" s="57"/>
    </row>
    <row r="117" spans="14:22" x14ac:dyDescent="0.15">
      <c r="N117" s="29">
        <f>基础状态预估!C117</f>
        <v>600</v>
      </c>
      <c r="O117" s="29">
        <f>基础状态预估!D117</f>
        <v>97.702742999048837</v>
      </c>
      <c r="P117" s="46">
        <f t="shared" si="5"/>
        <v>720940.52722084569</v>
      </c>
      <c r="Q117" s="46">
        <f>活动投放!AA117+付费投放!AM117+SUMPRODUCT(基础状态预估!R117:W117,藏品属性!$D$18:$I$18)-SUMPRODUCT(基础状态预估!X117:AC117,藏品属性!$D$18:$I$18)</f>
        <v>1377548.8215488216</v>
      </c>
      <c r="R117" s="46">
        <f t="shared" si="6"/>
        <v>1.9107662415083473</v>
      </c>
      <c r="S117" s="57"/>
      <c r="T117" s="57"/>
      <c r="U117" s="57"/>
      <c r="V117" s="57"/>
    </row>
    <row r="118" spans="14:22" x14ac:dyDescent="0.15">
      <c r="N118" s="29">
        <f>基础状态预估!C118</f>
        <v>660</v>
      </c>
      <c r="O118" s="29">
        <f>基础状态预估!D118</f>
        <v>99.028118033845786</v>
      </c>
      <c r="P118" s="46">
        <f t="shared" si="5"/>
        <v>794511.80338457855</v>
      </c>
      <c r="Q118" s="46">
        <f>活动投放!AA118+付费投放!AM118+SUMPRODUCT(基础状态预估!R118:W118,藏品属性!$D$18:$I$18)-SUMPRODUCT(基础状态预估!X118:AC118,藏品属性!$D$18:$I$18)</f>
        <v>1637896.9696969697</v>
      </c>
      <c r="R118" s="46">
        <f t="shared" si="6"/>
        <v>2.061513702779008</v>
      </c>
      <c r="S118" s="57"/>
      <c r="T118" s="57"/>
      <c r="U118" s="57"/>
      <c r="V118" s="57"/>
    </row>
    <row r="119" spans="14:22" x14ac:dyDescent="0.15">
      <c r="N119" s="29">
        <f>基础状态预估!C119</f>
        <v>720</v>
      </c>
      <c r="O119" s="29">
        <f>基础状态预估!D119</f>
        <v>100.26856904007842</v>
      </c>
      <c r="P119" s="46">
        <f t="shared" si="5"/>
        <v>918556.90400784183</v>
      </c>
      <c r="Q119" s="46">
        <f>活动投放!AA119+付费投放!AM119+SUMPRODUCT(基础状态预估!R119:W119,藏品属性!$D$18:$I$18)-SUMPRODUCT(基础状态预估!X119:AC119,藏品属性!$D$18:$I$18)</f>
        <v>1923645.117845118</v>
      </c>
      <c r="R119" s="46">
        <f t="shared" si="6"/>
        <v>2.0942035375836614</v>
      </c>
      <c r="S119" s="57"/>
      <c r="T119" s="57"/>
      <c r="U119" s="57"/>
      <c r="V119" s="57"/>
    </row>
    <row r="120" spans="14:22" x14ac:dyDescent="0.15">
      <c r="N120" s="29">
        <f>基础状态预估!C120</f>
        <v>780</v>
      </c>
      <c r="O120" s="29">
        <f>基础状态预估!D120</f>
        <v>101.47512451488986</v>
      </c>
      <c r="P120" s="46">
        <f t="shared" si="5"/>
        <v>1039212.4514889857</v>
      </c>
      <c r="Q120" s="46">
        <f>活动投放!AA120+付费投放!AM120+SUMPRODUCT(基础状态预估!R120:W120,藏品属性!$D$18:$I$18)-SUMPRODUCT(基础状态预估!X120:AC120,藏品属性!$D$18:$I$18)</f>
        <v>2209393.2659932659</v>
      </c>
      <c r="R120" s="46">
        <f t="shared" si="6"/>
        <v>2.1260265529224971</v>
      </c>
      <c r="S120" s="57"/>
      <c r="T120" s="57"/>
      <c r="U120" s="57"/>
      <c r="V120" s="57"/>
    </row>
    <row r="121" spans="14:22" x14ac:dyDescent="0.15">
      <c r="N121" s="29">
        <f>基础状态预估!C121</f>
        <v>840</v>
      </c>
      <c r="O121" s="29">
        <f>基础状态预估!D121</f>
        <v>102.61094151224314</v>
      </c>
      <c r="P121" s="46">
        <f t="shared" si="5"/>
        <v>1152794.1512243145</v>
      </c>
      <c r="Q121" s="46">
        <f>活动投放!AA121+付费投放!AM121+SUMPRODUCT(基础状态预估!R121:W121,藏品属性!$D$18:$I$18)-SUMPRODUCT(基础状态预估!X121:AC121,藏品属性!$D$18:$I$18)</f>
        <v>2516541.4141414138</v>
      </c>
      <c r="R121" s="46">
        <f t="shared" si="6"/>
        <v>2.1829928712500353</v>
      </c>
      <c r="S121" s="57"/>
      <c r="T121" s="57"/>
      <c r="U121" s="57"/>
      <c r="V121" s="57"/>
    </row>
    <row r="122" spans="14:22" x14ac:dyDescent="0.15">
      <c r="N122" s="29">
        <f>基础状态预估!C122</f>
        <v>900</v>
      </c>
      <c r="O122" s="29">
        <f>基础状态预估!D122</f>
        <v>103.60238266350056</v>
      </c>
      <c r="P122" s="46">
        <f t="shared" si="5"/>
        <v>1251938.2663500563</v>
      </c>
      <c r="Q122" s="46">
        <f>活动投放!AA122+付费投放!AM122+SUMPRODUCT(基础状态预估!R122:W122,藏品属性!$D$18:$I$18)-SUMPRODUCT(基础状态预估!X122:AC122,藏品属性!$D$18:$I$18)</f>
        <v>2822689.5622895621</v>
      </c>
      <c r="R122" s="46">
        <f t="shared" si="6"/>
        <v>2.2546555514425868</v>
      </c>
      <c r="S122" s="57"/>
      <c r="T122" s="57"/>
      <c r="U122" s="57"/>
      <c r="V122" s="57"/>
    </row>
    <row r="123" spans="14:22" x14ac:dyDescent="0.15">
      <c r="N123" s="29">
        <f>基础状态预估!C123</f>
        <v>1020</v>
      </c>
      <c r="O123" s="29">
        <f>基础状态预估!D123</f>
        <v>105.37513360458028</v>
      </c>
      <c r="P123" s="46">
        <f t="shared" si="5"/>
        <v>1485483.401145071</v>
      </c>
      <c r="Q123" s="46">
        <f>活动投放!AA123+付费投放!AM123+SUMPRODUCT(基础状态预估!R123:W123,藏品属性!$D$18:$I$18)-SUMPRODUCT(基础状态预估!X123:AC123,藏品属性!$D$18:$I$18)</f>
        <v>3440985.8585858587</v>
      </c>
      <c r="R123" s="46">
        <f t="shared" si="6"/>
        <v>2.3164081509987975</v>
      </c>
      <c r="S123" s="57"/>
      <c r="T123" s="57"/>
      <c r="U123" s="57"/>
      <c r="V123" s="57"/>
    </row>
    <row r="124" spans="14:22" x14ac:dyDescent="0.15">
      <c r="N124" s="29">
        <f>基础状态预估!C124</f>
        <v>1140</v>
      </c>
      <c r="O124" s="29">
        <f>基础状态预估!D124</f>
        <v>106.97877061452158</v>
      </c>
      <c r="P124" s="46">
        <f t="shared" si="5"/>
        <v>1886392.653630395</v>
      </c>
      <c r="Q124" s="46">
        <f>活动投放!AA124+付费投放!AM124+SUMPRODUCT(基础状态预估!R124:W124,藏品属性!$D$18:$I$18)-SUMPRODUCT(基础状态预估!X124:AC124,藏品属性!$D$18:$I$18)</f>
        <v>4100082.1548821558</v>
      </c>
      <c r="R124" s="46">
        <f t="shared" si="6"/>
        <v>2.1735040936421575</v>
      </c>
      <c r="S124" s="57"/>
      <c r="T124" s="57"/>
      <c r="U124" s="57"/>
      <c r="V124" s="57"/>
    </row>
    <row r="125" spans="14:22" x14ac:dyDescent="0.15">
      <c r="N125" s="29">
        <f>基础状态预估!C125</f>
        <v>1260</v>
      </c>
      <c r="O125" s="29">
        <f>基础状态预估!D125</f>
        <v>108.50202374400071</v>
      </c>
      <c r="P125" s="46">
        <f t="shared" si="5"/>
        <v>2267205.9360001772</v>
      </c>
      <c r="Q125" s="46">
        <f>活动投放!AA125+付费投放!AM125+SUMPRODUCT(基础状态预估!R125:W125,藏品属性!$D$18:$I$18)-SUMPRODUCT(基础状态预估!X125:AC125,藏品属性!$D$18:$I$18)</f>
        <v>4764178.4511784511</v>
      </c>
      <c r="R125" s="46">
        <f t="shared" si="6"/>
        <v>2.1013434975313503</v>
      </c>
      <c r="S125" s="57"/>
      <c r="T125" s="57"/>
      <c r="U125" s="57"/>
      <c r="V125" s="57"/>
    </row>
    <row r="126" spans="14:22" x14ac:dyDescent="0.15">
      <c r="N126" s="29">
        <f>基础状态预估!C126</f>
        <v>1380</v>
      </c>
      <c r="O126" s="29">
        <f>基础状态预估!D126</f>
        <v>109.8194473820428</v>
      </c>
      <c r="P126" s="46">
        <f t="shared" si="5"/>
        <v>2596561.8455106989</v>
      </c>
      <c r="Q126" s="46">
        <f>活动投放!AA126+付费投放!AM126+SUMPRODUCT(基础状态预估!R126:W126,藏品属性!$D$18:$I$18)-SUMPRODUCT(基础状态预估!X126:AC126,藏品属性!$D$18:$I$18)</f>
        <v>5465074.7474747477</v>
      </c>
      <c r="R126" s="46">
        <f t="shared" si="6"/>
        <v>2.1047350583709519</v>
      </c>
      <c r="S126" s="57"/>
      <c r="T126" s="57"/>
      <c r="U126" s="57"/>
      <c r="V126" s="57"/>
    </row>
    <row r="127" spans="14:22" x14ac:dyDescent="0.15">
      <c r="N127" s="29">
        <f>基础状态预估!C127</f>
        <v>1500</v>
      </c>
      <c r="O127" s="29">
        <f>基础状态预估!D127</f>
        <v>110.99543397036992</v>
      </c>
      <c r="P127" s="46">
        <f t="shared" si="5"/>
        <v>2890558.4925924791</v>
      </c>
      <c r="Q127" s="46">
        <f>活动投放!AA127+付费投放!AM127+SUMPRODUCT(基础状态预估!R127:W127,藏品属性!$D$18:$I$18)-SUMPRODUCT(基础状态预估!X127:AC127,藏品属性!$D$18:$I$18)</f>
        <v>6165971.0437710434</v>
      </c>
      <c r="R127" s="46">
        <f t="shared" si="6"/>
        <v>2.1331417646701616</v>
      </c>
      <c r="S127" s="57"/>
      <c r="T127" s="57"/>
      <c r="U127" s="57"/>
      <c r="V127" s="57"/>
    </row>
    <row r="128" spans="14:22" x14ac:dyDescent="0.15">
      <c r="N128" s="29">
        <f>基础状态预估!C128</f>
        <v>1800</v>
      </c>
      <c r="O128" s="29">
        <f>基础状态预估!D128</f>
        <v>113.61244781532119</v>
      </c>
      <c r="P128" s="46">
        <f t="shared" si="5"/>
        <v>4901275.2425547615</v>
      </c>
      <c r="Q128" s="46">
        <f>活动投放!AA128+付费投放!AM128+SUMPRODUCT(基础状态预估!R128:W128,藏品属性!$D$18:$I$18)-SUMPRODUCT(基础状态预估!X128:AC128,藏品属性!$D$18:$I$18)</f>
        <v>7915897.1380471392</v>
      </c>
      <c r="R128" s="46">
        <f t="shared" si="6"/>
        <v>1.6150688843830414</v>
      </c>
      <c r="S128" s="57"/>
      <c r="T128" s="57"/>
      <c r="U128" s="57"/>
      <c r="V128" s="57"/>
    </row>
    <row r="129" spans="14:22" x14ac:dyDescent="0.15">
      <c r="N129" s="29">
        <f>基础状态预估!C129</f>
        <v>2100</v>
      </c>
      <c r="O129" s="29">
        <f>基础状态预估!D129</f>
        <v>115.93576288835948</v>
      </c>
      <c r="P129" s="46">
        <f t="shared" si="5"/>
        <v>6688440.6833534446</v>
      </c>
      <c r="Q129" s="46">
        <f>活动投放!AA129+付费投放!AM129+SUMPRODUCT(基础状态预估!R129:W129,藏品属性!$D$18:$I$18)-SUMPRODUCT(基础状态预估!X129:AC129,藏品属性!$D$18:$I$18)</f>
        <v>9670971.2121212129</v>
      </c>
      <c r="R129" s="46">
        <f t="shared" si="6"/>
        <v>1.4459231486033588</v>
      </c>
      <c r="S129" s="57"/>
      <c r="T129" s="57"/>
      <c r="U129" s="57"/>
      <c r="V129" s="57"/>
    </row>
    <row r="130" spans="14:22" x14ac:dyDescent="0.15">
      <c r="N130" s="29">
        <f>基础状态预估!C130</f>
        <v>2400</v>
      </c>
      <c r="O130" s="29">
        <f>基础状态预估!D130</f>
        <v>117.8398587801079</v>
      </c>
      <c r="P130" s="46">
        <f t="shared" si="5"/>
        <v>8414559.6617044657</v>
      </c>
      <c r="Q130" s="46">
        <f>活动投放!AA130+付费投放!AM130+SUMPRODUCT(基础状态预估!R130:W130,藏品属性!$D$18:$I$18)-SUMPRODUCT(基础状态预估!X130:AC130,藏品属性!$D$18:$I$18)</f>
        <v>11426045.286195289</v>
      </c>
      <c r="R130" s="46">
        <f t="shared" si="6"/>
        <v>1.3578898653718514</v>
      </c>
      <c r="S130" s="57"/>
      <c r="T130" s="57"/>
      <c r="U130" s="57"/>
      <c r="V130" s="57"/>
    </row>
    <row r="131" spans="14:22" x14ac:dyDescent="0.15">
      <c r="N131" s="29">
        <f>基础状态预估!C131</f>
        <v>2700</v>
      </c>
      <c r="O131" s="29">
        <f>基础状态预估!D131</f>
        <v>119.50922016248074</v>
      </c>
      <c r="P131" s="46">
        <f t="shared" si="5"/>
        <v>10982807.942278069</v>
      </c>
      <c r="Q131" s="46">
        <f>活动投放!AA131+付费投放!AM131+SUMPRODUCT(基础状态预估!R131:W131,藏品属性!$D$18:$I$18)-SUMPRODUCT(基础状态预估!X131:AC131,藏品属性!$D$18:$I$18)</f>
        <v>13181119.36026936</v>
      </c>
      <c r="R131" s="46">
        <f t="shared" si="6"/>
        <v>1.2001593244227591</v>
      </c>
      <c r="S131" s="57"/>
      <c r="T131" s="57"/>
      <c r="U131" s="57"/>
      <c r="V131" s="57"/>
    </row>
    <row r="132" spans="14:22" x14ac:dyDescent="0.15">
      <c r="N132" s="29">
        <f>基础状态预估!C132</f>
        <v>3000</v>
      </c>
      <c r="O132" s="29">
        <f>基础状态预估!D132</f>
        <v>121.10344291172865</v>
      </c>
      <c r="P132" s="46">
        <f t="shared" si="5"/>
        <v>13435458.325736385</v>
      </c>
      <c r="Q132" s="46">
        <f>活动投放!AA132+付费投放!AM132+SUMPRODUCT(基础状态预估!R132:W132,藏品属性!$D$18:$I$18)-SUMPRODUCT(基础状态预估!X132:AC132,藏品属性!$D$18:$I$18)</f>
        <v>14936193.434343433</v>
      </c>
      <c r="R132" s="46">
        <f t="shared" si="6"/>
        <v>1.111699584206391</v>
      </c>
      <c r="S132" s="57"/>
      <c r="T132" s="57"/>
      <c r="U132" s="57"/>
      <c r="V132" s="57"/>
    </row>
    <row r="133" spans="14:22" x14ac:dyDescent="0.15">
      <c r="N133" s="29">
        <f>基础状态预估!C133</f>
        <v>3300</v>
      </c>
      <c r="O133" s="29">
        <f>基础状态预估!D133</f>
        <v>122.49249432194588</v>
      </c>
      <c r="P133" s="46">
        <f t="shared" si="5"/>
        <v>15572460.49530136</v>
      </c>
      <c r="Q133" s="46">
        <f>活动投放!AA133+付费投放!AM133+SUMPRODUCT(基础状态预估!R133:W133,藏品属性!$D$18:$I$18)-SUMPRODUCT(基础状态预估!X133:AC133,藏品属性!$D$18:$I$18)</f>
        <v>16691267.508417508</v>
      </c>
      <c r="R133" s="46">
        <f t="shared" si="6"/>
        <v>1.0718452304601269</v>
      </c>
      <c r="S133" s="57"/>
      <c r="T133" s="57"/>
      <c r="U133" s="57"/>
      <c r="V133" s="57"/>
    </row>
    <row r="134" spans="14:22" x14ac:dyDescent="0.15">
      <c r="N134" s="29">
        <f>基础状态预估!C134</f>
        <v>3600</v>
      </c>
      <c r="O134" s="29">
        <f>基础状态预估!D134</f>
        <v>123.71653233872999</v>
      </c>
      <c r="P134" s="46">
        <f t="shared" si="5"/>
        <v>17455595.905738447</v>
      </c>
      <c r="Q134" s="46">
        <f>活动投放!AA134+付费投放!AM134+SUMPRODUCT(基础状态预估!R134:W134,藏品属性!$D$18:$I$18)-SUMPRODUCT(基础状态预估!X134:AC134,藏品属性!$D$18:$I$18)</f>
        <v>18446341.58249158</v>
      </c>
      <c r="R134" s="46">
        <f t="shared" si="6"/>
        <v>1.0567580552450477</v>
      </c>
      <c r="S134" s="57"/>
      <c r="T134" s="57"/>
      <c r="U134" s="57"/>
      <c r="V134" s="57"/>
    </row>
    <row r="135" spans="14:22" x14ac:dyDescent="0.15">
      <c r="N135" s="29">
        <f>基础状态预估!C135</f>
        <v>3900</v>
      </c>
      <c r="O135" s="29">
        <f>基础状态预估!D135</f>
        <v>124.85102687042894</v>
      </c>
      <c r="P135" s="46">
        <f t="shared" si="5"/>
        <v>17891700</v>
      </c>
      <c r="Q135" s="46">
        <f>活动投放!AA135+付费投放!AM135+SUMPRODUCT(基础状态预估!R135:W135,藏品属性!$D$18:$I$18)-SUMPRODUCT(基础状态预估!X135:AC135,藏品属性!$D$18:$I$18)</f>
        <v>20206415.656565659</v>
      </c>
      <c r="R135" s="46">
        <f t="shared" si="6"/>
        <v>1.1293737127587462</v>
      </c>
      <c r="S135" s="57"/>
      <c r="T135" s="57"/>
      <c r="U135" s="57"/>
      <c r="V135" s="57"/>
    </row>
    <row r="136" spans="14:22" x14ac:dyDescent="0.15">
      <c r="N136" s="29">
        <f>基础状态预估!C136</f>
        <v>4200</v>
      </c>
      <c r="O136" s="29">
        <f>基础状态预估!D136</f>
        <v>125.90913935465674</v>
      </c>
      <c r="P136" s="46">
        <f t="shared" si="5"/>
        <v>17891700</v>
      </c>
      <c r="Q136" s="46">
        <f>活动投放!AA136+付费投放!AM136+SUMPRODUCT(基础状态预估!R136:W136,藏品属性!$D$18:$I$18)-SUMPRODUCT(基础状态预估!X136:AC136,藏品属性!$D$18:$I$18)</f>
        <v>21961489.730639733</v>
      </c>
      <c r="R136" s="46">
        <f t="shared" si="6"/>
        <v>1.2274680287865174</v>
      </c>
      <c r="S136" s="57"/>
      <c r="T136" s="57"/>
      <c r="U136" s="57"/>
      <c r="V136" s="57"/>
    </row>
    <row r="137" spans="14:22" x14ac:dyDescent="0.15">
      <c r="N137" s="29">
        <f>基础状态预估!C137</f>
        <v>4500</v>
      </c>
      <c r="O137" s="29">
        <f>基础状态预估!D137</f>
        <v>126.96916270090227</v>
      </c>
      <c r="P137" s="46">
        <f t="shared" si="5"/>
        <v>17891700</v>
      </c>
      <c r="Q137" s="46">
        <f>活动投放!AA137+付费投放!AM137+SUMPRODUCT(基础状态预估!R137:W137,藏品属性!$D$18:$I$18)-SUMPRODUCT(基础状态预估!X137:AC137,藏品属性!$D$18:$I$18)</f>
        <v>23716563.804713808</v>
      </c>
      <c r="R137" s="46">
        <f t="shared" si="6"/>
        <v>1.3255623448142886</v>
      </c>
      <c r="S137" s="57"/>
      <c r="T137" s="57"/>
      <c r="U137" s="57"/>
      <c r="V137" s="57"/>
    </row>
    <row r="138" spans="14:22" x14ac:dyDescent="0.15">
      <c r="N138" s="29">
        <f>基础状态预估!C138</f>
        <v>4800</v>
      </c>
      <c r="O138" s="29">
        <f>基础状态预估!D138</f>
        <v>127.97984726046715</v>
      </c>
      <c r="P138" s="46">
        <f t="shared" si="5"/>
        <v>17891700</v>
      </c>
      <c r="Q138" s="46">
        <f>活动投放!AA138+付费投放!AM138+SUMPRODUCT(基础状态预估!R138:W138,藏品属性!$D$18:$I$18)-SUMPRODUCT(基础状态预估!X138:AC138,藏品属性!$D$18:$I$18)</f>
        <v>25476637.878787883</v>
      </c>
      <c r="R138" s="46">
        <f t="shared" si="6"/>
        <v>1.4239361200326344</v>
      </c>
      <c r="S138" s="57"/>
      <c r="T138" s="57"/>
      <c r="U138" s="57"/>
      <c r="V138" s="57"/>
    </row>
    <row r="139" spans="14:22" x14ac:dyDescent="0.15">
      <c r="N139" s="29">
        <f>基础状态预估!C139</f>
        <v>65535</v>
      </c>
      <c r="O139" s="29">
        <f>基础状态预估!D139</f>
        <v>160</v>
      </c>
      <c r="P139" s="46">
        <f t="shared" si="5"/>
        <v>17891700</v>
      </c>
      <c r="Q139" s="46">
        <f>活动投放!AA139+付费投放!AM139+SUMPRODUCT(基础状态预估!R139:W139,藏品属性!$D$18:$I$18)-SUMPRODUCT(基础状态预估!X139:AC139,藏品属性!$D$18:$I$18)</f>
        <v>383081121.21212125</v>
      </c>
      <c r="R139" s="46">
        <f t="shared" si="6"/>
        <v>21.411108011654637</v>
      </c>
      <c r="S139" s="57"/>
      <c r="T139" s="57"/>
      <c r="U139" s="57"/>
      <c r="V139" s="57"/>
    </row>
    <row r="141" spans="14:22" x14ac:dyDescent="0.15">
      <c r="N141" s="32" t="s">
        <v>20</v>
      </c>
      <c r="O141" s="43"/>
      <c r="P141" s="43"/>
      <c r="Q141" s="43"/>
      <c r="R141" s="43"/>
      <c r="S141" s="56"/>
      <c r="T141" s="56"/>
      <c r="U141" s="56"/>
      <c r="V141" s="56"/>
    </row>
    <row r="142" spans="14:22" ht="22.5" x14ac:dyDescent="0.15">
      <c r="N142" s="27" t="s">
        <v>31</v>
      </c>
      <c r="O142" s="45" t="s">
        <v>25</v>
      </c>
      <c r="P142" s="48" t="s">
        <v>194</v>
      </c>
      <c r="Q142" s="48" t="s">
        <v>195</v>
      </c>
      <c r="R142" s="48" t="s">
        <v>196</v>
      </c>
      <c r="S142" s="56"/>
      <c r="T142" s="56"/>
      <c r="U142" s="56"/>
      <c r="V142" s="56"/>
    </row>
    <row r="143" spans="14:22" x14ac:dyDescent="0.15">
      <c r="N143" s="29">
        <f>基础状态预估!C143</f>
        <v>15</v>
      </c>
      <c r="O143" s="29">
        <f>基础状态预估!D143</f>
        <v>48.731413734867289</v>
      </c>
      <c r="P143" s="46">
        <f>IFERROR(求节点($I$11:$I$31,$E$11:$E$31,$O143),0)</f>
        <v>4146.8413171917746</v>
      </c>
      <c r="Q143" s="46">
        <f>活动投放!AA143+付费投放!AM143+SUMPRODUCT(基础状态预估!R143:W143,藏品属性!$D$18:$I$18)-SUMPRODUCT(基础状态预估!X143:AC143,藏品属性!$D$18:$I$18)</f>
        <v>900</v>
      </c>
      <c r="R143" s="46">
        <f>Q143/P143</f>
        <v>0.2170326595977578</v>
      </c>
      <c r="S143" s="57"/>
      <c r="T143" s="57"/>
      <c r="U143" s="57"/>
      <c r="V143" s="57"/>
    </row>
    <row r="144" spans="14:22" x14ac:dyDescent="0.15">
      <c r="N144" s="29">
        <f>基础状态预估!C144</f>
        <v>30</v>
      </c>
      <c r="O144" s="29">
        <f>基础状态预估!D144</f>
        <v>58.701446767877648</v>
      </c>
      <c r="P144" s="46">
        <f t="shared" ref="P144:P183" si="7">IFERROR(求节点($I$11:$I$31,$E$11:$E$31,$O144),0)</f>
        <v>22989.847908221855</v>
      </c>
      <c r="Q144" s="46">
        <f>活动投放!AA144+付费投放!AM144+SUMPRODUCT(基础状态预估!R144:W144,藏品属性!$D$18:$I$18)-SUMPRODUCT(基础状态预估!X144:AC144,藏品属性!$D$18:$I$18)</f>
        <v>47033.333333333336</v>
      </c>
      <c r="R144" s="46">
        <f t="shared" ref="R144:R183" si="8">Q144/P144</f>
        <v>2.0458305562131542</v>
      </c>
      <c r="S144" s="57"/>
      <c r="T144" s="57"/>
      <c r="U144" s="57"/>
      <c r="V144" s="57"/>
    </row>
    <row r="145" spans="14:22" x14ac:dyDescent="0.15">
      <c r="N145" s="29">
        <f>基础状态预估!C145</f>
        <v>45</v>
      </c>
      <c r="O145" s="29">
        <f>基础状态预估!D145</f>
        <v>64.399012521055653</v>
      </c>
      <c r="P145" s="46">
        <f t="shared" si="7"/>
        <v>49692.593907917399</v>
      </c>
      <c r="Q145" s="46">
        <f>活动投放!AA145+付费投放!AM145+SUMPRODUCT(基础状态预估!R145:W145,藏品属性!$D$18:$I$18)-SUMPRODUCT(基础状态预估!X145:AC145,藏品属性!$D$18:$I$18)</f>
        <v>100366.66666666666</v>
      </c>
      <c r="R145" s="46">
        <f t="shared" si="8"/>
        <v>2.0197510086241541</v>
      </c>
      <c r="S145" s="57"/>
      <c r="T145" s="57"/>
      <c r="U145" s="57"/>
      <c r="V145" s="57"/>
    </row>
    <row r="146" spans="14:22" x14ac:dyDescent="0.15">
      <c r="N146" s="29">
        <f>基础状态预估!C146</f>
        <v>60</v>
      </c>
      <c r="O146" s="29">
        <f>基础状态预估!D146</f>
        <v>68.627579426319684</v>
      </c>
      <c r="P146" s="46">
        <f t="shared" si="7"/>
        <v>82278.483789508304</v>
      </c>
      <c r="Q146" s="46">
        <f>活动投放!AA146+付费投放!AM146+SUMPRODUCT(基础状态预估!R146:W146,藏品属性!$D$18:$I$18)-SUMPRODUCT(基础状态预估!X146:AC146,藏品属性!$D$18:$I$18)</f>
        <v>156600</v>
      </c>
      <c r="R146" s="46">
        <f t="shared" si="8"/>
        <v>1.9032922434573201</v>
      </c>
      <c r="S146" s="57"/>
      <c r="T146" s="57"/>
      <c r="U146" s="57"/>
      <c r="V146" s="57"/>
    </row>
    <row r="147" spans="14:22" x14ac:dyDescent="0.15">
      <c r="N147" s="29">
        <f>基础状态预估!C147</f>
        <v>75</v>
      </c>
      <c r="O147" s="29">
        <f>基础状态预估!D147</f>
        <v>71.882008108111634</v>
      </c>
      <c r="P147" s="46">
        <f t="shared" si="7"/>
        <v>111206.73873877007</v>
      </c>
      <c r="Q147" s="46">
        <f>活动投放!AA147+付费投放!AM147+SUMPRODUCT(基础状态预估!R147:W147,藏品属性!$D$18:$I$18)-SUMPRODUCT(基础状态预估!X147:AC147,藏品属性!$D$18:$I$18)</f>
        <v>216933.33333333331</v>
      </c>
      <c r="R147" s="46">
        <f t="shared" si="8"/>
        <v>1.9507211145083576</v>
      </c>
      <c r="S147" s="57"/>
      <c r="T147" s="57"/>
      <c r="U147" s="57"/>
      <c r="V147" s="57"/>
    </row>
    <row r="148" spans="14:22" x14ac:dyDescent="0.15">
      <c r="N148" s="29">
        <f>基础状态预估!C148</f>
        <v>90</v>
      </c>
      <c r="O148" s="29">
        <f>基础状态预估!D148</f>
        <v>74.493385467679886</v>
      </c>
      <c r="P148" s="46">
        <f t="shared" si="7"/>
        <v>138848.7274186654</v>
      </c>
      <c r="Q148" s="46">
        <f>活动投放!AA148+付费投放!AM148+SUMPRODUCT(基础状态预估!R148:W148,藏品属性!$D$18:$I$18)-SUMPRODUCT(基础状态预估!X148:AC148,藏品属性!$D$18:$I$18)</f>
        <v>267525.92592592596</v>
      </c>
      <c r="R148" s="46">
        <f t="shared" si="8"/>
        <v>1.9267438088882514</v>
      </c>
      <c r="S148" s="57"/>
      <c r="T148" s="57"/>
      <c r="U148" s="57"/>
      <c r="V148" s="57"/>
    </row>
    <row r="149" spans="14:22" x14ac:dyDescent="0.15">
      <c r="N149" s="29">
        <f>基础状态预估!C149</f>
        <v>105</v>
      </c>
      <c r="O149" s="29">
        <f>基础状态预估!D149</f>
        <v>76.672104206565521</v>
      </c>
      <c r="P149" s="46">
        <f t="shared" si="7"/>
        <v>163056.71340628358</v>
      </c>
      <c r="Q149" s="46">
        <f>活动投放!AA149+付费投放!AM149+SUMPRODUCT(基础状态预估!R149:W149,藏品属性!$D$18:$I$18)-SUMPRODUCT(基础状态预估!X149:AC149,藏品属性!$D$18:$I$18)</f>
        <v>324118.51851851854</v>
      </c>
      <c r="R149" s="46">
        <f t="shared" si="8"/>
        <v>1.9877655556010259</v>
      </c>
      <c r="S149" s="57"/>
      <c r="T149" s="57"/>
      <c r="U149" s="57"/>
      <c r="V149" s="57"/>
    </row>
    <row r="150" spans="14:22" x14ac:dyDescent="0.15">
      <c r="N150" s="29">
        <f>基础状态预估!C150</f>
        <v>120</v>
      </c>
      <c r="O150" s="29">
        <f>基础状态预估!D150</f>
        <v>78.608065926757661</v>
      </c>
      <c r="P150" s="46">
        <f t="shared" si="7"/>
        <v>190820.98890136491</v>
      </c>
      <c r="Q150" s="46">
        <f>活动投放!AA150+付费投放!AM150+SUMPRODUCT(基础状态预估!R150:W150,藏品属性!$D$18:$I$18)-SUMPRODUCT(基础状态预估!X150:AC150,藏品属性!$D$18:$I$18)</f>
        <v>375811.11111111112</v>
      </c>
      <c r="R150" s="46">
        <f t="shared" si="8"/>
        <v>1.9694432634209194</v>
      </c>
      <c r="S150" s="57"/>
      <c r="T150" s="57"/>
      <c r="U150" s="57"/>
      <c r="V150" s="57"/>
    </row>
    <row r="151" spans="14:22" x14ac:dyDescent="0.15">
      <c r="N151" s="29">
        <f>基础状态预估!C151</f>
        <v>150</v>
      </c>
      <c r="O151" s="29">
        <f>基础状态预估!D151</f>
        <v>81.919202803497143</v>
      </c>
      <c r="P151" s="46">
        <f t="shared" si="7"/>
        <v>240488.04205245714</v>
      </c>
      <c r="Q151" s="46">
        <f>活动投放!AA151+付费投放!AM151+SUMPRODUCT(基础状态预估!R151:W151,藏品属性!$D$18:$I$18)-SUMPRODUCT(基础状态预估!X151:AC151,藏品属性!$D$18:$I$18)</f>
        <v>506596.29629629629</v>
      </c>
      <c r="R151" s="46">
        <f t="shared" si="8"/>
        <v>2.1065342458307907</v>
      </c>
      <c r="S151" s="57"/>
      <c r="T151" s="57"/>
      <c r="U151" s="57"/>
      <c r="V151" s="57"/>
    </row>
    <row r="152" spans="14:22" x14ac:dyDescent="0.15">
      <c r="N152" s="29">
        <f>基础状态预估!C152</f>
        <v>180</v>
      </c>
      <c r="O152" s="29">
        <f>基础状态预估!D152</f>
        <v>84.557504671530296</v>
      </c>
      <c r="P152" s="46">
        <f t="shared" si="7"/>
        <v>292850.09343060595</v>
      </c>
      <c r="Q152" s="46">
        <f>活动投放!AA152+付费投放!AM152+SUMPRODUCT(基础状态预估!R152:W152,藏品属性!$D$18:$I$18)-SUMPRODUCT(基础状态预估!X152:AC152,藏品属性!$D$18:$I$18)</f>
        <v>646581.48148148146</v>
      </c>
      <c r="R152" s="46">
        <f t="shared" si="8"/>
        <v>2.2078923517048357</v>
      </c>
      <c r="S152" s="57"/>
      <c r="T152" s="57"/>
      <c r="U152" s="57"/>
      <c r="V152" s="57"/>
    </row>
    <row r="153" spans="14:22" x14ac:dyDescent="0.15">
      <c r="N153" s="29">
        <f>基础状态预估!C153</f>
        <v>210</v>
      </c>
      <c r="O153" s="29">
        <f>基础状态预估!D153</f>
        <v>86.804267332174788</v>
      </c>
      <c r="P153" s="46">
        <f t="shared" si="7"/>
        <v>337785.34664349578</v>
      </c>
      <c r="Q153" s="46">
        <f>活动投放!AA153+付费投放!AM153+SUMPRODUCT(基础状态预估!R153:W153,藏品属性!$D$18:$I$18)-SUMPRODUCT(基础状态预估!X153:AC153,藏品属性!$D$18:$I$18)</f>
        <v>808766.66666666674</v>
      </c>
      <c r="R153" s="46">
        <f t="shared" si="8"/>
        <v>2.3943213484635035</v>
      </c>
      <c r="S153" s="57"/>
      <c r="T153" s="57"/>
      <c r="U153" s="57"/>
      <c r="V153" s="57"/>
    </row>
    <row r="154" spans="14:22" x14ac:dyDescent="0.15">
      <c r="N154" s="29">
        <f>基础状态预估!C154</f>
        <v>240</v>
      </c>
      <c r="O154" s="29">
        <f>基础状态预估!D154</f>
        <v>88.978258962579233</v>
      </c>
      <c r="P154" s="46">
        <f t="shared" si="7"/>
        <v>395652.5171612518</v>
      </c>
      <c r="Q154" s="46">
        <f>活动投放!AA154+付费投放!AM154+SUMPRODUCT(基础状态预估!R154:W154,藏品属性!$D$18:$I$18)-SUMPRODUCT(基础状态预估!X154:AC154,藏品属性!$D$18:$I$18)</f>
        <v>986151.85185185191</v>
      </c>
      <c r="R154" s="46">
        <f t="shared" si="8"/>
        <v>2.4924695511287163</v>
      </c>
      <c r="S154" s="57"/>
      <c r="T154" s="57"/>
      <c r="U154" s="57"/>
      <c r="V154" s="57"/>
    </row>
    <row r="155" spans="14:22" x14ac:dyDescent="0.15">
      <c r="N155" s="29">
        <f>基础状态预估!C155</f>
        <v>270</v>
      </c>
      <c r="O155" s="29">
        <f>基础状态预估!D155</f>
        <v>90.852534040676616</v>
      </c>
      <c r="P155" s="46">
        <f t="shared" si="7"/>
        <v>446769.11020027136</v>
      </c>
      <c r="Q155" s="46">
        <f>活动投放!AA155+付费投放!AM155+SUMPRODUCT(基础状态预估!R155:W155,藏品属性!$D$18:$I$18)-SUMPRODUCT(基础状态预估!X155:AC155,藏品属性!$D$18:$I$18)</f>
        <v>1172737.0370370371</v>
      </c>
      <c r="R155" s="46">
        <f t="shared" si="8"/>
        <v>2.6249286494120847</v>
      </c>
      <c r="S155" s="57"/>
      <c r="T155" s="57"/>
      <c r="U155" s="57"/>
      <c r="V155" s="57"/>
    </row>
    <row r="156" spans="14:22" x14ac:dyDescent="0.15">
      <c r="N156" s="29">
        <f>基础状态预估!C156</f>
        <v>300</v>
      </c>
      <c r="O156" s="29">
        <f>基础状态预估!D156</f>
        <v>92.422409073065808</v>
      </c>
      <c r="P156" s="46">
        <f t="shared" si="7"/>
        <v>489583.88381088566</v>
      </c>
      <c r="Q156" s="46">
        <f>活动投放!AA156+付费投放!AM156+SUMPRODUCT(基础状态预估!R156:W156,藏品属性!$D$18:$I$18)-SUMPRODUCT(基础状态预估!X156:AC156,藏品属性!$D$18:$I$18)</f>
        <v>1380522.2222222218</v>
      </c>
      <c r="R156" s="46">
        <f t="shared" si="8"/>
        <v>2.8197869004108882</v>
      </c>
      <c r="S156" s="57"/>
      <c r="T156" s="57"/>
      <c r="U156" s="57"/>
      <c r="V156" s="57"/>
    </row>
    <row r="157" spans="14:22" x14ac:dyDescent="0.15">
      <c r="N157" s="29">
        <f>基础状态预估!C157</f>
        <v>360</v>
      </c>
      <c r="O157" s="29">
        <f>基础状态预估!D157</f>
        <v>95.182038399947245</v>
      </c>
      <c r="P157" s="46">
        <f t="shared" si="7"/>
        <v>637993.00363348611</v>
      </c>
      <c r="Q157" s="46">
        <f>活动投放!AA157+付费投放!AM157+SUMPRODUCT(基础状态预估!R157:W157,藏品属性!$D$18:$I$18)-SUMPRODUCT(基础状态预估!X157:AC157,藏品属性!$D$18:$I$18)</f>
        <v>1832492.5925925926</v>
      </c>
      <c r="R157" s="46">
        <f t="shared" si="8"/>
        <v>2.8722769405874584</v>
      </c>
      <c r="S157" s="57"/>
      <c r="T157" s="57"/>
      <c r="U157" s="57"/>
      <c r="V157" s="57"/>
    </row>
    <row r="158" spans="14:22" x14ac:dyDescent="0.15">
      <c r="N158" s="29">
        <f>基础状态预估!C158</f>
        <v>420</v>
      </c>
      <c r="O158" s="29">
        <f>基础状态预估!D158</f>
        <v>97.317333988949088</v>
      </c>
      <c r="P158" s="46">
        <f t="shared" si="7"/>
        <v>754463.67212449573</v>
      </c>
      <c r="Q158" s="46">
        <f>活动投放!AA158+付费投放!AM158+SUMPRODUCT(基础状态预估!R158:W158,藏品属性!$D$18:$I$18)-SUMPRODUCT(基础状态预估!X158:AC158,藏品属性!$D$18:$I$18)</f>
        <v>2318862.9629629632</v>
      </c>
      <c r="R158" s="46">
        <f t="shared" si="8"/>
        <v>3.0735250067551596</v>
      </c>
      <c r="S158" s="57"/>
      <c r="T158" s="57"/>
      <c r="U158" s="57"/>
      <c r="V158" s="57"/>
    </row>
    <row r="159" spans="14:22" x14ac:dyDescent="0.15">
      <c r="N159" s="29">
        <f>基础状态预估!C159</f>
        <v>480</v>
      </c>
      <c r="O159" s="29">
        <f>基础状态预估!D159</f>
        <v>99.140144664710178</v>
      </c>
      <c r="P159" s="46">
        <f t="shared" si="7"/>
        <v>905714.4664710178</v>
      </c>
      <c r="Q159" s="46">
        <f>活动投放!AA159+付费投放!AM159+SUMPRODUCT(基础状态预估!R159:W159,藏品属性!$D$18:$I$18)-SUMPRODUCT(基础状态预估!X159:AC159,藏品属性!$D$18:$I$18)</f>
        <v>2806233.3333333335</v>
      </c>
      <c r="R159" s="46">
        <f t="shared" si="8"/>
        <v>3.098364260722704</v>
      </c>
      <c r="S159" s="57"/>
      <c r="T159" s="57"/>
      <c r="U159" s="57"/>
      <c r="V159" s="57"/>
    </row>
    <row r="160" spans="14:22" x14ac:dyDescent="0.15">
      <c r="N160" s="29">
        <f>基础状态预估!C160</f>
        <v>540</v>
      </c>
      <c r="O160" s="29">
        <f>基础状态预估!D160</f>
        <v>100.94083826848818</v>
      </c>
      <c r="P160" s="46">
        <f t="shared" si="7"/>
        <v>1085783.826848818</v>
      </c>
      <c r="Q160" s="46">
        <f>活动投放!AA160+付费投放!AM160+SUMPRODUCT(基础状态预估!R160:W160,藏品属性!$D$18:$I$18)-SUMPRODUCT(基础状态预估!X160:AC160,藏品属性!$D$18:$I$18)</f>
        <v>3320003.7037037034</v>
      </c>
      <c r="R160" s="46">
        <f t="shared" si="8"/>
        <v>3.0577022991207006</v>
      </c>
      <c r="S160" s="57"/>
      <c r="T160" s="57"/>
      <c r="U160" s="57"/>
      <c r="V160" s="57"/>
    </row>
    <row r="161" spans="14:22" x14ac:dyDescent="0.15">
      <c r="N161" s="29">
        <f>基础状态预估!C161</f>
        <v>600</v>
      </c>
      <c r="O161" s="29">
        <f>基础状态预估!D161</f>
        <v>102.53646170914388</v>
      </c>
      <c r="P161" s="46">
        <f t="shared" si="7"/>
        <v>1245346.1709143878</v>
      </c>
      <c r="Q161" s="46">
        <f>活动投放!AA161+付费投放!AM161+SUMPRODUCT(基础状态预估!R161:W161,藏品属性!$D$18:$I$18)-SUMPRODUCT(基础状态预估!X161:AC161,藏品属性!$D$18:$I$18)</f>
        <v>3833407.4074074076</v>
      </c>
      <c r="R161" s="46">
        <f t="shared" si="8"/>
        <v>3.0781862079302429</v>
      </c>
      <c r="S161" s="57"/>
      <c r="T161" s="57"/>
      <c r="U161" s="57"/>
      <c r="V161" s="57"/>
    </row>
    <row r="162" spans="14:22" x14ac:dyDescent="0.15">
      <c r="N162" s="29">
        <f>基础状态预估!C162</f>
        <v>660</v>
      </c>
      <c r="O162" s="29">
        <f>基础状态预估!D162</f>
        <v>103.88940348646028</v>
      </c>
      <c r="P162" s="46">
        <f t="shared" si="7"/>
        <v>1380640.3486460282</v>
      </c>
      <c r="Q162" s="46">
        <f>活动投放!AA162+付费投放!AM162+SUMPRODUCT(基础状态预估!R162:W162,藏品属性!$D$18:$I$18)-SUMPRODUCT(基础状态预估!X162:AC162,藏品属性!$D$18:$I$18)</f>
        <v>4367711.111111111</v>
      </c>
      <c r="R162" s="46">
        <f t="shared" si="8"/>
        <v>3.1635401032531427</v>
      </c>
      <c r="S162" s="57"/>
      <c r="T162" s="57"/>
      <c r="U162" s="57"/>
      <c r="V162" s="57"/>
    </row>
    <row r="163" spans="14:22" x14ac:dyDescent="0.15">
      <c r="N163" s="29">
        <f>基础状态预估!C163</f>
        <v>720</v>
      </c>
      <c r="O163" s="29">
        <f>基础状态预估!D163</f>
        <v>105.12617440644733</v>
      </c>
      <c r="P163" s="46">
        <f t="shared" si="7"/>
        <v>1673243.6016118333</v>
      </c>
      <c r="Q163" s="46">
        <f>活动投放!AA163+付费投放!AM163+SUMPRODUCT(基础状态预估!R163:W163,藏品属性!$D$18:$I$18)-SUMPRODUCT(基础状态预估!X163:AC163,藏品属性!$D$18:$I$18)</f>
        <v>4907014.8148148153</v>
      </c>
      <c r="R163" s="46">
        <f t="shared" si="8"/>
        <v>2.9326362342505865</v>
      </c>
      <c r="S163" s="57"/>
      <c r="T163" s="57"/>
      <c r="U163" s="57"/>
      <c r="V163" s="57"/>
    </row>
    <row r="164" spans="14:22" x14ac:dyDescent="0.15">
      <c r="N164" s="29">
        <f>基础状态预估!C164</f>
        <v>780</v>
      </c>
      <c r="O164" s="29">
        <f>基础状态预估!D164</f>
        <v>106.30192050618264</v>
      </c>
      <c r="P164" s="46">
        <f t="shared" si="7"/>
        <v>1967180.12654566</v>
      </c>
      <c r="Q164" s="46">
        <f>活动投放!AA164+付费投放!AM164+SUMPRODUCT(基础状态预估!R164:W164,藏品属性!$D$18:$I$18)-SUMPRODUCT(基础状态预估!X164:AC164,藏品属性!$D$18:$I$18)</f>
        <v>5441318.5185185187</v>
      </c>
      <c r="R164" s="46">
        <f t="shared" si="8"/>
        <v>2.7660499641552376</v>
      </c>
      <c r="S164" s="57"/>
      <c r="T164" s="57"/>
      <c r="U164" s="57"/>
      <c r="V164" s="57"/>
    </row>
    <row r="165" spans="14:22" x14ac:dyDescent="0.15">
      <c r="N165" s="29">
        <f>基础状态预估!C165</f>
        <v>840</v>
      </c>
      <c r="O165" s="29">
        <f>基础状态预估!D165</f>
        <v>107.429678558787</v>
      </c>
      <c r="P165" s="46">
        <f t="shared" si="7"/>
        <v>2249119.6396967508</v>
      </c>
      <c r="Q165" s="46">
        <f>活动投放!AA165+付费投放!AM165+SUMPRODUCT(基础状态预估!R165:W165,藏品属性!$D$18:$I$18)-SUMPRODUCT(基础状态预估!X165:AC165,藏品属性!$D$18:$I$18)</f>
        <v>5980622.222222222</v>
      </c>
      <c r="R165" s="46">
        <f t="shared" si="8"/>
        <v>2.6590947483027585</v>
      </c>
      <c r="S165" s="57"/>
      <c r="T165" s="57"/>
      <c r="U165" s="57"/>
      <c r="V165" s="57"/>
    </row>
    <row r="166" spans="14:22" x14ac:dyDescent="0.15">
      <c r="N166" s="29">
        <f>基础状态预估!C166</f>
        <v>900</v>
      </c>
      <c r="O166" s="29">
        <f>基础状态预估!D166</f>
        <v>108.47075735973553</v>
      </c>
      <c r="P166" s="46">
        <f t="shared" si="7"/>
        <v>2509389.3399338825</v>
      </c>
      <c r="Q166" s="46">
        <f>活动投放!AA166+付费投放!AM166+SUMPRODUCT(基础状态预估!R166:W166,藏品属性!$D$18:$I$18)-SUMPRODUCT(基础状态预估!X166:AC166,藏品属性!$D$18:$I$18)</f>
        <v>6514925.9259259254</v>
      </c>
      <c r="R166" s="46">
        <f t="shared" si="8"/>
        <v>2.5962196548175265</v>
      </c>
      <c r="S166" s="57"/>
      <c r="T166" s="57"/>
      <c r="U166" s="57"/>
      <c r="V166" s="57"/>
    </row>
    <row r="167" spans="14:22" x14ac:dyDescent="0.15">
      <c r="N167" s="29">
        <f>基础状态预估!C167</f>
        <v>1020</v>
      </c>
      <c r="O167" s="29">
        <f>基础状态预估!D167</f>
        <v>110.24744313604209</v>
      </c>
      <c r="P167" s="46">
        <f t="shared" si="7"/>
        <v>3082040.8738785335</v>
      </c>
      <c r="Q167" s="46">
        <f>活动投放!AA167+付费投放!AM167+SUMPRODUCT(基础状态预估!R167:W167,藏品属性!$D$18:$I$18)-SUMPRODUCT(基础状态预估!X167:AC167,藏品属性!$D$18:$I$18)</f>
        <v>7588533.3333333321</v>
      </c>
      <c r="R167" s="46">
        <f t="shared" si="8"/>
        <v>2.4621780319816757</v>
      </c>
      <c r="S167" s="57"/>
      <c r="T167" s="57"/>
      <c r="U167" s="57"/>
      <c r="V167" s="57"/>
    </row>
    <row r="168" spans="14:22" x14ac:dyDescent="0.15">
      <c r="N168" s="29">
        <f>基础状态预估!C168</f>
        <v>1140</v>
      </c>
      <c r="O168" s="29">
        <f>基础状态预估!D168</f>
        <v>111.80552112822316</v>
      </c>
      <c r="P168" s="46">
        <f t="shared" si="7"/>
        <v>4280562.4063255098</v>
      </c>
      <c r="Q168" s="46">
        <f>活动投放!AA168+付费投放!AM168+SUMPRODUCT(基础状态预估!R168:W168,藏品属性!$D$18:$I$18)-SUMPRODUCT(基础状态预估!X168:AC168,藏品属性!$D$18:$I$18)</f>
        <v>8662140.7407407407</v>
      </c>
      <c r="R168" s="46">
        <f t="shared" si="8"/>
        <v>2.0235987514024902</v>
      </c>
      <c r="S168" s="57"/>
      <c r="T168" s="57"/>
      <c r="U168" s="57"/>
      <c r="V168" s="57"/>
    </row>
    <row r="169" spans="14:22" x14ac:dyDescent="0.15">
      <c r="N169" s="29">
        <f>基础状态预估!C169</f>
        <v>1260</v>
      </c>
      <c r="O169" s="29">
        <f>基础状态预估!D169</f>
        <v>113.29015465152274</v>
      </c>
      <c r="P169" s="46">
        <f t="shared" si="7"/>
        <v>5422588.1934790313</v>
      </c>
      <c r="Q169" s="46">
        <f>活动投放!AA169+付费投放!AM169+SUMPRODUCT(基础状态预估!R169:W169,藏品属性!$D$18:$I$18)-SUMPRODUCT(基础状态预估!X169:AC169,藏品属性!$D$18:$I$18)</f>
        <v>9730748.1481481474</v>
      </c>
      <c r="R169" s="46">
        <f t="shared" si="8"/>
        <v>1.7944840730944536</v>
      </c>
      <c r="S169" s="57"/>
      <c r="T169" s="57"/>
      <c r="U169" s="57"/>
      <c r="V169" s="57"/>
    </row>
    <row r="170" spans="14:22" x14ac:dyDescent="0.15">
      <c r="N170" s="29">
        <f>基础状态预估!C170</f>
        <v>1380</v>
      </c>
      <c r="O170" s="29">
        <f>基础状态预估!D170</f>
        <v>114.69104152791324</v>
      </c>
      <c r="P170" s="46">
        <f t="shared" si="7"/>
        <v>6500193.4830101859</v>
      </c>
      <c r="Q170" s="46">
        <f>活动投放!AA170+付费投放!AM170+SUMPRODUCT(基础状态预估!R170:W170,藏品属性!$D$18:$I$18)-SUMPRODUCT(基础状态预估!X170:AC170,藏品属性!$D$18:$I$18)</f>
        <v>10804355.555555556</v>
      </c>
      <c r="R170" s="46">
        <f t="shared" si="8"/>
        <v>1.662159070156193</v>
      </c>
      <c r="S170" s="57"/>
      <c r="T170" s="57"/>
      <c r="U170" s="57"/>
      <c r="V170" s="57"/>
    </row>
    <row r="171" spans="14:22" x14ac:dyDescent="0.15">
      <c r="N171" s="29">
        <f>基础状态预估!C171</f>
        <v>1500</v>
      </c>
      <c r="O171" s="29">
        <f>基础状态预估!D171</f>
        <v>115.91094430884056</v>
      </c>
      <c r="P171" s="46">
        <f t="shared" si="7"/>
        <v>7438580.2375696581</v>
      </c>
      <c r="Q171" s="46">
        <f>活动投放!AA171+付费投放!AM171+SUMPRODUCT(基础状态预估!R171:W171,藏品属性!$D$18:$I$18)-SUMPRODUCT(基础状态预估!X171:AC171,藏品属性!$D$18:$I$18)</f>
        <v>11877962.962962959</v>
      </c>
      <c r="R171" s="46">
        <f t="shared" si="8"/>
        <v>1.5968051138269017</v>
      </c>
      <c r="S171" s="57"/>
      <c r="T171" s="57"/>
      <c r="U171" s="57"/>
      <c r="V171" s="57"/>
    </row>
    <row r="172" spans="14:22" x14ac:dyDescent="0.15">
      <c r="N172" s="29">
        <f>基础状态预估!C172</f>
        <v>1800</v>
      </c>
      <c r="O172" s="29">
        <f>基础状态预估!D172</f>
        <v>118.49671008494479</v>
      </c>
      <c r="P172" s="46">
        <f t="shared" si="7"/>
        <v>10963561.669145837</v>
      </c>
      <c r="Q172" s="46">
        <f>活动投放!AA172+付费投放!AM172+SUMPRODUCT(基础状态预估!R172:W172,藏品属性!$D$18:$I$18)-SUMPRODUCT(基础状态预估!X172:AC172,藏品属性!$D$18:$I$18)</f>
        <v>14564481.481481481</v>
      </c>
      <c r="R172" s="46">
        <f t="shared" si="8"/>
        <v>1.3284443432711761</v>
      </c>
      <c r="S172" s="57"/>
      <c r="T172" s="57"/>
      <c r="U172" s="57"/>
      <c r="V172" s="57"/>
    </row>
    <row r="173" spans="14:22" x14ac:dyDescent="0.15">
      <c r="N173" s="29">
        <f>基础状态预估!C173</f>
        <v>2100</v>
      </c>
      <c r="O173" s="29">
        <f>基础状态预估!D173</f>
        <v>120.83470485393194</v>
      </c>
      <c r="P173" s="46">
        <f t="shared" si="7"/>
        <v>14560476.69835683</v>
      </c>
      <c r="Q173" s="46">
        <f>活动投放!AA173+付费投放!AM173+SUMPRODUCT(基础状态预估!R173:W173,藏品属性!$D$18:$I$18)-SUMPRODUCT(基础状态预估!X173:AC173,藏品属性!$D$18:$I$18)</f>
        <v>17246000</v>
      </c>
      <c r="R173" s="46">
        <f t="shared" si="8"/>
        <v>1.1844392431153188</v>
      </c>
      <c r="S173" s="57"/>
      <c r="T173" s="57"/>
      <c r="U173" s="57"/>
      <c r="V173" s="57"/>
    </row>
    <row r="174" spans="14:22" x14ac:dyDescent="0.15">
      <c r="N174" s="29">
        <f>基础状态预估!C174</f>
        <v>2400</v>
      </c>
      <c r="O174" s="29">
        <f>基础状态预估!D174</f>
        <v>122.7509711734089</v>
      </c>
      <c r="P174" s="46">
        <f t="shared" si="7"/>
        <v>17508578.728321385</v>
      </c>
      <c r="Q174" s="46">
        <f>活动投放!AA174+付费投放!AM174+SUMPRODUCT(基础状态预估!R174:W174,藏品属性!$D$18:$I$18)-SUMPRODUCT(基础状态预估!X174:AC174,藏品属性!$D$18:$I$18)</f>
        <v>19932518.518518515</v>
      </c>
      <c r="R174" s="46">
        <f t="shared" si="8"/>
        <v>1.1384429785997554</v>
      </c>
      <c r="S174" s="57"/>
      <c r="T174" s="57"/>
      <c r="U174" s="57"/>
      <c r="V174" s="57"/>
    </row>
    <row r="175" spans="14:22" x14ac:dyDescent="0.15">
      <c r="N175" s="29">
        <f>基础状态预估!C175</f>
        <v>2700</v>
      </c>
      <c r="O175" s="29">
        <f>基础状态预估!D175</f>
        <v>124.39475643772953</v>
      </c>
      <c r="P175" s="46">
        <f t="shared" si="7"/>
        <v>17891700</v>
      </c>
      <c r="Q175" s="46">
        <f>活动投放!AA175+付费投放!AM175+SUMPRODUCT(基础状态预估!R175:W175,藏品属性!$D$18:$I$18)-SUMPRODUCT(基础状态预估!X175:AC175,藏品属性!$D$18:$I$18)</f>
        <v>22619037.037037037</v>
      </c>
      <c r="R175" s="46">
        <f t="shared" si="8"/>
        <v>1.264219556388551</v>
      </c>
      <c r="S175" s="57"/>
      <c r="T175" s="57"/>
      <c r="U175" s="57"/>
      <c r="V175" s="57"/>
    </row>
    <row r="176" spans="14:22" x14ac:dyDescent="0.15">
      <c r="N176" s="29">
        <f>基础状态预估!C176</f>
        <v>3000</v>
      </c>
      <c r="O176" s="29">
        <f>基础状态预估!D176</f>
        <v>125.96400788227379</v>
      </c>
      <c r="P176" s="46">
        <f t="shared" si="7"/>
        <v>17891700</v>
      </c>
      <c r="Q176" s="46">
        <f>活动投放!AA176+付费投放!AM176+SUMPRODUCT(基础状态预估!R176:W176,藏品属性!$D$18:$I$18)-SUMPRODUCT(基础状态预估!X176:AC176,藏品属性!$D$18:$I$18)</f>
        <v>25300555.555555556</v>
      </c>
      <c r="R176" s="46">
        <f t="shared" si="8"/>
        <v>1.4140945553276412</v>
      </c>
      <c r="S176" s="57"/>
      <c r="T176" s="57"/>
      <c r="U176" s="57"/>
      <c r="V176" s="57"/>
    </row>
    <row r="177" spans="14:22" x14ac:dyDescent="0.15">
      <c r="N177" s="29">
        <f>基础状态预估!C177</f>
        <v>3300</v>
      </c>
      <c r="O177" s="29">
        <f>基础状态预估!D177</f>
        <v>127.44783171112725</v>
      </c>
      <c r="P177" s="46">
        <f t="shared" si="7"/>
        <v>17891700</v>
      </c>
      <c r="Q177" s="46">
        <f>活动投放!AA177+付费投放!AM177+SUMPRODUCT(基础状态预估!R177:W177,藏品属性!$D$18:$I$18)-SUMPRODUCT(基础状态预估!X177:AC177,藏品属性!$D$18:$I$18)</f>
        <v>27987074.074074075</v>
      </c>
      <c r="R177" s="46">
        <f t="shared" si="8"/>
        <v>1.5642490134573055</v>
      </c>
      <c r="S177" s="57"/>
      <c r="T177" s="57"/>
      <c r="U177" s="57"/>
      <c r="V177" s="57"/>
    </row>
    <row r="178" spans="14:22" x14ac:dyDescent="0.15">
      <c r="N178" s="29">
        <f>基础状态预估!C178</f>
        <v>3600</v>
      </c>
      <c r="O178" s="29">
        <f>基础状态预估!D178</f>
        <v>128.7020848688999</v>
      </c>
      <c r="P178" s="46">
        <f t="shared" si="7"/>
        <v>17891700</v>
      </c>
      <c r="Q178" s="46">
        <f>活动投放!AA178+付费投放!AM178+SUMPRODUCT(基础状态预估!R178:W178,藏品属性!$D$18:$I$18)-SUMPRODUCT(基础状态预估!X178:AC178,藏品属性!$D$18:$I$18)</f>
        <v>30678592.59259259</v>
      </c>
      <c r="R178" s="46">
        <f t="shared" si="8"/>
        <v>1.7146829307775444</v>
      </c>
      <c r="S178" s="57"/>
      <c r="T178" s="57"/>
      <c r="U178" s="57"/>
      <c r="V178" s="57"/>
    </row>
    <row r="179" spans="14:22" x14ac:dyDescent="0.15">
      <c r="N179" s="29">
        <f>基础状态预估!C179</f>
        <v>3900</v>
      </c>
      <c r="O179" s="29">
        <f>基础状态预估!D179</f>
        <v>129.81302713753013</v>
      </c>
      <c r="P179" s="46">
        <f t="shared" si="7"/>
        <v>17891700</v>
      </c>
      <c r="Q179" s="46">
        <f>活动投放!AA179+付费投放!AM179+SUMPRODUCT(基础状态预估!R179:W179,藏品属性!$D$18:$I$18)-SUMPRODUCT(基础状态预估!X179:AC179,藏品属性!$D$18:$I$18)</f>
        <v>33365111.111111104</v>
      </c>
      <c r="R179" s="46">
        <f t="shared" si="8"/>
        <v>1.8648373889072085</v>
      </c>
      <c r="S179" s="57"/>
      <c r="T179" s="57"/>
      <c r="U179" s="57"/>
      <c r="V179" s="57"/>
    </row>
    <row r="180" spans="14:22" x14ac:dyDescent="0.15">
      <c r="N180" s="29">
        <f>基础状态预估!C180</f>
        <v>4200</v>
      </c>
      <c r="O180" s="29">
        <f>基础状态预估!D180</f>
        <v>130.84782736484456</v>
      </c>
      <c r="P180" s="46">
        <f t="shared" si="7"/>
        <v>17891700</v>
      </c>
      <c r="Q180" s="46">
        <f>活动投放!AA180+付费投放!AM180+SUMPRODUCT(基础状态预估!R180:W180,藏品属性!$D$18:$I$18)-SUMPRODUCT(基础状态预估!X180:AC180,藏品属性!$D$18:$I$18)</f>
        <v>36051629.629629619</v>
      </c>
      <c r="R180" s="46">
        <f t="shared" si="8"/>
        <v>2.0149918470368728</v>
      </c>
      <c r="S180" s="57"/>
      <c r="T180" s="57"/>
      <c r="U180" s="57"/>
      <c r="V180" s="57"/>
    </row>
    <row r="181" spans="14:22" x14ac:dyDescent="0.15">
      <c r="N181" s="29">
        <f>基础状态预估!C181</f>
        <v>4500</v>
      </c>
      <c r="O181" s="29">
        <f>基础状态预估!D181</f>
        <v>131.85128063254527</v>
      </c>
      <c r="P181" s="46">
        <f t="shared" si="7"/>
        <v>17891700</v>
      </c>
      <c r="Q181" s="46">
        <f>活动投放!AA181+付费投放!AM181+SUMPRODUCT(基础状态预估!R181:W181,藏品属性!$D$18:$I$18)-SUMPRODUCT(基础状态预估!X181:AC181,藏品属性!$D$18:$I$18)</f>
        <v>38743148.148148149</v>
      </c>
      <c r="R181" s="46">
        <f t="shared" si="8"/>
        <v>2.1654257643571126</v>
      </c>
      <c r="S181" s="57"/>
      <c r="T181" s="57"/>
      <c r="U181" s="57"/>
      <c r="V181" s="57"/>
    </row>
    <row r="182" spans="14:22" x14ac:dyDescent="0.15">
      <c r="N182" s="29">
        <f>基础状态预估!C182</f>
        <v>4800</v>
      </c>
      <c r="O182" s="29">
        <f>基础状态预估!D182</f>
        <v>132.84279736701905</v>
      </c>
      <c r="P182" s="46">
        <f t="shared" si="7"/>
        <v>17891700</v>
      </c>
      <c r="Q182" s="46">
        <f>活动投放!AA182+付费投放!AM182+SUMPRODUCT(基础状态预估!R182:W182,藏品属性!$D$18:$I$18)-SUMPRODUCT(基础状态预估!X182:AC182,藏品属性!$D$18:$I$18)</f>
        <v>41438250</v>
      </c>
      <c r="R182" s="46">
        <f t="shared" si="8"/>
        <v>2.3160599607639298</v>
      </c>
      <c r="S182" s="57"/>
      <c r="T182" s="57"/>
      <c r="U182" s="57"/>
      <c r="V182" s="57"/>
    </row>
    <row r="183" spans="14:22" x14ac:dyDescent="0.15">
      <c r="N183" s="29">
        <f>基础状态预估!C183</f>
        <v>65535</v>
      </c>
      <c r="O183" s="29">
        <f>基础状态预估!D183</f>
        <v>160</v>
      </c>
      <c r="P183" s="46">
        <f t="shared" si="7"/>
        <v>17891700</v>
      </c>
      <c r="Q183" s="46">
        <f>活动投放!AA183+付费投放!AM183+SUMPRODUCT(基础状态预估!R183:W183,藏品属性!$D$18:$I$18)-SUMPRODUCT(基础状态预估!X183:AC183,藏品属性!$D$18:$I$18)</f>
        <v>589065500</v>
      </c>
      <c r="R183" s="46">
        <f t="shared" si="8"/>
        <v>32.923953565060891</v>
      </c>
      <c r="S183" s="57"/>
      <c r="T183" s="57"/>
      <c r="U183" s="57"/>
      <c r="V183" s="57"/>
    </row>
    <row r="185" spans="14:22" x14ac:dyDescent="0.15">
      <c r="N185" s="32" t="s">
        <v>21</v>
      </c>
      <c r="O185" s="43"/>
      <c r="P185" s="43"/>
      <c r="Q185" s="43"/>
      <c r="R185" s="43"/>
      <c r="S185" s="56"/>
      <c r="T185" s="56"/>
      <c r="U185" s="56"/>
      <c r="V185" s="56"/>
    </row>
    <row r="186" spans="14:22" ht="22.5" x14ac:dyDescent="0.15">
      <c r="N186" s="27" t="s">
        <v>31</v>
      </c>
      <c r="O186" s="45" t="s">
        <v>25</v>
      </c>
      <c r="P186" s="48" t="s">
        <v>194</v>
      </c>
      <c r="Q186" s="48" t="s">
        <v>195</v>
      </c>
      <c r="R186" s="48" t="s">
        <v>196</v>
      </c>
      <c r="S186" s="56"/>
      <c r="T186" s="56"/>
      <c r="U186" s="56"/>
      <c r="V186" s="56"/>
    </row>
    <row r="187" spans="14:22" x14ac:dyDescent="0.15">
      <c r="N187" s="29">
        <f>基础状态预估!C187</f>
        <v>15</v>
      </c>
      <c r="O187" s="29">
        <f>基础状态预估!D187</f>
        <v>57.176846218996921</v>
      </c>
      <c r="P187" s="46">
        <f>IFERROR(求节点($J$11:$J$31,$E$11:$E$31,$O187),0)</f>
        <v>21490.989197134062</v>
      </c>
      <c r="Q187" s="46">
        <f>活动投放!AA187+付费投放!AM187+SUMPRODUCT(基础状态预估!R187:W187,藏品属性!$D$18:$I$18)-SUMPRODUCT(基础状态预估!X187:AC187,藏品属性!$D$18:$I$18)</f>
        <v>2000</v>
      </c>
      <c r="R187" s="46">
        <f>Q187/P187</f>
        <v>9.3062258868321923E-2</v>
      </c>
      <c r="S187" s="57"/>
      <c r="T187" s="57"/>
      <c r="U187" s="57"/>
      <c r="V187" s="57"/>
    </row>
    <row r="188" spans="14:22" x14ac:dyDescent="0.15">
      <c r="N188" s="29">
        <f>基础状态预估!C188</f>
        <v>30</v>
      </c>
      <c r="O188" s="29">
        <f>基础状态预估!D188</f>
        <v>67.097551508592701</v>
      </c>
      <c r="P188" s="46">
        <f t="shared" ref="P188:P227" si="9">IFERROR(求节点($J$11:$J$31,$E$11:$E$31,$O188),0)</f>
        <v>77567.124520824014</v>
      </c>
      <c r="Q188" s="46">
        <f>活动投放!AA188+付费投放!AM188+SUMPRODUCT(基础状态预估!R188:W188,藏品属性!$D$18:$I$18)-SUMPRODUCT(基础状态预估!X188:AC188,藏品属性!$D$18:$I$18)</f>
        <v>50433.333333333336</v>
      </c>
      <c r="R188" s="46">
        <f t="shared" ref="R188:R227" si="10">Q188/P188</f>
        <v>0.65018954415145014</v>
      </c>
      <c r="S188" s="57"/>
      <c r="T188" s="57"/>
      <c r="U188" s="57"/>
      <c r="V188" s="57"/>
    </row>
    <row r="189" spans="14:22" x14ac:dyDescent="0.15">
      <c r="N189" s="29">
        <f>基础状态预估!C189</f>
        <v>45</v>
      </c>
      <c r="O189" s="29">
        <f>基础状态预估!D189</f>
        <v>73.037155126421851</v>
      </c>
      <c r="P189" s="46">
        <f t="shared" si="9"/>
        <v>133779.50140468724</v>
      </c>
      <c r="Q189" s="46">
        <f>活动投放!AA189+付费投放!AM189+SUMPRODUCT(基础状态预估!R189:W189,藏品属性!$D$18:$I$18)-SUMPRODUCT(基础状态预估!X189:AC189,藏品属性!$D$18:$I$18)</f>
        <v>110066.66666666667</v>
      </c>
      <c r="R189" s="46">
        <f t="shared" si="10"/>
        <v>0.82274687460309415</v>
      </c>
      <c r="S189" s="57"/>
      <c r="T189" s="57"/>
      <c r="U189" s="57"/>
      <c r="V189" s="57"/>
    </row>
    <row r="190" spans="14:22" x14ac:dyDescent="0.15">
      <c r="N190" s="29">
        <f>基础状态预估!C190</f>
        <v>60</v>
      </c>
      <c r="O190" s="29">
        <f>基础状态预估!D190</f>
        <v>77.112805903056142</v>
      </c>
      <c r="P190" s="46">
        <f t="shared" si="9"/>
        <v>183392.08854584213</v>
      </c>
      <c r="Q190" s="46">
        <f>活动投放!AA190+付费投放!AM190+SUMPRODUCT(基础状态预估!R190:W190,藏品属性!$D$18:$I$18)-SUMPRODUCT(基础状态预估!X190:AC190,藏品属性!$D$18:$I$18)</f>
        <v>168600</v>
      </c>
      <c r="R190" s="46">
        <f t="shared" si="10"/>
        <v>0.91934173026147425</v>
      </c>
      <c r="S190" s="57"/>
      <c r="T190" s="57"/>
      <c r="U190" s="57"/>
      <c r="V190" s="57"/>
    </row>
    <row r="191" spans="14:22" x14ac:dyDescent="0.15">
      <c r="N191" s="29">
        <f>基础状态预估!C191</f>
        <v>75</v>
      </c>
      <c r="O191" s="29">
        <f>基础状态预估!D191</f>
        <v>80.437605572866573</v>
      </c>
      <c r="P191" s="46">
        <f t="shared" si="9"/>
        <v>233264.08359299862</v>
      </c>
      <c r="Q191" s="46">
        <f>活动投放!AA191+付费投放!AM191+SUMPRODUCT(基础状态预估!R191:W191,藏品属性!$D$18:$I$18)-SUMPRODUCT(基础状态预估!X191:AC191,藏品属性!$D$18:$I$18)</f>
        <v>234233.33333333334</v>
      </c>
      <c r="R191" s="46">
        <f t="shared" si="10"/>
        <v>1.0041551606462737</v>
      </c>
      <c r="S191" s="57"/>
      <c r="T191" s="57"/>
      <c r="U191" s="57"/>
      <c r="V191" s="57"/>
    </row>
    <row r="192" spans="14:22" x14ac:dyDescent="0.15">
      <c r="N192" s="29">
        <f>基础状态预估!C192</f>
        <v>90</v>
      </c>
      <c r="O192" s="29">
        <f>基础状态预估!D192</f>
        <v>83.124894550960335</v>
      </c>
      <c r="P192" s="46">
        <f t="shared" si="9"/>
        <v>284197.89101920667</v>
      </c>
      <c r="Q192" s="46">
        <f>活动投放!AA192+付费投放!AM192+SUMPRODUCT(基础状态预估!R192:W192,藏品属性!$D$18:$I$18)-SUMPRODUCT(基础状态预估!X192:AC192,藏品属性!$D$18:$I$18)</f>
        <v>359800</v>
      </c>
      <c r="R192" s="46">
        <f t="shared" si="10"/>
        <v>1.2660192470453062</v>
      </c>
      <c r="S192" s="57"/>
      <c r="T192" s="57"/>
      <c r="U192" s="57"/>
      <c r="V192" s="57"/>
    </row>
    <row r="193" spans="14:22" x14ac:dyDescent="0.15">
      <c r="N193" s="29">
        <f>基础状态预估!C193</f>
        <v>105</v>
      </c>
      <c r="O193" s="29">
        <f>基础状态预估!D193</f>
        <v>85.384431166588271</v>
      </c>
      <c r="P193" s="46">
        <f t="shared" si="9"/>
        <v>329388.62333176541</v>
      </c>
      <c r="Q193" s="46">
        <f>活动投放!AA193+付费投放!AM193+SUMPRODUCT(基础状态预估!R193:W193,藏品属性!$D$18:$I$18)-SUMPRODUCT(基础状态预估!X193:AC193,藏品属性!$D$18:$I$18)</f>
        <v>501466.66666666663</v>
      </c>
      <c r="R193" s="46">
        <f t="shared" si="10"/>
        <v>1.5224164744803026</v>
      </c>
      <c r="S193" s="57"/>
      <c r="T193" s="57"/>
      <c r="U193" s="57"/>
      <c r="V193" s="57"/>
    </row>
    <row r="194" spans="14:22" x14ac:dyDescent="0.15">
      <c r="N194" s="29">
        <f>基础状态预估!C194</f>
        <v>120</v>
      </c>
      <c r="O194" s="29">
        <f>基础状态预估!D194</f>
        <v>87.571414295961461</v>
      </c>
      <c r="P194" s="46">
        <f t="shared" si="9"/>
        <v>384556.75352622167</v>
      </c>
      <c r="Q194" s="46">
        <f>活动投放!AA194+付费投放!AM194+SUMPRODUCT(基础状态预估!R194:W194,藏品属性!$D$18:$I$18)-SUMPRODUCT(基础状态预估!X194:AC194,藏品属性!$D$18:$I$18)</f>
        <v>653233.33333333337</v>
      </c>
      <c r="R194" s="46">
        <f t="shared" si="10"/>
        <v>1.6986656126656519</v>
      </c>
      <c r="S194" s="57"/>
      <c r="T194" s="57"/>
      <c r="U194" s="57"/>
      <c r="V194" s="57"/>
    </row>
    <row r="195" spans="14:22" x14ac:dyDescent="0.15">
      <c r="N195" s="29">
        <f>基础状态预估!C195</f>
        <v>150</v>
      </c>
      <c r="O195" s="29">
        <f>基础状态预估!D195</f>
        <v>91.216133577135096</v>
      </c>
      <c r="P195" s="46">
        <f t="shared" si="9"/>
        <v>483958.18846732081</v>
      </c>
      <c r="Q195" s="46">
        <f>活动投放!AA195+付费投放!AM195+SUMPRODUCT(基础状态预估!R195:W195,藏品属性!$D$18:$I$18)-SUMPRODUCT(基础状态预估!X195:AC195,藏品属性!$D$18:$I$18)</f>
        <v>1000166.6666666667</v>
      </c>
      <c r="R195" s="46">
        <f t="shared" si="10"/>
        <v>2.0666385867633745</v>
      </c>
      <c r="S195" s="57"/>
      <c r="T195" s="57"/>
      <c r="U195" s="57"/>
      <c r="V195" s="57"/>
    </row>
    <row r="196" spans="14:22" x14ac:dyDescent="0.15">
      <c r="N196" s="29">
        <f>基础状态预估!C196</f>
        <v>180</v>
      </c>
      <c r="O196" s="29">
        <f>基础状态预估!D196</f>
        <v>94.027056817114342</v>
      </c>
      <c r="P196" s="46">
        <f t="shared" si="9"/>
        <v>629539.46275169146</v>
      </c>
      <c r="Q196" s="46">
        <f>活动投放!AA196+付费投放!AM196+SUMPRODUCT(基础状态预估!R196:W196,藏品属性!$D$18:$I$18)-SUMPRODUCT(基础状态预估!X196:AC196,藏品属性!$D$18:$I$18)</f>
        <v>1378300</v>
      </c>
      <c r="R196" s="46">
        <f t="shared" si="10"/>
        <v>2.1893782384594394</v>
      </c>
      <c r="S196" s="57"/>
      <c r="T196" s="57"/>
      <c r="U196" s="57"/>
      <c r="V196" s="57"/>
    </row>
    <row r="197" spans="14:22" x14ac:dyDescent="0.15">
      <c r="N197" s="29">
        <f>基础状态预估!C197</f>
        <v>210</v>
      </c>
      <c r="O197" s="29">
        <f>基础状态预估!D197</f>
        <v>96.190942965578103</v>
      </c>
      <c r="P197" s="46">
        <f t="shared" si="9"/>
        <v>747569.6163042601</v>
      </c>
      <c r="Q197" s="46">
        <f>活动投放!AA197+付费投放!AM197+SUMPRODUCT(基础状态预估!R197:W197,藏品属性!$D$18:$I$18)-SUMPRODUCT(基础状态预估!X197:AC197,藏品属性!$D$18:$I$18)</f>
        <v>1786633.3333333333</v>
      </c>
      <c r="R197" s="46">
        <f t="shared" si="10"/>
        <v>2.3899223488587786</v>
      </c>
      <c r="S197" s="57"/>
      <c r="T197" s="57"/>
      <c r="U197" s="57"/>
      <c r="V197" s="57"/>
    </row>
    <row r="198" spans="14:22" x14ac:dyDescent="0.15">
      <c r="N198" s="29">
        <f>基础状态预估!C198</f>
        <v>240</v>
      </c>
      <c r="O198" s="29">
        <f>基础状态预估!D198</f>
        <v>97.955584586719908</v>
      </c>
      <c r="P198" s="46">
        <f t="shared" si="9"/>
        <v>887258.45867199078</v>
      </c>
      <c r="Q198" s="46">
        <f>活动投放!AA198+付费投放!AM198+SUMPRODUCT(基础状态预估!R198:W198,藏品属性!$D$18:$I$18)-SUMPRODUCT(基础状态预估!X198:AC198,藏品属性!$D$18:$I$18)</f>
        <v>2199966.6666666665</v>
      </c>
      <c r="R198" s="46">
        <f t="shared" si="10"/>
        <v>2.4795105024521034</v>
      </c>
      <c r="S198" s="57"/>
      <c r="T198" s="57"/>
      <c r="U198" s="57"/>
      <c r="V198" s="57"/>
    </row>
    <row r="199" spans="14:22" x14ac:dyDescent="0.15">
      <c r="N199" s="29">
        <f>基础状态预估!C199</f>
        <v>270</v>
      </c>
      <c r="O199" s="29">
        <f>基础状态预估!D199</f>
        <v>99.721869727346999</v>
      </c>
      <c r="P199" s="46">
        <f t="shared" si="9"/>
        <v>1063886.9727347</v>
      </c>
      <c r="Q199" s="46">
        <f>活动投放!AA199+付费投放!AM199+SUMPRODUCT(基础状态预估!R199:W199,藏品属性!$D$18:$I$18)-SUMPRODUCT(基础状态预估!X199:AC199,藏品属性!$D$18:$I$18)</f>
        <v>2629500</v>
      </c>
      <c r="R199" s="46">
        <f t="shared" si="10"/>
        <v>2.4715971408512725</v>
      </c>
      <c r="S199" s="57"/>
      <c r="T199" s="57"/>
      <c r="U199" s="57"/>
      <c r="V199" s="57"/>
    </row>
    <row r="200" spans="14:22" x14ac:dyDescent="0.15">
      <c r="N200" s="29">
        <f>基础状态预估!C200</f>
        <v>300</v>
      </c>
      <c r="O200" s="29">
        <f>基础状态预估!D200</f>
        <v>101.32661435104789</v>
      </c>
      <c r="P200" s="46">
        <f t="shared" si="9"/>
        <v>1224361.4351047894</v>
      </c>
      <c r="Q200" s="46">
        <f>活动投放!AA200+付费投放!AM200+SUMPRODUCT(基础状态预估!R200:W200,藏品属性!$D$18:$I$18)-SUMPRODUCT(基础状态预估!X200:AC200,藏品属性!$D$18:$I$18)</f>
        <v>3075233.3333333335</v>
      </c>
      <c r="R200" s="46">
        <f t="shared" si="10"/>
        <v>2.5117038524413613</v>
      </c>
      <c r="S200" s="57"/>
      <c r="T200" s="57"/>
      <c r="U200" s="57"/>
      <c r="V200" s="57"/>
    </row>
    <row r="201" spans="14:22" x14ac:dyDescent="0.15">
      <c r="N201" s="29">
        <f>基础状态预估!C201</f>
        <v>360</v>
      </c>
      <c r="O201" s="29">
        <f>基础状态预估!D201</f>
        <v>103.97984772466795</v>
      </c>
      <c r="P201" s="46">
        <f t="shared" si="9"/>
        <v>1636661.9311669869</v>
      </c>
      <c r="Q201" s="46">
        <f>活动投放!AA201+付费投放!AM201+SUMPRODUCT(基础状态预估!R201:W201,藏品属性!$D$18:$I$18)-SUMPRODUCT(基础状态预估!X201:AC201,藏品属性!$D$18:$I$18)</f>
        <v>3965800</v>
      </c>
      <c r="R201" s="46">
        <f t="shared" si="10"/>
        <v>2.4231027339728435</v>
      </c>
      <c r="S201" s="57"/>
      <c r="T201" s="57"/>
      <c r="U201" s="57"/>
      <c r="V201" s="57"/>
    </row>
    <row r="202" spans="14:22" x14ac:dyDescent="0.15">
      <c r="N202" s="29">
        <f>基础状态预估!C202</f>
        <v>420</v>
      </c>
      <c r="O202" s="29">
        <f>基础状态预估!D202</f>
        <v>106.26808301554426</v>
      </c>
      <c r="P202" s="46">
        <f t="shared" si="9"/>
        <v>2208720.7538860659</v>
      </c>
      <c r="Q202" s="46">
        <f>活动投放!AA202+付费投放!AM202+SUMPRODUCT(基础状态预估!R202:W202,藏品属性!$D$18:$I$18)-SUMPRODUCT(基础状态预估!X202:AC202,藏品属性!$D$18:$I$18)</f>
        <v>4867400</v>
      </c>
      <c r="R202" s="46">
        <f t="shared" si="10"/>
        <v>2.2037190493348708</v>
      </c>
      <c r="S202" s="57"/>
      <c r="T202" s="57"/>
      <c r="U202" s="57"/>
      <c r="V202" s="57"/>
    </row>
    <row r="203" spans="14:22" x14ac:dyDescent="0.15">
      <c r="N203" s="29">
        <f>基础状态预估!C203</f>
        <v>480</v>
      </c>
      <c r="O203" s="29">
        <f>基础状态预估!D203</f>
        <v>108.26512634376826</v>
      </c>
      <c r="P203" s="46">
        <f t="shared" si="9"/>
        <v>2707981.5859420644</v>
      </c>
      <c r="Q203" s="46">
        <f>活动投放!AA203+付费投放!AM203+SUMPRODUCT(基础状态预估!R203:W203,藏品属性!$D$18:$I$18)-SUMPRODUCT(基础状态预估!X203:AC203,藏品属性!$D$18:$I$18)</f>
        <v>5764000</v>
      </c>
      <c r="R203" s="46">
        <f t="shared" si="10"/>
        <v>2.1285225977616071</v>
      </c>
      <c r="S203" s="57"/>
      <c r="T203" s="57"/>
      <c r="U203" s="57"/>
      <c r="V203" s="57"/>
    </row>
    <row r="204" spans="14:22" x14ac:dyDescent="0.15">
      <c r="N204" s="29">
        <f>基础状态预估!C204</f>
        <v>540</v>
      </c>
      <c r="O204" s="29">
        <f>基础状态预估!D204</f>
        <v>109.94539652344133</v>
      </c>
      <c r="P204" s="46">
        <f t="shared" si="9"/>
        <v>3618928.0949548706</v>
      </c>
      <c r="Q204" s="46">
        <f>活动投放!AA204+付费投放!AM204+SUMPRODUCT(基础状态预估!R204:W204,藏品属性!$D$18:$I$18)-SUMPRODUCT(基础状态预估!X204:AC204,藏品属性!$D$18:$I$18)</f>
        <v>6660600</v>
      </c>
      <c r="R204" s="46">
        <f t="shared" si="10"/>
        <v>1.8404897321075566</v>
      </c>
      <c r="S204" s="57"/>
      <c r="T204" s="57"/>
      <c r="U204" s="57"/>
      <c r="V204" s="57"/>
    </row>
    <row r="205" spans="14:22" x14ac:dyDescent="0.15">
      <c r="N205" s="29">
        <f>基础状态预估!C205</f>
        <v>600</v>
      </c>
      <c r="O205" s="29">
        <f>基础状态预估!D205</f>
        <v>111.42099139883071</v>
      </c>
      <c r="P205" s="46">
        <f t="shared" si="9"/>
        <v>4754001.0760236215</v>
      </c>
      <c r="Q205" s="46">
        <f>活动投放!AA205+付费投放!AM205+SUMPRODUCT(基础状态预估!R205:W205,藏品属性!$D$18:$I$18)-SUMPRODUCT(基础状态预估!X205:AC205,藏品属性!$D$18:$I$18)</f>
        <v>7557200</v>
      </c>
      <c r="R205" s="46">
        <f t="shared" si="10"/>
        <v>1.5896504605592248</v>
      </c>
      <c r="S205" s="57"/>
      <c r="T205" s="57"/>
      <c r="U205" s="57"/>
      <c r="V205" s="57"/>
    </row>
    <row r="206" spans="14:22" x14ac:dyDescent="0.15">
      <c r="N206" s="29">
        <f>基础状态预估!C206</f>
        <v>660</v>
      </c>
      <c r="O206" s="29">
        <f>基础状态预估!D206</f>
        <v>112.86737811324367</v>
      </c>
      <c r="P206" s="46">
        <f t="shared" si="9"/>
        <v>5866606.2409566725</v>
      </c>
      <c r="Q206" s="46">
        <f>活动投放!AA206+付费投放!AM206+SUMPRODUCT(基础状态预估!R206:W206,藏品属性!$D$18:$I$18)-SUMPRODUCT(基础状态预估!X206:AC206,藏品属性!$D$18:$I$18)</f>
        <v>8453800</v>
      </c>
      <c r="R206" s="46">
        <f t="shared" si="10"/>
        <v>1.4410034784644814</v>
      </c>
      <c r="S206" s="57"/>
      <c r="T206" s="57"/>
      <c r="U206" s="57"/>
      <c r="V206" s="57"/>
    </row>
    <row r="207" spans="14:22" x14ac:dyDescent="0.15">
      <c r="N207" s="29">
        <f>基础状态预估!C207</f>
        <v>720</v>
      </c>
      <c r="O207" s="29">
        <f>基础状态预估!D207</f>
        <v>114.18811572794328</v>
      </c>
      <c r="P207" s="46">
        <f t="shared" si="9"/>
        <v>6882558.2522640647</v>
      </c>
      <c r="Q207" s="46">
        <f>活动投放!AA207+付费投放!AM207+SUMPRODUCT(基础状态预估!R207:W207,藏品属性!$D$18:$I$18)-SUMPRODUCT(基础状态预估!X207:AC207,藏品属性!$D$18:$I$18)</f>
        <v>9350400</v>
      </c>
      <c r="R207" s="46">
        <f t="shared" si="10"/>
        <v>1.3585646001505505</v>
      </c>
      <c r="S207" s="57"/>
      <c r="T207" s="57"/>
      <c r="U207" s="57"/>
      <c r="V207" s="57"/>
    </row>
    <row r="208" spans="14:22" x14ac:dyDescent="0.15">
      <c r="N208" s="29">
        <f>基础状态预估!C208</f>
        <v>780</v>
      </c>
      <c r="O208" s="29">
        <f>基础状态预估!D208</f>
        <v>115.38798688586955</v>
      </c>
      <c r="P208" s="46">
        <f t="shared" si="9"/>
        <v>7805536.0660535013</v>
      </c>
      <c r="Q208" s="46">
        <f>活动投放!AA208+付费投放!AM208+SUMPRODUCT(基础状态预估!R208:W208,藏品属性!$D$18:$I$18)-SUMPRODUCT(基础状态预估!X208:AC208,藏品属性!$D$18:$I$18)</f>
        <v>10247000</v>
      </c>
      <c r="R208" s="46">
        <f t="shared" si="10"/>
        <v>1.3127861960134288</v>
      </c>
      <c r="S208" s="57"/>
      <c r="T208" s="57"/>
      <c r="U208" s="57"/>
      <c r="V208" s="57"/>
    </row>
    <row r="209" spans="14:22" x14ac:dyDescent="0.15">
      <c r="N209" s="29">
        <f>基础状态预估!C209</f>
        <v>840</v>
      </c>
      <c r="O209" s="29">
        <f>基础状态预估!D209</f>
        <v>116.44628179968991</v>
      </c>
      <c r="P209" s="46">
        <f t="shared" si="9"/>
        <v>9347518.153369097</v>
      </c>
      <c r="Q209" s="46">
        <f>活动投放!AA209+付费投放!AM209+SUMPRODUCT(基础状态预估!R209:W209,藏品属性!$D$18:$I$18)-SUMPRODUCT(基础状态预估!X209:AC209,藏品属性!$D$18:$I$18)</f>
        <v>11148600</v>
      </c>
      <c r="R209" s="46">
        <f t="shared" si="10"/>
        <v>1.1926802191854258</v>
      </c>
      <c r="S209" s="57"/>
      <c r="T209" s="57"/>
      <c r="U209" s="57"/>
      <c r="V209" s="57"/>
    </row>
    <row r="210" spans="14:22" x14ac:dyDescent="0.15">
      <c r="N210" s="29">
        <f>基础状态预估!C210</f>
        <v>900</v>
      </c>
      <c r="O210" s="29">
        <f>基础状态预估!D210</f>
        <v>117.4271778717454</v>
      </c>
      <c r="P210" s="46">
        <f t="shared" si="9"/>
        <v>10856589.033454461</v>
      </c>
      <c r="Q210" s="46">
        <f>活动投放!AA210+付费投放!AM210+SUMPRODUCT(基础状态预估!R210:W210,藏品属性!$D$18:$I$18)-SUMPRODUCT(基础状态预估!X210:AC210,藏品属性!$D$18:$I$18)</f>
        <v>12045200</v>
      </c>
      <c r="R210" s="46">
        <f t="shared" si="10"/>
        <v>1.1094829105976884</v>
      </c>
      <c r="S210" s="57"/>
      <c r="T210" s="57"/>
      <c r="U210" s="57"/>
      <c r="V210" s="57"/>
    </row>
    <row r="211" spans="14:22" x14ac:dyDescent="0.15">
      <c r="N211" s="29">
        <f>基础状态预估!C211</f>
        <v>1020</v>
      </c>
      <c r="O211" s="29">
        <f>基础状态预估!D211</f>
        <v>119.29151076707612</v>
      </c>
      <c r="P211" s="46">
        <f t="shared" si="9"/>
        <v>13724793.487809414</v>
      </c>
      <c r="Q211" s="46">
        <f>活动投放!AA211+付费投放!AM211+SUMPRODUCT(基础状态预估!R211:W211,藏品属性!$D$18:$I$18)-SUMPRODUCT(基础状态预估!X211:AC211,藏品属性!$D$18:$I$18)</f>
        <v>13838400</v>
      </c>
      <c r="R211" s="46">
        <f t="shared" si="10"/>
        <v>1.0082774660537874</v>
      </c>
      <c r="S211" s="57"/>
      <c r="T211" s="57"/>
      <c r="U211" s="57"/>
      <c r="V211" s="57"/>
    </row>
    <row r="212" spans="14:22" x14ac:dyDescent="0.15">
      <c r="N212" s="29">
        <f>基础状态预估!C212</f>
        <v>1140</v>
      </c>
      <c r="O212" s="29">
        <f>基础状态预估!D212</f>
        <v>120.95580403349236</v>
      </c>
      <c r="P212" s="46">
        <f t="shared" si="9"/>
        <v>16285244.666911317</v>
      </c>
      <c r="Q212" s="46">
        <f>活动投放!AA212+付费投放!AM212+SUMPRODUCT(基础状态预估!R212:W212,藏品属性!$D$18:$I$18)-SUMPRODUCT(基础状态预估!X212:AC212,藏品属性!$D$18:$I$18)</f>
        <v>15636600</v>
      </c>
      <c r="R212" s="46">
        <f t="shared" si="10"/>
        <v>0.9601697929519446</v>
      </c>
      <c r="S212" s="57"/>
      <c r="T212" s="57"/>
      <c r="U212" s="57"/>
      <c r="V212" s="57"/>
    </row>
    <row r="213" spans="14:22" x14ac:dyDescent="0.15">
      <c r="N213" s="29">
        <f>基础状态预估!C213</f>
        <v>1260</v>
      </c>
      <c r="O213" s="29">
        <f>基础状态预估!D213</f>
        <v>122.38959636199006</v>
      </c>
      <c r="P213" s="46">
        <f t="shared" si="9"/>
        <v>17891700</v>
      </c>
      <c r="Q213" s="46">
        <f>活动投放!AA213+付费投放!AM213+SUMPRODUCT(基础状态预估!R213:W213,藏品属性!$D$18:$I$18)-SUMPRODUCT(基础状态预估!X213:AC213,藏品属性!$D$18:$I$18)</f>
        <v>17429800</v>
      </c>
      <c r="R213" s="46">
        <f t="shared" si="10"/>
        <v>0.97418355997473693</v>
      </c>
      <c r="S213" s="57"/>
      <c r="T213" s="57"/>
      <c r="U213" s="57"/>
      <c r="V213" s="57"/>
    </row>
    <row r="214" spans="14:22" x14ac:dyDescent="0.15">
      <c r="N214" s="29">
        <f>基础状态预估!C214</f>
        <v>1380</v>
      </c>
      <c r="O214" s="29">
        <f>基础状态预估!D214</f>
        <v>123.64000871786199</v>
      </c>
      <c r="P214" s="46">
        <f t="shared" si="9"/>
        <v>17891700</v>
      </c>
      <c r="Q214" s="46">
        <f>活动投放!AA214+付费投放!AM214+SUMPRODUCT(基础状态预估!R214:W214,藏品属性!$D$18:$I$18)-SUMPRODUCT(基础状态预估!X214:AC214,藏品属性!$D$18:$I$18)</f>
        <v>19228000</v>
      </c>
      <c r="R214" s="46">
        <f t="shared" si="10"/>
        <v>1.0746882632729142</v>
      </c>
      <c r="S214" s="57"/>
      <c r="T214" s="57"/>
      <c r="U214" s="57"/>
      <c r="V214" s="57"/>
    </row>
    <row r="215" spans="14:22" x14ac:dyDescent="0.15">
      <c r="N215" s="29">
        <f>基础状态预估!C215</f>
        <v>1500</v>
      </c>
      <c r="O215" s="29">
        <f>基础状态预估!D215</f>
        <v>124.89506332611212</v>
      </c>
      <c r="P215" s="46">
        <f t="shared" si="9"/>
        <v>17891700</v>
      </c>
      <c r="Q215" s="46">
        <f>活动投放!AA215+付费投放!AM215+SUMPRODUCT(基础状态预估!R215:W215,藏品属性!$D$18:$I$18)-SUMPRODUCT(基础状态预估!X215:AC215,藏品属性!$D$18:$I$18)</f>
        <v>21026200</v>
      </c>
      <c r="R215" s="46">
        <f t="shared" si="10"/>
        <v>1.1751929665710916</v>
      </c>
      <c r="S215" s="57"/>
      <c r="T215" s="57"/>
      <c r="U215" s="57"/>
      <c r="V215" s="57"/>
    </row>
    <row r="216" spans="14:22" x14ac:dyDescent="0.15">
      <c r="N216" s="29">
        <f>基础状态预估!C216</f>
        <v>1800</v>
      </c>
      <c r="O216" s="29">
        <f>基础状态预估!D216</f>
        <v>127.67301312853458</v>
      </c>
      <c r="P216" s="46">
        <f t="shared" si="9"/>
        <v>17891700</v>
      </c>
      <c r="Q216" s="46">
        <f>活动投放!AA216+付费投放!AM216+SUMPRODUCT(基础状态预估!R216:W216,藏品属性!$D$18:$I$18)-SUMPRODUCT(基础状态预估!X216:AC216,藏品属性!$D$18:$I$18)</f>
        <v>25514200</v>
      </c>
      <c r="R216" s="46">
        <f t="shared" si="10"/>
        <v>1.4260355360306733</v>
      </c>
      <c r="S216" s="57"/>
      <c r="T216" s="57"/>
      <c r="U216" s="57"/>
      <c r="V216" s="57"/>
    </row>
    <row r="217" spans="14:22" x14ac:dyDescent="0.15">
      <c r="N217" s="29">
        <f>基础状态预估!C217</f>
        <v>2100</v>
      </c>
      <c r="O217" s="29">
        <f>基础状态预估!D217</f>
        <v>129.83412763547076</v>
      </c>
      <c r="P217" s="46">
        <f t="shared" si="9"/>
        <v>17891700</v>
      </c>
      <c r="Q217" s="46">
        <f>活动投放!AA217+付费投放!AM217+SUMPRODUCT(基础状态预估!R217:W217,藏品属性!$D$18:$I$18)-SUMPRODUCT(基础状态预估!X217:AC217,藏品属性!$D$18:$I$18)</f>
        <v>30007200</v>
      </c>
      <c r="R217" s="46">
        <f t="shared" si="10"/>
        <v>1.6771575646808297</v>
      </c>
      <c r="S217" s="57"/>
      <c r="T217" s="57"/>
      <c r="U217" s="57"/>
      <c r="V217" s="57"/>
    </row>
    <row r="218" spans="14:22" x14ac:dyDescent="0.15">
      <c r="N218" s="29">
        <f>基础状态预估!C218</f>
        <v>2400</v>
      </c>
      <c r="O218" s="29">
        <f>基础状态预估!D218</f>
        <v>131.79898277231624</v>
      </c>
      <c r="P218" s="46">
        <f t="shared" si="9"/>
        <v>17891700</v>
      </c>
      <c r="Q218" s="46">
        <f>活动投放!AA218+付费投放!AM218+SUMPRODUCT(基础状态预估!R218:W218,藏品属性!$D$18:$I$18)-SUMPRODUCT(基础状态预估!X218:AC218,藏品属性!$D$18:$I$18)</f>
        <v>34510700</v>
      </c>
      <c r="R218" s="46">
        <f t="shared" si="10"/>
        <v>1.928866457631192</v>
      </c>
      <c r="S218" s="57"/>
      <c r="T218" s="57"/>
      <c r="U218" s="57"/>
      <c r="V218" s="57"/>
    </row>
    <row r="219" spans="14:22" x14ac:dyDescent="0.15">
      <c r="N219" s="29">
        <f>基础状态预估!C219</f>
        <v>2700</v>
      </c>
      <c r="O219" s="29">
        <f>基础状态预估!D219</f>
        <v>133.57962992379356</v>
      </c>
      <c r="P219" s="46">
        <f t="shared" si="9"/>
        <v>17891700</v>
      </c>
      <c r="Q219" s="46">
        <f>活动投放!AA219+付费投放!AM219+SUMPRODUCT(基础状态预估!R219:W219,藏品属性!$D$18:$I$18)-SUMPRODUCT(基础状态预估!X219:AC219,藏品属性!$D$18:$I$18)</f>
        <v>39040700</v>
      </c>
      <c r="R219" s="46">
        <f t="shared" si="10"/>
        <v>2.182056484291599</v>
      </c>
      <c r="S219" s="57"/>
      <c r="T219" s="57"/>
      <c r="U219" s="57"/>
      <c r="V219" s="57"/>
    </row>
    <row r="220" spans="14:22" x14ac:dyDescent="0.15">
      <c r="N220" s="29">
        <f>基础状态预估!C220</f>
        <v>3000</v>
      </c>
      <c r="O220" s="29">
        <f>基础状态预估!D220</f>
        <v>135.09124682527644</v>
      </c>
      <c r="P220" s="46">
        <f t="shared" si="9"/>
        <v>17891700</v>
      </c>
      <c r="Q220" s="46">
        <f>活动投放!AA220+付费投放!AM220+SUMPRODUCT(基础状态预估!R220:W220,藏品属性!$D$18:$I$18)-SUMPRODUCT(基础状态预估!X220:AC220,藏品属性!$D$18:$I$18)</f>
        <v>43570700</v>
      </c>
      <c r="R220" s="46">
        <f t="shared" si="10"/>
        <v>2.4352465109520058</v>
      </c>
      <c r="S220" s="57"/>
      <c r="T220" s="57"/>
      <c r="U220" s="57"/>
      <c r="V220" s="57"/>
    </row>
    <row r="221" spans="14:22" x14ac:dyDescent="0.15">
      <c r="N221" s="29">
        <f>基础状态预估!C221</f>
        <v>3300</v>
      </c>
      <c r="O221" s="29">
        <f>基础状态预估!D221</f>
        <v>136.4080820895465</v>
      </c>
      <c r="P221" s="46">
        <f t="shared" si="9"/>
        <v>17891700</v>
      </c>
      <c r="Q221" s="46">
        <f>活动投放!AA221+付费投放!AM221+SUMPRODUCT(基础状态预估!R221:W221,藏品属性!$D$18:$I$18)-SUMPRODUCT(基础状态预估!X221:AC221,藏品属性!$D$18:$I$18)</f>
        <v>48100700</v>
      </c>
      <c r="R221" s="46">
        <f t="shared" si="10"/>
        <v>2.6884365376124126</v>
      </c>
      <c r="S221" s="57"/>
      <c r="T221" s="57"/>
      <c r="U221" s="57"/>
      <c r="V221" s="57"/>
    </row>
    <row r="222" spans="14:22" x14ac:dyDescent="0.15">
      <c r="N222" s="29">
        <f>基础状态预估!C222</f>
        <v>3600</v>
      </c>
      <c r="O222" s="29">
        <f>基础状态预估!D222</f>
        <v>137.69441197975056</v>
      </c>
      <c r="P222" s="46">
        <f t="shared" si="9"/>
        <v>17891700</v>
      </c>
      <c r="Q222" s="46">
        <f>活动投放!AA222+付费投放!AM222+SUMPRODUCT(基础状态预估!R222:W222,藏品属性!$D$18:$I$18)-SUMPRODUCT(基础状态预估!X222:AC222,藏品属性!$D$18:$I$18)</f>
        <v>52630700</v>
      </c>
      <c r="R222" s="46">
        <f t="shared" si="10"/>
        <v>2.9416265642728194</v>
      </c>
      <c r="S222" s="57"/>
      <c r="T222" s="57"/>
      <c r="U222" s="57"/>
      <c r="V222" s="57"/>
    </row>
    <row r="223" spans="14:22" x14ac:dyDescent="0.15">
      <c r="N223" s="29">
        <f>基础状态预估!C223</f>
        <v>3900</v>
      </c>
      <c r="O223" s="29">
        <f>基础状态预估!D223</f>
        <v>138.91667176742632</v>
      </c>
      <c r="P223" s="46">
        <f t="shared" si="9"/>
        <v>17891700</v>
      </c>
      <c r="Q223" s="46">
        <f>活动投放!AA223+付费投放!AM223+SUMPRODUCT(基础状态预估!R223:W223,藏品属性!$D$18:$I$18)-SUMPRODUCT(基础状态预估!X223:AC223,藏品属性!$D$18:$I$18)</f>
        <v>57160700</v>
      </c>
      <c r="R223" s="46">
        <f t="shared" si="10"/>
        <v>3.1948165909332262</v>
      </c>
      <c r="S223" s="57"/>
      <c r="T223" s="57"/>
      <c r="U223" s="57"/>
      <c r="V223" s="57"/>
    </row>
    <row r="224" spans="14:22" x14ac:dyDescent="0.15">
      <c r="N224" s="29">
        <f>基础状态预估!C224</f>
        <v>4200</v>
      </c>
      <c r="O224" s="29">
        <f>基础状态预估!D224</f>
        <v>140.02552130500166</v>
      </c>
      <c r="P224" s="46">
        <f t="shared" si="9"/>
        <v>17891700</v>
      </c>
      <c r="Q224" s="46">
        <f>活动投放!AA224+付费投放!AM224+SUMPRODUCT(基础状态预估!R224:W224,藏品属性!$D$18:$I$18)-SUMPRODUCT(基础状态预估!X224:AC224,藏品属性!$D$18:$I$18)</f>
        <v>61690700</v>
      </c>
      <c r="R224" s="46">
        <f t="shared" si="10"/>
        <v>3.4480066175936326</v>
      </c>
      <c r="S224" s="57"/>
      <c r="T224" s="57"/>
      <c r="U224" s="57"/>
      <c r="V224" s="57"/>
    </row>
    <row r="225" spans="14:22" x14ac:dyDescent="0.15">
      <c r="N225" s="29">
        <f>基础状态预估!C225</f>
        <v>4500</v>
      </c>
      <c r="O225" s="29">
        <f>基础状态预估!D225</f>
        <v>141.0305191407117</v>
      </c>
      <c r="P225" s="46">
        <f t="shared" si="9"/>
        <v>17891700</v>
      </c>
      <c r="Q225" s="46">
        <f>活动投放!AA225+付费投放!AM225+SUMPRODUCT(基础状态预估!R225:W225,藏品属性!$D$18:$I$18)-SUMPRODUCT(基础状态预估!X225:AC225,藏品属性!$D$18:$I$18)</f>
        <v>66220700</v>
      </c>
      <c r="R225" s="46">
        <f t="shared" si="10"/>
        <v>3.7011966442540394</v>
      </c>
      <c r="S225" s="57"/>
      <c r="T225" s="57"/>
      <c r="U225" s="57"/>
      <c r="V225" s="57"/>
    </row>
    <row r="226" spans="14:22" x14ac:dyDescent="0.15">
      <c r="N226" s="29">
        <f>基础状态预估!C226</f>
        <v>4800</v>
      </c>
      <c r="O226" s="29">
        <f>基础状态预估!D226</f>
        <v>141.92990796852064</v>
      </c>
      <c r="P226" s="46">
        <f t="shared" si="9"/>
        <v>17891700</v>
      </c>
      <c r="Q226" s="46">
        <f>活动投放!AA226+付费投放!AM226+SUMPRODUCT(基础状态预估!R226:W226,藏品属性!$D$18:$I$18)-SUMPRODUCT(基础状态预估!X226:AC226,藏品属性!$D$18:$I$18)</f>
        <v>70750700</v>
      </c>
      <c r="R226" s="46">
        <f t="shared" si="10"/>
        <v>3.9543866709144462</v>
      </c>
      <c r="S226" s="57"/>
      <c r="T226" s="57"/>
      <c r="U226" s="57"/>
      <c r="V226" s="57"/>
    </row>
    <row r="227" spans="14:22" x14ac:dyDescent="0.15">
      <c r="N227" s="29">
        <f>基础状态预估!C227</f>
        <v>65535</v>
      </c>
      <c r="O227" s="29">
        <f>基础状态预估!D227</f>
        <v>160</v>
      </c>
      <c r="P227" s="46">
        <f t="shared" si="9"/>
        <v>17891700</v>
      </c>
      <c r="Q227" s="46">
        <f>活动投放!AA227+付费投放!AM227+SUMPRODUCT(基础状态预估!R227:W227,藏品属性!$D$18:$I$18)-SUMPRODUCT(基础状态预估!X227:AC227,藏品属性!$D$18:$I$18)</f>
        <v>987849200</v>
      </c>
      <c r="R227" s="46">
        <f t="shared" si="10"/>
        <v>55.212707568313796</v>
      </c>
      <c r="S227" s="57"/>
      <c r="T227" s="57"/>
      <c r="U227" s="57"/>
      <c r="V227" s="57"/>
    </row>
  </sheetData>
  <mergeCells count="1">
    <mergeCell ref="F9:J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E91D7-4D57-404C-864C-89F1E9AD302B}">
  <sheetPr codeName="Sheet12"/>
  <dimension ref="A1:BF227"/>
  <sheetViews>
    <sheetView topLeftCell="A7" workbookViewId="0">
      <selection activeCell="C12" sqref="C12:I13"/>
    </sheetView>
  </sheetViews>
  <sheetFormatPr defaultColWidth="6.625" defaultRowHeight="11.25" x14ac:dyDescent="0.15"/>
  <cols>
    <col min="1" max="2" width="6.625" style="16"/>
    <col min="3" max="3" width="24.25" style="16" customWidth="1"/>
    <col min="4" max="4" width="10" style="16" bestFit="1" customWidth="1"/>
    <col min="5" max="5" width="9.75" style="16" bestFit="1" customWidth="1"/>
    <col min="6" max="8" width="6.625" style="16"/>
    <col min="9" max="9" width="8.25" style="16" bestFit="1" customWidth="1"/>
    <col min="10" max="11" width="6.625" style="16"/>
    <col min="12" max="13" width="6.625" style="31"/>
    <col min="14" max="27" width="6.625" style="61"/>
    <col min="28" max="31" width="6.625" style="16"/>
    <col min="32" max="32" width="6.625" style="3"/>
    <col min="33" max="34" width="6.625" style="16"/>
    <col min="35" max="37" width="6.75" style="30" customWidth="1"/>
    <col min="38" max="43" width="6.625" style="16"/>
    <col min="44" max="44" width="6.625" style="3"/>
    <col min="45" max="16384" width="6.625" style="16"/>
  </cols>
  <sheetData>
    <row r="1" spans="3:58" x14ac:dyDescent="0.15">
      <c r="L1" s="30"/>
      <c r="M1" s="30"/>
    </row>
    <row r="2" spans="3:58" x14ac:dyDescent="0.15">
      <c r="C2" s="4" t="s">
        <v>59</v>
      </c>
      <c r="L2" s="30"/>
      <c r="M2" s="30"/>
    </row>
    <row r="3" spans="3:58" x14ac:dyDescent="0.15">
      <c r="C3" s="4" t="s">
        <v>58</v>
      </c>
      <c r="L3" s="30"/>
      <c r="M3" s="30"/>
    </row>
    <row r="4" spans="3:58" x14ac:dyDescent="0.15">
      <c r="C4" s="4" t="s">
        <v>90</v>
      </c>
      <c r="L4" s="30"/>
      <c r="M4" s="30"/>
    </row>
    <row r="5" spans="3:58" x14ac:dyDescent="0.15">
      <c r="C5" s="4"/>
      <c r="L5" s="30"/>
      <c r="M5" s="30"/>
    </row>
    <row r="6" spans="3:58" x14ac:dyDescent="0.15">
      <c r="F6" s="70"/>
      <c r="G6" s="70"/>
      <c r="H6" s="70"/>
      <c r="I6" s="70"/>
      <c r="L6" s="30"/>
      <c r="M6" s="30"/>
    </row>
    <row r="7" spans="3:58" x14ac:dyDescent="0.15">
      <c r="D7" s="28" t="s">
        <v>26</v>
      </c>
      <c r="E7" s="28" t="s">
        <v>38</v>
      </c>
      <c r="F7" s="28" t="s">
        <v>27</v>
      </c>
      <c r="G7" s="28" t="s">
        <v>29</v>
      </c>
      <c r="H7" s="28" t="s">
        <v>28</v>
      </c>
      <c r="I7" s="28" t="s">
        <v>43</v>
      </c>
      <c r="L7" s="30"/>
      <c r="M7" s="30"/>
    </row>
    <row r="8" spans="3:58" x14ac:dyDescent="0.15">
      <c r="C8" s="20" t="s">
        <v>148</v>
      </c>
      <c r="D8" s="20">
        <f>前期规划!D8</f>
        <v>9</v>
      </c>
      <c r="E8" s="20">
        <f>前期规划!E8</f>
        <v>9</v>
      </c>
      <c r="F8" s="20">
        <f>前期规划!F8</f>
        <v>27</v>
      </c>
      <c r="G8" s="20">
        <f>前期规划!G8</f>
        <v>27</v>
      </c>
      <c r="H8" s="20">
        <f>前期规划!H8</f>
        <v>60</v>
      </c>
      <c r="I8" s="20">
        <f>前期规划!I8</f>
        <v>60</v>
      </c>
      <c r="L8" s="30"/>
      <c r="M8" s="30"/>
    </row>
    <row r="9" spans="3:58" x14ac:dyDescent="0.15">
      <c r="C9" s="20"/>
      <c r="D9" s="20"/>
      <c r="E9" s="20"/>
      <c r="F9" s="20"/>
      <c r="G9" s="20"/>
      <c r="H9" s="20"/>
      <c r="I9" s="20"/>
      <c r="L9" s="32" t="s">
        <v>17</v>
      </c>
      <c r="M9" s="26"/>
      <c r="N9" s="88" t="s">
        <v>91</v>
      </c>
      <c r="O9" s="89"/>
      <c r="P9" s="89"/>
      <c r="Q9" s="89"/>
      <c r="R9" s="89"/>
      <c r="S9" s="90"/>
      <c r="T9" s="62"/>
      <c r="U9" s="88" t="s">
        <v>92</v>
      </c>
      <c r="V9" s="89"/>
      <c r="W9" s="89"/>
      <c r="X9" s="89"/>
      <c r="Y9" s="89"/>
      <c r="Z9" s="90"/>
      <c r="AA9" s="63"/>
      <c r="AI9" s="18" t="s">
        <v>0</v>
      </c>
      <c r="AJ9" s="93" t="s">
        <v>93</v>
      </c>
      <c r="AK9" s="94"/>
      <c r="AL9" s="93" t="s">
        <v>98</v>
      </c>
      <c r="AM9" s="94"/>
      <c r="AW9" s="92" t="s">
        <v>205</v>
      </c>
      <c r="AX9" s="92"/>
      <c r="AY9" s="92"/>
      <c r="AZ9" s="92"/>
      <c r="BA9" s="92"/>
      <c r="BB9" s="92" t="s">
        <v>206</v>
      </c>
      <c r="BC9" s="92"/>
      <c r="BD9" s="92"/>
      <c r="BE9" s="92"/>
      <c r="BF9" s="92"/>
    </row>
    <row r="10" spans="3:58" x14ac:dyDescent="0.15">
      <c r="C10" s="15" t="s">
        <v>60</v>
      </c>
      <c r="D10" s="15">
        <v>1</v>
      </c>
      <c r="E10" s="15">
        <v>2</v>
      </c>
      <c r="F10" s="15">
        <v>3</v>
      </c>
      <c r="G10" s="15">
        <v>6</v>
      </c>
      <c r="H10" s="15">
        <v>8</v>
      </c>
      <c r="I10" s="15">
        <v>10</v>
      </c>
      <c r="L10" s="27" t="s">
        <v>31</v>
      </c>
      <c r="M10" s="27" t="s">
        <v>25</v>
      </c>
      <c r="N10" s="64" t="s">
        <v>26</v>
      </c>
      <c r="O10" s="64" t="s">
        <v>38</v>
      </c>
      <c r="P10" s="64" t="s">
        <v>27</v>
      </c>
      <c r="Q10" s="64" t="s">
        <v>29</v>
      </c>
      <c r="R10" s="64" t="s">
        <v>28</v>
      </c>
      <c r="S10" s="64" t="s">
        <v>43</v>
      </c>
      <c r="T10" s="64" t="s">
        <v>95</v>
      </c>
      <c r="U10" s="64" t="s">
        <v>26</v>
      </c>
      <c r="V10" s="64" t="s">
        <v>38</v>
      </c>
      <c r="W10" s="64" t="s">
        <v>27</v>
      </c>
      <c r="X10" s="64" t="s">
        <v>29</v>
      </c>
      <c r="Y10" s="64" t="s">
        <v>28</v>
      </c>
      <c r="Z10" s="64" t="s">
        <v>43</v>
      </c>
      <c r="AA10" s="64" t="s">
        <v>95</v>
      </c>
      <c r="AI10" s="18" t="s">
        <v>25</v>
      </c>
      <c r="AJ10" s="18" t="s">
        <v>96</v>
      </c>
      <c r="AK10" s="18" t="s">
        <v>94</v>
      </c>
      <c r="AL10" s="18" t="s">
        <v>96</v>
      </c>
      <c r="AM10" s="18" t="s">
        <v>94</v>
      </c>
      <c r="AN10" s="15" t="s">
        <v>99</v>
      </c>
      <c r="AV10" s="16" t="s">
        <v>203</v>
      </c>
      <c r="AW10" s="16" t="s">
        <v>17</v>
      </c>
      <c r="AX10" s="16" t="s">
        <v>18</v>
      </c>
      <c r="AY10" s="16" t="s">
        <v>19</v>
      </c>
      <c r="AZ10" s="16" t="s">
        <v>20</v>
      </c>
      <c r="BA10" s="16" t="s">
        <v>21</v>
      </c>
      <c r="BB10" s="16" t="s">
        <v>17</v>
      </c>
      <c r="BC10" s="16" t="s">
        <v>18</v>
      </c>
      <c r="BD10" s="16" t="s">
        <v>19</v>
      </c>
      <c r="BE10" s="16" t="s">
        <v>20</v>
      </c>
      <c r="BF10" s="16" t="s">
        <v>21</v>
      </c>
    </row>
    <row r="11" spans="3:58" x14ac:dyDescent="0.15">
      <c r="C11" s="15"/>
      <c r="D11" s="15"/>
      <c r="E11" s="15"/>
      <c r="F11" s="15"/>
      <c r="G11" s="15"/>
      <c r="H11" s="15"/>
      <c r="I11" s="15"/>
      <c r="L11" s="29">
        <f>基础状态预估!C11</f>
        <v>15</v>
      </c>
      <c r="M11" s="29">
        <f>基础状态预估!D11</f>
        <v>40</v>
      </c>
      <c r="N11" s="65">
        <f>基础状态预估!L11*D$10/3</f>
        <v>0</v>
      </c>
      <c r="O11" s="65">
        <f>基础状态预估!M11*E$10/3</f>
        <v>0</v>
      </c>
      <c r="P11" s="65">
        <f>基础状态预估!N11*F$10/3</f>
        <v>0</v>
      </c>
      <c r="Q11" s="65">
        <f>基础状态预估!O11*G$10/3</f>
        <v>0</v>
      </c>
      <c r="R11" s="65">
        <f>基础状态预估!P11*H$10/3</f>
        <v>0</v>
      </c>
      <c r="S11" s="65">
        <f>基础状态预估!Q11*I$10/3</f>
        <v>0</v>
      </c>
      <c r="T11" s="65">
        <f>SUM(N11:S11)</f>
        <v>0</v>
      </c>
      <c r="U11" s="65">
        <f>基础状态预估!L11*D$15</f>
        <v>0</v>
      </c>
      <c r="V11" s="65">
        <f>基础状态预估!M11*E$15</f>
        <v>0</v>
      </c>
      <c r="W11" s="65">
        <f>基础状态预估!N11*F$15</f>
        <v>0</v>
      </c>
      <c r="X11" s="65">
        <f>基础状态预估!O11*G$15</f>
        <v>0</v>
      </c>
      <c r="Y11" s="65">
        <f>基础状态预估!P11*H$15</f>
        <v>0</v>
      </c>
      <c r="Z11" s="65">
        <f>基础状态预估!Q11*I$15</f>
        <v>0</v>
      </c>
      <c r="AA11" s="65">
        <f>SUM(U11:Z11)</f>
        <v>0</v>
      </c>
      <c r="AI11" s="18">
        <v>10</v>
      </c>
      <c r="AJ11" s="18">
        <f>IFERROR(求节点($M$11:$M$51,$T$11:$T$51,$AI11),0)</f>
        <v>0</v>
      </c>
      <c r="AK11" s="18">
        <f>IFERROR(求节点($M$11:$M$51,$AA$11:$AA$51,$AI11),0)</f>
        <v>0</v>
      </c>
      <c r="AL11" s="41">
        <f>AJ11*(INDEX([3]非r将兵属性验证!$V$7:$V$166,$AI11,1)+INDEX([3]非r将兵属性验证!$AP$7:$AP$166,$AI11,1))</f>
        <v>0</v>
      </c>
      <c r="AM11" s="11">
        <f>AK11*(INDEX([3]非r将兵属性验证!$AC$7:$AC$166,$AI11,1)*0.5+INDEX([3]非r将兵属性验证!$AX$7:$AX$166,$AI11,1)*0.5)</f>
        <v>0</v>
      </c>
      <c r="AN11" s="15">
        <f>IFERROR(求节点(付费投放!$T$11:$T$51,付费投放!$Z$11:$Z$51,AI11),0)</f>
        <v>0</v>
      </c>
      <c r="AV11" s="16">
        <v>1</v>
      </c>
      <c r="AW11" s="16">
        <f>IFERROR(求节点($M$11:$M$51,$T$11:$T$51,$AV11),0)</f>
        <v>0</v>
      </c>
      <c r="AX11" s="51">
        <f>IFERROR(求节点($M$55:$M$95,$T$55:$T$95,$AV11),0)</f>
        <v>0</v>
      </c>
      <c r="AY11" s="51">
        <f>IFERROR(求节点($M$99:$M$139,$T$99:$T$139,$AV11),0)</f>
        <v>0</v>
      </c>
      <c r="AZ11" s="51">
        <f>IFERROR(求节点($M$143:$M$183,$T$143:$T$183,$AV11),0)</f>
        <v>0</v>
      </c>
      <c r="BA11" s="51">
        <f>IFERROR(求节点($M$187:$M$227,$T$187:$T$227,$AV11),0)</f>
        <v>0</v>
      </c>
      <c r="BB11" s="51">
        <f>IFERROR(求节点($M$11:$M$51,$AA$11:$AA$51,$AV11),0)</f>
        <v>0</v>
      </c>
      <c r="BC11" s="51">
        <f>IFERROR(求节点($M$55:$M$95,$AA$55:$AA$95,$AV11),0)</f>
        <v>0</v>
      </c>
      <c r="BD11" s="51">
        <f>IFERROR(求节点($M$99:$M$139,$AA$99:$AA$139,$AV11),0)</f>
        <v>0</v>
      </c>
      <c r="BE11" s="51">
        <f>IFERROR(求节点($M$143:$M$183,$AA$143:$AA$183,$AV11),0)</f>
        <v>0</v>
      </c>
      <c r="BF11" s="51">
        <f>IFERROR(求节点($M$187:$M$227,$AA$187:$AA$227,$AV11),0)</f>
        <v>0</v>
      </c>
    </row>
    <row r="12" spans="3:58" x14ac:dyDescent="0.15">
      <c r="C12" s="15" t="s">
        <v>62</v>
      </c>
      <c r="D12" s="72">
        <v>5.0000000000000001E-3</v>
      </c>
      <c r="E12" s="72">
        <v>5.0000000000000001E-3</v>
      </c>
      <c r="F12" s="72">
        <v>5.0000000000000001E-3</v>
      </c>
      <c r="G12" s="72">
        <v>5.0000000000000001E-3</v>
      </c>
      <c r="H12" s="72">
        <v>0.01</v>
      </c>
      <c r="I12" s="72">
        <v>0.01</v>
      </c>
      <c r="L12" s="29">
        <f>基础状态预估!C12</f>
        <v>30</v>
      </c>
      <c r="M12" s="29">
        <f>基础状态预估!D12</f>
        <v>49.533352307096472</v>
      </c>
      <c r="N12" s="65">
        <f>基础状态预估!L12*D$10/3</f>
        <v>0.81777841023654918</v>
      </c>
      <c r="O12" s="65">
        <f>基础状态预估!M12*E$10/3</f>
        <v>0.9066704614192943</v>
      </c>
      <c r="P12" s="65">
        <f>基础状态预估!N12*F$10/3</f>
        <v>0</v>
      </c>
      <c r="Q12" s="65">
        <f>基础状态预估!O12*G$10/3</f>
        <v>0</v>
      </c>
      <c r="R12" s="65">
        <f>基础状态预估!P12*H$10/3</f>
        <v>0</v>
      </c>
      <c r="S12" s="65">
        <f>基础状态预估!Q12*I$10/3</f>
        <v>0</v>
      </c>
      <c r="T12" s="65">
        <f t="shared" ref="T12:T50" si="0">SUM(N12:S12)</f>
        <v>1.7244488716558435</v>
      </c>
      <c r="U12" s="65">
        <f>基础状态预估!L12*D$15</f>
        <v>1.2266676153548237E-2</v>
      </c>
      <c r="V12" s="65">
        <f>基础状态预估!M12*E$15</f>
        <v>1.3600056921289414E-2</v>
      </c>
      <c r="W12" s="65">
        <f>基础状态预估!N12*F$15</f>
        <v>0</v>
      </c>
      <c r="X12" s="65">
        <f>基础状态预估!O12*G$15</f>
        <v>0</v>
      </c>
      <c r="Y12" s="65">
        <f>基础状态预估!P12*H$15</f>
        <v>0</v>
      </c>
      <c r="Z12" s="65">
        <f>基础状态预估!Q12*I$15</f>
        <v>0</v>
      </c>
      <c r="AA12" s="65">
        <f t="shared" ref="AA12:AA50" si="1">SUM(U12:Z12)</f>
        <v>2.5866733074837653E-2</v>
      </c>
      <c r="AI12" s="18">
        <v>20</v>
      </c>
      <c r="AJ12" s="18">
        <f>IFERROR(求节点($M$11:$M$51,$T$11:$T$51,$AI12),0)</f>
        <v>0</v>
      </c>
      <c r="AK12" s="18">
        <f t="shared" ref="AK12:AK26" si="2">IFERROR(求节点($M$11:$M$51,$AA$11:$AA$51,$AI12),0)</f>
        <v>0</v>
      </c>
      <c r="AL12" s="28">
        <f>(AJ12-AJ11)*(INDEX([3]非r将兵属性验证!$V$7:$V$166,$AI12,1)+INDEX([3]非r将兵属性验证!$AP$7:$AP$166,$AI12,1))+AL11</f>
        <v>0</v>
      </c>
      <c r="AM12" s="5">
        <f>(AK12-AK11)*(INDEX([3]非r将兵属性验证!$AC$7:$AC$166,$AI12,1)*0.5+INDEX([3]非r将兵属性验证!$AX$7:$AX$166,$AI12,1)*0.5)+AM11</f>
        <v>0</v>
      </c>
      <c r="AN12" s="50">
        <f>IFERROR(求节点(付费投放!$T$11:$T$51,付费投放!$Z$11:$Z$51,AI12),0)</f>
        <v>0</v>
      </c>
      <c r="AV12" s="16">
        <v>2</v>
      </c>
      <c r="AW12" s="51">
        <f t="shared" ref="AW12:AW75" si="3">IFERROR(求节点($M$11:$M$51,$T$11:$T$51,$AV12),0)</f>
        <v>0</v>
      </c>
      <c r="AX12" s="51">
        <f t="shared" ref="AX12:AX75" si="4">IFERROR(求节点($M$55:$M$95,$T$55:$T$95,$AV12),0)</f>
        <v>0</v>
      </c>
      <c r="AY12" s="51">
        <f t="shared" ref="AY12:AY75" si="5">IFERROR(求节点($M$99:$M$139,$T$99:$T$139,$AV12),0)</f>
        <v>0</v>
      </c>
      <c r="AZ12" s="51">
        <f t="shared" ref="AZ12:AZ75" si="6">IFERROR(求节点($M$143:$M$183,$T$143:$T$183,$AV12),0)</f>
        <v>0</v>
      </c>
      <c r="BA12" s="51">
        <f t="shared" ref="BA12:BA75" si="7">IFERROR(求节点($M$187:$M$227,$T$187:$T$227,$AV12),0)</f>
        <v>0</v>
      </c>
      <c r="BB12" s="51">
        <f t="shared" ref="BB12:BB75" si="8">IFERROR(求节点($M$11:$M$51,$AA$11:$AA$51,$AV12),0)</f>
        <v>0</v>
      </c>
      <c r="BC12" s="51">
        <f t="shared" ref="BC12:BC75" si="9">IFERROR(求节点($M$55:$M$95,$AA$55:$AA$95,$AV12),0)</f>
        <v>0</v>
      </c>
      <c r="BD12" s="51">
        <f t="shared" ref="BD12:BD75" si="10">IFERROR(求节点($M$99:$M$139,$AA$99:$AA$139,$AV12),0)</f>
        <v>0</v>
      </c>
      <c r="BE12" s="51">
        <f t="shared" ref="BE12:BE75" si="11">IFERROR(求节点($M$143:$M$183,$AA$143:$AA$183,$AV12),0)</f>
        <v>0</v>
      </c>
      <c r="BF12" s="51">
        <f t="shared" ref="BF12:BF75" si="12">IFERROR(求节点($M$187:$M$227,$AA$187:$AA$227,$AV12),0)</f>
        <v>0</v>
      </c>
    </row>
    <row r="13" spans="3:58" x14ac:dyDescent="0.15">
      <c r="C13" s="15" t="s">
        <v>61</v>
      </c>
      <c r="D13" s="15">
        <v>1</v>
      </c>
      <c r="E13" s="15">
        <v>2</v>
      </c>
      <c r="F13" s="15">
        <v>2</v>
      </c>
      <c r="G13" s="15">
        <v>4</v>
      </c>
      <c r="H13" s="15">
        <v>2</v>
      </c>
      <c r="I13" s="15">
        <v>4</v>
      </c>
      <c r="L13" s="29">
        <f>基础状态预估!C13</f>
        <v>45</v>
      </c>
      <c r="M13" s="29">
        <f>基础状态预估!D13</f>
        <v>55.229416240679981</v>
      </c>
      <c r="N13" s="65">
        <f>基础状态预估!L13*D$10/3</f>
        <v>0.82261308602578309</v>
      </c>
      <c r="O13" s="65">
        <f>基础状态预估!M13*E$10/3</f>
        <v>2.0917664962719926</v>
      </c>
      <c r="P13" s="65">
        <f>基础状态预估!N13*F$10/3</f>
        <v>0.1376497444079888</v>
      </c>
      <c r="Q13" s="65">
        <f>基础状态预估!O13*G$10/3</f>
        <v>0</v>
      </c>
      <c r="R13" s="65">
        <f>基础状态预估!P13*H$10/3</f>
        <v>0</v>
      </c>
      <c r="S13" s="65">
        <f>基础状态预估!Q13*I$10/3</f>
        <v>0</v>
      </c>
      <c r="T13" s="65">
        <f t="shared" si="0"/>
        <v>3.0520293267057643</v>
      </c>
      <c r="U13" s="65">
        <f>基础状态预估!L13*D$15</f>
        <v>1.2339196290386748E-2</v>
      </c>
      <c r="V13" s="65">
        <f>基础状态预估!M13*E$15</f>
        <v>3.1376497444079887E-2</v>
      </c>
      <c r="W13" s="65">
        <f>基础状态预估!N13*F$15</f>
        <v>1.3764974440798881E-3</v>
      </c>
      <c r="X13" s="65">
        <f>基础状态预估!O13*G$15</f>
        <v>0</v>
      </c>
      <c r="Y13" s="65">
        <f>基础状态预估!P13*H$15</f>
        <v>0</v>
      </c>
      <c r="Z13" s="65">
        <f>基础状态预估!Q13*I$15</f>
        <v>0</v>
      </c>
      <c r="AA13" s="65">
        <f t="shared" si="1"/>
        <v>4.5092191178546522E-2</v>
      </c>
      <c r="AI13" s="18">
        <v>30</v>
      </c>
      <c r="AJ13" s="18">
        <f t="shared" ref="AJ13:AJ26" si="13">IFERROR(求节点($M$11:$M$51,$T$11:$T$51,$AI13),0)</f>
        <v>0</v>
      </c>
      <c r="AK13" s="18">
        <f t="shared" si="2"/>
        <v>0</v>
      </c>
      <c r="AL13" s="28">
        <f>(AJ13-AJ12)*(INDEX([3]非r将兵属性验证!$V$7:$V$166,$AI13,1)+INDEX([3]非r将兵属性验证!$AP$7:$AP$166,$AI13,1))+AL12</f>
        <v>0</v>
      </c>
      <c r="AM13" s="5">
        <f>(AK13-AK12)*(INDEX([3]非r将兵属性验证!$AC$7:$AC$166,$AI13,1)*0.5+INDEX([3]非r将兵属性验证!$AX$7:$AX$166,$AI13,1)*0.5)+AM12</f>
        <v>0</v>
      </c>
      <c r="AN13" s="50">
        <f>IFERROR(求节点(付费投放!$T$11:$T$51,付费投放!$Z$11:$Z$51,AI13),0)</f>
        <v>0</v>
      </c>
      <c r="AV13" s="51">
        <v>3</v>
      </c>
      <c r="AW13" s="51">
        <f t="shared" si="3"/>
        <v>0</v>
      </c>
      <c r="AX13" s="51">
        <f t="shared" si="4"/>
        <v>0</v>
      </c>
      <c r="AY13" s="51">
        <f t="shared" si="5"/>
        <v>0</v>
      </c>
      <c r="AZ13" s="51">
        <f t="shared" si="6"/>
        <v>0</v>
      </c>
      <c r="BA13" s="51">
        <f t="shared" si="7"/>
        <v>0</v>
      </c>
      <c r="BB13" s="51">
        <f t="shared" si="8"/>
        <v>0</v>
      </c>
      <c r="BC13" s="51">
        <f t="shared" si="9"/>
        <v>0</v>
      </c>
      <c r="BD13" s="51">
        <f t="shared" si="10"/>
        <v>0</v>
      </c>
      <c r="BE13" s="51">
        <f t="shared" si="11"/>
        <v>0</v>
      </c>
      <c r="BF13" s="51">
        <f t="shared" si="12"/>
        <v>0</v>
      </c>
    </row>
    <row r="14" spans="3:58" x14ac:dyDescent="0.15">
      <c r="C14" s="15" t="s">
        <v>63</v>
      </c>
      <c r="D14" s="15">
        <v>0</v>
      </c>
      <c r="E14" s="15">
        <v>2</v>
      </c>
      <c r="F14" s="15">
        <v>0</v>
      </c>
      <c r="G14" s="15">
        <v>4</v>
      </c>
      <c r="H14" s="15">
        <v>0</v>
      </c>
      <c r="I14" s="15">
        <v>4</v>
      </c>
      <c r="L14" s="29">
        <f>基础状态预估!C14</f>
        <v>60</v>
      </c>
      <c r="M14" s="29">
        <f>基础状态预估!D14</f>
        <v>59.300028460644697</v>
      </c>
      <c r="N14" s="65">
        <f>基础状态预估!L14*D$10/3</f>
        <v>0</v>
      </c>
      <c r="O14" s="65">
        <f>基础状态预估!M14*E$10/3</f>
        <v>2.9085654653887296</v>
      </c>
      <c r="P14" s="65">
        <f>基础状态预估!N14*F$10/3</f>
        <v>2.580017076386818</v>
      </c>
      <c r="Q14" s="65">
        <f>基础状态预估!O14*G$10/3</f>
        <v>0</v>
      </c>
      <c r="R14" s="65">
        <f>基础状态预估!P14*H$10/3</f>
        <v>0</v>
      </c>
      <c r="S14" s="65">
        <f>基础状态预估!Q14*I$10/3</f>
        <v>0</v>
      </c>
      <c r="T14" s="65">
        <f t="shared" si="0"/>
        <v>5.4885825417755481</v>
      </c>
      <c r="U14" s="65">
        <f>基础状态预估!L14*D$15</f>
        <v>0</v>
      </c>
      <c r="V14" s="65">
        <f>基础状态预估!M14*E$15</f>
        <v>4.3628481980830948E-2</v>
      </c>
      <c r="W14" s="65">
        <f>基础状态预估!N14*F$15</f>
        <v>2.5800170763868181E-2</v>
      </c>
      <c r="X14" s="65">
        <f>基础状态预估!O14*G$15</f>
        <v>0</v>
      </c>
      <c r="Y14" s="65">
        <f>基础状态预估!P14*H$15</f>
        <v>0</v>
      </c>
      <c r="Z14" s="65">
        <f>基础状态预估!Q14*I$15</f>
        <v>0</v>
      </c>
      <c r="AA14" s="65">
        <f t="shared" si="1"/>
        <v>6.9428652744699129E-2</v>
      </c>
      <c r="AI14" s="18">
        <v>40</v>
      </c>
      <c r="AJ14" s="18">
        <f t="shared" si="13"/>
        <v>0</v>
      </c>
      <c r="AK14" s="18">
        <f t="shared" si="2"/>
        <v>0</v>
      </c>
      <c r="AL14" s="28">
        <f>(AJ14-AJ13)*(INDEX([3]非r将兵属性验证!$V$7:$V$166,$AI14,1)+INDEX([3]非r将兵属性验证!$AP$7:$AP$166,$AI14,1))+AL13</f>
        <v>0</v>
      </c>
      <c r="AM14" s="5">
        <f>(AK14-AK13)*(INDEX([3]非r将兵属性验证!$AC$7:$AC$166,$AI14,1)*0.5+INDEX([3]非r将兵属性验证!$AX$7:$AX$166,$AI14,1)*0.5)+AM13</f>
        <v>0</v>
      </c>
      <c r="AN14" s="50">
        <f>IFERROR(求节点(付费投放!$T$11:$T$51,付费投放!$Z$11:$Z$51,AI14),0)</f>
        <v>0</v>
      </c>
      <c r="AV14" s="51">
        <v>4</v>
      </c>
      <c r="AW14" s="51">
        <f t="shared" si="3"/>
        <v>0</v>
      </c>
      <c r="AX14" s="51">
        <f t="shared" si="4"/>
        <v>0</v>
      </c>
      <c r="AY14" s="51">
        <f t="shared" si="5"/>
        <v>0</v>
      </c>
      <c r="AZ14" s="51">
        <f t="shared" si="6"/>
        <v>0</v>
      </c>
      <c r="BA14" s="51">
        <f t="shared" si="7"/>
        <v>0</v>
      </c>
      <c r="BB14" s="51">
        <f t="shared" si="8"/>
        <v>0</v>
      </c>
      <c r="BC14" s="51">
        <f t="shared" si="9"/>
        <v>0</v>
      </c>
      <c r="BD14" s="51">
        <f t="shared" si="10"/>
        <v>0</v>
      </c>
      <c r="BE14" s="51">
        <f t="shared" si="11"/>
        <v>0</v>
      </c>
      <c r="BF14" s="51">
        <f t="shared" si="12"/>
        <v>0</v>
      </c>
    </row>
    <row r="15" spans="3:58" x14ac:dyDescent="0.15">
      <c r="C15" s="15" t="s">
        <v>64</v>
      </c>
      <c r="D15" s="72">
        <f t="shared" ref="D15:I16" si="14">D$12*D13</f>
        <v>5.0000000000000001E-3</v>
      </c>
      <c r="E15" s="72">
        <f t="shared" si="14"/>
        <v>0.01</v>
      </c>
      <c r="F15" s="72">
        <f t="shared" si="14"/>
        <v>0.01</v>
      </c>
      <c r="G15" s="72">
        <f t="shared" si="14"/>
        <v>0.02</v>
      </c>
      <c r="H15" s="72">
        <f t="shared" si="14"/>
        <v>0.02</v>
      </c>
      <c r="I15" s="72">
        <f t="shared" si="14"/>
        <v>0.04</v>
      </c>
      <c r="L15" s="29">
        <f>基础状态预估!C15</f>
        <v>75</v>
      </c>
      <c r="M15" s="29">
        <f>基础状态预估!D15</f>
        <v>62.470630686057078</v>
      </c>
      <c r="N15" s="65">
        <f>基础状态预估!L15*D$10/3</f>
        <v>0</v>
      </c>
      <c r="O15" s="65">
        <f>基础状态预估!M15*E$10/3</f>
        <v>2.24424880863566</v>
      </c>
      <c r="P15" s="65">
        <f>基础状态预估!N15*F$10/3</f>
        <v>4.4823784116342464</v>
      </c>
      <c r="Q15" s="65">
        <f>基础状态预估!O15*G$10/3</f>
        <v>0</v>
      </c>
      <c r="R15" s="65">
        <f>基础状态预估!P15*H$10/3</f>
        <v>0</v>
      </c>
      <c r="S15" s="65">
        <f>基础状态预估!Q15*I$10/3</f>
        <v>0</v>
      </c>
      <c r="T15" s="65">
        <f t="shared" si="0"/>
        <v>6.726627220269906</v>
      </c>
      <c r="U15" s="65">
        <f>基础状态预估!L15*D$15</f>
        <v>0</v>
      </c>
      <c r="V15" s="65">
        <f>基础状态预估!M15*E$15</f>
        <v>3.3663732129534898E-2</v>
      </c>
      <c r="W15" s="65">
        <f>基础状态预估!N15*F$15</f>
        <v>4.4823784116342462E-2</v>
      </c>
      <c r="X15" s="65">
        <f>基础状态预估!O15*G$15</f>
        <v>0</v>
      </c>
      <c r="Y15" s="65">
        <f>基础状态预估!P15*H$15</f>
        <v>0</v>
      </c>
      <c r="Z15" s="65">
        <f>基础状态预估!Q15*I$15</f>
        <v>0</v>
      </c>
      <c r="AA15" s="65">
        <f t="shared" si="1"/>
        <v>7.8487516245877353E-2</v>
      </c>
      <c r="AI15" s="18">
        <v>50</v>
      </c>
      <c r="AJ15" s="18">
        <v>1</v>
      </c>
      <c r="AK15" s="18">
        <v>0.1</v>
      </c>
      <c r="AL15" s="28">
        <f>(AJ15-AJ14)*(INDEX([3]非r将兵属性验证!$V$7:$V$166,$AI15,1)+INDEX([3]非r将兵属性验证!$AP$7:$AP$166,$AI15,1))+AL14</f>
        <v>16363587.945391621</v>
      </c>
      <c r="AM15" s="5">
        <f>(AK15-AK14)*(INDEX([3]非r将兵属性验证!$AC$7:$AC$166,$AI15,1)*0.5+INDEX([3]非r将兵属性验证!$AX$7:$AX$166,$AI15,1)*0.5)+AM14</f>
        <v>140077015.62984115</v>
      </c>
      <c r="AN15" s="50">
        <f>IFERROR(求节点(付费投放!$T$11:$T$51,付费投放!$Z$11:$Z$51,AI15),0)</f>
        <v>1081.9245883376086</v>
      </c>
      <c r="AV15" s="51">
        <v>5</v>
      </c>
      <c r="AW15" s="51">
        <f t="shared" si="3"/>
        <v>0</v>
      </c>
      <c r="AX15" s="51">
        <f t="shared" si="4"/>
        <v>0</v>
      </c>
      <c r="AY15" s="51">
        <f t="shared" si="5"/>
        <v>0</v>
      </c>
      <c r="AZ15" s="51">
        <f t="shared" si="6"/>
        <v>0</v>
      </c>
      <c r="BA15" s="51">
        <f t="shared" si="7"/>
        <v>0</v>
      </c>
      <c r="BB15" s="51">
        <f t="shared" si="8"/>
        <v>0</v>
      </c>
      <c r="BC15" s="51">
        <f t="shared" si="9"/>
        <v>0</v>
      </c>
      <c r="BD15" s="51">
        <f t="shared" si="10"/>
        <v>0</v>
      </c>
      <c r="BE15" s="51">
        <f t="shared" si="11"/>
        <v>0</v>
      </c>
      <c r="BF15" s="51">
        <f t="shared" si="12"/>
        <v>0</v>
      </c>
    </row>
    <row r="16" spans="3:58" x14ac:dyDescent="0.15">
      <c r="C16" s="15" t="s">
        <v>65</v>
      </c>
      <c r="D16" s="72">
        <f t="shared" si="14"/>
        <v>0</v>
      </c>
      <c r="E16" s="72">
        <f t="shared" si="14"/>
        <v>0.01</v>
      </c>
      <c r="F16" s="72">
        <f t="shared" si="14"/>
        <v>0</v>
      </c>
      <c r="G16" s="72">
        <f t="shared" si="14"/>
        <v>0.02</v>
      </c>
      <c r="H16" s="72">
        <f t="shared" si="14"/>
        <v>0</v>
      </c>
      <c r="I16" s="72">
        <f t="shared" si="14"/>
        <v>0.04</v>
      </c>
      <c r="L16" s="29">
        <f>基础状态预估!C16</f>
        <v>90</v>
      </c>
      <c r="M16" s="29">
        <f>基础状态预估!D16</f>
        <v>65.075479910097457</v>
      </c>
      <c r="N16" s="65">
        <f>基础状态预估!L16*D$10/3</f>
        <v>0</v>
      </c>
      <c r="O16" s="65">
        <f>基础状态预估!M16*E$10/3</f>
        <v>1.5433828135074872</v>
      </c>
      <c r="P16" s="65">
        <f>基础状态预估!N16*F$10/3</f>
        <v>6.1585078112046601</v>
      </c>
      <c r="Q16" s="65">
        <f>基础状态预估!O16*G$10/3</f>
        <v>9.0575892116947901E-2</v>
      </c>
      <c r="R16" s="65">
        <f>基础状态预估!P16*H$10/3</f>
        <v>0</v>
      </c>
      <c r="S16" s="65">
        <f>基础状态预估!Q16*I$10/3</f>
        <v>0</v>
      </c>
      <c r="T16" s="65">
        <f t="shared" si="0"/>
        <v>7.7924665168290952</v>
      </c>
      <c r="U16" s="65">
        <f>基础状态预估!L16*D$15</f>
        <v>0</v>
      </c>
      <c r="V16" s="65">
        <f>基础状态预估!M16*E$15</f>
        <v>2.3150742202612307E-2</v>
      </c>
      <c r="W16" s="65">
        <f>基础状态预估!N16*F$15</f>
        <v>6.1585078112046596E-2</v>
      </c>
      <c r="X16" s="65">
        <f>基础状态预估!O16*G$15</f>
        <v>9.0575892116947902E-4</v>
      </c>
      <c r="Y16" s="65">
        <f>基础状态预估!P16*H$15</f>
        <v>0</v>
      </c>
      <c r="Z16" s="65">
        <f>基础状态预估!Q16*I$15</f>
        <v>0</v>
      </c>
      <c r="AA16" s="65">
        <f t="shared" si="1"/>
        <v>8.564157923582838E-2</v>
      </c>
      <c r="AI16" s="18">
        <v>60</v>
      </c>
      <c r="AJ16" s="18">
        <f t="shared" si="13"/>
        <v>5.7619047619047619</v>
      </c>
      <c r="AK16" s="18">
        <f t="shared" si="2"/>
        <v>7.1428571428571425E-2</v>
      </c>
      <c r="AL16" s="28">
        <f>(AJ16-AJ15)*(INDEX([3]非r将兵属性验证!$V$7:$V$166,$AI16,1)+INDEX([3]非r将兵属性验证!$AP$7:$AP$166,$AI16,1))+AL15</f>
        <v>171926284.71538821</v>
      </c>
      <c r="AM16" s="5">
        <f>(AK16-AK15)*(INDEX([3]非r将兵属性验证!$AC$7:$AC$166,$AI16,1)*0.5+INDEX([3]非r将兵属性验证!$AX$7:$AX$166,$AI16,1)*0.5)+AM15</f>
        <v>49563506.174172536</v>
      </c>
      <c r="AN16" s="50">
        <f>IFERROR(求节点(付费投放!$T$11:$T$51,付费投放!$Z$11:$Z$51,AI16),0)</f>
        <v>3220.7692701862852</v>
      </c>
      <c r="AV16" s="51">
        <v>6</v>
      </c>
      <c r="AW16" s="51">
        <f t="shared" si="3"/>
        <v>0</v>
      </c>
      <c r="AX16" s="51">
        <f t="shared" si="4"/>
        <v>0</v>
      </c>
      <c r="AY16" s="51">
        <f t="shared" si="5"/>
        <v>0</v>
      </c>
      <c r="AZ16" s="51">
        <f t="shared" si="6"/>
        <v>0</v>
      </c>
      <c r="BA16" s="51">
        <f t="shared" si="7"/>
        <v>0</v>
      </c>
      <c r="BB16" s="51">
        <f t="shared" si="8"/>
        <v>0</v>
      </c>
      <c r="BC16" s="51">
        <f t="shared" si="9"/>
        <v>0</v>
      </c>
      <c r="BD16" s="51">
        <f t="shared" si="10"/>
        <v>0</v>
      </c>
      <c r="BE16" s="51">
        <f t="shared" si="11"/>
        <v>0</v>
      </c>
      <c r="BF16" s="51">
        <f t="shared" si="12"/>
        <v>0</v>
      </c>
    </row>
    <row r="17" spans="1:58" x14ac:dyDescent="0.15">
      <c r="C17" s="15"/>
      <c r="D17" s="15"/>
      <c r="E17" s="15"/>
      <c r="F17" s="15"/>
      <c r="G17" s="15"/>
      <c r="H17" s="15"/>
      <c r="I17" s="15"/>
      <c r="L17" s="29">
        <f>基础状态预估!C17</f>
        <v>105</v>
      </c>
      <c r="M17" s="29">
        <f>基础状态预估!D17</f>
        <v>67.272265912925377</v>
      </c>
      <c r="N17" s="65">
        <f>基础状态预估!L17*D$10/3</f>
        <v>0</v>
      </c>
      <c r="O17" s="65">
        <f>基础状态预估!M17*E$10/3</f>
        <v>0</v>
      </c>
      <c r="P17" s="65">
        <f>基础状态预估!N17*F$10/3</f>
        <v>7.7047069304761182</v>
      </c>
      <c r="Q17" s="65">
        <f>基础状态预估!O17*G$10/3</f>
        <v>2.7267190955104526</v>
      </c>
      <c r="R17" s="65">
        <f>基础状态预估!P17*H$10/3</f>
        <v>0</v>
      </c>
      <c r="S17" s="65">
        <f>基础状态预估!Q17*I$10/3</f>
        <v>0</v>
      </c>
      <c r="T17" s="65">
        <f t="shared" si="0"/>
        <v>10.431426025986571</v>
      </c>
      <c r="U17" s="65">
        <f>基础状态预估!L17*D$15</f>
        <v>0</v>
      </c>
      <c r="V17" s="65">
        <f>基础状态预估!M17*E$15</f>
        <v>0</v>
      </c>
      <c r="W17" s="65">
        <f>基础状态预估!N17*F$15</f>
        <v>7.7047069304761184E-2</v>
      </c>
      <c r="X17" s="65">
        <f>基础状态预估!O17*G$15</f>
        <v>2.7267190955104527E-2</v>
      </c>
      <c r="Y17" s="65">
        <f>基础状态预估!P17*H$15</f>
        <v>0</v>
      </c>
      <c r="Z17" s="65">
        <f>基础状态预估!Q17*I$15</f>
        <v>0</v>
      </c>
      <c r="AA17" s="65">
        <f t="shared" si="1"/>
        <v>0.1043142602598657</v>
      </c>
      <c r="AI17" s="18">
        <v>70</v>
      </c>
      <c r="AJ17" s="18">
        <f t="shared" si="13"/>
        <v>12.740223778986513</v>
      </c>
      <c r="AK17" s="18">
        <f t="shared" si="2"/>
        <v>0.12740223778986512</v>
      </c>
      <c r="AL17" s="28">
        <f>(AJ17-AJ16)*(INDEX([3]非r将兵属性验证!$V$7:$V$166,$AI17,1)+INDEX([3]非r将兵属性验证!$AP$7:$AP$166,$AI17,1))+AL16</f>
        <v>706607897.78287649</v>
      </c>
      <c r="AM17" s="5">
        <f>(AK17-AK16)*(INDEX([3]非r将兵属性验证!$AC$7:$AC$166,$AI17,1)*0.5+INDEX([3]非r将兵属性验证!$AX$7:$AX$166,$AI17,1)*0.5)+AM16</f>
        <v>471867801.80395359</v>
      </c>
      <c r="AN17" s="50">
        <f>IFERROR(求节点(付费投放!$T$11:$T$51,付费投放!$Z$11:$Z$51,AI17),0)</f>
        <v>18046.376512014194</v>
      </c>
      <c r="AV17" s="51">
        <v>7</v>
      </c>
      <c r="AW17" s="51">
        <f t="shared" si="3"/>
        <v>0</v>
      </c>
      <c r="AX17" s="51">
        <f t="shared" si="4"/>
        <v>0</v>
      </c>
      <c r="AY17" s="51">
        <f t="shared" si="5"/>
        <v>0</v>
      </c>
      <c r="AZ17" s="51">
        <f t="shared" si="6"/>
        <v>0</v>
      </c>
      <c r="BA17" s="51">
        <f t="shared" si="7"/>
        <v>0</v>
      </c>
      <c r="BB17" s="51">
        <f t="shared" si="8"/>
        <v>0</v>
      </c>
      <c r="BC17" s="51">
        <f t="shared" si="9"/>
        <v>0</v>
      </c>
      <c r="BD17" s="51">
        <f t="shared" si="10"/>
        <v>0</v>
      </c>
      <c r="BE17" s="51">
        <f t="shared" si="11"/>
        <v>0</v>
      </c>
      <c r="BF17" s="51">
        <f t="shared" si="12"/>
        <v>0</v>
      </c>
    </row>
    <row r="18" spans="1:58" x14ac:dyDescent="0.15">
      <c r="A18" s="19"/>
      <c r="B18" s="19"/>
      <c r="C18" s="20" t="s">
        <v>146</v>
      </c>
      <c r="D18" s="20">
        <v>200</v>
      </c>
      <c r="E18" s="20">
        <v>200</v>
      </c>
      <c r="F18" s="20">
        <v>1000</v>
      </c>
      <c r="G18" s="20">
        <v>1000</v>
      </c>
      <c r="H18" s="20">
        <v>5000</v>
      </c>
      <c r="I18" s="20">
        <v>5000</v>
      </c>
      <c r="J18" s="19"/>
      <c r="L18" s="29">
        <f>基础状态预估!C18</f>
        <v>120</v>
      </c>
      <c r="M18" s="29">
        <f>基础状态预估!D18</f>
        <v>69.18336653741882</v>
      </c>
      <c r="N18" s="65">
        <f>基础状态预估!L18*D$10/3</f>
        <v>0</v>
      </c>
      <c r="O18" s="65">
        <f>基础状态预估!M18*E$10/3</f>
        <v>0</v>
      </c>
      <c r="P18" s="65">
        <f>基础状态预估!N18*F$10/3</f>
        <v>7.035821711903413</v>
      </c>
      <c r="Q18" s="65">
        <f>基础状态预估!O18*G$10/3</f>
        <v>5.020039844902584</v>
      </c>
      <c r="R18" s="65">
        <f>基础状态预估!P18*H$10/3</f>
        <v>0</v>
      </c>
      <c r="S18" s="65">
        <f>基础状态预估!Q18*I$10/3</f>
        <v>0</v>
      </c>
      <c r="T18" s="65">
        <f t="shared" si="0"/>
        <v>12.055861556805997</v>
      </c>
      <c r="U18" s="65">
        <f>基础状态预估!L18*D$15</f>
        <v>0</v>
      </c>
      <c r="V18" s="65">
        <f>基础状态预估!M18*E$15</f>
        <v>0</v>
      </c>
      <c r="W18" s="65">
        <f>基础状态预估!N18*F$15</f>
        <v>7.035821711903413E-2</v>
      </c>
      <c r="X18" s="65">
        <f>基础状态预估!O18*G$15</f>
        <v>5.0200398449025845E-2</v>
      </c>
      <c r="Y18" s="65">
        <f>基础状态预估!P18*H$15</f>
        <v>0</v>
      </c>
      <c r="Z18" s="65">
        <f>基础状态预估!Q18*I$15</f>
        <v>0</v>
      </c>
      <c r="AA18" s="65">
        <f t="shared" si="1"/>
        <v>0.12055861556805997</v>
      </c>
      <c r="AI18" s="18">
        <v>80</v>
      </c>
      <c r="AJ18" s="18">
        <f t="shared" si="13"/>
        <v>25.981229942150939</v>
      </c>
      <c r="AK18" s="18">
        <f t="shared" si="2"/>
        <v>0.23981229942150939</v>
      </c>
      <c r="AL18" s="28">
        <f>(AJ18-AJ17)*(INDEX([3]非r将兵属性验证!$V$7:$V$166,$AI18,1)+INDEX([3]非r将兵属性验证!$AP$7:$AP$166,$AI18,1))+AL17</f>
        <v>3366592904.9360275</v>
      </c>
      <c r="AM18" s="5">
        <f>(AK18-AK17)*(INDEX([3]非r将兵属性验证!$AC$7:$AC$166,$AI18,1)*0.5+INDEX([3]非r将兵属性验证!$AX$7:$AX$166,$AI18,1)*0.5)+AM17</f>
        <v>2730832163.3543673</v>
      </c>
      <c r="AN18" s="50">
        <f>IFERROR(求节点(付费投放!$T$11:$T$51,付费投放!$Z$11:$Z$51,AI18),0)</f>
        <v>52138.573958657478</v>
      </c>
      <c r="AV18" s="51">
        <v>8</v>
      </c>
      <c r="AW18" s="51">
        <f t="shared" si="3"/>
        <v>0</v>
      </c>
      <c r="AX18" s="51">
        <f t="shared" si="4"/>
        <v>0</v>
      </c>
      <c r="AY18" s="51">
        <f t="shared" si="5"/>
        <v>0</v>
      </c>
      <c r="AZ18" s="51">
        <f t="shared" si="6"/>
        <v>0</v>
      </c>
      <c r="BA18" s="51">
        <f t="shared" si="7"/>
        <v>0</v>
      </c>
      <c r="BB18" s="51">
        <f t="shared" si="8"/>
        <v>0</v>
      </c>
      <c r="BC18" s="51">
        <f t="shared" si="9"/>
        <v>0</v>
      </c>
      <c r="BD18" s="51">
        <f t="shared" si="10"/>
        <v>0</v>
      </c>
      <c r="BE18" s="51">
        <f t="shared" si="11"/>
        <v>0</v>
      </c>
      <c r="BF18" s="51">
        <f t="shared" si="12"/>
        <v>0</v>
      </c>
    </row>
    <row r="19" spans="1:58" x14ac:dyDescent="0.15">
      <c r="A19" s="19"/>
      <c r="B19" s="19"/>
      <c r="C19" s="20" t="s">
        <v>144</v>
      </c>
      <c r="D19" s="20">
        <f>D18</f>
        <v>200</v>
      </c>
      <c r="E19" s="20">
        <f>E18*2</f>
        <v>400</v>
      </c>
      <c r="F19" s="20">
        <f>F18</f>
        <v>1000</v>
      </c>
      <c r="G19" s="20">
        <f>G18*2</f>
        <v>2000</v>
      </c>
      <c r="H19" s="20">
        <f>H18</f>
        <v>5000</v>
      </c>
      <c r="I19" s="20">
        <f>I18*2</f>
        <v>10000</v>
      </c>
      <c r="J19" s="19"/>
      <c r="L19" s="29">
        <f>基础状态预估!C19</f>
        <v>150</v>
      </c>
      <c r="M19" s="29">
        <f>基础状态预估!D19</f>
        <v>72.375871759353331</v>
      </c>
      <c r="N19" s="65">
        <f>基础状态预估!L19*D$10/3</f>
        <v>0</v>
      </c>
      <c r="O19" s="65">
        <f>基础状态预估!M19*E$10/3</f>
        <v>0</v>
      </c>
      <c r="P19" s="65">
        <f>基础状态预估!N19*F$10/3</f>
        <v>5.8802262242442973</v>
      </c>
      <c r="Q19" s="65">
        <f>基础状态预估!O19*G$10/3</f>
        <v>8.8510461112239955</v>
      </c>
      <c r="R19" s="65">
        <f>基础状态预估!P19*H$10/3</f>
        <v>0</v>
      </c>
      <c r="S19" s="65">
        <f>基础状态预估!Q19*I$10/3</f>
        <v>0</v>
      </c>
      <c r="T19" s="65">
        <f t="shared" si="0"/>
        <v>14.731272335468294</v>
      </c>
      <c r="U19" s="65">
        <f>基础状态预估!L19*D$15</f>
        <v>0</v>
      </c>
      <c r="V19" s="65">
        <f>基础状态预估!M19*E$15</f>
        <v>0</v>
      </c>
      <c r="W19" s="65">
        <f>基础状态预估!N19*F$15</f>
        <v>5.8802262242442976E-2</v>
      </c>
      <c r="X19" s="65">
        <f>基础状态预估!O19*G$15</f>
        <v>8.8510461112239952E-2</v>
      </c>
      <c r="Y19" s="65">
        <f>基础状态预估!P19*H$15</f>
        <v>0</v>
      </c>
      <c r="Z19" s="65">
        <f>基础状态预估!Q19*I$15</f>
        <v>0</v>
      </c>
      <c r="AA19" s="65">
        <f t="shared" si="1"/>
        <v>0.14731272335468293</v>
      </c>
      <c r="AI19" s="18">
        <v>90</v>
      </c>
      <c r="AJ19" s="18">
        <f t="shared" si="13"/>
        <v>38.312903250486308</v>
      </c>
      <c r="AK19" s="18">
        <f t="shared" si="2"/>
        <v>0.30984677437864733</v>
      </c>
      <c r="AL19" s="28">
        <f>(AJ19-AJ18)*(INDEX([3]非r将兵属性验证!$V$7:$V$166,$AI19,1)+INDEX([3]非r将兵属性验证!$AP$7:$AP$166,$AI19,1))+AL18</f>
        <v>9218440955.1104031</v>
      </c>
      <c r="AM19" s="5">
        <f>(AK19-AK18)*(INDEX([3]非r将兵属性验证!$AC$7:$AC$166,$AI19,1)*0.5+INDEX([3]非r将兵属性验证!$AX$7:$AX$166,$AI19,1)*0.5)+AM18</f>
        <v>6028548875.0227747</v>
      </c>
      <c r="AN19" s="50">
        <f>IFERROR(求节点(付费投放!$T$11:$T$51,付费投放!$Z$11:$Z$51,AI19),0)</f>
        <v>120543.18732050416</v>
      </c>
      <c r="AV19" s="51">
        <v>9</v>
      </c>
      <c r="AW19" s="51">
        <f t="shared" si="3"/>
        <v>0</v>
      </c>
      <c r="AX19" s="51">
        <f t="shared" si="4"/>
        <v>0</v>
      </c>
      <c r="AY19" s="51">
        <f t="shared" si="5"/>
        <v>0</v>
      </c>
      <c r="AZ19" s="51">
        <f t="shared" si="6"/>
        <v>0</v>
      </c>
      <c r="BA19" s="51">
        <f t="shared" si="7"/>
        <v>0</v>
      </c>
      <c r="BB19" s="51">
        <f t="shared" si="8"/>
        <v>0</v>
      </c>
      <c r="BC19" s="51">
        <f t="shared" si="9"/>
        <v>0</v>
      </c>
      <c r="BD19" s="51">
        <f t="shared" si="10"/>
        <v>0</v>
      </c>
      <c r="BE19" s="51">
        <f t="shared" si="11"/>
        <v>0</v>
      </c>
      <c r="BF19" s="51">
        <f t="shared" si="12"/>
        <v>0</v>
      </c>
    </row>
    <row r="20" spans="1:58" x14ac:dyDescent="0.15">
      <c r="C20" s="20" t="s">
        <v>145</v>
      </c>
      <c r="D20" s="20">
        <f>D19</f>
        <v>200</v>
      </c>
      <c r="E20" s="20">
        <f>(LARGE(真品获取算法!E$6:E$66,COUNTIF(真品获取算法!E$6:E$66,999999999)+1)*E19-(LARGE(真品获取算法!E$6:E$66,COUNTIF(真品获取算法!E$6:E$66,999999999)+1)-E8)*E18)/E8</f>
        <v>1331.5873015873015</v>
      </c>
      <c r="F20" s="20">
        <f>F19</f>
        <v>1000</v>
      </c>
      <c r="G20" s="20">
        <f>(LARGE(真品获取算法!G$6:G$66,COUNTIF(真品获取算法!G$6:G$66,999999999)+1)*G19-(LARGE(真品获取算法!G$6:G$66,COUNTIF(真品获取算法!G$6:G$66,999999999)+1)-G8)*G18)/G8</f>
        <v>13971.522510840274</v>
      </c>
      <c r="H20" s="20">
        <f>H19</f>
        <v>5000</v>
      </c>
      <c r="I20" s="20">
        <f>(LARGE(真品获取算法!I$6:I$66,COUNTIF(真品获取算法!I$6:I$66,999999999)+1)*I19-(LARGE(真品获取算法!I$6:I$66,COUNTIF(真品获取算法!I$6:I$66,999999999)+1)-I8)*I18)/I8</f>
        <v>238993.52064758685</v>
      </c>
      <c r="L20" s="29">
        <f>基础状态预估!C20</f>
        <v>180</v>
      </c>
      <c r="M20" s="29">
        <f>基础状态预估!D20</f>
        <v>74.998404927577795</v>
      </c>
      <c r="N20" s="65">
        <f>基础状态预估!L20*D$10/3</f>
        <v>0</v>
      </c>
      <c r="O20" s="65">
        <f>基础状态预估!M20*E$10/3</f>
        <v>0</v>
      </c>
      <c r="P20" s="65">
        <f>基础状态预估!N20*F$10/3</f>
        <v>4.8894914718039439</v>
      </c>
      <c r="Q20" s="65">
        <f>基础状态预估!O20*G$10/3</f>
        <v>11.998085913093353</v>
      </c>
      <c r="R20" s="65">
        <f>基础状态预估!P20*H$10/3</f>
        <v>0</v>
      </c>
      <c r="S20" s="65">
        <f>基础状态预估!Q20*I$10/3</f>
        <v>0</v>
      </c>
      <c r="T20" s="65">
        <f t="shared" si="0"/>
        <v>16.887577384897298</v>
      </c>
      <c r="U20" s="65">
        <f>基础状态预估!L20*D$15</f>
        <v>0</v>
      </c>
      <c r="V20" s="65">
        <f>基础状态预估!M20*E$15</f>
        <v>0</v>
      </c>
      <c r="W20" s="65">
        <f>基础状态预估!N20*F$15</f>
        <v>4.8894914718039438E-2</v>
      </c>
      <c r="X20" s="65">
        <f>基础状态预估!O20*G$15</f>
        <v>0.11998085913093354</v>
      </c>
      <c r="Y20" s="65">
        <f>基础状态预估!P20*H$15</f>
        <v>0</v>
      </c>
      <c r="Z20" s="65">
        <f>基础状态预估!Q20*I$15</f>
        <v>0</v>
      </c>
      <c r="AA20" s="65">
        <f t="shared" si="1"/>
        <v>0.16887577384897298</v>
      </c>
      <c r="AI20" s="18">
        <v>100</v>
      </c>
      <c r="AJ20" s="18">
        <f t="shared" si="13"/>
        <v>46.18120652791233</v>
      </c>
      <c r="AK20" s="18">
        <f t="shared" si="2"/>
        <v>0.43635904895934252</v>
      </c>
      <c r="AL20" s="28">
        <f>(AJ20-AJ19)*(INDEX([3]非r将兵属性验证!$V$7:$V$166,$AI20,1)+INDEX([3]非r将兵属性验证!$AP$7:$AP$166,$AI20,1))+AL19</f>
        <v>16421546618.12606</v>
      </c>
      <c r="AM20" s="5">
        <f>(AK20-AK19)*(INDEX([3]非r将兵属性验证!$AC$7:$AC$166,$AI20,1)*0.5+INDEX([3]非r将兵属性验证!$AX$7:$AX$166,$AI20,1)*0.5)+AM19</f>
        <v>17071582368.550091</v>
      </c>
      <c r="AN20" s="50">
        <f>IFERROR(求节点(付费投放!$T$11:$T$51,付费投放!$Z$11:$Z$51,AI20),0)</f>
        <v>256877.13987595274</v>
      </c>
      <c r="AV20" s="51">
        <v>10</v>
      </c>
      <c r="AW20" s="51">
        <f t="shared" si="3"/>
        <v>0</v>
      </c>
      <c r="AX20" s="51">
        <f t="shared" si="4"/>
        <v>0</v>
      </c>
      <c r="AY20" s="51">
        <f t="shared" si="5"/>
        <v>0</v>
      </c>
      <c r="AZ20" s="51">
        <f t="shared" si="6"/>
        <v>0</v>
      </c>
      <c r="BA20" s="51">
        <f t="shared" si="7"/>
        <v>0</v>
      </c>
      <c r="BB20" s="51">
        <f t="shared" si="8"/>
        <v>0</v>
      </c>
      <c r="BC20" s="51">
        <f t="shared" si="9"/>
        <v>0</v>
      </c>
      <c r="BD20" s="51">
        <f t="shared" si="10"/>
        <v>0</v>
      </c>
      <c r="BE20" s="51">
        <f t="shared" si="11"/>
        <v>0</v>
      </c>
      <c r="BF20" s="51">
        <f t="shared" si="12"/>
        <v>0</v>
      </c>
    </row>
    <row r="21" spans="1:58" x14ac:dyDescent="0.15">
      <c r="C21" s="7"/>
      <c r="D21" s="7"/>
      <c r="E21" s="7"/>
      <c r="F21" s="7"/>
      <c r="G21" s="7"/>
      <c r="H21" s="7"/>
      <c r="I21" s="7"/>
      <c r="L21" s="29">
        <f>基础状态预估!C21</f>
        <v>210</v>
      </c>
      <c r="M21" s="29">
        <f>基础状态预估!D21</f>
        <v>77.205261233275195</v>
      </c>
      <c r="N21" s="65">
        <f>基础状态预估!L21*D$10/3</f>
        <v>0</v>
      </c>
      <c r="O21" s="65">
        <f>基础状态预估!M21*E$10/3</f>
        <v>0</v>
      </c>
      <c r="P21" s="65">
        <f>基础状态预估!N21*F$10/3</f>
        <v>0</v>
      </c>
      <c r="Q21" s="65">
        <f>基础状态预估!O21*G$10/3</f>
        <v>20.111580401525408</v>
      </c>
      <c r="R21" s="65">
        <f>基础状态预估!P21*H$10/3</f>
        <v>3.528417973240312</v>
      </c>
      <c r="S21" s="65">
        <f>基础状态预估!Q21*I$10/3</f>
        <v>0</v>
      </c>
      <c r="T21" s="65">
        <f t="shared" si="0"/>
        <v>23.639998374765721</v>
      </c>
      <c r="U21" s="65">
        <f>基础状态预估!L21*D$15</f>
        <v>0</v>
      </c>
      <c r="V21" s="65">
        <f>基础状态预估!M21*E$15</f>
        <v>0</v>
      </c>
      <c r="W21" s="65">
        <f>基础状态预估!N21*F$15</f>
        <v>0</v>
      </c>
      <c r="X21" s="65">
        <f>基础状态预估!O21*G$15</f>
        <v>0.20111580401525408</v>
      </c>
      <c r="Y21" s="65">
        <f>基础状态预估!P21*H$15</f>
        <v>2.6463134799302339E-2</v>
      </c>
      <c r="Z21" s="65">
        <f>基础状态预估!Q21*I$15</f>
        <v>0</v>
      </c>
      <c r="AA21" s="65">
        <f t="shared" si="1"/>
        <v>0.22757893881455643</v>
      </c>
      <c r="AI21" s="18">
        <v>110</v>
      </c>
      <c r="AJ21" s="18">
        <f t="shared" si="13"/>
        <v>55.757575757575765</v>
      </c>
      <c r="AK21" s="18">
        <f t="shared" si="2"/>
        <v>0.62272727272727268</v>
      </c>
      <c r="AL21" s="28">
        <f>(AJ21-AJ20)*(INDEX([3]非r将兵属性验证!$V$7:$V$166,$AI21,1)+INDEX([3]非r将兵属性验证!$AP$7:$AP$166,$AI21,1))+AL20</f>
        <v>32227836400.570236</v>
      </c>
      <c r="AM21" s="5">
        <f>(AK21-AK20)*(INDEX([3]非r将兵属性验证!$AC$7:$AC$166,$AI21,1)*0.5+INDEX([3]非r将兵属性验证!$AX$7:$AX$166,$AI21,1)*0.5)+AM20</f>
        <v>44708114349.822388</v>
      </c>
      <c r="AN21" s="50">
        <f>IFERROR(求节点(付费投放!$T$11:$T$51,付费投放!$Z$11:$Z$51,AI21),0)</f>
        <v>531000.97721866588</v>
      </c>
      <c r="AV21" s="51">
        <v>11</v>
      </c>
      <c r="AW21" s="51">
        <f t="shared" si="3"/>
        <v>0</v>
      </c>
      <c r="AX21" s="51">
        <f t="shared" si="4"/>
        <v>0</v>
      </c>
      <c r="AY21" s="51">
        <f t="shared" si="5"/>
        <v>0</v>
      </c>
      <c r="AZ21" s="51">
        <f t="shared" si="6"/>
        <v>0</v>
      </c>
      <c r="BA21" s="51">
        <f t="shared" si="7"/>
        <v>0</v>
      </c>
      <c r="BB21" s="51">
        <f t="shared" si="8"/>
        <v>0</v>
      </c>
      <c r="BC21" s="51">
        <f t="shared" si="9"/>
        <v>0</v>
      </c>
      <c r="BD21" s="51">
        <f t="shared" si="10"/>
        <v>0</v>
      </c>
      <c r="BE21" s="51">
        <f t="shared" si="11"/>
        <v>0</v>
      </c>
      <c r="BF21" s="51">
        <f t="shared" si="12"/>
        <v>0</v>
      </c>
    </row>
    <row r="22" spans="1:58" x14ac:dyDescent="0.15">
      <c r="E22" s="54"/>
      <c r="F22" s="54"/>
      <c r="G22" s="54"/>
      <c r="H22" s="54"/>
      <c r="I22" s="54"/>
      <c r="L22" s="29">
        <f>基础状态预估!C22</f>
        <v>240</v>
      </c>
      <c r="M22" s="29">
        <f>基础状态预估!D22</f>
        <v>79.125035575805882</v>
      </c>
      <c r="N22" s="65">
        <f>基础状态预估!L22*D$10/3</f>
        <v>-5.9211894646675012E-16</v>
      </c>
      <c r="O22" s="65">
        <f>基础状态预估!M22*E$10/3</f>
        <v>1.1842378929335002E-15</v>
      </c>
      <c r="P22" s="65">
        <f>基础状态预估!N22*F$10/3</f>
        <v>-1.7763568394002505E-15</v>
      </c>
      <c r="Q22" s="65">
        <f>基础状态预估!O22*G$10/3</f>
        <v>18.661084231613337</v>
      </c>
      <c r="R22" s="65">
        <f>基础状态预估!P22*H$10/3</f>
        <v>6.6000569212894105</v>
      </c>
      <c r="S22" s="65">
        <f>基础状态预估!Q22*I$10/3</f>
        <v>0</v>
      </c>
      <c r="T22" s="65">
        <f t="shared" si="0"/>
        <v>25.261141152902749</v>
      </c>
      <c r="U22" s="65">
        <f>基础状态预估!L22*D$15</f>
        <v>-8.8817841970012525E-18</v>
      </c>
      <c r="V22" s="65">
        <f>基础状态预估!M22*E$15</f>
        <v>1.7763568394002505E-17</v>
      </c>
      <c r="W22" s="65">
        <f>基础状态预估!N22*F$15</f>
        <v>-1.7763568394002505E-17</v>
      </c>
      <c r="X22" s="65">
        <f>基础状态预估!O22*G$15</f>
        <v>0.18661084231613337</v>
      </c>
      <c r="Y22" s="65">
        <f>基础状态预估!P22*H$15</f>
        <v>4.9500426909670575E-2</v>
      </c>
      <c r="Z22" s="65">
        <f>基础状态预估!Q22*I$15</f>
        <v>0</v>
      </c>
      <c r="AA22" s="65">
        <f t="shared" si="1"/>
        <v>0.23611126922580394</v>
      </c>
      <c r="AI22" s="18">
        <v>120</v>
      </c>
      <c r="AJ22" s="18">
        <f t="shared" si="13"/>
        <v>63.589743589743584</v>
      </c>
      <c r="AK22" s="18">
        <f t="shared" si="2"/>
        <v>0.7630769230769231</v>
      </c>
      <c r="AL22" s="28">
        <f>(AJ22-AJ21)*(INDEX([3]非r将兵属性验证!$V$7:$V$166,$AI22,1)+INDEX([3]非r将兵属性验证!$AP$7:$AP$166,$AI22,1))+AL21</f>
        <v>55225486305.650597</v>
      </c>
      <c r="AM22" s="5">
        <f>(AK22-AK21)*(INDEX([3]非r将兵属性验证!$AC$7:$AC$166,$AI22,1)*0.5+INDEX([3]非r将兵属性验证!$AX$7:$AX$166,$AI22,1)*0.5)+AM21</f>
        <v>79178531898.287689</v>
      </c>
      <c r="AN22" s="50">
        <f>IFERROR(求节点(付费投放!$T$11:$T$51,付费投放!$Z$11:$Z$51,AI22),0)</f>
        <v>1077248.0519612178</v>
      </c>
      <c r="AV22" s="51">
        <v>12</v>
      </c>
      <c r="AW22" s="51">
        <f t="shared" si="3"/>
        <v>0</v>
      </c>
      <c r="AX22" s="51">
        <f t="shared" si="4"/>
        <v>0</v>
      </c>
      <c r="AY22" s="51">
        <f t="shared" si="5"/>
        <v>0</v>
      </c>
      <c r="AZ22" s="51">
        <f t="shared" si="6"/>
        <v>0</v>
      </c>
      <c r="BA22" s="51">
        <f t="shared" si="7"/>
        <v>0</v>
      </c>
      <c r="BB22" s="51">
        <f t="shared" si="8"/>
        <v>0</v>
      </c>
      <c r="BC22" s="51">
        <f t="shared" si="9"/>
        <v>0</v>
      </c>
      <c r="BD22" s="51">
        <f t="shared" si="10"/>
        <v>0</v>
      </c>
      <c r="BE22" s="51">
        <f t="shared" si="11"/>
        <v>0</v>
      </c>
      <c r="BF22" s="51">
        <f t="shared" si="12"/>
        <v>0</v>
      </c>
    </row>
    <row r="23" spans="1:58" x14ac:dyDescent="0.15">
      <c r="C23" s="16" t="s">
        <v>66</v>
      </c>
      <c r="L23" s="29">
        <f>基础状态预估!C23</f>
        <v>270</v>
      </c>
      <c r="M23" s="29">
        <f>基础状态预估!D23</f>
        <v>80.816370674194118</v>
      </c>
      <c r="N23" s="65">
        <f>基础状态预估!L23*D$10/3</f>
        <v>0</v>
      </c>
      <c r="O23" s="65">
        <f>基础状态预估!M23*E$10/3</f>
        <v>0</v>
      </c>
      <c r="P23" s="65">
        <f>基础状态预估!N23*F$10/3</f>
        <v>0</v>
      </c>
      <c r="Q23" s="65">
        <f>基础状态预估!O23*G$10/3</f>
        <v>17.346903460644707</v>
      </c>
      <c r="R23" s="65">
        <f>基础状态预估!P23*H$10/3</f>
        <v>9.3061930787105887</v>
      </c>
      <c r="S23" s="65">
        <f>基础状态预估!Q23*I$10/3</f>
        <v>0</v>
      </c>
      <c r="T23" s="65">
        <f t="shared" si="0"/>
        <v>26.653096539355296</v>
      </c>
      <c r="U23" s="65">
        <f>基础状态预估!L23*D$15</f>
        <v>0</v>
      </c>
      <c r="V23" s="65">
        <f>基础状态预估!M23*E$15</f>
        <v>0</v>
      </c>
      <c r="W23" s="65">
        <f>基础状态预估!N23*F$15</f>
        <v>0</v>
      </c>
      <c r="X23" s="65">
        <f>基础状态预估!O23*G$15</f>
        <v>0.17346903460644708</v>
      </c>
      <c r="Y23" s="65">
        <f>基础状态预估!P23*H$15</f>
        <v>6.9796448090329422E-2</v>
      </c>
      <c r="Z23" s="65">
        <f>基础状态预估!Q23*I$15</f>
        <v>0</v>
      </c>
      <c r="AA23" s="65">
        <f t="shared" si="1"/>
        <v>0.2432654826967765</v>
      </c>
      <c r="AI23" s="18">
        <v>130</v>
      </c>
      <c r="AJ23" s="18">
        <f t="shared" si="13"/>
        <v>65.150911979201069</v>
      </c>
      <c r="AK23" s="18">
        <f t="shared" si="2"/>
        <v>0.78181094375041293</v>
      </c>
      <c r="AL23" s="28">
        <f>(AJ23-AJ22)*(INDEX([3]非r将兵属性验证!$V$7:$V$166,$AI23,1)+INDEX([3]非r将兵属性验证!$AP$7:$AP$166,$AI23,1))+AL22</f>
        <v>62439785431.147751</v>
      </c>
      <c r="AM23" s="5">
        <f>(AK23-AK22)*(INDEX([3]非r将兵属性验证!$AC$7:$AC$166,$AI23,1)*0.5+INDEX([3]非r将兵属性验证!$AX$7:$AX$166,$AI23,1)*0.5)+AM22</f>
        <v>86223300159.101425</v>
      </c>
      <c r="AN23" s="50">
        <f>IFERROR(求节点(付费投放!$T$11:$T$51,付费投放!$Z$11:$Z$51,AI23),0)</f>
        <v>4577378.4614845859</v>
      </c>
      <c r="AV23" s="51">
        <v>13</v>
      </c>
      <c r="AW23" s="51">
        <f t="shared" si="3"/>
        <v>0</v>
      </c>
      <c r="AX23" s="51">
        <f t="shared" si="4"/>
        <v>0</v>
      </c>
      <c r="AY23" s="51">
        <f t="shared" si="5"/>
        <v>0</v>
      </c>
      <c r="AZ23" s="51">
        <f t="shared" si="6"/>
        <v>0</v>
      </c>
      <c r="BA23" s="51">
        <f t="shared" si="7"/>
        <v>0</v>
      </c>
      <c r="BB23" s="51">
        <f t="shared" si="8"/>
        <v>0</v>
      </c>
      <c r="BC23" s="51">
        <f t="shared" si="9"/>
        <v>0</v>
      </c>
      <c r="BD23" s="51">
        <f t="shared" si="10"/>
        <v>0</v>
      </c>
      <c r="BE23" s="51">
        <f t="shared" si="11"/>
        <v>0</v>
      </c>
      <c r="BF23" s="51">
        <f t="shared" si="12"/>
        <v>0</v>
      </c>
    </row>
    <row r="24" spans="1:58" x14ac:dyDescent="0.15">
      <c r="C24" s="16" t="s">
        <v>77</v>
      </c>
      <c r="D24" s="16" t="s">
        <v>78</v>
      </c>
      <c r="E24" s="4" t="s">
        <v>207</v>
      </c>
      <c r="L24" s="29">
        <f>基础状态预估!C24</f>
        <v>300</v>
      </c>
      <c r="M24" s="29">
        <f>基础状态预估!D24</f>
        <v>82.328492296001457</v>
      </c>
      <c r="N24" s="65">
        <f>基础状态预估!L24*D$10/3</f>
        <v>5.9211894646675012E-16</v>
      </c>
      <c r="O24" s="65">
        <f>基础状态预估!M24*E$10/3</f>
        <v>-1.1842378929335002E-15</v>
      </c>
      <c r="P24" s="65">
        <f>基础状态预估!N24*F$10/3</f>
        <v>1.7763568394002505E-15</v>
      </c>
      <c r="Q24" s="65">
        <f>基础状态预估!O24*G$10/3</f>
        <v>16.137206163198833</v>
      </c>
      <c r="R24" s="65">
        <f>基础状态预估!P24*H$10/3</f>
        <v>11.725587673602332</v>
      </c>
      <c r="S24" s="65">
        <f>基础状态预估!Q24*I$10/3</f>
        <v>0</v>
      </c>
      <c r="T24" s="65">
        <f t="shared" si="0"/>
        <v>27.862793836801167</v>
      </c>
      <c r="U24" s="65">
        <f>基础状态预估!L24*D$15</f>
        <v>8.8817841970012525E-18</v>
      </c>
      <c r="V24" s="65">
        <f>基础状态预估!M24*E$15</f>
        <v>-1.7763568394002505E-17</v>
      </c>
      <c r="W24" s="65">
        <f>基础状态预估!N24*F$15</f>
        <v>1.7763568394002505E-17</v>
      </c>
      <c r="X24" s="65">
        <f>基础状态预估!O24*G$15</f>
        <v>0.16137206163198833</v>
      </c>
      <c r="Y24" s="65">
        <f>基础状态预估!P24*H$15</f>
        <v>8.7941907552017487E-2</v>
      </c>
      <c r="Z24" s="65">
        <f>基础状态预估!Q24*I$15</f>
        <v>0</v>
      </c>
      <c r="AA24" s="65">
        <f t="shared" si="1"/>
        <v>0.24931396918400583</v>
      </c>
      <c r="AI24" s="18">
        <v>140</v>
      </c>
      <c r="AJ24" s="18">
        <f t="shared" si="13"/>
        <v>65.656163541689608</v>
      </c>
      <c r="AK24" s="18">
        <f t="shared" si="2"/>
        <v>0.7878739625002753</v>
      </c>
      <c r="AL24" s="28">
        <f>(AJ24-AJ23)*(INDEX([3]非r将兵属性验证!$V$7:$V$166,$AI24,1)+INDEX([3]非r将兵属性验证!$AP$7:$AP$166,$AI24,1))+AL23</f>
        <v>65912491897.269585</v>
      </c>
      <c r="AM24" s="5">
        <f>(AK24-AK23)*(INDEX([3]非r将兵属性验证!$AC$7:$AC$166,$AI24,1)*0.5+INDEX([3]非r将兵属性验证!$AX$7:$AX$166,$AI24,1)*0.5)+AM23</f>
        <v>89521475546.570175</v>
      </c>
      <c r="AN24" s="50">
        <f>IFERROR(求节点(付费投放!$T$11:$T$51,付费投放!$Z$11:$Z$51,AI24),0)</f>
        <v>8871585.6409897245</v>
      </c>
      <c r="AV24" s="51">
        <v>14</v>
      </c>
      <c r="AW24" s="51">
        <f t="shared" si="3"/>
        <v>0</v>
      </c>
      <c r="AX24" s="51">
        <f t="shared" si="4"/>
        <v>0</v>
      </c>
      <c r="AY24" s="51">
        <f t="shared" si="5"/>
        <v>0</v>
      </c>
      <c r="AZ24" s="51">
        <f t="shared" si="6"/>
        <v>0</v>
      </c>
      <c r="BA24" s="51">
        <f t="shared" si="7"/>
        <v>0</v>
      </c>
      <c r="BB24" s="51">
        <f t="shared" si="8"/>
        <v>0</v>
      </c>
      <c r="BC24" s="51">
        <f t="shared" si="9"/>
        <v>0</v>
      </c>
      <c r="BD24" s="51">
        <f t="shared" si="10"/>
        <v>0</v>
      </c>
      <c r="BE24" s="51">
        <f t="shared" si="11"/>
        <v>0</v>
      </c>
      <c r="BF24" s="51">
        <f t="shared" si="12"/>
        <v>0</v>
      </c>
    </row>
    <row r="25" spans="1:58" x14ac:dyDescent="0.15">
      <c r="C25" s="16" t="s">
        <v>67</v>
      </c>
      <c r="D25" s="9">
        <v>1.4999999999999999E-2</v>
      </c>
      <c r="E25" s="73">
        <f>D25/2</f>
        <v>7.4999999999999997E-3</v>
      </c>
      <c r="L25" s="29">
        <f>基础状态预估!C25</f>
        <v>360</v>
      </c>
      <c r="M25" s="29">
        <f>基础状态预估!D25</f>
        <v>84.957158709068153</v>
      </c>
      <c r="N25" s="65">
        <f>基础状态预估!L25*D$10/3</f>
        <v>0</v>
      </c>
      <c r="O25" s="65">
        <f>基础状态预估!M25*E$10/3</f>
        <v>0</v>
      </c>
      <c r="P25" s="65">
        <f>基础状态预估!N25*F$10/3</f>
        <v>0</v>
      </c>
      <c r="Q25" s="65">
        <f>基础状态预估!O25*G$10/3</f>
        <v>14.03427303274548</v>
      </c>
      <c r="R25" s="65">
        <f>基础状态预估!P25*H$10/3</f>
        <v>15.931453934509044</v>
      </c>
      <c r="S25" s="65">
        <f>基础状态预估!Q25*I$10/3</f>
        <v>0</v>
      </c>
      <c r="T25" s="65">
        <f t="shared" si="0"/>
        <v>29.965726967254525</v>
      </c>
      <c r="U25" s="65">
        <f>基础状态预估!L25*D$15</f>
        <v>0</v>
      </c>
      <c r="V25" s="65">
        <f>基础状态预估!M25*E$15</f>
        <v>0</v>
      </c>
      <c r="W25" s="65">
        <f>基础状态预估!N25*F$15</f>
        <v>0</v>
      </c>
      <c r="X25" s="65">
        <f>基础状态预估!O25*G$15</f>
        <v>0.14034273032745481</v>
      </c>
      <c r="Y25" s="65">
        <f>基础状态预估!P25*H$15</f>
        <v>0.11948590450881783</v>
      </c>
      <c r="Z25" s="65">
        <f>基础状态预估!Q25*I$15</f>
        <v>0</v>
      </c>
      <c r="AA25" s="65">
        <f t="shared" si="1"/>
        <v>0.25982863483627261</v>
      </c>
      <c r="AI25" s="18">
        <v>150</v>
      </c>
      <c r="AJ25" s="18">
        <f t="shared" si="13"/>
        <v>66.161415104178133</v>
      </c>
      <c r="AK25" s="18">
        <f t="shared" si="2"/>
        <v>0.79393698125013767</v>
      </c>
      <c r="AL25" s="28">
        <f>(AJ25-AJ24)*(INDEX([3]非r将兵属性验证!$V$7:$V$166,$AI25,1)+INDEX([3]非r将兵属性验证!$AP$7:$AP$166,$AI25,1))+AL24</f>
        <v>70961749662.553146</v>
      </c>
      <c r="AM25" s="5">
        <f>(AK25-AK24)*(INDEX([3]非r将兵属性验证!$AC$7:$AC$166,$AI25,1)*0.5+INDEX([3]非r将兵属性验证!$AX$7:$AX$166,$AI25,1)*0.5)+AM24</f>
        <v>94141891979.293564</v>
      </c>
      <c r="AN25" s="50">
        <f>IFERROR(求节点(付费投放!$T$11:$T$51,付费投放!$Z$11:$Z$51,AI25),0)</f>
        <v>13165792.820494862</v>
      </c>
      <c r="AV25" s="51">
        <v>15</v>
      </c>
      <c r="AW25" s="51">
        <f t="shared" si="3"/>
        <v>0</v>
      </c>
      <c r="AX25" s="51">
        <f t="shared" si="4"/>
        <v>0</v>
      </c>
      <c r="AY25" s="51">
        <f t="shared" si="5"/>
        <v>0</v>
      </c>
      <c r="AZ25" s="51">
        <f t="shared" si="6"/>
        <v>0</v>
      </c>
      <c r="BA25" s="51">
        <f t="shared" si="7"/>
        <v>0</v>
      </c>
      <c r="BB25" s="51">
        <f t="shared" si="8"/>
        <v>0</v>
      </c>
      <c r="BC25" s="51">
        <f t="shared" si="9"/>
        <v>0</v>
      </c>
      <c r="BD25" s="51">
        <f t="shared" si="10"/>
        <v>0</v>
      </c>
      <c r="BE25" s="51">
        <f t="shared" si="11"/>
        <v>0</v>
      </c>
      <c r="BF25" s="51">
        <f t="shared" si="12"/>
        <v>0</v>
      </c>
    </row>
    <row r="26" spans="1:58" x14ac:dyDescent="0.15">
      <c r="C26" s="16" t="s">
        <v>68</v>
      </c>
      <c r="D26" s="9">
        <v>0.03</v>
      </c>
      <c r="E26" s="73">
        <f t="shared" ref="E26:E44" si="15">D26/2</f>
        <v>1.4999999999999999E-2</v>
      </c>
      <c r="L26" s="29">
        <f>基础状态预估!C26</f>
        <v>420</v>
      </c>
      <c r="M26" s="29">
        <f>基础状态预估!D26</f>
        <v>87.171758893450118</v>
      </c>
      <c r="N26" s="65">
        <f>基础状态预估!L26*D$10/3</f>
        <v>0</v>
      </c>
      <c r="O26" s="65">
        <f>基础状态预估!M26*E$10/3</f>
        <v>0</v>
      </c>
      <c r="P26" s="65">
        <f>基础状态预估!N26*F$10/3</f>
        <v>0</v>
      </c>
      <c r="Q26" s="65">
        <f>基础状态预估!O26*G$10/3</f>
        <v>0</v>
      </c>
      <c r="R26" s="65">
        <f>基础状态预估!P26*H$10/3</f>
        <v>34.087530961746637</v>
      </c>
      <c r="S26" s="65">
        <f>基础状态预估!Q26*I$10/3</f>
        <v>2.171758893450118</v>
      </c>
      <c r="T26" s="65">
        <f t="shared" si="0"/>
        <v>36.259289855196755</v>
      </c>
      <c r="U26" s="65">
        <f>基础状态预估!L26*D$15</f>
        <v>0</v>
      </c>
      <c r="V26" s="65">
        <f>基础状态预估!M26*E$15</f>
        <v>0</v>
      </c>
      <c r="W26" s="65">
        <f>基础状态预估!N26*F$15</f>
        <v>0</v>
      </c>
      <c r="X26" s="65">
        <f>基础状态预估!O26*G$15</f>
        <v>0</v>
      </c>
      <c r="Y26" s="65">
        <f>基础状态预估!P26*H$15</f>
        <v>0.25565648221309978</v>
      </c>
      <c r="Z26" s="65">
        <f>基础状态预估!Q26*I$15</f>
        <v>2.6061106721401415E-2</v>
      </c>
      <c r="AA26" s="65">
        <f t="shared" si="1"/>
        <v>0.28171758893450122</v>
      </c>
      <c r="AI26" s="18">
        <v>160</v>
      </c>
      <c r="AJ26" s="18">
        <f t="shared" si="13"/>
        <v>66.666666666666671</v>
      </c>
      <c r="AK26" s="18">
        <f t="shared" si="2"/>
        <v>0.8</v>
      </c>
      <c r="AL26" s="28">
        <f>(AJ26-AJ25)*(INDEX([3]非r将兵属性验证!$V$7:$V$166,$AI26,1)+INDEX([3]非r将兵属性验证!$AP$7:$AP$166,$AI26,1))+AL25</f>
        <v>77464445259.916641</v>
      </c>
      <c r="AM26" s="5">
        <f>(AK26-AK25)*(INDEX([3]非r将兵属性验证!$AC$7:$AC$166,$AI26,1)*0.5+INDEX([3]非r将兵属性验证!$AX$7:$AX$166,$AI26,1)*0.5)+AM25</f>
        <v>100050218656.56921</v>
      </c>
      <c r="AN26" s="50">
        <f>IFERROR(求节点(付费投放!$T$11:$T$51,付费投放!$Z$11:$Z$51,AI26),0)</f>
        <v>17460000</v>
      </c>
      <c r="AV26" s="51">
        <v>16</v>
      </c>
      <c r="AW26" s="51">
        <f t="shared" si="3"/>
        <v>0</v>
      </c>
      <c r="AX26" s="51">
        <f t="shared" si="4"/>
        <v>0</v>
      </c>
      <c r="AY26" s="51">
        <f t="shared" si="5"/>
        <v>0</v>
      </c>
      <c r="AZ26" s="51">
        <f t="shared" si="6"/>
        <v>0</v>
      </c>
      <c r="BA26" s="51">
        <f t="shared" si="7"/>
        <v>0</v>
      </c>
      <c r="BB26" s="51">
        <f t="shared" si="8"/>
        <v>0</v>
      </c>
      <c r="BC26" s="51">
        <f t="shared" si="9"/>
        <v>0</v>
      </c>
      <c r="BD26" s="51">
        <f t="shared" si="10"/>
        <v>0</v>
      </c>
      <c r="BE26" s="51">
        <f t="shared" si="11"/>
        <v>0</v>
      </c>
      <c r="BF26" s="51">
        <f t="shared" si="12"/>
        <v>0</v>
      </c>
    </row>
    <row r="27" spans="1:58" x14ac:dyDescent="0.15">
      <c r="C27" s="16" t="s">
        <v>69</v>
      </c>
      <c r="D27" s="9">
        <v>0.01</v>
      </c>
      <c r="E27" s="73">
        <f t="shared" si="15"/>
        <v>5.0000000000000001E-3</v>
      </c>
      <c r="L27" s="29">
        <f>基础状态预估!C27</f>
        <v>480</v>
      </c>
      <c r="M27" s="29">
        <f>基础状态预估!D27</f>
        <v>89.095870094999412</v>
      </c>
      <c r="N27" s="65">
        <f>基础状态预估!L27*D$10/3</f>
        <v>0</v>
      </c>
      <c r="O27" s="65">
        <f>基础状态预估!M27*E$10/3</f>
        <v>0</v>
      </c>
      <c r="P27" s="65">
        <f>基础状态预估!N27*F$10/3</f>
        <v>0</v>
      </c>
      <c r="Q27" s="65">
        <f>基础状态预估!O27*G$10/3</f>
        <v>0</v>
      </c>
      <c r="R27" s="65">
        <f>基础状态预估!P27*H$10/3</f>
        <v>33.57443464133349</v>
      </c>
      <c r="S27" s="65">
        <f>基础状态预估!Q27*I$10/3</f>
        <v>4.0958700949994116</v>
      </c>
      <c r="T27" s="65">
        <f t="shared" si="0"/>
        <v>37.670304736332902</v>
      </c>
      <c r="U27" s="65">
        <f>基础状态预估!L27*D$15</f>
        <v>0</v>
      </c>
      <c r="V27" s="65">
        <f>基础状态预估!M27*E$15</f>
        <v>0</v>
      </c>
      <c r="W27" s="65">
        <f>基础状态预估!N27*F$15</f>
        <v>0</v>
      </c>
      <c r="X27" s="65">
        <f>基础状态预估!O27*G$15</f>
        <v>0</v>
      </c>
      <c r="Y27" s="65">
        <f>基础状态预估!P27*H$15</f>
        <v>0.25180825981000121</v>
      </c>
      <c r="Z27" s="65">
        <f>基础状态预估!Q27*I$15</f>
        <v>4.9150441139992944E-2</v>
      </c>
      <c r="AA27" s="65">
        <f t="shared" si="1"/>
        <v>0.30095870094999416</v>
      </c>
      <c r="AV27" s="51">
        <v>17</v>
      </c>
      <c r="AW27" s="51">
        <f t="shared" si="3"/>
        <v>0</v>
      </c>
      <c r="AX27" s="51">
        <f t="shared" si="4"/>
        <v>0</v>
      </c>
      <c r="AY27" s="51">
        <f t="shared" si="5"/>
        <v>0</v>
      </c>
      <c r="AZ27" s="51">
        <f t="shared" si="6"/>
        <v>0</v>
      </c>
      <c r="BA27" s="51">
        <f t="shared" si="7"/>
        <v>0</v>
      </c>
      <c r="BB27" s="51">
        <f t="shared" si="8"/>
        <v>0</v>
      </c>
      <c r="BC27" s="51">
        <f t="shared" si="9"/>
        <v>0</v>
      </c>
      <c r="BD27" s="51">
        <f t="shared" si="10"/>
        <v>0</v>
      </c>
      <c r="BE27" s="51">
        <f t="shared" si="11"/>
        <v>0</v>
      </c>
      <c r="BF27" s="51">
        <f t="shared" si="12"/>
        <v>0</v>
      </c>
    </row>
    <row r="28" spans="1:58" x14ac:dyDescent="0.15">
      <c r="C28" s="16" t="s">
        <v>70</v>
      </c>
      <c r="D28" s="9">
        <v>0.02</v>
      </c>
      <c r="E28" s="73">
        <f t="shared" si="15"/>
        <v>0.01</v>
      </c>
      <c r="L28" s="29">
        <f>基础状态预估!C28</f>
        <v>540</v>
      </c>
      <c r="M28" s="29">
        <f>基础状态预估!D28</f>
        <v>90.789158318387649</v>
      </c>
      <c r="N28" s="65">
        <f>基础状态预估!L28*D$10/3</f>
        <v>0</v>
      </c>
      <c r="O28" s="65">
        <f>基础状态预估!M28*E$10/3</f>
        <v>0</v>
      </c>
      <c r="P28" s="65">
        <f>基础状态预估!N28*F$10/3</f>
        <v>0</v>
      </c>
      <c r="Q28" s="65">
        <f>基础状态预估!O28*G$10/3</f>
        <v>0</v>
      </c>
      <c r="R28" s="65">
        <f>基础状态预估!P28*H$10/3</f>
        <v>33.084628893599046</v>
      </c>
      <c r="S28" s="65">
        <f>基础状态预估!Q28*I$10/3</f>
        <v>5.7891583183876492</v>
      </c>
      <c r="T28" s="65">
        <f t="shared" si="0"/>
        <v>38.873787211986695</v>
      </c>
      <c r="U28" s="65">
        <f>基础状态预估!L28*D$15</f>
        <v>0</v>
      </c>
      <c r="V28" s="65">
        <f>基础状态预估!M28*E$15</f>
        <v>0</v>
      </c>
      <c r="W28" s="65">
        <f>基础状态预估!N28*F$15</f>
        <v>0</v>
      </c>
      <c r="X28" s="65">
        <f>基础状态预估!O28*G$15</f>
        <v>0</v>
      </c>
      <c r="Y28" s="65">
        <f>基础状态预估!P28*H$15</f>
        <v>0.24813471670199286</v>
      </c>
      <c r="Z28" s="65">
        <f>基础状态预估!Q28*I$15</f>
        <v>6.9469899820651784E-2</v>
      </c>
      <c r="AA28" s="65">
        <f t="shared" si="1"/>
        <v>0.31760461652264466</v>
      </c>
      <c r="AM28" s="16">
        <f>AM15/AL15</f>
        <v>8.5602873952402465</v>
      </c>
      <c r="AV28" s="51">
        <v>18</v>
      </c>
      <c r="AW28" s="51">
        <f t="shared" si="3"/>
        <v>0</v>
      </c>
      <c r="AX28" s="51">
        <f t="shared" si="4"/>
        <v>0</v>
      </c>
      <c r="AY28" s="51">
        <f t="shared" si="5"/>
        <v>0</v>
      </c>
      <c r="AZ28" s="51">
        <f t="shared" si="6"/>
        <v>0</v>
      </c>
      <c r="BA28" s="51">
        <f t="shared" si="7"/>
        <v>0</v>
      </c>
      <c r="BB28" s="51">
        <f t="shared" si="8"/>
        <v>0</v>
      </c>
      <c r="BC28" s="51">
        <f t="shared" si="9"/>
        <v>0</v>
      </c>
      <c r="BD28" s="51">
        <f t="shared" si="10"/>
        <v>0</v>
      </c>
      <c r="BE28" s="51">
        <f t="shared" si="11"/>
        <v>0</v>
      </c>
      <c r="BF28" s="51">
        <f t="shared" si="12"/>
        <v>0</v>
      </c>
    </row>
    <row r="29" spans="1:58" x14ac:dyDescent="0.15">
      <c r="C29" s="16" t="s">
        <v>76</v>
      </c>
      <c r="D29" s="9">
        <v>1.4999999999999999E-2</v>
      </c>
      <c r="E29" s="73">
        <f t="shared" si="15"/>
        <v>7.4999999999999997E-3</v>
      </c>
      <c r="L29" s="29">
        <f>基础状态预估!C29</f>
        <v>600</v>
      </c>
      <c r="M29" s="29">
        <f>基础状态预估!D29</f>
        <v>92.304802564325527</v>
      </c>
      <c r="N29" s="65">
        <f>基础状态预估!L29*D$10/3</f>
        <v>0</v>
      </c>
      <c r="O29" s="65">
        <f>基础状态预估!M29*E$10/3</f>
        <v>0</v>
      </c>
      <c r="P29" s="65">
        <f>基础状态预估!N29*F$10/3</f>
        <v>0</v>
      </c>
      <c r="Q29" s="65">
        <f>基础状态预估!O29*G$10/3</f>
        <v>0</v>
      </c>
      <c r="R29" s="65">
        <f>基础状态预估!P29*H$10/3</f>
        <v>32.606971313061045</v>
      </c>
      <c r="S29" s="65">
        <f>基础状态预估!Q29*I$10/3</f>
        <v>7.3048025643255272</v>
      </c>
      <c r="T29" s="65">
        <f t="shared" si="0"/>
        <v>39.911773877386572</v>
      </c>
      <c r="U29" s="65">
        <f>基础状态预估!L29*D$15</f>
        <v>0</v>
      </c>
      <c r="V29" s="65">
        <f>基础状态预估!M29*E$15</f>
        <v>0</v>
      </c>
      <c r="W29" s="65">
        <f>基础状态预估!N29*F$15</f>
        <v>0</v>
      </c>
      <c r="X29" s="65">
        <f>基础状态预估!O29*G$15</f>
        <v>0</v>
      </c>
      <c r="Y29" s="65">
        <f>基础状态预估!P29*H$15</f>
        <v>0.24455228484795782</v>
      </c>
      <c r="Z29" s="65">
        <f>基础状态预估!Q29*I$15</f>
        <v>8.7657630771906331E-2</v>
      </c>
      <c r="AA29" s="65">
        <f t="shared" si="1"/>
        <v>0.33220991561986413</v>
      </c>
      <c r="AV29" s="51">
        <v>19</v>
      </c>
      <c r="AW29" s="51">
        <f t="shared" si="3"/>
        <v>0</v>
      </c>
      <c r="AX29" s="51">
        <f t="shared" si="4"/>
        <v>0</v>
      </c>
      <c r="AY29" s="51">
        <f t="shared" si="5"/>
        <v>0</v>
      </c>
      <c r="AZ29" s="51">
        <f t="shared" si="6"/>
        <v>0</v>
      </c>
      <c r="BA29" s="51">
        <f t="shared" si="7"/>
        <v>0</v>
      </c>
      <c r="BB29" s="51">
        <f t="shared" si="8"/>
        <v>0</v>
      </c>
      <c r="BC29" s="51">
        <f t="shared" si="9"/>
        <v>0</v>
      </c>
      <c r="BD29" s="51">
        <f t="shared" si="10"/>
        <v>0</v>
      </c>
      <c r="BE29" s="51">
        <f t="shared" si="11"/>
        <v>0</v>
      </c>
      <c r="BF29" s="51">
        <f t="shared" si="12"/>
        <v>0</v>
      </c>
    </row>
    <row r="30" spans="1:58" x14ac:dyDescent="0.15">
      <c r="C30" s="16" t="s">
        <v>71</v>
      </c>
      <c r="D30" s="9">
        <v>1.4999999999999999E-2</v>
      </c>
      <c r="E30" s="73">
        <f t="shared" si="15"/>
        <v>7.4999999999999997E-3</v>
      </c>
      <c r="L30" s="29">
        <f>基础状态预估!C30</f>
        <v>660</v>
      </c>
      <c r="M30" s="29">
        <f>基础状态预估!D30</f>
        <v>93.677555929742169</v>
      </c>
      <c r="N30" s="65">
        <f>基础状态预估!L30*D$10/3</f>
        <v>0</v>
      </c>
      <c r="O30" s="65">
        <f>基础状态预估!M30*E$10/3</f>
        <v>0</v>
      </c>
      <c r="P30" s="65">
        <f>基础状态预估!N30*F$10/3</f>
        <v>0</v>
      </c>
      <c r="Q30" s="65">
        <f>基础状态预估!O30*G$10/3</f>
        <v>0</v>
      </c>
      <c r="R30" s="65">
        <f>基础状态预估!P30*H$10/3</f>
        <v>32.174346010020649</v>
      </c>
      <c r="S30" s="65">
        <f>基础状态预估!Q30*I$10/3</f>
        <v>8.6775559297421694</v>
      </c>
      <c r="T30" s="65">
        <f t="shared" si="0"/>
        <v>40.851901939762818</v>
      </c>
      <c r="U30" s="65">
        <f>基础状态预估!L30*D$15</f>
        <v>0</v>
      </c>
      <c r="V30" s="65">
        <f>基础状态预估!M30*E$15</f>
        <v>0</v>
      </c>
      <c r="W30" s="65">
        <f>基础状态预估!N30*F$15</f>
        <v>0</v>
      </c>
      <c r="X30" s="65">
        <f>基础状态预估!O30*G$15</f>
        <v>0</v>
      </c>
      <c r="Y30" s="65">
        <f>基础状态预估!P30*H$15</f>
        <v>0.2413075950751549</v>
      </c>
      <c r="Z30" s="65">
        <f>基础状态预估!Q30*I$15</f>
        <v>0.10413067115690604</v>
      </c>
      <c r="AA30" s="65">
        <f t="shared" si="1"/>
        <v>0.34543826623206092</v>
      </c>
      <c r="AV30" s="51">
        <v>20</v>
      </c>
      <c r="AW30" s="51">
        <f t="shared" si="3"/>
        <v>0</v>
      </c>
      <c r="AX30" s="51">
        <f t="shared" si="4"/>
        <v>0</v>
      </c>
      <c r="AY30" s="51">
        <f t="shared" si="5"/>
        <v>0</v>
      </c>
      <c r="AZ30" s="51">
        <f t="shared" si="6"/>
        <v>0</v>
      </c>
      <c r="BA30" s="51">
        <f t="shared" si="7"/>
        <v>0</v>
      </c>
      <c r="BB30" s="51">
        <f t="shared" si="8"/>
        <v>0</v>
      </c>
      <c r="BC30" s="51">
        <f t="shared" si="9"/>
        <v>0</v>
      </c>
      <c r="BD30" s="51">
        <f t="shared" si="10"/>
        <v>0</v>
      </c>
      <c r="BE30" s="51">
        <f t="shared" si="11"/>
        <v>0</v>
      </c>
      <c r="BF30" s="51">
        <f t="shared" si="12"/>
        <v>0</v>
      </c>
    </row>
    <row r="31" spans="1:58" x14ac:dyDescent="0.15">
      <c r="C31" s="16" t="s">
        <v>72</v>
      </c>
      <c r="D31" s="9">
        <v>0.03</v>
      </c>
      <c r="E31" s="73">
        <f t="shared" si="15"/>
        <v>1.4999999999999999E-2</v>
      </c>
      <c r="L31" s="29">
        <f>基础状态预估!C31</f>
        <v>720</v>
      </c>
      <c r="M31" s="29">
        <f>基础状态预估!D31</f>
        <v>94.936535599813325</v>
      </c>
      <c r="N31" s="65">
        <f>基础状态预估!L31*D$10/3</f>
        <v>0</v>
      </c>
      <c r="O31" s="65">
        <f>基础状态预估!M31*E$10/3</f>
        <v>0</v>
      </c>
      <c r="P31" s="65">
        <f>基础状态预估!N31*F$10/3</f>
        <v>0</v>
      </c>
      <c r="Q31" s="65">
        <f>基础状态预估!O31*G$10/3</f>
        <v>0</v>
      </c>
      <c r="R31" s="65">
        <f>基础状态预估!P31*H$10/3</f>
        <v>31.777576659452773</v>
      </c>
      <c r="S31" s="65">
        <f>基础状态预估!Q31*I$10/3</f>
        <v>9.9365355998133253</v>
      </c>
      <c r="T31" s="65">
        <f t="shared" si="0"/>
        <v>41.714112259266102</v>
      </c>
      <c r="U31" s="65">
        <f>基础状态预估!L31*D$15</f>
        <v>0</v>
      </c>
      <c r="V31" s="65">
        <f>基础状态预估!M31*E$15</f>
        <v>0</v>
      </c>
      <c r="W31" s="65">
        <f>基础状态预估!N31*F$15</f>
        <v>0</v>
      </c>
      <c r="X31" s="65">
        <f>基础状态预估!O31*G$15</f>
        <v>0</v>
      </c>
      <c r="Y31" s="65">
        <f>基础状态预估!P31*H$15</f>
        <v>0.2383318249458958</v>
      </c>
      <c r="Z31" s="65">
        <f>基础状态预估!Q31*I$15</f>
        <v>0.1192384271977599</v>
      </c>
      <c r="AA31" s="65">
        <f t="shared" si="1"/>
        <v>0.35757025214365568</v>
      </c>
      <c r="AV31" s="51">
        <v>21</v>
      </c>
      <c r="AW31" s="51">
        <f t="shared" si="3"/>
        <v>0</v>
      </c>
      <c r="AX31" s="51">
        <f t="shared" si="4"/>
        <v>0</v>
      </c>
      <c r="AY31" s="51">
        <f t="shared" si="5"/>
        <v>0</v>
      </c>
      <c r="AZ31" s="51">
        <f t="shared" si="6"/>
        <v>0</v>
      </c>
      <c r="BA31" s="51">
        <f t="shared" si="7"/>
        <v>0</v>
      </c>
      <c r="BB31" s="51">
        <f t="shared" si="8"/>
        <v>0</v>
      </c>
      <c r="BC31" s="51">
        <f t="shared" si="9"/>
        <v>0</v>
      </c>
      <c r="BD31" s="51">
        <f t="shared" si="10"/>
        <v>0</v>
      </c>
      <c r="BE31" s="51">
        <f t="shared" si="11"/>
        <v>0</v>
      </c>
      <c r="BF31" s="51">
        <f t="shared" si="12"/>
        <v>0</v>
      </c>
    </row>
    <row r="32" spans="1:58" x14ac:dyDescent="0.15">
      <c r="C32" s="16" t="s">
        <v>73</v>
      </c>
      <c r="D32" s="9">
        <v>0.01</v>
      </c>
      <c r="E32" s="73">
        <f t="shared" si="15"/>
        <v>5.0000000000000001E-3</v>
      </c>
      <c r="L32" s="29">
        <f>基础状态预估!C32</f>
        <v>780</v>
      </c>
      <c r="M32" s="29">
        <f>基础状态预估!D32</f>
        <v>96.088925601853575</v>
      </c>
      <c r="N32" s="65">
        <f>基础状态预估!L32*D$10/3</f>
        <v>-5.9211894646675012E-16</v>
      </c>
      <c r="O32" s="65">
        <f>基础状态预估!M32*E$10/3</f>
        <v>1.1842378929335002E-15</v>
      </c>
      <c r="P32" s="65">
        <f>基础状态预估!N32*F$10/3</f>
        <v>-1.7763568394002505E-15</v>
      </c>
      <c r="Q32" s="65">
        <f>基础状态预估!O32*G$10/3</f>
        <v>3.5527136788005009E-15</v>
      </c>
      <c r="R32" s="65">
        <f>基础状态预估!P32*H$10/3</f>
        <v>30.543258722781463</v>
      </c>
      <c r="S32" s="65">
        <f>基础状态预估!Q32*I$10/3</f>
        <v>12.177851203707149</v>
      </c>
      <c r="T32" s="65">
        <f t="shared" si="0"/>
        <v>42.721109926488616</v>
      </c>
      <c r="U32" s="65">
        <f>基础状态预估!L32*D$15</f>
        <v>-8.8817841970012525E-18</v>
      </c>
      <c r="V32" s="65">
        <f>基础状态预估!M32*E$15</f>
        <v>1.7763568394002505E-17</v>
      </c>
      <c r="W32" s="65">
        <f>基础状态预估!N32*F$15</f>
        <v>-1.7763568394002505E-17</v>
      </c>
      <c r="X32" s="65">
        <f>基础状态预估!O32*G$15</f>
        <v>3.552713678800501E-17</v>
      </c>
      <c r="Y32" s="65">
        <f>基础状态预估!P32*H$15</f>
        <v>0.22907444042086098</v>
      </c>
      <c r="Z32" s="65">
        <f>基础状态预估!Q32*I$15</f>
        <v>0.14613421444448579</v>
      </c>
      <c r="AA32" s="65">
        <f t="shared" si="1"/>
        <v>0.37520865486534682</v>
      </c>
      <c r="AV32" s="51">
        <v>22</v>
      </c>
      <c r="AW32" s="51">
        <f t="shared" si="3"/>
        <v>0</v>
      </c>
      <c r="AX32" s="51">
        <f t="shared" si="4"/>
        <v>0</v>
      </c>
      <c r="AY32" s="51">
        <f t="shared" si="5"/>
        <v>0</v>
      </c>
      <c r="AZ32" s="51">
        <f t="shared" si="6"/>
        <v>0</v>
      </c>
      <c r="BA32" s="51">
        <f t="shared" si="7"/>
        <v>0</v>
      </c>
      <c r="BB32" s="51">
        <f t="shared" si="8"/>
        <v>0</v>
      </c>
      <c r="BC32" s="51">
        <f t="shared" si="9"/>
        <v>0</v>
      </c>
      <c r="BD32" s="51">
        <f t="shared" si="10"/>
        <v>0</v>
      </c>
      <c r="BE32" s="51">
        <f t="shared" si="11"/>
        <v>0</v>
      </c>
      <c r="BF32" s="51">
        <f t="shared" si="12"/>
        <v>0</v>
      </c>
    </row>
    <row r="33" spans="2:58" x14ac:dyDescent="0.15">
      <c r="B33" s="37" t="s">
        <v>89</v>
      </c>
      <c r="C33" s="16" t="s">
        <v>74</v>
      </c>
      <c r="D33" s="9">
        <v>0.02</v>
      </c>
      <c r="E33" s="73">
        <f t="shared" si="15"/>
        <v>0.01</v>
      </c>
      <c r="L33" s="29">
        <f>基础状态预估!C33</f>
        <v>840</v>
      </c>
      <c r="M33" s="29">
        <f>基础状态预估!D33</f>
        <v>97.155007723537565</v>
      </c>
      <c r="N33" s="65">
        <f>基础状态预估!L33*D$10/3</f>
        <v>0</v>
      </c>
      <c r="O33" s="65">
        <f>基础状态预估!M33*E$10/3</f>
        <v>0</v>
      </c>
      <c r="P33" s="65">
        <f>基础状态预估!N33*F$10/3</f>
        <v>0</v>
      </c>
      <c r="Q33" s="65">
        <f>基础状态预估!O33*G$10/3</f>
        <v>0</v>
      </c>
      <c r="R33" s="65">
        <f>基础状态预估!P33*H$10/3</f>
        <v>29.354415629509628</v>
      </c>
      <c r="S33" s="65">
        <f>基础状态预估!Q33*I$10/3</f>
        <v>14.310015447075131</v>
      </c>
      <c r="T33" s="65">
        <f t="shared" si="0"/>
        <v>43.664431076584762</v>
      </c>
      <c r="U33" s="65">
        <f>基础状态预估!L33*D$15</f>
        <v>0</v>
      </c>
      <c r="V33" s="65">
        <f>基础状态预估!M33*E$15</f>
        <v>0</v>
      </c>
      <c r="W33" s="65">
        <f>基础状态预估!N33*F$15</f>
        <v>0</v>
      </c>
      <c r="X33" s="65">
        <f>基础状态预估!O33*G$15</f>
        <v>0</v>
      </c>
      <c r="Y33" s="65">
        <f>基础状态预估!P33*H$15</f>
        <v>0.2201581172213222</v>
      </c>
      <c r="Z33" s="65">
        <f>基础状态预估!Q33*I$15</f>
        <v>0.17172018536490158</v>
      </c>
      <c r="AA33" s="65">
        <f t="shared" si="1"/>
        <v>0.3918783025862238</v>
      </c>
      <c r="AV33" s="51">
        <v>23</v>
      </c>
      <c r="AW33" s="51">
        <f t="shared" si="3"/>
        <v>0</v>
      </c>
      <c r="AX33" s="51">
        <f t="shared" si="4"/>
        <v>0</v>
      </c>
      <c r="AY33" s="51">
        <f t="shared" si="5"/>
        <v>0</v>
      </c>
      <c r="AZ33" s="51">
        <f t="shared" si="6"/>
        <v>0</v>
      </c>
      <c r="BA33" s="51">
        <f t="shared" si="7"/>
        <v>0</v>
      </c>
      <c r="BB33" s="51">
        <f t="shared" si="8"/>
        <v>0</v>
      </c>
      <c r="BC33" s="51">
        <f t="shared" si="9"/>
        <v>0</v>
      </c>
      <c r="BD33" s="51">
        <f t="shared" si="10"/>
        <v>0</v>
      </c>
      <c r="BE33" s="51">
        <f t="shared" si="11"/>
        <v>0</v>
      </c>
      <c r="BF33" s="51">
        <f t="shared" si="12"/>
        <v>0</v>
      </c>
    </row>
    <row r="34" spans="2:58" x14ac:dyDescent="0.15">
      <c r="C34" s="16" t="s">
        <v>75</v>
      </c>
      <c r="D34" s="9">
        <v>1.4999999999999999E-2</v>
      </c>
      <c r="E34" s="73">
        <f t="shared" si="15"/>
        <v>7.4999999999999997E-3</v>
      </c>
      <c r="L34" s="29">
        <f>基础状态预估!C34</f>
        <v>900</v>
      </c>
      <c r="M34" s="29">
        <f>基础状态预估!D34</f>
        <v>98.149357978981357</v>
      </c>
      <c r="N34" s="65">
        <f>基础状态预估!L34*D$10/3</f>
        <v>0</v>
      </c>
      <c r="O34" s="65">
        <f>基础状态预估!M34*E$10/3</f>
        <v>0</v>
      </c>
      <c r="P34" s="65">
        <f>基础状态预估!N34*F$10/3</f>
        <v>0</v>
      </c>
      <c r="Q34" s="65">
        <f>基础状态预估!O34*G$10/3</f>
        <v>0</v>
      </c>
      <c r="R34" s="65">
        <f>基础状态预估!P34*H$10/3</f>
        <v>28.245564435560183</v>
      </c>
      <c r="S34" s="65">
        <f>基础状态预估!Q34*I$10/3</f>
        <v>16.298715957962713</v>
      </c>
      <c r="T34" s="65">
        <f t="shared" si="0"/>
        <v>44.544280393522897</v>
      </c>
      <c r="U34" s="65">
        <f>基础状态预估!L34*D$15</f>
        <v>0</v>
      </c>
      <c r="V34" s="65">
        <f>基础状态预估!M34*E$15</f>
        <v>0</v>
      </c>
      <c r="W34" s="65">
        <f>基础状态预估!N34*F$15</f>
        <v>0</v>
      </c>
      <c r="X34" s="65">
        <f>基础状态预估!O34*G$15</f>
        <v>0</v>
      </c>
      <c r="Y34" s="65">
        <f>基础状态预估!P34*H$15</f>
        <v>0.21184173326670139</v>
      </c>
      <c r="Z34" s="65">
        <f>基础状态预估!Q34*I$15</f>
        <v>0.19558459149555255</v>
      </c>
      <c r="AA34" s="65">
        <f t="shared" si="1"/>
        <v>0.40742632476225393</v>
      </c>
      <c r="AV34" s="51">
        <v>24</v>
      </c>
      <c r="AW34" s="51">
        <f t="shared" si="3"/>
        <v>0</v>
      </c>
      <c r="AX34" s="51">
        <f t="shared" si="4"/>
        <v>0</v>
      </c>
      <c r="AY34" s="51">
        <f t="shared" si="5"/>
        <v>0</v>
      </c>
      <c r="AZ34" s="51">
        <f t="shared" si="6"/>
        <v>0</v>
      </c>
      <c r="BA34" s="51">
        <f t="shared" si="7"/>
        <v>0</v>
      </c>
      <c r="BB34" s="51">
        <f t="shared" si="8"/>
        <v>0</v>
      </c>
      <c r="BC34" s="51">
        <f t="shared" si="9"/>
        <v>0</v>
      </c>
      <c r="BD34" s="51">
        <f t="shared" si="10"/>
        <v>0</v>
      </c>
      <c r="BE34" s="51">
        <f t="shared" si="11"/>
        <v>0</v>
      </c>
      <c r="BF34" s="51">
        <f t="shared" si="12"/>
        <v>0</v>
      </c>
    </row>
    <row r="35" spans="2:58" x14ac:dyDescent="0.15">
      <c r="C35" s="16" t="s">
        <v>79</v>
      </c>
      <c r="D35" s="9">
        <v>2.2499999999999999E-2</v>
      </c>
      <c r="E35" s="73">
        <f t="shared" si="15"/>
        <v>1.125E-2</v>
      </c>
      <c r="L35" s="29">
        <f>基础状态预估!C35</f>
        <v>1020</v>
      </c>
      <c r="M35" s="29">
        <f>基础状态预估!D35</f>
        <v>99.956251778790289</v>
      </c>
      <c r="N35" s="65">
        <f>基础状态预估!L35*D$10/3</f>
        <v>0</v>
      </c>
      <c r="O35" s="65">
        <f>基础状态预估!M35*E$10/3</f>
        <v>0</v>
      </c>
      <c r="P35" s="65">
        <f>基础状态预估!N35*F$10/3</f>
        <v>0</v>
      </c>
      <c r="Q35" s="65">
        <f>基础状态预估!O35*G$10/3</f>
        <v>0</v>
      </c>
      <c r="R35" s="65">
        <f>基础状态预估!P35*H$10/3</f>
        <v>26.230604076985372</v>
      </c>
      <c r="S35" s="65">
        <f>基础状态预估!Q35*I$10/3</f>
        <v>19.912503557580578</v>
      </c>
      <c r="T35" s="65">
        <f t="shared" si="0"/>
        <v>46.143107634565951</v>
      </c>
      <c r="U35" s="65">
        <f>基础状态预估!L35*D$15</f>
        <v>0</v>
      </c>
      <c r="V35" s="65">
        <f>基础状态预估!M35*E$15</f>
        <v>0</v>
      </c>
      <c r="W35" s="65">
        <f>基础状态预估!N35*F$15</f>
        <v>0</v>
      </c>
      <c r="X35" s="65">
        <f>基础状态预估!O35*G$15</f>
        <v>0</v>
      </c>
      <c r="Y35" s="65">
        <f>基础状态预估!P35*H$15</f>
        <v>0.19672953057739029</v>
      </c>
      <c r="Z35" s="65">
        <f>基础状态预估!Q35*I$15</f>
        <v>0.23895004269096695</v>
      </c>
      <c r="AA35" s="65">
        <f t="shared" si="1"/>
        <v>0.43567957326835727</v>
      </c>
      <c r="AV35" s="51">
        <v>25</v>
      </c>
      <c r="AW35" s="51">
        <f t="shared" si="3"/>
        <v>0</v>
      </c>
      <c r="AX35" s="51">
        <f t="shared" si="4"/>
        <v>0</v>
      </c>
      <c r="AY35" s="51">
        <f t="shared" si="5"/>
        <v>0</v>
      </c>
      <c r="AZ35" s="51">
        <f t="shared" si="6"/>
        <v>0</v>
      </c>
      <c r="BA35" s="51">
        <f t="shared" si="7"/>
        <v>0</v>
      </c>
      <c r="BB35" s="51">
        <f t="shared" si="8"/>
        <v>0</v>
      </c>
      <c r="BC35" s="51">
        <f t="shared" si="9"/>
        <v>0</v>
      </c>
      <c r="BD35" s="51">
        <f t="shared" si="10"/>
        <v>0</v>
      </c>
      <c r="BE35" s="51">
        <f t="shared" si="11"/>
        <v>0</v>
      </c>
      <c r="BF35" s="51">
        <f t="shared" si="12"/>
        <v>0</v>
      </c>
    </row>
    <row r="36" spans="2:58" x14ac:dyDescent="0.15">
      <c r="C36" s="16" t="s">
        <v>80</v>
      </c>
      <c r="D36" s="9">
        <v>4.4999999999999998E-2</v>
      </c>
      <c r="E36" s="73">
        <f t="shared" si="15"/>
        <v>2.2499999999999999E-2</v>
      </c>
      <c r="L36" s="29">
        <f>基础状态预估!C36</f>
        <v>1140</v>
      </c>
      <c r="M36" s="29">
        <f>基础状态预估!D36</f>
        <v>101.55228351453842</v>
      </c>
      <c r="N36" s="65">
        <f>基础状态预估!L36*D$10/3</f>
        <v>0</v>
      </c>
      <c r="O36" s="65">
        <f>基础状态预估!M36*E$10/3</f>
        <v>0</v>
      </c>
      <c r="P36" s="65">
        <f>基础状态预估!N36*F$10/3</f>
        <v>0</v>
      </c>
      <c r="Q36" s="65">
        <f>基础状态预估!O36*G$10/3</f>
        <v>0</v>
      </c>
      <c r="R36" s="65">
        <f>基础状态预估!P36*H$10/3</f>
        <v>24.428472383200049</v>
      </c>
      <c r="S36" s="65">
        <f>基础状态预估!Q36*I$10/3</f>
        <v>23.104567029076833</v>
      </c>
      <c r="T36" s="65">
        <f t="shared" si="0"/>
        <v>47.533039412276878</v>
      </c>
      <c r="U36" s="65">
        <f>基础状态预估!L36*D$15</f>
        <v>0</v>
      </c>
      <c r="V36" s="65">
        <f>基础状态预估!M36*E$15</f>
        <v>0</v>
      </c>
      <c r="W36" s="65">
        <f>基础状态预估!N36*F$15</f>
        <v>0</v>
      </c>
      <c r="X36" s="65">
        <f>基础状态预估!O36*G$15</f>
        <v>0</v>
      </c>
      <c r="Y36" s="65">
        <f>基础状态预估!P36*H$15</f>
        <v>0.18321354287400038</v>
      </c>
      <c r="Z36" s="65">
        <f>基础状态预估!Q36*I$15</f>
        <v>0.27725480434892197</v>
      </c>
      <c r="AA36" s="65">
        <f t="shared" si="1"/>
        <v>0.46046834722292235</v>
      </c>
      <c r="AV36" s="51">
        <v>26</v>
      </c>
      <c r="AW36" s="51">
        <f t="shared" si="3"/>
        <v>0</v>
      </c>
      <c r="AX36" s="51">
        <f t="shared" si="4"/>
        <v>0</v>
      </c>
      <c r="AY36" s="51">
        <f t="shared" si="5"/>
        <v>0</v>
      </c>
      <c r="AZ36" s="51">
        <f t="shared" si="6"/>
        <v>0</v>
      </c>
      <c r="BA36" s="51">
        <f t="shared" si="7"/>
        <v>0</v>
      </c>
      <c r="BB36" s="51">
        <f t="shared" si="8"/>
        <v>0</v>
      </c>
      <c r="BC36" s="51">
        <f t="shared" si="9"/>
        <v>0</v>
      </c>
      <c r="BD36" s="51">
        <f t="shared" si="10"/>
        <v>0</v>
      </c>
      <c r="BE36" s="51">
        <f t="shared" si="11"/>
        <v>0</v>
      </c>
      <c r="BF36" s="51">
        <f t="shared" si="12"/>
        <v>0</v>
      </c>
    </row>
    <row r="37" spans="2:58" x14ac:dyDescent="0.15">
      <c r="C37" s="16" t="s">
        <v>81</v>
      </c>
      <c r="D37" s="9">
        <v>1.4999999999999999E-2</v>
      </c>
      <c r="E37" s="73">
        <f t="shared" si="15"/>
        <v>7.4999999999999997E-3</v>
      </c>
      <c r="L37" s="29">
        <f>基础状态预估!C37</f>
        <v>1260</v>
      </c>
      <c r="M37" s="29">
        <f>基础状态预估!D37</f>
        <v>103.0034052427059</v>
      </c>
      <c r="N37" s="65">
        <f>基础状态预估!L37*D$10/3</f>
        <v>0</v>
      </c>
      <c r="O37" s="65">
        <f>基础状态预估!M37*E$10/3</f>
        <v>0</v>
      </c>
      <c r="P37" s="65">
        <f>基础状态预估!N37*F$10/3</f>
        <v>0</v>
      </c>
      <c r="Q37" s="65">
        <f>基础状态预估!O37*G$10/3</f>
        <v>0</v>
      </c>
      <c r="R37" s="65">
        <f>基础状态预估!P37*H$10/3</f>
        <v>22.751620608428748</v>
      </c>
      <c r="S37" s="65">
        <f>基础状态预估!Q37*I$10/3</f>
        <v>26.006810485411791</v>
      </c>
      <c r="T37" s="65">
        <f t="shared" si="0"/>
        <v>48.758431093840542</v>
      </c>
      <c r="U37" s="65">
        <f>基础状态预估!L37*D$15</f>
        <v>0</v>
      </c>
      <c r="V37" s="65">
        <f>基础状态预估!M37*E$15</f>
        <v>0</v>
      </c>
      <c r="W37" s="65">
        <f>基础状态预估!N37*F$15</f>
        <v>0</v>
      </c>
      <c r="X37" s="65">
        <f>基础状态预估!O37*G$15</f>
        <v>0</v>
      </c>
      <c r="Y37" s="65">
        <f>基础状态预估!P37*H$15</f>
        <v>0.1706371545632156</v>
      </c>
      <c r="Z37" s="65">
        <f>基础状态预估!Q37*I$15</f>
        <v>0.31208172582494148</v>
      </c>
      <c r="AA37" s="65">
        <f t="shared" si="1"/>
        <v>0.48271888038815708</v>
      </c>
      <c r="AV37" s="51">
        <v>27</v>
      </c>
      <c r="AW37" s="51">
        <f t="shared" si="3"/>
        <v>0</v>
      </c>
      <c r="AX37" s="51">
        <f t="shared" si="4"/>
        <v>0</v>
      </c>
      <c r="AY37" s="51">
        <f t="shared" si="5"/>
        <v>0</v>
      </c>
      <c r="AZ37" s="51">
        <f t="shared" si="6"/>
        <v>0</v>
      </c>
      <c r="BA37" s="51">
        <f t="shared" si="7"/>
        <v>0</v>
      </c>
      <c r="BB37" s="51">
        <f t="shared" si="8"/>
        <v>0</v>
      </c>
      <c r="BC37" s="51">
        <f t="shared" si="9"/>
        <v>0</v>
      </c>
      <c r="BD37" s="51">
        <f t="shared" si="10"/>
        <v>0</v>
      </c>
      <c r="BE37" s="51">
        <f t="shared" si="11"/>
        <v>0</v>
      </c>
      <c r="BF37" s="51">
        <f t="shared" si="12"/>
        <v>0</v>
      </c>
    </row>
    <row r="38" spans="2:58" x14ac:dyDescent="0.15">
      <c r="C38" s="16" t="s">
        <v>82</v>
      </c>
      <c r="D38" s="9">
        <v>0.03</v>
      </c>
      <c r="E38" s="73">
        <f t="shared" si="15"/>
        <v>1.4999999999999999E-2</v>
      </c>
      <c r="L38" s="29">
        <f>基础状态预估!C38</f>
        <v>1380</v>
      </c>
      <c r="M38" s="29">
        <f>基础状态预估!D38</f>
        <v>104.30753076754127</v>
      </c>
      <c r="N38" s="65">
        <f>基础状态预估!L38*D$10/3</f>
        <v>0</v>
      </c>
      <c r="O38" s="65">
        <f>基础状态预估!M38*E$10/3</f>
        <v>0</v>
      </c>
      <c r="P38" s="65">
        <f>基础状态预估!N38*F$10/3</f>
        <v>0</v>
      </c>
      <c r="Q38" s="65">
        <f>基础状态预估!O38*G$10/3</f>
        <v>0</v>
      </c>
      <c r="R38" s="65">
        <f>基础状态预估!P38*H$10/3</f>
        <v>21.244631113063424</v>
      </c>
      <c r="S38" s="65">
        <f>基础状态预估!Q38*I$10/3</f>
        <v>28.615061535082532</v>
      </c>
      <c r="T38" s="65">
        <f t="shared" si="0"/>
        <v>49.859692648145952</v>
      </c>
      <c r="U38" s="65">
        <f>基础状态预估!L38*D$15</f>
        <v>0</v>
      </c>
      <c r="V38" s="65">
        <f>基础状态预估!M38*E$15</f>
        <v>0</v>
      </c>
      <c r="W38" s="65">
        <f>基础状态预估!N38*F$15</f>
        <v>0</v>
      </c>
      <c r="X38" s="65">
        <f>基础状态预估!O38*G$15</f>
        <v>0</v>
      </c>
      <c r="Y38" s="65">
        <f>基础状态预估!P38*H$15</f>
        <v>0.15933473334797568</v>
      </c>
      <c r="Z38" s="65">
        <f>基础状态预估!Q38*I$15</f>
        <v>0.34338073842099037</v>
      </c>
      <c r="AA38" s="65">
        <f t="shared" si="1"/>
        <v>0.50271547176896603</v>
      </c>
      <c r="AV38" s="51">
        <v>28</v>
      </c>
      <c r="AW38" s="51">
        <f t="shared" si="3"/>
        <v>0</v>
      </c>
      <c r="AX38" s="51">
        <f t="shared" si="4"/>
        <v>0</v>
      </c>
      <c r="AY38" s="51">
        <f t="shared" si="5"/>
        <v>0</v>
      </c>
      <c r="AZ38" s="51">
        <f t="shared" si="6"/>
        <v>0</v>
      </c>
      <c r="BA38" s="51">
        <f t="shared" si="7"/>
        <v>0</v>
      </c>
      <c r="BB38" s="51">
        <f t="shared" si="8"/>
        <v>0</v>
      </c>
      <c r="BC38" s="51">
        <f t="shared" si="9"/>
        <v>0</v>
      </c>
      <c r="BD38" s="51">
        <f t="shared" si="10"/>
        <v>0</v>
      </c>
      <c r="BE38" s="51">
        <f t="shared" si="11"/>
        <v>0</v>
      </c>
      <c r="BF38" s="51">
        <f t="shared" si="12"/>
        <v>0</v>
      </c>
    </row>
    <row r="39" spans="2:58" x14ac:dyDescent="0.15">
      <c r="C39" s="16" t="s">
        <v>83</v>
      </c>
      <c r="D39" s="9">
        <v>2.2499999999999999E-2</v>
      </c>
      <c r="E39" s="73">
        <f t="shared" si="15"/>
        <v>1.125E-2</v>
      </c>
      <c r="L39" s="29">
        <f>基础状态预估!C39</f>
        <v>1500</v>
      </c>
      <c r="M39" s="29">
        <f>基础状态预估!D39</f>
        <v>105.50842583986083</v>
      </c>
      <c r="N39" s="65">
        <f>基础状态预估!L39*D$10/3</f>
        <v>0</v>
      </c>
      <c r="O39" s="65">
        <f>基础状态预估!M39*E$10/3</f>
        <v>0</v>
      </c>
      <c r="P39" s="65">
        <f>基础状态预估!N39*F$10/3</f>
        <v>0</v>
      </c>
      <c r="Q39" s="65">
        <f>基础状态预估!O39*G$10/3</f>
        <v>0</v>
      </c>
      <c r="R39" s="65">
        <f>基础状态预估!P39*H$10/3</f>
        <v>19.413213043999438</v>
      </c>
      <c r="S39" s="65">
        <f>基础状态预估!Q39*I$10/3</f>
        <v>31.57149805047894</v>
      </c>
      <c r="T39" s="65">
        <f t="shared" si="0"/>
        <v>50.984711094478378</v>
      </c>
      <c r="U39" s="65">
        <f>基础状态预估!L39*D$15</f>
        <v>0</v>
      </c>
      <c r="V39" s="65">
        <f>基础状态预估!M39*E$15</f>
        <v>0</v>
      </c>
      <c r="W39" s="65">
        <f>基础状态预估!N39*F$15</f>
        <v>0</v>
      </c>
      <c r="X39" s="65">
        <f>基础状态预估!O39*G$15</f>
        <v>0</v>
      </c>
      <c r="Y39" s="65">
        <f>基础状态预估!P39*H$15</f>
        <v>0.1455990978299958</v>
      </c>
      <c r="Z39" s="65">
        <f>基础状态预估!Q39*I$15</f>
        <v>0.37885797660574733</v>
      </c>
      <c r="AA39" s="65">
        <f t="shared" si="1"/>
        <v>0.52445707443574308</v>
      </c>
      <c r="AV39" s="51">
        <v>29</v>
      </c>
      <c r="AW39" s="51">
        <f t="shared" si="3"/>
        <v>0</v>
      </c>
      <c r="AX39" s="51">
        <f t="shared" si="4"/>
        <v>0</v>
      </c>
      <c r="AY39" s="51">
        <f t="shared" si="5"/>
        <v>0</v>
      </c>
      <c r="AZ39" s="51">
        <f t="shared" si="6"/>
        <v>0</v>
      </c>
      <c r="BA39" s="51">
        <f t="shared" si="7"/>
        <v>0</v>
      </c>
      <c r="BB39" s="51">
        <f t="shared" si="8"/>
        <v>0</v>
      </c>
      <c r="BC39" s="51">
        <f t="shared" si="9"/>
        <v>0</v>
      </c>
      <c r="BD39" s="51">
        <f t="shared" si="10"/>
        <v>0</v>
      </c>
      <c r="BE39" s="51">
        <f t="shared" si="11"/>
        <v>0</v>
      </c>
      <c r="BF39" s="51">
        <f t="shared" si="12"/>
        <v>0</v>
      </c>
    </row>
    <row r="40" spans="2:58" x14ac:dyDescent="0.15">
      <c r="C40" s="16" t="s">
        <v>84</v>
      </c>
      <c r="D40" s="9">
        <v>2.2499999999999999E-2</v>
      </c>
      <c r="E40" s="73">
        <f t="shared" si="15"/>
        <v>1.125E-2</v>
      </c>
      <c r="L40" s="29">
        <f>基础状态预估!C40</f>
        <v>1800</v>
      </c>
      <c r="M40" s="29">
        <f>基础状态预估!D40</f>
        <v>108.14154328189373</v>
      </c>
      <c r="N40" s="65">
        <f>基础状态预估!L40*D$10/3</f>
        <v>0</v>
      </c>
      <c r="O40" s="65">
        <f>基础状态预估!M40*E$10/3</f>
        <v>0</v>
      </c>
      <c r="P40" s="65">
        <f>基础状态预估!N40*F$10/3</f>
        <v>0</v>
      </c>
      <c r="Q40" s="65">
        <f>基础状态预估!O40*G$10/3</f>
        <v>0</v>
      </c>
      <c r="R40" s="65">
        <f>基础状态预估!P40*H$10/3</f>
        <v>14.072506151472107</v>
      </c>
      <c r="S40" s="65">
        <f>基础状态预估!Q40*I$10/3</f>
        <v>39.710224689489714</v>
      </c>
      <c r="T40" s="65">
        <f t="shared" si="0"/>
        <v>53.782730840961818</v>
      </c>
      <c r="U40" s="65">
        <f>基础状态预估!L40*D$15</f>
        <v>0</v>
      </c>
      <c r="V40" s="65">
        <f>基础状态预估!M40*E$15</f>
        <v>0</v>
      </c>
      <c r="W40" s="65">
        <f>基础状态预估!N40*F$15</f>
        <v>0</v>
      </c>
      <c r="X40" s="65">
        <f>基础状态预估!O40*G$15</f>
        <v>0</v>
      </c>
      <c r="Y40" s="65">
        <f>基础状态预估!P40*H$15</f>
        <v>0.10554379613604081</v>
      </c>
      <c r="Z40" s="65">
        <f>基础状态预估!Q40*I$15</f>
        <v>0.47652269627387661</v>
      </c>
      <c r="AA40" s="65">
        <f t="shared" si="1"/>
        <v>0.58206649240991748</v>
      </c>
      <c r="AV40" s="51">
        <v>30</v>
      </c>
      <c r="AW40" s="51">
        <f t="shared" si="3"/>
        <v>0</v>
      </c>
      <c r="AX40" s="51">
        <f t="shared" si="4"/>
        <v>0</v>
      </c>
      <c r="AY40" s="51">
        <f t="shared" si="5"/>
        <v>0</v>
      </c>
      <c r="AZ40" s="51">
        <f t="shared" si="6"/>
        <v>0</v>
      </c>
      <c r="BA40" s="51">
        <f t="shared" si="7"/>
        <v>0</v>
      </c>
      <c r="BB40" s="51">
        <f t="shared" si="8"/>
        <v>0</v>
      </c>
      <c r="BC40" s="51">
        <f t="shared" si="9"/>
        <v>0</v>
      </c>
      <c r="BD40" s="51">
        <f t="shared" si="10"/>
        <v>0</v>
      </c>
      <c r="BE40" s="51">
        <f t="shared" si="11"/>
        <v>0</v>
      </c>
      <c r="BF40" s="51">
        <f t="shared" si="12"/>
        <v>0</v>
      </c>
    </row>
    <row r="41" spans="2:58" x14ac:dyDescent="0.15">
      <c r="C41" s="16" t="s">
        <v>85</v>
      </c>
      <c r="D41" s="9">
        <v>4.4999999999999998E-2</v>
      </c>
      <c r="E41" s="73">
        <f t="shared" si="15"/>
        <v>2.2499999999999999E-2</v>
      </c>
      <c r="L41" s="29">
        <f>基础状态预估!C41</f>
        <v>2100</v>
      </c>
      <c r="M41" s="29">
        <f>基础状态预估!D41</f>
        <v>110.36056371443574</v>
      </c>
      <c r="N41" s="65">
        <f>基础状态预估!L41*D$10/3</f>
        <v>0</v>
      </c>
      <c r="O41" s="65">
        <f>基础状态预估!M41*E$10/3</f>
        <v>0</v>
      </c>
      <c r="P41" s="65">
        <f>基础状态预估!N41*F$10/3</f>
        <v>0</v>
      </c>
      <c r="Q41" s="65">
        <f>基础状态预估!O41*G$10/3</f>
        <v>0</v>
      </c>
      <c r="R41" s="65">
        <f>基础状态预估!P41*H$10/3</f>
        <v>9.5717051125384156</v>
      </c>
      <c r="S41" s="65">
        <f>基础状态预估!Q41*I$10/3</f>
        <v>46.569015117346844</v>
      </c>
      <c r="T41" s="65">
        <f t="shared" si="0"/>
        <v>56.140720229885261</v>
      </c>
      <c r="U41" s="65">
        <f>基础状态预估!L41*D$15</f>
        <v>0</v>
      </c>
      <c r="V41" s="65">
        <f>基础状态预估!M41*E$15</f>
        <v>0</v>
      </c>
      <c r="W41" s="65">
        <f>基础状态预估!N41*F$15</f>
        <v>0</v>
      </c>
      <c r="X41" s="65">
        <f>基础状态预估!O41*G$15</f>
        <v>0</v>
      </c>
      <c r="Y41" s="65">
        <f>基础状态预估!P41*H$15</f>
        <v>7.1787788344038109E-2</v>
      </c>
      <c r="Z41" s="65">
        <f>基础状态预估!Q41*I$15</f>
        <v>0.55882818140816204</v>
      </c>
      <c r="AA41" s="65">
        <f t="shared" si="1"/>
        <v>0.63061596975220013</v>
      </c>
      <c r="AV41" s="51">
        <v>31</v>
      </c>
      <c r="AW41" s="51">
        <f t="shared" si="3"/>
        <v>0</v>
      </c>
      <c r="AX41" s="51">
        <f t="shared" si="4"/>
        <v>0</v>
      </c>
      <c r="AY41" s="51">
        <f t="shared" si="5"/>
        <v>0</v>
      </c>
      <c r="AZ41" s="51">
        <f t="shared" si="6"/>
        <v>0</v>
      </c>
      <c r="BA41" s="51">
        <f t="shared" si="7"/>
        <v>0</v>
      </c>
      <c r="BB41" s="51">
        <f t="shared" si="8"/>
        <v>0</v>
      </c>
      <c r="BC41" s="51">
        <f t="shared" si="9"/>
        <v>0</v>
      </c>
      <c r="BD41" s="51">
        <f t="shared" si="10"/>
        <v>0</v>
      </c>
      <c r="BE41" s="51">
        <f t="shared" si="11"/>
        <v>0</v>
      </c>
      <c r="BF41" s="51">
        <f t="shared" si="12"/>
        <v>0</v>
      </c>
    </row>
    <row r="42" spans="2:58" x14ac:dyDescent="0.15">
      <c r="C42" s="16" t="s">
        <v>86</v>
      </c>
      <c r="D42" s="9">
        <v>1.4999999999999999E-2</v>
      </c>
      <c r="E42" s="73">
        <f t="shared" si="15"/>
        <v>7.4999999999999997E-3</v>
      </c>
      <c r="L42" s="29">
        <f>基础状态预估!C42</f>
        <v>2400</v>
      </c>
      <c r="M42" s="29">
        <f>基础状态预估!D42</f>
        <v>112.28703526556856</v>
      </c>
      <c r="N42" s="65">
        <f>基础状态预估!L42*D$10/3</f>
        <v>0</v>
      </c>
      <c r="O42" s="65">
        <f>基础状态预估!M42*E$10/3</f>
        <v>0</v>
      </c>
      <c r="P42" s="65">
        <f>基础状态预估!N42*F$10/3</f>
        <v>0</v>
      </c>
      <c r="Q42" s="65">
        <f>基础状态预估!O42*G$10/3</f>
        <v>0</v>
      </c>
      <c r="R42" s="65">
        <f>基础状态预估!P42*H$10/3</f>
        <v>5.664275946200334</v>
      </c>
      <c r="S42" s="65">
        <f>基础状态预估!Q42*I$10/3</f>
        <v>52.523563548121011</v>
      </c>
      <c r="T42" s="65">
        <f t="shared" si="0"/>
        <v>58.187839494321345</v>
      </c>
      <c r="U42" s="65">
        <f>基础状态预估!L42*D$15</f>
        <v>0</v>
      </c>
      <c r="V42" s="65">
        <f>基础状态预估!M42*E$15</f>
        <v>0</v>
      </c>
      <c r="W42" s="65">
        <f>基础状态预估!N42*F$15</f>
        <v>0</v>
      </c>
      <c r="X42" s="65">
        <f>基础状态预估!O42*G$15</f>
        <v>0</v>
      </c>
      <c r="Y42" s="65">
        <f>基础状态预估!P42*H$15</f>
        <v>4.2482069596502504E-2</v>
      </c>
      <c r="Z42" s="65">
        <f>基础状态预估!Q42*I$15</f>
        <v>0.63028276257745208</v>
      </c>
      <c r="AA42" s="65">
        <f t="shared" si="1"/>
        <v>0.67276483217395455</v>
      </c>
      <c r="AV42" s="51">
        <v>32</v>
      </c>
      <c r="AW42" s="51">
        <f t="shared" si="3"/>
        <v>0</v>
      </c>
      <c r="AX42" s="51">
        <f t="shared" si="4"/>
        <v>0</v>
      </c>
      <c r="AY42" s="51">
        <f t="shared" si="5"/>
        <v>0</v>
      </c>
      <c r="AZ42" s="51">
        <f t="shared" si="6"/>
        <v>0</v>
      </c>
      <c r="BA42" s="51">
        <f t="shared" si="7"/>
        <v>0</v>
      </c>
      <c r="BB42" s="51">
        <f t="shared" si="8"/>
        <v>0</v>
      </c>
      <c r="BC42" s="51">
        <f t="shared" si="9"/>
        <v>0</v>
      </c>
      <c r="BD42" s="51">
        <f t="shared" si="10"/>
        <v>0</v>
      </c>
      <c r="BE42" s="51">
        <f t="shared" si="11"/>
        <v>0</v>
      </c>
      <c r="BF42" s="51">
        <f t="shared" si="12"/>
        <v>0</v>
      </c>
    </row>
    <row r="43" spans="2:58" x14ac:dyDescent="0.15">
      <c r="C43" s="16" t="s">
        <v>87</v>
      </c>
      <c r="D43" s="9">
        <v>0.03</v>
      </c>
      <c r="E43" s="73">
        <f t="shared" si="15"/>
        <v>1.4999999999999999E-2</v>
      </c>
      <c r="L43" s="29">
        <f>基础状态预估!C43</f>
        <v>2700</v>
      </c>
      <c r="M43" s="29">
        <f>基础状态预估!D43</f>
        <v>113.99252797204601</v>
      </c>
      <c r="N43" s="65">
        <f>基础状态预估!L43*D$10/3</f>
        <v>0</v>
      </c>
      <c r="O43" s="65">
        <f>基础状态预估!M43*E$10/3</f>
        <v>0</v>
      </c>
      <c r="P43" s="65">
        <f>基础状态预估!N43*F$10/3</f>
        <v>0</v>
      </c>
      <c r="Q43" s="65">
        <f>基础状态预估!O43*G$10/3</f>
        <v>0</v>
      </c>
      <c r="R43" s="65">
        <f>基础状态预估!P43*H$10/3</f>
        <v>2.1711217956496305</v>
      </c>
      <c r="S43" s="65">
        <f>基础状态预估!Q43*I$10/3</f>
        <v>57.795086459051298</v>
      </c>
      <c r="T43" s="65">
        <f t="shared" si="0"/>
        <v>59.966208254700931</v>
      </c>
      <c r="U43" s="65">
        <f>基础状态预估!L43*D$15</f>
        <v>0</v>
      </c>
      <c r="V43" s="65">
        <f>基础状态预估!M43*E$15</f>
        <v>0</v>
      </c>
      <c r="W43" s="65">
        <f>基础状态预估!N43*F$15</f>
        <v>0</v>
      </c>
      <c r="X43" s="65">
        <f>基础状态预估!O43*G$15</f>
        <v>0</v>
      </c>
      <c r="Y43" s="65">
        <f>基础状态预估!P43*H$15</f>
        <v>1.6283413467372228E-2</v>
      </c>
      <c r="Z43" s="65">
        <f>基础状态预估!Q43*I$15</f>
        <v>0.69354103750861551</v>
      </c>
      <c r="AA43" s="65">
        <f t="shared" si="1"/>
        <v>0.70982445097598779</v>
      </c>
      <c r="AV43" s="51">
        <v>33</v>
      </c>
      <c r="AW43" s="51">
        <f t="shared" si="3"/>
        <v>0</v>
      </c>
      <c r="AX43" s="51">
        <f t="shared" si="4"/>
        <v>0</v>
      </c>
      <c r="AY43" s="51">
        <f t="shared" si="5"/>
        <v>0</v>
      </c>
      <c r="AZ43" s="51">
        <f t="shared" si="6"/>
        <v>0</v>
      </c>
      <c r="BA43" s="51">
        <f t="shared" si="7"/>
        <v>0</v>
      </c>
      <c r="BB43" s="51">
        <f t="shared" si="8"/>
        <v>0</v>
      </c>
      <c r="BC43" s="51">
        <f t="shared" si="9"/>
        <v>0</v>
      </c>
      <c r="BD43" s="51">
        <f t="shared" si="10"/>
        <v>0</v>
      </c>
      <c r="BE43" s="51">
        <f t="shared" si="11"/>
        <v>0</v>
      </c>
      <c r="BF43" s="51">
        <f t="shared" si="12"/>
        <v>0</v>
      </c>
    </row>
    <row r="44" spans="2:58" x14ac:dyDescent="0.15">
      <c r="C44" s="16" t="s">
        <v>88</v>
      </c>
      <c r="D44" s="9">
        <v>2.2499999999999999E-2</v>
      </c>
      <c r="E44" s="73">
        <f t="shared" si="15"/>
        <v>1.125E-2</v>
      </c>
      <c r="L44" s="29">
        <f>基础状态预估!C44</f>
        <v>3000</v>
      </c>
      <c r="M44" s="29">
        <f>基础状态预估!D44</f>
        <v>115.50361532953012</v>
      </c>
      <c r="N44" s="65">
        <f>基础状态预估!L44*D$10/3</f>
        <v>0</v>
      </c>
      <c r="O44" s="65">
        <f>基础状态预估!M44*E$10/3</f>
        <v>0</v>
      </c>
      <c r="P44" s="65">
        <f>基础状态预估!N44*F$10/3</f>
        <v>0</v>
      </c>
      <c r="Q44" s="65">
        <f>基础状态预估!O44*G$10/3</f>
        <v>0</v>
      </c>
      <c r="R44" s="65">
        <f>基础状态预估!P44*H$10/3</f>
        <v>0</v>
      </c>
      <c r="S44" s="65">
        <f>基础状态预估!Q44*I$10/3</f>
        <v>61.283905297194941</v>
      </c>
      <c r="T44" s="65">
        <f t="shared" si="0"/>
        <v>61.283905297194941</v>
      </c>
      <c r="U44" s="65">
        <f>基础状态预估!L44*D$15</f>
        <v>0</v>
      </c>
      <c r="V44" s="65">
        <f>基础状态预估!M44*E$15</f>
        <v>0</v>
      </c>
      <c r="W44" s="65">
        <f>基础状态预估!N44*F$15</f>
        <v>0</v>
      </c>
      <c r="X44" s="65">
        <f>基础状态预估!O44*G$15</f>
        <v>0</v>
      </c>
      <c r="Y44" s="65">
        <f>基础状态预估!P44*H$15</f>
        <v>0</v>
      </c>
      <c r="Z44" s="65">
        <f>基础状态预估!Q44*I$15</f>
        <v>0.73540686356633933</v>
      </c>
      <c r="AA44" s="65">
        <f t="shared" si="1"/>
        <v>0.73540686356633933</v>
      </c>
      <c r="AV44" s="51">
        <v>34</v>
      </c>
      <c r="AW44" s="51">
        <f t="shared" si="3"/>
        <v>0</v>
      </c>
      <c r="AX44" s="51">
        <f t="shared" si="4"/>
        <v>0</v>
      </c>
      <c r="AY44" s="51">
        <f t="shared" si="5"/>
        <v>0</v>
      </c>
      <c r="AZ44" s="51">
        <f t="shared" si="6"/>
        <v>0</v>
      </c>
      <c r="BA44" s="51">
        <f t="shared" si="7"/>
        <v>0</v>
      </c>
      <c r="BB44" s="51">
        <f t="shared" si="8"/>
        <v>0</v>
      </c>
      <c r="BC44" s="51">
        <f t="shared" si="9"/>
        <v>0</v>
      </c>
      <c r="BD44" s="51">
        <f t="shared" si="10"/>
        <v>0</v>
      </c>
      <c r="BE44" s="51">
        <f t="shared" si="11"/>
        <v>0</v>
      </c>
      <c r="BF44" s="51">
        <f t="shared" si="12"/>
        <v>0</v>
      </c>
    </row>
    <row r="45" spans="2:58" x14ac:dyDescent="0.15">
      <c r="L45" s="29">
        <f>基础状态预估!C45</f>
        <v>3300</v>
      </c>
      <c r="M45" s="29">
        <f>基础状态预估!D45</f>
        <v>116.88336617936118</v>
      </c>
      <c r="N45" s="65">
        <f>基础状态预估!L45*D$10/3</f>
        <v>0</v>
      </c>
      <c r="O45" s="65">
        <f>基础状态预估!M45*E$10/3</f>
        <v>0</v>
      </c>
      <c r="P45" s="65">
        <f>基础状态预估!N45*F$10/3</f>
        <v>0</v>
      </c>
      <c r="Q45" s="65">
        <f>基础状态预估!O45*G$10/3</f>
        <v>0</v>
      </c>
      <c r="R45" s="65">
        <f>基础状态预估!P45*H$10/3</f>
        <v>0</v>
      </c>
      <c r="S45" s="65">
        <f>基础状态预估!Q45*I$10/3</f>
        <v>61.991469835569831</v>
      </c>
      <c r="T45" s="65">
        <f t="shared" si="0"/>
        <v>61.991469835569831</v>
      </c>
      <c r="U45" s="65">
        <f>基础状态预估!L45*D$15</f>
        <v>0</v>
      </c>
      <c r="V45" s="65">
        <f>基础状态预估!M45*E$15</f>
        <v>0</v>
      </c>
      <c r="W45" s="65">
        <f>基础状态预估!N45*F$15</f>
        <v>0</v>
      </c>
      <c r="X45" s="65">
        <f>基础状态预估!O45*G$15</f>
        <v>0</v>
      </c>
      <c r="Y45" s="65">
        <f>基础状态预估!P45*H$15</f>
        <v>0</v>
      </c>
      <c r="Z45" s="65">
        <f>基础状态预估!Q45*I$15</f>
        <v>0.74389763802683806</v>
      </c>
      <c r="AA45" s="65">
        <f t="shared" si="1"/>
        <v>0.74389763802683806</v>
      </c>
      <c r="AV45" s="51">
        <v>35</v>
      </c>
      <c r="AW45" s="51">
        <f t="shared" si="3"/>
        <v>0</v>
      </c>
      <c r="AX45" s="51">
        <f t="shared" si="4"/>
        <v>0</v>
      </c>
      <c r="AY45" s="51">
        <f t="shared" si="5"/>
        <v>0</v>
      </c>
      <c r="AZ45" s="51">
        <f t="shared" si="6"/>
        <v>0</v>
      </c>
      <c r="BA45" s="51">
        <f t="shared" si="7"/>
        <v>0</v>
      </c>
      <c r="BB45" s="51">
        <f t="shared" si="8"/>
        <v>0</v>
      </c>
      <c r="BC45" s="51">
        <f t="shared" si="9"/>
        <v>0</v>
      </c>
      <c r="BD45" s="51">
        <f t="shared" si="10"/>
        <v>0</v>
      </c>
      <c r="BE45" s="51">
        <f t="shared" si="11"/>
        <v>0</v>
      </c>
      <c r="BF45" s="51">
        <f t="shared" si="12"/>
        <v>0</v>
      </c>
    </row>
    <row r="46" spans="2:58" x14ac:dyDescent="0.15">
      <c r="L46" s="29">
        <f>基础状态预估!C46</f>
        <v>3600</v>
      </c>
      <c r="M46" s="29">
        <f>基础状态预估!D46</f>
        <v>118.13763593334991</v>
      </c>
      <c r="N46" s="65">
        <f>基础状态预估!L46*D$10/3</f>
        <v>0</v>
      </c>
      <c r="O46" s="65">
        <f>基础状态预估!M46*E$10/3</f>
        <v>0</v>
      </c>
      <c r="P46" s="65">
        <f>基础状态预估!N46*F$10/3</f>
        <v>0</v>
      </c>
      <c r="Q46" s="65">
        <f>基础状态预估!O46*G$10/3</f>
        <v>0</v>
      </c>
      <c r="R46" s="65">
        <f>基础状态预估!P46*H$10/3</f>
        <v>0</v>
      </c>
      <c r="S46" s="65">
        <f>基础状态预估!Q46*I$10/3</f>
        <v>62.634685094025599</v>
      </c>
      <c r="T46" s="65">
        <f t="shared" si="0"/>
        <v>62.634685094025599</v>
      </c>
      <c r="U46" s="65">
        <f>基础状态预估!L46*D$15</f>
        <v>0</v>
      </c>
      <c r="V46" s="65">
        <f>基础状态预估!M46*E$15</f>
        <v>0</v>
      </c>
      <c r="W46" s="65">
        <f>基础状态预估!N46*F$15</f>
        <v>0</v>
      </c>
      <c r="X46" s="65">
        <f>基础状态预估!O46*G$15</f>
        <v>0</v>
      </c>
      <c r="Y46" s="65">
        <f>基础状态预估!P46*H$15</f>
        <v>0</v>
      </c>
      <c r="Z46" s="65">
        <f>基础状态预估!Q46*I$15</f>
        <v>0.75161622112830717</v>
      </c>
      <c r="AA46" s="65">
        <f t="shared" si="1"/>
        <v>0.75161622112830717</v>
      </c>
      <c r="AV46" s="51">
        <v>36</v>
      </c>
      <c r="AW46" s="51">
        <f t="shared" si="3"/>
        <v>0</v>
      </c>
      <c r="AX46" s="51">
        <f t="shared" si="4"/>
        <v>0</v>
      </c>
      <c r="AY46" s="51">
        <f t="shared" si="5"/>
        <v>0</v>
      </c>
      <c r="AZ46" s="51">
        <f t="shared" si="6"/>
        <v>0</v>
      </c>
      <c r="BA46" s="51">
        <f t="shared" si="7"/>
        <v>0</v>
      </c>
      <c r="BB46" s="51">
        <f t="shared" si="8"/>
        <v>0</v>
      </c>
      <c r="BC46" s="51">
        <f t="shared" si="9"/>
        <v>0</v>
      </c>
      <c r="BD46" s="51">
        <f t="shared" si="10"/>
        <v>0</v>
      </c>
      <c r="BE46" s="51">
        <f t="shared" si="11"/>
        <v>0</v>
      </c>
      <c r="BF46" s="51">
        <f t="shared" si="12"/>
        <v>0</v>
      </c>
    </row>
    <row r="47" spans="2:58" x14ac:dyDescent="0.15">
      <c r="L47" s="29">
        <f>基础状态预估!C47</f>
        <v>3900</v>
      </c>
      <c r="M47" s="29">
        <f>基础状态预估!D47</f>
        <v>119.28909140534228</v>
      </c>
      <c r="N47" s="65">
        <f>基础状态预估!L47*D$10/3</f>
        <v>0</v>
      </c>
      <c r="O47" s="65">
        <f>基础状态预估!M47*E$10/3</f>
        <v>0</v>
      </c>
      <c r="P47" s="65">
        <f>基础状态预估!N47*F$10/3</f>
        <v>0</v>
      </c>
      <c r="Q47" s="65">
        <f>基础状态预估!O47*G$10/3</f>
        <v>0</v>
      </c>
      <c r="R47" s="65">
        <f>基础状态预估!P47*H$10/3</f>
        <v>0</v>
      </c>
      <c r="S47" s="65">
        <f>基础状态预估!Q47*I$10/3</f>
        <v>63.225175079662698</v>
      </c>
      <c r="T47" s="65">
        <f t="shared" si="0"/>
        <v>63.225175079662698</v>
      </c>
      <c r="U47" s="65">
        <f>基础状态预估!L47*D$15</f>
        <v>0</v>
      </c>
      <c r="V47" s="65">
        <f>基础状态预估!M47*E$15</f>
        <v>0</v>
      </c>
      <c r="W47" s="65">
        <f>基础状态预估!N47*F$15</f>
        <v>0</v>
      </c>
      <c r="X47" s="65">
        <f>基础状态预估!O47*G$15</f>
        <v>0</v>
      </c>
      <c r="Y47" s="65">
        <f>基础状态预估!P47*H$15</f>
        <v>0</v>
      </c>
      <c r="Z47" s="65">
        <f>基础状态预估!Q47*I$15</f>
        <v>0.75870210095595247</v>
      </c>
      <c r="AA47" s="65">
        <f t="shared" si="1"/>
        <v>0.75870210095595247</v>
      </c>
      <c r="AV47" s="51">
        <v>37</v>
      </c>
      <c r="AW47" s="51">
        <f t="shared" si="3"/>
        <v>0</v>
      </c>
      <c r="AX47" s="51">
        <f t="shared" si="4"/>
        <v>0</v>
      </c>
      <c r="AY47" s="51">
        <f t="shared" si="5"/>
        <v>0</v>
      </c>
      <c r="AZ47" s="51">
        <f t="shared" si="6"/>
        <v>0</v>
      </c>
      <c r="BA47" s="51">
        <f t="shared" si="7"/>
        <v>0</v>
      </c>
      <c r="BB47" s="51">
        <f t="shared" si="8"/>
        <v>0</v>
      </c>
      <c r="BC47" s="51">
        <f t="shared" si="9"/>
        <v>0</v>
      </c>
      <c r="BD47" s="51">
        <f t="shared" si="10"/>
        <v>0</v>
      </c>
      <c r="BE47" s="51">
        <f t="shared" si="11"/>
        <v>0</v>
      </c>
      <c r="BF47" s="51">
        <f t="shared" si="12"/>
        <v>0</v>
      </c>
    </row>
    <row r="48" spans="2:58" x14ac:dyDescent="0.15">
      <c r="L48" s="29">
        <f>基础状态预估!C48</f>
        <v>4200</v>
      </c>
      <c r="M48" s="29">
        <f>基础状态预估!D48</f>
        <v>120.35716216995992</v>
      </c>
      <c r="N48" s="65">
        <f>基础状态预估!L48*D$10/3</f>
        <v>0</v>
      </c>
      <c r="O48" s="65">
        <f>基础状态预估!M48*E$10/3</f>
        <v>0</v>
      </c>
      <c r="P48" s="65">
        <f>基础状态预估!N48*F$10/3</f>
        <v>0</v>
      </c>
      <c r="Q48" s="65">
        <f>基础状态预估!O48*G$10/3</f>
        <v>0</v>
      </c>
      <c r="R48" s="65">
        <f>基础状态预估!P48*H$10/3</f>
        <v>0</v>
      </c>
      <c r="S48" s="65">
        <f>基础状态预估!Q48*I$10/3</f>
        <v>63.772903676902523</v>
      </c>
      <c r="T48" s="65">
        <f t="shared" si="0"/>
        <v>63.772903676902523</v>
      </c>
      <c r="U48" s="65">
        <f>基础状态预估!L48*D$15</f>
        <v>0</v>
      </c>
      <c r="V48" s="65">
        <f>基础状态预估!M48*E$15</f>
        <v>0</v>
      </c>
      <c r="W48" s="65">
        <f>基础状态预估!N48*F$15</f>
        <v>0</v>
      </c>
      <c r="X48" s="65">
        <f>基础状态预估!O48*G$15</f>
        <v>0</v>
      </c>
      <c r="Y48" s="65">
        <f>基础状态预估!P48*H$15</f>
        <v>0</v>
      </c>
      <c r="Z48" s="65">
        <f>基础状态预估!Q48*I$15</f>
        <v>0.76527484412283031</v>
      </c>
      <c r="AA48" s="65">
        <f t="shared" si="1"/>
        <v>0.76527484412283031</v>
      </c>
      <c r="AV48" s="51">
        <v>38</v>
      </c>
      <c r="AW48" s="51">
        <f t="shared" si="3"/>
        <v>0</v>
      </c>
      <c r="AX48" s="51">
        <f t="shared" si="4"/>
        <v>0</v>
      </c>
      <c r="AY48" s="51">
        <f t="shared" si="5"/>
        <v>0</v>
      </c>
      <c r="AZ48" s="51">
        <f t="shared" si="6"/>
        <v>0</v>
      </c>
      <c r="BA48" s="51">
        <f t="shared" si="7"/>
        <v>0</v>
      </c>
      <c r="BB48" s="51">
        <f t="shared" si="8"/>
        <v>0</v>
      </c>
      <c r="BC48" s="51">
        <f t="shared" si="9"/>
        <v>0</v>
      </c>
      <c r="BD48" s="51">
        <f t="shared" si="10"/>
        <v>0</v>
      </c>
      <c r="BE48" s="51">
        <f t="shared" si="11"/>
        <v>0</v>
      </c>
      <c r="BF48" s="51">
        <f t="shared" si="12"/>
        <v>0</v>
      </c>
    </row>
    <row r="49" spans="12:58" x14ac:dyDescent="0.15">
      <c r="L49" s="29">
        <f>基础状态预估!C49</f>
        <v>4500</v>
      </c>
      <c r="M49" s="29">
        <f>基础状态预估!D49</f>
        <v>121.35233706179751</v>
      </c>
      <c r="N49" s="65">
        <f>基础状态预估!L49*D$10/3</f>
        <v>0</v>
      </c>
      <c r="O49" s="65">
        <f>基础状态预估!M49*E$10/3</f>
        <v>0</v>
      </c>
      <c r="P49" s="65">
        <f>基础状态预估!N49*F$10/3</f>
        <v>0</v>
      </c>
      <c r="Q49" s="65">
        <f>基础状态预估!O49*G$10/3</f>
        <v>0</v>
      </c>
      <c r="R49" s="65">
        <f>基础状态预估!P49*H$10/3</f>
        <v>0</v>
      </c>
      <c r="S49" s="65">
        <f>基础状态预估!Q49*I$10/3</f>
        <v>64.28324977528078</v>
      </c>
      <c r="T49" s="65">
        <f t="shared" si="0"/>
        <v>64.28324977528078</v>
      </c>
      <c r="U49" s="65">
        <f>基础状态预估!L49*D$15</f>
        <v>0</v>
      </c>
      <c r="V49" s="65">
        <f>基础状态预估!M49*E$15</f>
        <v>0</v>
      </c>
      <c r="W49" s="65">
        <f>基础状态预估!N49*F$15</f>
        <v>0</v>
      </c>
      <c r="X49" s="65">
        <f>基础状态预估!O49*G$15</f>
        <v>0</v>
      </c>
      <c r="Y49" s="65">
        <f>基础状态预估!P49*H$15</f>
        <v>0</v>
      </c>
      <c r="Z49" s="65">
        <f>基础状态预估!Q49*I$15</f>
        <v>0.77139899730336936</v>
      </c>
      <c r="AA49" s="65">
        <f t="shared" si="1"/>
        <v>0.77139899730336936</v>
      </c>
      <c r="AV49" s="51">
        <v>39</v>
      </c>
      <c r="AW49" s="51">
        <f t="shared" si="3"/>
        <v>0</v>
      </c>
      <c r="AX49" s="51">
        <f t="shared" si="4"/>
        <v>0</v>
      </c>
      <c r="AY49" s="51">
        <f t="shared" si="5"/>
        <v>0</v>
      </c>
      <c r="AZ49" s="51">
        <f t="shared" si="6"/>
        <v>0</v>
      </c>
      <c r="BA49" s="51">
        <f t="shared" si="7"/>
        <v>0</v>
      </c>
      <c r="BB49" s="51">
        <f t="shared" si="8"/>
        <v>0</v>
      </c>
      <c r="BC49" s="51">
        <f t="shared" si="9"/>
        <v>0</v>
      </c>
      <c r="BD49" s="51">
        <f t="shared" si="10"/>
        <v>0</v>
      </c>
      <c r="BE49" s="51">
        <f t="shared" si="11"/>
        <v>0</v>
      </c>
      <c r="BF49" s="51">
        <f t="shared" si="12"/>
        <v>0</v>
      </c>
    </row>
    <row r="50" spans="12:58" x14ac:dyDescent="0.15">
      <c r="L50" s="29">
        <f>基础状态预估!C50</f>
        <v>4800</v>
      </c>
      <c r="M50" s="29">
        <f>基础状态预估!D50</f>
        <v>122.28407404910907</v>
      </c>
      <c r="N50" s="65">
        <f>基础状态预估!L50*D$10/3</f>
        <v>0</v>
      </c>
      <c r="O50" s="65">
        <f>基础状态预估!M50*E$10/3</f>
        <v>0</v>
      </c>
      <c r="P50" s="65">
        <f>基础状态预估!N50*F$10/3</f>
        <v>0</v>
      </c>
      <c r="Q50" s="65">
        <f>基础状态预估!O50*G$10/3</f>
        <v>0</v>
      </c>
      <c r="R50" s="65">
        <f>基础状态预估!P50*H$10/3</f>
        <v>0</v>
      </c>
      <c r="S50" s="65">
        <f>基础状态预估!Q50*I$10/3</f>
        <v>64.761063614927721</v>
      </c>
      <c r="T50" s="65">
        <f t="shared" si="0"/>
        <v>64.761063614927721</v>
      </c>
      <c r="U50" s="65">
        <f>基础状态预估!L50*D$15</f>
        <v>0</v>
      </c>
      <c r="V50" s="65">
        <f>基础状态预估!M50*E$15</f>
        <v>0</v>
      </c>
      <c r="W50" s="65">
        <f>基础状态预估!N50*F$15</f>
        <v>0</v>
      </c>
      <c r="X50" s="65">
        <f>基础状态预估!O50*G$15</f>
        <v>0</v>
      </c>
      <c r="Y50" s="65">
        <f>基础状态预估!P50*H$15</f>
        <v>0</v>
      </c>
      <c r="Z50" s="65">
        <f>基础状态预估!Q50*I$15</f>
        <v>0.77713276337913273</v>
      </c>
      <c r="AA50" s="65">
        <f t="shared" si="1"/>
        <v>0.77713276337913273</v>
      </c>
      <c r="AV50" s="51">
        <v>40</v>
      </c>
      <c r="AW50" s="51">
        <f t="shared" si="3"/>
        <v>0</v>
      </c>
      <c r="AX50" s="51">
        <f t="shared" si="4"/>
        <v>0</v>
      </c>
      <c r="AY50" s="51">
        <f t="shared" si="5"/>
        <v>0</v>
      </c>
      <c r="AZ50" s="51">
        <f t="shared" si="6"/>
        <v>0</v>
      </c>
      <c r="BA50" s="51">
        <f t="shared" si="7"/>
        <v>0</v>
      </c>
      <c r="BB50" s="51">
        <f t="shared" si="8"/>
        <v>0</v>
      </c>
      <c r="BC50" s="51">
        <f t="shared" si="9"/>
        <v>0</v>
      </c>
      <c r="BD50" s="51">
        <f t="shared" si="10"/>
        <v>0</v>
      </c>
      <c r="BE50" s="51">
        <f t="shared" si="11"/>
        <v>0</v>
      </c>
      <c r="BF50" s="51">
        <f t="shared" si="12"/>
        <v>0</v>
      </c>
    </row>
    <row r="51" spans="12:58" x14ac:dyDescent="0.15">
      <c r="L51" s="29">
        <f>基础状态预估!C51</f>
        <v>65535</v>
      </c>
      <c r="M51" s="29">
        <f>基础状态预估!D51</f>
        <v>160</v>
      </c>
      <c r="N51" s="65">
        <f>基础状态预估!L51*D$10/3</f>
        <v>0</v>
      </c>
      <c r="O51" s="65">
        <f>基础状态预估!M51*E$10/3</f>
        <v>0</v>
      </c>
      <c r="P51" s="65">
        <f>基础状态预估!N51*F$10/3</f>
        <v>0</v>
      </c>
      <c r="Q51" s="65">
        <f>基础状态预估!O51*G$10/3</f>
        <v>0</v>
      </c>
      <c r="R51" s="65">
        <f>基础状态预估!P51*H$10/3</f>
        <v>0</v>
      </c>
      <c r="S51" s="65">
        <f>基础状态预估!Q51*I$10/3</f>
        <v>66.666666666666671</v>
      </c>
      <c r="T51" s="65">
        <f t="shared" ref="T51" si="16">SUM(N51:S51)</f>
        <v>66.666666666666671</v>
      </c>
      <c r="U51" s="65">
        <f>基础状态预估!L51*D$15</f>
        <v>0</v>
      </c>
      <c r="V51" s="65">
        <f>基础状态预估!M51*E$15</f>
        <v>0</v>
      </c>
      <c r="W51" s="65">
        <f>基础状态预估!N51*F$15</f>
        <v>0</v>
      </c>
      <c r="X51" s="65">
        <f>基础状态预估!O51*G$15</f>
        <v>0</v>
      </c>
      <c r="Y51" s="65">
        <f>基础状态预估!P51*H$15</f>
        <v>0</v>
      </c>
      <c r="Z51" s="65">
        <f>基础状态预估!Q51*I$15</f>
        <v>0.8</v>
      </c>
      <c r="AA51" s="65">
        <f t="shared" ref="AA51" si="17">SUM(U51:Z51)</f>
        <v>0.8</v>
      </c>
      <c r="AV51" s="51">
        <v>41</v>
      </c>
      <c r="AW51" s="51">
        <f t="shared" si="3"/>
        <v>0.18088588526957006</v>
      </c>
      <c r="AX51" s="51">
        <f t="shared" si="4"/>
        <v>0</v>
      </c>
      <c r="AY51" s="51">
        <f t="shared" si="5"/>
        <v>0</v>
      </c>
      <c r="AZ51" s="51">
        <f t="shared" si="6"/>
        <v>0</v>
      </c>
      <c r="BA51" s="51">
        <f t="shared" si="7"/>
        <v>0</v>
      </c>
      <c r="BB51" s="51">
        <f t="shared" si="8"/>
        <v>2.7132882790435512E-3</v>
      </c>
      <c r="BC51" s="51">
        <f t="shared" si="9"/>
        <v>0</v>
      </c>
      <c r="BD51" s="51">
        <f t="shared" si="10"/>
        <v>0</v>
      </c>
      <c r="BE51" s="51">
        <f t="shared" si="11"/>
        <v>0</v>
      </c>
      <c r="BF51" s="51">
        <f t="shared" si="12"/>
        <v>0</v>
      </c>
    </row>
    <row r="52" spans="12:58" x14ac:dyDescent="0.15">
      <c r="AV52" s="51">
        <v>42</v>
      </c>
      <c r="AW52" s="51">
        <f t="shared" si="3"/>
        <v>0.36177177053914011</v>
      </c>
      <c r="AX52" s="51">
        <f t="shared" si="4"/>
        <v>3.8212475306277027E-2</v>
      </c>
      <c r="AY52" s="51">
        <f t="shared" si="5"/>
        <v>0</v>
      </c>
      <c r="AZ52" s="51">
        <f t="shared" si="6"/>
        <v>0</v>
      </c>
      <c r="BA52" s="51">
        <f t="shared" si="7"/>
        <v>0</v>
      </c>
      <c r="BB52" s="51">
        <f t="shared" si="8"/>
        <v>5.4265765580871024E-3</v>
      </c>
      <c r="BC52" s="51">
        <f t="shared" si="9"/>
        <v>5.7318712959415546E-4</v>
      </c>
      <c r="BD52" s="51">
        <f t="shared" si="10"/>
        <v>0</v>
      </c>
      <c r="BE52" s="51">
        <f t="shared" si="11"/>
        <v>0</v>
      </c>
      <c r="BF52" s="51">
        <f t="shared" si="12"/>
        <v>0</v>
      </c>
    </row>
    <row r="53" spans="12:58" x14ac:dyDescent="0.15">
      <c r="L53" s="25" t="s">
        <v>18</v>
      </c>
      <c r="M53" s="26"/>
      <c r="N53" s="88" t="s">
        <v>91</v>
      </c>
      <c r="O53" s="89"/>
      <c r="P53" s="89"/>
      <c r="Q53" s="89"/>
      <c r="R53" s="89"/>
      <c r="S53" s="90"/>
      <c r="T53" s="62"/>
      <c r="U53" s="88" t="s">
        <v>92</v>
      </c>
      <c r="V53" s="89"/>
      <c r="W53" s="89"/>
      <c r="X53" s="89"/>
      <c r="Y53" s="89"/>
      <c r="Z53" s="90"/>
      <c r="AA53" s="63"/>
      <c r="AV53" s="51">
        <v>43</v>
      </c>
      <c r="AW53" s="51">
        <f t="shared" si="3"/>
        <v>0.54265765580871017</v>
      </c>
      <c r="AX53" s="51">
        <f t="shared" si="4"/>
        <v>0.27220704860507661</v>
      </c>
      <c r="AY53" s="51">
        <f t="shared" si="5"/>
        <v>0</v>
      </c>
      <c r="AZ53" s="51">
        <f t="shared" si="6"/>
        <v>0</v>
      </c>
      <c r="BA53" s="51">
        <f t="shared" si="7"/>
        <v>0</v>
      </c>
      <c r="BB53" s="51">
        <f t="shared" si="8"/>
        <v>8.1398648371306531E-3</v>
      </c>
      <c r="BC53" s="51">
        <f t="shared" si="9"/>
        <v>4.0831057290761485E-3</v>
      </c>
      <c r="BD53" s="51">
        <f t="shared" si="10"/>
        <v>0</v>
      </c>
      <c r="BE53" s="51">
        <f t="shared" si="11"/>
        <v>0</v>
      </c>
      <c r="BF53" s="51">
        <f t="shared" si="12"/>
        <v>0</v>
      </c>
    </row>
    <row r="54" spans="12:58" x14ac:dyDescent="0.15">
      <c r="L54" s="27" t="s">
        <v>31</v>
      </c>
      <c r="M54" s="27" t="s">
        <v>25</v>
      </c>
      <c r="N54" s="64" t="s">
        <v>26</v>
      </c>
      <c r="O54" s="64" t="s">
        <v>38</v>
      </c>
      <c r="P54" s="64" t="s">
        <v>27</v>
      </c>
      <c r="Q54" s="64" t="s">
        <v>29</v>
      </c>
      <c r="R54" s="64" t="s">
        <v>28</v>
      </c>
      <c r="S54" s="64" t="s">
        <v>43</v>
      </c>
      <c r="T54" s="64" t="s">
        <v>95</v>
      </c>
      <c r="U54" s="64" t="s">
        <v>26</v>
      </c>
      <c r="V54" s="64" t="s">
        <v>38</v>
      </c>
      <c r="W54" s="64" t="s">
        <v>27</v>
      </c>
      <c r="X54" s="64" t="s">
        <v>29</v>
      </c>
      <c r="Y54" s="64" t="s">
        <v>28</v>
      </c>
      <c r="Z54" s="64" t="s">
        <v>43</v>
      </c>
      <c r="AA54" s="64" t="s">
        <v>95</v>
      </c>
      <c r="AI54" s="18" t="s">
        <v>1</v>
      </c>
      <c r="AJ54" s="93" t="s">
        <v>93</v>
      </c>
      <c r="AK54" s="94"/>
      <c r="AL54" s="93" t="s">
        <v>98</v>
      </c>
      <c r="AM54" s="94"/>
      <c r="AV54" s="51">
        <v>44</v>
      </c>
      <c r="AW54" s="51">
        <f t="shared" si="3"/>
        <v>0.72354354107828023</v>
      </c>
      <c r="AX54" s="51">
        <f t="shared" si="4"/>
        <v>0.50620162190387619</v>
      </c>
      <c r="AY54" s="51">
        <f t="shared" si="5"/>
        <v>0</v>
      </c>
      <c r="AZ54" s="51">
        <f t="shared" si="6"/>
        <v>0</v>
      </c>
      <c r="BA54" s="51">
        <f t="shared" si="7"/>
        <v>0</v>
      </c>
      <c r="BB54" s="51">
        <f t="shared" si="8"/>
        <v>1.0853153116174205E-2</v>
      </c>
      <c r="BC54" s="51">
        <f t="shared" si="9"/>
        <v>7.5930243285581419E-3</v>
      </c>
      <c r="BD54" s="51">
        <f t="shared" si="10"/>
        <v>0</v>
      </c>
      <c r="BE54" s="51">
        <f t="shared" si="11"/>
        <v>0</v>
      </c>
      <c r="BF54" s="51">
        <f t="shared" si="12"/>
        <v>0</v>
      </c>
    </row>
    <row r="55" spans="12:58" x14ac:dyDescent="0.15">
      <c r="L55" s="29">
        <f>基础状态预估!C55</f>
        <v>15</v>
      </c>
      <c r="M55" s="29">
        <f>基础状态预估!D55</f>
        <v>41.83669503626701</v>
      </c>
      <c r="N55" s="65">
        <f>基础状态预估!L55*D$10/3</f>
        <v>0</v>
      </c>
      <c r="O55" s="65">
        <f>基础状态预估!M55*E$10/3</f>
        <v>0</v>
      </c>
      <c r="P55" s="65">
        <f>基础状态预估!N55*F$10/3</f>
        <v>0</v>
      </c>
      <c r="Q55" s="65">
        <f>基础状态预估!O55*G$10/3</f>
        <v>0</v>
      </c>
      <c r="R55" s="65">
        <f>基础状态预估!P55*H$10/3</f>
        <v>0</v>
      </c>
      <c r="S55" s="65">
        <f>基础状态预估!Q55*I$10/3</f>
        <v>0</v>
      </c>
      <c r="T55" s="65">
        <f>SUM(N55:S55)</f>
        <v>0</v>
      </c>
      <c r="U55" s="65">
        <f>基础状态预估!L55*D$15</f>
        <v>0</v>
      </c>
      <c r="V55" s="65">
        <f>基础状态预估!M55*E$15</f>
        <v>0</v>
      </c>
      <c r="W55" s="65">
        <f>基础状态预估!N55*F$15</f>
        <v>0</v>
      </c>
      <c r="X55" s="65">
        <f>基础状态预估!O55*G$15</f>
        <v>0</v>
      </c>
      <c r="Y55" s="65">
        <f>基础状态预估!P55*H$15</f>
        <v>0</v>
      </c>
      <c r="Z55" s="65">
        <f>基础状态预估!Q55*I$15</f>
        <v>0</v>
      </c>
      <c r="AA55" s="65">
        <f>SUM(U55:Z55)</f>
        <v>0</v>
      </c>
      <c r="AI55" s="18" t="s">
        <v>25</v>
      </c>
      <c r="AJ55" s="18" t="s">
        <v>96</v>
      </c>
      <c r="AK55" s="18" t="s">
        <v>94</v>
      </c>
      <c r="AL55" s="18" t="s">
        <v>96</v>
      </c>
      <c r="AM55" s="18" t="s">
        <v>94</v>
      </c>
      <c r="AN55" s="15" t="s">
        <v>99</v>
      </c>
      <c r="AV55" s="51">
        <v>45</v>
      </c>
      <c r="AW55" s="51">
        <f t="shared" si="3"/>
        <v>0.90442942634785028</v>
      </c>
      <c r="AX55" s="51">
        <f t="shared" si="4"/>
        <v>0.74019619520267566</v>
      </c>
      <c r="AY55" s="51">
        <f t="shared" si="5"/>
        <v>0.16791532834134804</v>
      </c>
      <c r="AZ55" s="51">
        <f t="shared" si="6"/>
        <v>0</v>
      </c>
      <c r="BA55" s="51">
        <f t="shared" si="7"/>
        <v>0</v>
      </c>
      <c r="BB55" s="51">
        <f t="shared" si="8"/>
        <v>1.3566441395217756E-2</v>
      </c>
      <c r="BC55" s="51">
        <f t="shared" si="9"/>
        <v>1.1102942928040135E-2</v>
      </c>
      <c r="BD55" s="51">
        <f t="shared" si="10"/>
        <v>2.5187299251202204E-3</v>
      </c>
      <c r="BE55" s="51">
        <f t="shared" si="11"/>
        <v>0</v>
      </c>
      <c r="BF55" s="51">
        <f t="shared" si="12"/>
        <v>0</v>
      </c>
    </row>
    <row r="56" spans="12:58" x14ac:dyDescent="0.15">
      <c r="L56" s="29">
        <f>基础状态预估!C56</f>
        <v>30</v>
      </c>
      <c r="M56" s="29">
        <f>基础状态预估!D56</f>
        <v>51.497823295559343</v>
      </c>
      <c r="N56" s="65">
        <f>基础状态预估!L56*D$10/3</f>
        <v>0.961086925506215</v>
      </c>
      <c r="O56" s="65">
        <f>基础状态预估!M56*E$10/3</f>
        <v>1.2995646591118686</v>
      </c>
      <c r="P56" s="65">
        <f>基础状态预估!N56*F$10/3</f>
        <v>0</v>
      </c>
      <c r="Q56" s="65">
        <f>基础状态预估!O56*G$10/3</f>
        <v>0</v>
      </c>
      <c r="R56" s="65">
        <f>基础状态预估!P56*H$10/3</f>
        <v>0</v>
      </c>
      <c r="S56" s="65">
        <f>基础状态预估!Q56*I$10/3</f>
        <v>0</v>
      </c>
      <c r="T56" s="65">
        <f t="shared" ref="T56:T94" si="18">SUM(N56:S56)</f>
        <v>2.2606515846180835</v>
      </c>
      <c r="U56" s="65">
        <f>基础状态预估!L56*D$15</f>
        <v>1.4416303882593224E-2</v>
      </c>
      <c r="V56" s="65">
        <f>基础状态预估!M56*E$15</f>
        <v>1.9493469886678029E-2</v>
      </c>
      <c r="W56" s="65">
        <f>基础状态预估!N56*F$15</f>
        <v>0</v>
      </c>
      <c r="X56" s="65">
        <f>基础状态预估!O56*G$15</f>
        <v>0</v>
      </c>
      <c r="Y56" s="65">
        <f>基础状态预估!P56*H$15</f>
        <v>0</v>
      </c>
      <c r="Z56" s="65">
        <f>基础状态预估!Q56*I$15</f>
        <v>0</v>
      </c>
      <c r="AA56" s="65">
        <f t="shared" ref="AA56:AA94" si="19">SUM(U56:Z56)</f>
        <v>3.3909773769271255E-2</v>
      </c>
      <c r="AI56" s="18">
        <v>10</v>
      </c>
      <c r="AJ56" s="18">
        <f>IFERROR(求节点($M$55:$M$95,$T$55:$T$95,$AI56),0)</f>
        <v>0</v>
      </c>
      <c r="AK56" s="18">
        <f>IFERROR(求节点($M$55:$M$95,$AA$55:$AA$95,$AI56),0)</f>
        <v>0</v>
      </c>
      <c r="AL56" s="41">
        <f>AJ56*(INDEX([3]小r将兵属性验证!$V$7:$V$166,$AI56,1)+INDEX([3]小r将兵属性验证!$AP$7:$AP$166,$AI56,1))</f>
        <v>0</v>
      </c>
      <c r="AM56" s="11">
        <f>AK56*(INDEX([3]小r将兵属性验证!$AC$7:$AC$166,$AI56,1)*0.5+INDEX([3]小r将兵属性验证!$AX$7:$AX$166,$AI56,1)*0.5)</f>
        <v>0</v>
      </c>
      <c r="AN56" s="50">
        <f>IFERROR(求节点(付费投放!$T$55:$T$95,付费投放!$Z$55:$Z$95,AI56),0)</f>
        <v>0</v>
      </c>
      <c r="AV56" s="51">
        <v>46</v>
      </c>
      <c r="AW56" s="51">
        <f t="shared" si="3"/>
        <v>1.0853153116174203</v>
      </c>
      <c r="AX56" s="51">
        <f t="shared" si="4"/>
        <v>0.97419076850147523</v>
      </c>
      <c r="AY56" s="51">
        <f t="shared" si="5"/>
        <v>0.46896772208131693</v>
      </c>
      <c r="AZ56" s="51">
        <f t="shared" si="6"/>
        <v>0</v>
      </c>
      <c r="BA56" s="51">
        <f t="shared" si="7"/>
        <v>0</v>
      </c>
      <c r="BB56" s="51">
        <f t="shared" si="8"/>
        <v>1.6279729674261306E-2</v>
      </c>
      <c r="BC56" s="51">
        <f t="shared" si="9"/>
        <v>1.461286152752213E-2</v>
      </c>
      <c r="BD56" s="51">
        <f t="shared" si="10"/>
        <v>7.0345158312197544E-3</v>
      </c>
      <c r="BE56" s="51">
        <f t="shared" si="11"/>
        <v>0</v>
      </c>
      <c r="BF56" s="51">
        <f t="shared" si="12"/>
        <v>0</v>
      </c>
    </row>
    <row r="57" spans="12:58" x14ac:dyDescent="0.15">
      <c r="L57" s="29">
        <f>基础状态预估!C57</f>
        <v>45</v>
      </c>
      <c r="M57" s="29">
        <f>基础状态预估!D57</f>
        <v>57.218966664386244</v>
      </c>
      <c r="N57" s="65">
        <f>基础状态预估!L57*D$10/3</f>
        <v>0.32374349275847791</v>
      </c>
      <c r="O57" s="65">
        <f>基础状态预估!M57*E$10/3</f>
        <v>2.8875866657544975</v>
      </c>
      <c r="P57" s="65">
        <f>基础状态预估!N57*F$10/3</f>
        <v>1.3313799986317463</v>
      </c>
      <c r="Q57" s="65">
        <f>基础状态预估!O57*G$10/3</f>
        <v>0</v>
      </c>
      <c r="R57" s="65">
        <f>基础状态预估!P57*H$10/3</f>
        <v>0</v>
      </c>
      <c r="S57" s="65">
        <f>基础状态预估!Q57*I$10/3</f>
        <v>0</v>
      </c>
      <c r="T57" s="65">
        <f t="shared" si="18"/>
        <v>4.5427101571447217</v>
      </c>
      <c r="U57" s="65">
        <f>基础状态预估!L57*D$15</f>
        <v>4.8561523913771684E-3</v>
      </c>
      <c r="V57" s="65">
        <f>基础状态预估!M57*E$15</f>
        <v>4.3313799986317465E-2</v>
      </c>
      <c r="W57" s="65">
        <f>基础状态预估!N57*F$15</f>
        <v>1.3313799986317463E-2</v>
      </c>
      <c r="X57" s="65">
        <f>基础状态预估!O57*G$15</f>
        <v>0</v>
      </c>
      <c r="Y57" s="65">
        <f>基础状态预估!P57*H$15</f>
        <v>0</v>
      </c>
      <c r="Z57" s="65">
        <f>基础状态预估!Q57*I$15</f>
        <v>0</v>
      </c>
      <c r="AA57" s="65">
        <f t="shared" si="19"/>
        <v>6.1483752364012101E-2</v>
      </c>
      <c r="AI57" s="18">
        <v>20</v>
      </c>
      <c r="AJ57" s="18">
        <f t="shared" ref="AJ57:AJ71" si="20">IFERROR(求节点($M$55:$M$95,$T$55:$T$95,$AI57),0)</f>
        <v>0</v>
      </c>
      <c r="AK57" s="18">
        <f t="shared" ref="AK57:AK71" si="21">IFERROR(求节点($M$55:$M$95,$AA$55:$AA$95,$AI57),0)</f>
        <v>0</v>
      </c>
      <c r="AL57" s="28">
        <f>(AJ57-AJ56)*(INDEX([3]小r将兵属性验证!$V$7:$V$166,$AI57,1)+INDEX([3]小r将兵属性验证!$AP$7:$AP$166,$AI57,1))+AL56</f>
        <v>0</v>
      </c>
      <c r="AM57" s="5">
        <f>(AK57-AK56)*(INDEX([3]小r将兵属性验证!$AC$7:$AC$166,$AI57,1)*0.5+INDEX([3]小r将兵属性验证!$AX$7:$AX$166,$AI57,1)*0.5)+AM56</f>
        <v>0</v>
      </c>
      <c r="AN57" s="50">
        <f>IFERROR(求节点(付费投放!$T$55:$T$95,付费投放!$Z$55:$Z$95,AI57),0)</f>
        <v>0</v>
      </c>
      <c r="AV57" s="51">
        <v>47</v>
      </c>
      <c r="AW57" s="51">
        <f t="shared" si="3"/>
        <v>1.2662011968869904</v>
      </c>
      <c r="AX57" s="51">
        <f t="shared" si="4"/>
        <v>1.2081853418002748</v>
      </c>
      <c r="AY57" s="51">
        <f t="shared" si="5"/>
        <v>0.77002011582128582</v>
      </c>
      <c r="AZ57" s="51">
        <f t="shared" si="6"/>
        <v>0</v>
      </c>
      <c r="BA57" s="51">
        <f t="shared" si="7"/>
        <v>0</v>
      </c>
      <c r="BB57" s="51">
        <f t="shared" si="8"/>
        <v>1.899301795330486E-2</v>
      </c>
      <c r="BC57" s="51">
        <f t="shared" si="9"/>
        <v>1.8122780127004124E-2</v>
      </c>
      <c r="BD57" s="51">
        <f t="shared" si="10"/>
        <v>1.1550301737319288E-2</v>
      </c>
      <c r="BE57" s="51">
        <f t="shared" si="11"/>
        <v>0</v>
      </c>
      <c r="BF57" s="51">
        <f t="shared" si="12"/>
        <v>0</v>
      </c>
    </row>
    <row r="58" spans="12:58" x14ac:dyDescent="0.15">
      <c r="L58" s="29">
        <f>基础状态预估!C58</f>
        <v>60</v>
      </c>
      <c r="M58" s="29">
        <f>基础状态预估!D58</f>
        <v>61.330461663183208</v>
      </c>
      <c r="N58" s="65">
        <f>基础状态预估!L58*D$10/3</f>
        <v>0</v>
      </c>
      <c r="O58" s="65">
        <f>基础状态预估!M58*E$10/3</f>
        <v>2.6736175562854227</v>
      </c>
      <c r="P58" s="65">
        <f>基础状态预估!N58*F$10/3</f>
        <v>3.7982769979099245</v>
      </c>
      <c r="Q58" s="65">
        <f>基础状态预估!O58*G$10/3</f>
        <v>0</v>
      </c>
      <c r="R58" s="65">
        <f>基础状态预估!P58*H$10/3</f>
        <v>0</v>
      </c>
      <c r="S58" s="65">
        <f>基础状态预估!Q58*I$10/3</f>
        <v>0</v>
      </c>
      <c r="T58" s="65">
        <f t="shared" si="18"/>
        <v>6.4718945541953472</v>
      </c>
      <c r="U58" s="65">
        <f>基础状态预估!L58*D$15</f>
        <v>0</v>
      </c>
      <c r="V58" s="65">
        <f>基础状态预估!M58*E$15</f>
        <v>4.0104263344281341E-2</v>
      </c>
      <c r="W58" s="65">
        <f>基础状态预估!N58*F$15</f>
        <v>3.7982769979099246E-2</v>
      </c>
      <c r="X58" s="65">
        <f>基础状态预估!O58*G$15</f>
        <v>0</v>
      </c>
      <c r="Y58" s="65">
        <f>基础状态预估!P58*H$15</f>
        <v>0</v>
      </c>
      <c r="Z58" s="65">
        <f>基础状态预估!Q58*I$15</f>
        <v>0</v>
      </c>
      <c r="AA58" s="65">
        <f t="shared" si="19"/>
        <v>7.8087033323380586E-2</v>
      </c>
      <c r="AI58" s="18">
        <v>30</v>
      </c>
      <c r="AJ58" s="18">
        <f t="shared" si="20"/>
        <v>0</v>
      </c>
      <c r="AK58" s="18">
        <f t="shared" si="21"/>
        <v>0</v>
      </c>
      <c r="AL58" s="28">
        <f>(AJ58-AJ57)*(INDEX([3]小r将兵属性验证!$V$7:$V$166,$AI58,1)+INDEX([3]小r将兵属性验证!$AP$7:$AP$166,$AI58,1))+AL57</f>
        <v>0</v>
      </c>
      <c r="AM58" s="5">
        <f>(AK58-AK57)*(INDEX([3]小r将兵属性验证!$AC$7:$AC$166,$AI58,1)*0.5+INDEX([3]小r将兵属性验证!$AX$7:$AX$166,$AI58,1)*0.5)+AM57</f>
        <v>0</v>
      </c>
      <c r="AN58" s="50">
        <f>IFERROR(求节点(付费投放!$T$55:$T$95,付费投放!$Z$55:$Z$95,AI58),0)</f>
        <v>0</v>
      </c>
      <c r="AV58" s="51">
        <v>48</v>
      </c>
      <c r="AW58" s="51">
        <f t="shared" si="3"/>
        <v>1.4470870821565605</v>
      </c>
      <c r="AX58" s="51">
        <f t="shared" si="4"/>
        <v>1.4421799150990744</v>
      </c>
      <c r="AY58" s="51">
        <f t="shared" si="5"/>
        <v>1.0710725095612548</v>
      </c>
      <c r="AZ58" s="51">
        <f t="shared" si="6"/>
        <v>0</v>
      </c>
      <c r="BA58" s="51">
        <f t="shared" si="7"/>
        <v>0</v>
      </c>
      <c r="BB58" s="51">
        <f t="shared" si="8"/>
        <v>2.1706306232348409E-2</v>
      </c>
      <c r="BC58" s="51">
        <f t="shared" si="9"/>
        <v>2.1632698726486117E-2</v>
      </c>
      <c r="BD58" s="51">
        <f t="shared" si="10"/>
        <v>1.6066087643418821E-2</v>
      </c>
      <c r="BE58" s="51">
        <f t="shared" si="11"/>
        <v>0</v>
      </c>
      <c r="BF58" s="51">
        <f t="shared" si="12"/>
        <v>0</v>
      </c>
    </row>
    <row r="59" spans="12:58" x14ac:dyDescent="0.15">
      <c r="L59" s="29">
        <f>基础状态预估!C59</f>
        <v>75</v>
      </c>
      <c r="M59" s="29">
        <f>基础状态预估!D59</f>
        <v>64.495279642868965</v>
      </c>
      <c r="N59" s="65">
        <f>基础状态预估!L59*D$10/3</f>
        <v>0</v>
      </c>
      <c r="O59" s="65">
        <f>基础状态预估!M59*E$10/3</f>
        <v>1.9511014166639082</v>
      </c>
      <c r="P59" s="65">
        <f>基础状态预估!N59*F$10/3</f>
        <v>5.6971677857213789</v>
      </c>
      <c r="Q59" s="65">
        <f>基础状态预估!O59*G$10/3</f>
        <v>0</v>
      </c>
      <c r="R59" s="65">
        <f>基础状态预估!P59*H$10/3</f>
        <v>0</v>
      </c>
      <c r="S59" s="65">
        <f>基础状态预估!Q59*I$10/3</f>
        <v>0</v>
      </c>
      <c r="T59" s="65">
        <f t="shared" si="18"/>
        <v>7.6482692023852872</v>
      </c>
      <c r="U59" s="65">
        <f>基础状态预估!L59*D$15</f>
        <v>0</v>
      </c>
      <c r="V59" s="65">
        <f>基础状态预估!M59*E$15</f>
        <v>2.9266521249958623E-2</v>
      </c>
      <c r="W59" s="65">
        <f>基础状态预估!N59*F$15</f>
        <v>5.6971677857213791E-2</v>
      </c>
      <c r="X59" s="65">
        <f>基础状态预估!O59*G$15</f>
        <v>0</v>
      </c>
      <c r="Y59" s="65">
        <f>基础状态预估!P59*H$15</f>
        <v>0</v>
      </c>
      <c r="Z59" s="65">
        <f>基础状态预估!Q59*I$15</f>
        <v>0</v>
      </c>
      <c r="AA59" s="65">
        <f t="shared" si="19"/>
        <v>8.6238199107172411E-2</v>
      </c>
      <c r="AI59" s="18">
        <v>40</v>
      </c>
      <c r="AJ59" s="18">
        <f t="shared" si="20"/>
        <v>0</v>
      </c>
      <c r="AK59" s="18">
        <f t="shared" si="21"/>
        <v>0</v>
      </c>
      <c r="AL59" s="28">
        <f>(AJ59-AJ58)*(INDEX([3]小r将兵属性验证!$V$7:$V$166,$AI59,1)+INDEX([3]小r将兵属性验证!$AP$7:$AP$166,$AI59,1))+AL58</f>
        <v>0</v>
      </c>
      <c r="AM59" s="5">
        <f>(AK59-AK58)*(INDEX([3]小r将兵属性验证!$AC$7:$AC$166,$AI59,1)*0.5+INDEX([3]小r将兵属性验证!$AX$7:$AX$166,$AI59,1)*0.5)+AM58</f>
        <v>0</v>
      </c>
      <c r="AN59" s="50">
        <f>IFERROR(求节点(付费投放!$T$55:$T$95,付费投放!$Z$55:$Z$95,AI59),0)</f>
        <v>0</v>
      </c>
      <c r="AV59" s="51">
        <v>49</v>
      </c>
      <c r="AW59" s="51">
        <f t="shared" si="3"/>
        <v>1.6279729674261305</v>
      </c>
      <c r="AX59" s="51">
        <f t="shared" si="4"/>
        <v>1.676174488397874</v>
      </c>
      <c r="AY59" s="51">
        <f t="shared" si="5"/>
        <v>1.3721249033012235</v>
      </c>
      <c r="AZ59" s="51">
        <f t="shared" si="6"/>
        <v>1.9707206813965998</v>
      </c>
      <c r="BA59" s="51">
        <f t="shared" si="7"/>
        <v>0</v>
      </c>
      <c r="BB59" s="51">
        <f t="shared" si="8"/>
        <v>2.4419594511391959E-2</v>
      </c>
      <c r="BC59" s="51">
        <f t="shared" si="9"/>
        <v>2.5142617325968109E-2</v>
      </c>
      <c r="BD59" s="51">
        <f t="shared" si="10"/>
        <v>2.0581873549518355E-2</v>
      </c>
      <c r="BE59" s="51">
        <f t="shared" si="11"/>
        <v>2.926166644890325E-2</v>
      </c>
      <c r="BF59" s="51">
        <f t="shared" si="12"/>
        <v>0</v>
      </c>
    </row>
    <row r="60" spans="12:58" x14ac:dyDescent="0.15">
      <c r="L60" s="29">
        <f>基础状态预估!C60</f>
        <v>90</v>
      </c>
      <c r="M60" s="29">
        <f>基础状态预估!D60</f>
        <v>67.083433628014333</v>
      </c>
      <c r="N60" s="65">
        <f>基础状态预估!L60*D$10/3</f>
        <v>0</v>
      </c>
      <c r="O60" s="65">
        <f>基础状态预估!M60*E$10/3</f>
        <v>0</v>
      </c>
      <c r="P60" s="65">
        <f>基础状态预估!N60*F$10/3</f>
        <v>8.0207982301949841</v>
      </c>
      <c r="Q60" s="65">
        <f>基础状态预估!O60*G$10/3</f>
        <v>2.5001203536171999</v>
      </c>
      <c r="R60" s="65">
        <f>基础状态预估!P60*H$10/3</f>
        <v>0</v>
      </c>
      <c r="S60" s="65">
        <f>基础状态预估!Q60*I$10/3</f>
        <v>0</v>
      </c>
      <c r="T60" s="65">
        <f t="shared" si="18"/>
        <v>10.520918583812184</v>
      </c>
      <c r="U60" s="65">
        <f>基础状态预估!L60*D$15</f>
        <v>0</v>
      </c>
      <c r="V60" s="65">
        <f>基础状态预估!M60*E$15</f>
        <v>0</v>
      </c>
      <c r="W60" s="65">
        <f>基础状态预估!N60*F$15</f>
        <v>8.0207982301949837E-2</v>
      </c>
      <c r="X60" s="65">
        <f>基础状态预估!O60*G$15</f>
        <v>2.5001203536171999E-2</v>
      </c>
      <c r="Y60" s="65">
        <f>基础状态预估!P60*H$15</f>
        <v>0</v>
      </c>
      <c r="Z60" s="65">
        <f>基础状态预估!Q60*I$15</f>
        <v>0</v>
      </c>
      <c r="AA60" s="65">
        <f t="shared" si="19"/>
        <v>0.10520918583812183</v>
      </c>
      <c r="AI60" s="18">
        <v>50</v>
      </c>
      <c r="AJ60" s="18">
        <f t="shared" si="20"/>
        <v>1.9101690616966736</v>
      </c>
      <c r="AK60" s="18">
        <f t="shared" si="21"/>
        <v>2.8652535925450102E-2</v>
      </c>
      <c r="AL60" s="28">
        <f>(AJ60-AJ59)*(INDEX([3]小r将兵属性验证!$V$7:$V$166,$AI60,1)+INDEX([3]小r将兵属性验证!$AP$7:$AP$166,$AI60,1))+AL59</f>
        <v>32935478.740011409</v>
      </c>
      <c r="AM60" s="5">
        <f>(AK60-AK59)*(INDEX([3]小r将兵属性验证!$AC$7:$AC$166,$AI60,1)*0.5+INDEX([3]小r将兵属性验证!$AX$7:$AX$166,$AI60,1)*0.5)+AM59</f>
        <v>42696780.847113691</v>
      </c>
      <c r="AN60" s="50">
        <f>IFERROR(求节点(付费投放!$T$55:$T$95,付费投放!$Z$55:$Z$95,AI60),0)</f>
        <v>1308.0041734985</v>
      </c>
      <c r="AV60" s="51">
        <v>50</v>
      </c>
      <c r="AW60" s="51">
        <f t="shared" si="3"/>
        <v>1.8332103539208633</v>
      </c>
      <c r="AX60" s="51">
        <f t="shared" si="4"/>
        <v>1.9101690616966736</v>
      </c>
      <c r="AY60" s="51">
        <f t="shared" si="5"/>
        <v>1.6731772970411924</v>
      </c>
      <c r="AZ60" s="51">
        <f t="shared" si="6"/>
        <v>2.3617079640525724</v>
      </c>
      <c r="BA60" s="51">
        <f t="shared" si="7"/>
        <v>0</v>
      </c>
      <c r="BB60" s="51">
        <f t="shared" si="8"/>
        <v>2.7441770815585943E-2</v>
      </c>
      <c r="BC60" s="51">
        <f t="shared" si="9"/>
        <v>2.8652535925450102E-2</v>
      </c>
      <c r="BD60" s="51">
        <f t="shared" si="10"/>
        <v>2.5097659455617888E-2</v>
      </c>
      <c r="BE60" s="51">
        <f t="shared" si="11"/>
        <v>3.4012704022503927E-2</v>
      </c>
      <c r="BF60" s="51">
        <f t="shared" si="12"/>
        <v>0</v>
      </c>
    </row>
    <row r="61" spans="12:58" x14ac:dyDescent="0.15">
      <c r="L61" s="29">
        <f>基础状态预估!C61</f>
        <v>105</v>
      </c>
      <c r="M61" s="29">
        <f>基础状态预估!D61</f>
        <v>69.333680194119751</v>
      </c>
      <c r="N61" s="65">
        <f>基础状态预估!L61*D$10/3</f>
        <v>0</v>
      </c>
      <c r="O61" s="65">
        <f>基础状态预估!M61*E$10/3</f>
        <v>0</v>
      </c>
      <c r="P61" s="65">
        <f>基础状态预估!N61*F$10/3</f>
        <v>7.2332119320580874</v>
      </c>
      <c r="Q61" s="65">
        <f>基础状态预估!O61*G$10/3</f>
        <v>5.2004162329437005</v>
      </c>
      <c r="R61" s="65">
        <f>基础状态预估!P61*H$10/3</f>
        <v>0</v>
      </c>
      <c r="S61" s="65">
        <f>基础状态预估!Q61*I$10/3</f>
        <v>0</v>
      </c>
      <c r="T61" s="65">
        <f t="shared" si="18"/>
        <v>12.433628165001789</v>
      </c>
      <c r="U61" s="65">
        <f>基础状态预估!L61*D$15</f>
        <v>0</v>
      </c>
      <c r="V61" s="65">
        <f>基础状态预估!M61*E$15</f>
        <v>0</v>
      </c>
      <c r="W61" s="65">
        <f>基础状态预估!N61*F$15</f>
        <v>7.2332119320580882E-2</v>
      </c>
      <c r="X61" s="65">
        <f>基础状态预估!O61*G$15</f>
        <v>5.2004162329437005E-2</v>
      </c>
      <c r="Y61" s="65">
        <f>基础状态预估!P61*H$15</f>
        <v>0</v>
      </c>
      <c r="Z61" s="65">
        <f>基础状态预估!Q61*I$15</f>
        <v>0</v>
      </c>
      <c r="AA61" s="65">
        <f t="shared" si="19"/>
        <v>0.12433628165001789</v>
      </c>
      <c r="AI61" s="18">
        <v>60</v>
      </c>
      <c r="AJ61" s="18">
        <f t="shared" si="20"/>
        <v>5.8476189847885758</v>
      </c>
      <c r="AK61" s="18">
        <f t="shared" si="21"/>
        <v>7.2714284771828633E-2</v>
      </c>
      <c r="AL61" s="28">
        <f>(AJ61-AJ60)*(INDEX([3]小r将兵属性验证!$V$7:$V$166,$AI61,1)+INDEX([3]小r将兵属性验证!$AP$7:$AP$166,$AI61,1))+AL60</f>
        <v>174622976.92159617</v>
      </c>
      <c r="AM61" s="5">
        <f>(AK61-AK60)*(INDEX([3]小r将兵属性验证!$AC$7:$AC$166,$AI61,1)*0.5+INDEX([3]小r将兵属性验证!$AX$7:$AX$166,$AI61,1)*0.5)+AM60</f>
        <v>194010274.91028029</v>
      </c>
      <c r="AN61" s="50">
        <f>IFERROR(求节点(付费投放!$T$55:$T$95,付费投放!$Z$55:$Z$95,AI61),0)</f>
        <v>4143.0740216854847</v>
      </c>
      <c r="AV61" s="51">
        <v>51</v>
      </c>
      <c r="AW61" s="51">
        <f t="shared" si="3"/>
        <v>2.0662801492268148</v>
      </c>
      <c r="AX61" s="51">
        <f t="shared" si="4"/>
        <v>2.1441636349954729</v>
      </c>
      <c r="AY61" s="51">
        <f t="shared" si="5"/>
        <v>1.9742296907811614</v>
      </c>
      <c r="AZ61" s="51">
        <f t="shared" si="6"/>
        <v>2.7526952467085453</v>
      </c>
      <c r="BA61" s="51">
        <f t="shared" si="7"/>
        <v>0</v>
      </c>
      <c r="BB61" s="51">
        <f t="shared" si="8"/>
        <v>3.0816988918451187E-2</v>
      </c>
      <c r="BC61" s="51">
        <f t="shared" si="9"/>
        <v>3.2162454524932098E-2</v>
      </c>
      <c r="BD61" s="51">
        <f t="shared" si="10"/>
        <v>2.9613445361717422E-2</v>
      </c>
      <c r="BE61" s="51">
        <f t="shared" si="11"/>
        <v>3.8763741596104608E-2</v>
      </c>
      <c r="BF61" s="51">
        <f t="shared" si="12"/>
        <v>0</v>
      </c>
    </row>
    <row r="62" spans="12:58" x14ac:dyDescent="0.15">
      <c r="L62" s="29">
        <f>基础状态预估!C62</f>
        <v>120</v>
      </c>
      <c r="M62" s="29">
        <f>基础状态预估!D62</f>
        <v>71.230067506391322</v>
      </c>
      <c r="N62" s="65">
        <f>基础状态预估!L62*D$10/3</f>
        <v>0</v>
      </c>
      <c r="O62" s="65">
        <f>基础状态预估!M62*E$10/3</f>
        <v>0</v>
      </c>
      <c r="P62" s="65">
        <f>基础状态预估!N62*F$10/3</f>
        <v>6.5353078309188355</v>
      </c>
      <c r="Q62" s="65">
        <f>基础状态预估!O62*G$10/3</f>
        <v>7.4760810076695856</v>
      </c>
      <c r="R62" s="65">
        <f>基础状态预估!P62*H$10/3</f>
        <v>0</v>
      </c>
      <c r="S62" s="65">
        <f>基础状态预估!Q62*I$10/3</f>
        <v>0</v>
      </c>
      <c r="T62" s="65">
        <f t="shared" si="18"/>
        <v>14.01138883858842</v>
      </c>
      <c r="U62" s="65">
        <f>基础状态预估!L62*D$15</f>
        <v>0</v>
      </c>
      <c r="V62" s="65">
        <f>基础状态预估!M62*E$15</f>
        <v>0</v>
      </c>
      <c r="W62" s="65">
        <f>基础状态预估!N62*F$15</f>
        <v>6.535307830918835E-2</v>
      </c>
      <c r="X62" s="65">
        <f>基础状态预估!O62*G$15</f>
        <v>7.4760810076695855E-2</v>
      </c>
      <c r="Y62" s="65">
        <f>基础状态预估!P62*H$15</f>
        <v>0</v>
      </c>
      <c r="Z62" s="65">
        <f>基础状态预估!Q62*I$15</f>
        <v>0</v>
      </c>
      <c r="AA62" s="65">
        <f t="shared" si="19"/>
        <v>0.14011388838588421</v>
      </c>
      <c r="AI62" s="18">
        <v>70</v>
      </c>
      <c r="AJ62" s="18">
        <f t="shared" si="20"/>
        <v>12.987994448169152</v>
      </c>
      <c r="AK62" s="18">
        <f t="shared" si="21"/>
        <v>0.12987994448169152</v>
      </c>
      <c r="AL62" s="28">
        <f>(AJ62-AJ61)*(INDEX([3]小r将兵属性验证!$V$7:$V$166,$AI62,1)+INDEX([3]小r将兵属性验证!$AP$7:$AP$166,$AI62,1))+AL61</f>
        <v>908514706.02972996</v>
      </c>
      <c r="AM62" s="5">
        <f>(AK62-AK61)*(INDEX([3]小r将兵属性验证!$AC$7:$AC$166,$AI62,1)*0.5+INDEX([3]小r将兵属性验证!$AX$7:$AX$166,$AI62,1)*0.5)+AM61</f>
        <v>713157457.77253151</v>
      </c>
      <c r="AN62" s="50">
        <f>IFERROR(求节点(付费投放!$T$55:$T$95,付费投放!$Z$55:$Z$95,AI62),0)</f>
        <v>20413.041735876497</v>
      </c>
      <c r="AV62" s="51">
        <v>52</v>
      </c>
      <c r="AW62" s="51">
        <f t="shared" si="3"/>
        <v>2.2993499445327661</v>
      </c>
      <c r="AX62" s="51">
        <f t="shared" si="4"/>
        <v>2.4609606101768957</v>
      </c>
      <c r="AY62" s="51">
        <f t="shared" si="5"/>
        <v>2.2752820845211303</v>
      </c>
      <c r="AZ62" s="51">
        <f t="shared" si="6"/>
        <v>3.1436825293645176</v>
      </c>
      <c r="BA62" s="51">
        <f t="shared" si="7"/>
        <v>0</v>
      </c>
      <c r="BB62" s="51">
        <f t="shared" si="8"/>
        <v>3.419220702131643E-2</v>
      </c>
      <c r="BC62" s="51">
        <f t="shared" si="9"/>
        <v>3.6330095863360543E-2</v>
      </c>
      <c r="BD62" s="51">
        <f t="shared" si="10"/>
        <v>3.4129231267816952E-2</v>
      </c>
      <c r="BE62" s="51">
        <f t="shared" si="11"/>
        <v>4.3514779169705288E-2</v>
      </c>
      <c r="BF62" s="51">
        <f t="shared" si="12"/>
        <v>0</v>
      </c>
    </row>
    <row r="63" spans="12:58" x14ac:dyDescent="0.15">
      <c r="L63" s="29">
        <f>基础状态预估!C63</f>
        <v>150</v>
      </c>
      <c r="M63" s="29">
        <f>基础状态预估!D63</f>
        <v>74.456724480300707</v>
      </c>
      <c r="N63" s="65">
        <f>基础状态预估!L63*D$10/3</f>
        <v>0</v>
      </c>
      <c r="O63" s="65">
        <f>基础状态预估!M63*E$10/3</f>
        <v>0</v>
      </c>
      <c r="P63" s="65">
        <f>基础状态预估!N63*F$10/3</f>
        <v>5.3163485296641779</v>
      </c>
      <c r="Q63" s="65">
        <f>基础状态预估!O63*G$10/3</f>
        <v>11.348069376360849</v>
      </c>
      <c r="R63" s="65">
        <f>基础状态预估!P63*H$10/3</f>
        <v>0</v>
      </c>
      <c r="S63" s="65">
        <f>基础状态预估!Q63*I$10/3</f>
        <v>0</v>
      </c>
      <c r="T63" s="65">
        <f t="shared" si="18"/>
        <v>16.664417906025026</v>
      </c>
      <c r="U63" s="65">
        <f>基础状态预估!L63*D$15</f>
        <v>0</v>
      </c>
      <c r="V63" s="65">
        <f>基础状态预估!M63*E$15</f>
        <v>0</v>
      </c>
      <c r="W63" s="65">
        <f>基础状态预估!N63*F$15</f>
        <v>5.3163485296641777E-2</v>
      </c>
      <c r="X63" s="65">
        <f>基础状态预估!O63*G$15</f>
        <v>0.11348069376360849</v>
      </c>
      <c r="Y63" s="65">
        <f>基础状态预估!P63*H$15</f>
        <v>0</v>
      </c>
      <c r="Z63" s="65">
        <f>基础状态预估!Q63*I$15</f>
        <v>0</v>
      </c>
      <c r="AA63" s="65">
        <f t="shared" si="19"/>
        <v>0.16664417906025025</v>
      </c>
      <c r="AI63" s="18">
        <v>80</v>
      </c>
      <c r="AJ63" s="18">
        <f t="shared" si="20"/>
        <v>26.400000000000002</v>
      </c>
      <c r="AK63" s="18">
        <f t="shared" si="21"/>
        <v>0.24400000000000002</v>
      </c>
      <c r="AL63" s="28">
        <f>(AJ63-AJ62)*(INDEX([3]小r将兵属性验证!$V$7:$V$166,$AI63,1)+INDEX([3]小r将兵属性验证!$AP$7:$AP$166,$AI63,1))+AL62</f>
        <v>4490044631.4414053</v>
      </c>
      <c r="AM63" s="5">
        <f>(AK63-AK62)*(INDEX([3]小r将兵属性验证!$AC$7:$AC$166,$AI63,1)*0.5+INDEX([3]小r将兵属性验证!$AX$7:$AX$166,$AI63,1)*0.5)+AM62</f>
        <v>3455522899.4576278</v>
      </c>
      <c r="AN63" s="50">
        <f>IFERROR(求节点(付费投放!$T$55:$T$95,付费投放!$Z$55:$Z$95,AI63),0)</f>
        <v>65193.261063496575</v>
      </c>
      <c r="AV63" s="51">
        <v>53</v>
      </c>
      <c r="AW63" s="51">
        <f t="shared" si="3"/>
        <v>2.5324197398387174</v>
      </c>
      <c r="AX63" s="51">
        <f t="shared" si="4"/>
        <v>2.8598421667833973</v>
      </c>
      <c r="AY63" s="51">
        <f t="shared" si="5"/>
        <v>2.5763344782610993</v>
      </c>
      <c r="AZ63" s="51">
        <f t="shared" si="6"/>
        <v>3.5346698120204905</v>
      </c>
      <c r="BA63" s="51">
        <f t="shared" si="7"/>
        <v>0</v>
      </c>
      <c r="BB63" s="51">
        <f t="shared" si="8"/>
        <v>3.7567425124181673E-2</v>
      </c>
      <c r="BC63" s="51">
        <f t="shared" si="9"/>
        <v>4.1149758091191549E-2</v>
      </c>
      <c r="BD63" s="51">
        <f t="shared" si="10"/>
        <v>3.8645017173916489E-2</v>
      </c>
      <c r="BE63" s="51">
        <f t="shared" si="11"/>
        <v>4.8265816743305968E-2</v>
      </c>
      <c r="BF63" s="51">
        <f t="shared" si="12"/>
        <v>0</v>
      </c>
    </row>
    <row r="64" spans="12:58" x14ac:dyDescent="0.15">
      <c r="L64" s="29">
        <f>基础状态预估!C64</f>
        <v>180</v>
      </c>
      <c r="M64" s="29">
        <f>基础状态预估!D64</f>
        <v>77.06778397927944</v>
      </c>
      <c r="N64" s="65">
        <f>基础状态预估!L64*D$10/3</f>
        <v>0</v>
      </c>
      <c r="O64" s="65">
        <f>基础状态预估!M64*E$10/3</f>
        <v>0</v>
      </c>
      <c r="P64" s="65">
        <f>基础状态预估!N64*F$10/3</f>
        <v>0</v>
      </c>
      <c r="Q64" s="65">
        <f>基础状态预估!O64*G$10/3</f>
        <v>20.659896548988865</v>
      </c>
      <c r="R64" s="65">
        <f>基础状态预估!P64*H$10/3</f>
        <v>3.3084543668471045</v>
      </c>
      <c r="S64" s="65">
        <f>基础状态预估!Q64*I$10/3</f>
        <v>0</v>
      </c>
      <c r="T64" s="65">
        <f t="shared" si="18"/>
        <v>23.96835091583597</v>
      </c>
      <c r="U64" s="65">
        <f>基础状态预估!L64*D$15</f>
        <v>0</v>
      </c>
      <c r="V64" s="65">
        <f>基础状态预估!M64*E$15</f>
        <v>0</v>
      </c>
      <c r="W64" s="65">
        <f>基础状态预估!N64*F$15</f>
        <v>0</v>
      </c>
      <c r="X64" s="65">
        <f>基础状态预估!O64*G$15</f>
        <v>0.20659896548988865</v>
      </c>
      <c r="Y64" s="65">
        <f>基础状态预估!P64*H$15</f>
        <v>2.4813407751353284E-2</v>
      </c>
      <c r="Z64" s="65">
        <f>基础状态预估!Q64*I$15</f>
        <v>0</v>
      </c>
      <c r="AA64" s="65">
        <f t="shared" si="19"/>
        <v>0.23141237324124195</v>
      </c>
      <c r="AI64" s="18">
        <v>90</v>
      </c>
      <c r="AJ64" s="18">
        <f t="shared" si="20"/>
        <v>38.81818181818182</v>
      </c>
      <c r="AK64" s="18">
        <f t="shared" si="21"/>
        <v>0.31363636363636366</v>
      </c>
      <c r="AL64" s="28">
        <f>(AJ64-AJ63)*(INDEX([3]小r将兵属性验证!$V$7:$V$166,$AI64,1)+INDEX([3]小r将兵属性验证!$AP$7:$AP$166,$AI64,1))+AL63</f>
        <v>13085618652.752167</v>
      </c>
      <c r="AM64" s="5">
        <f>(AK64-AK63)*(INDEX([3]小r将兵属性验证!$AC$7:$AC$166,$AI64,1)*0.5+INDEX([3]小r将兵属性验证!$AX$7:$AX$166,$AI64,1)*0.5)+AM63</f>
        <v>7638578274.8548651</v>
      </c>
      <c r="AN64" s="50">
        <f>IFERROR(求节点(付费投放!$T$55:$T$95,付费投放!$Z$55:$Z$95,AI64),0)</f>
        <v>153597.51358015483</v>
      </c>
      <c r="AV64" s="51">
        <v>54</v>
      </c>
      <c r="AW64" s="51">
        <f t="shared" si="3"/>
        <v>2.7654895351446687</v>
      </c>
      <c r="AX64" s="51">
        <f t="shared" si="4"/>
        <v>3.2587237233898989</v>
      </c>
      <c r="AY64" s="51">
        <f t="shared" si="5"/>
        <v>2.8773868720010682</v>
      </c>
      <c r="AZ64" s="51">
        <f t="shared" si="6"/>
        <v>3.9256570946764628</v>
      </c>
      <c r="BA64" s="51">
        <f t="shared" si="7"/>
        <v>0</v>
      </c>
      <c r="BB64" s="51">
        <f t="shared" si="8"/>
        <v>4.0942643227046917E-2</v>
      </c>
      <c r="BC64" s="51">
        <f t="shared" si="9"/>
        <v>4.5969420319022555E-2</v>
      </c>
      <c r="BD64" s="51">
        <f t="shared" si="10"/>
        <v>4.3160803080016019E-2</v>
      </c>
      <c r="BE64" s="51">
        <f t="shared" si="11"/>
        <v>5.3016854316906642E-2</v>
      </c>
      <c r="BF64" s="51">
        <f t="shared" si="12"/>
        <v>0</v>
      </c>
    </row>
    <row r="65" spans="12:58" x14ac:dyDescent="0.15">
      <c r="L65" s="29">
        <f>基础状态预估!C65</f>
        <v>210</v>
      </c>
      <c r="M65" s="29">
        <f>基础状态预估!D65</f>
        <v>79.261304112721092</v>
      </c>
      <c r="N65" s="65">
        <f>基础状态预估!L65*D$10/3</f>
        <v>0</v>
      </c>
      <c r="O65" s="65">
        <f>基础状态预估!M65*E$10/3</f>
        <v>0</v>
      </c>
      <c r="P65" s="65">
        <f>基础状态预估!N65*F$10/3</f>
        <v>0</v>
      </c>
      <c r="Q65" s="65">
        <f>基础状态预估!O65*G$10/3</f>
        <v>18.990956709823127</v>
      </c>
      <c r="R65" s="65">
        <f>基础状态预估!P65*H$10/3</f>
        <v>6.8180865803537465</v>
      </c>
      <c r="S65" s="65">
        <f>基础状态预估!Q65*I$10/3</f>
        <v>0</v>
      </c>
      <c r="T65" s="65">
        <f t="shared" si="18"/>
        <v>25.809043290176874</v>
      </c>
      <c r="U65" s="65">
        <f>基础状态预估!L65*D$15</f>
        <v>0</v>
      </c>
      <c r="V65" s="65">
        <f>基础状态预估!M65*E$15</f>
        <v>0</v>
      </c>
      <c r="W65" s="65">
        <f>基础状态预估!N65*F$15</f>
        <v>0</v>
      </c>
      <c r="X65" s="65">
        <f>基础状态预估!O65*G$15</f>
        <v>0.18990956709823129</v>
      </c>
      <c r="Y65" s="65">
        <f>基础状态预估!P65*H$15</f>
        <v>5.1135649352653099E-2</v>
      </c>
      <c r="Z65" s="65">
        <f>基础状态预估!Q65*I$15</f>
        <v>0</v>
      </c>
      <c r="AA65" s="65">
        <f t="shared" si="19"/>
        <v>0.24104521645088439</v>
      </c>
      <c r="AI65" s="18">
        <v>100</v>
      </c>
      <c r="AJ65" s="18">
        <f t="shared" si="20"/>
        <v>46.657168935822689</v>
      </c>
      <c r="AK65" s="18">
        <f t="shared" si="21"/>
        <v>0.43992876701867017</v>
      </c>
      <c r="AL65" s="28">
        <f>(AJ65-AJ64)*(INDEX([3]小r将兵属性验证!$V$7:$V$166,$AI65,1)+INDEX([3]小r将兵属性验证!$AP$7:$AP$166,$AI65,1))+AL64</f>
        <v>24175518782.712109</v>
      </c>
      <c r="AM65" s="5">
        <f>(AK65-AK64)*(INDEX([3]小r将兵属性验证!$AC$7:$AC$166,$AI65,1)*0.5+INDEX([3]小r将兵属性验证!$AX$7:$AX$166,$AI65,1)*0.5)+AM64</f>
        <v>22203671459.952194</v>
      </c>
      <c r="AN65" s="50">
        <f>IFERROR(求节点(付费投放!$T$55:$T$95,付费投放!$Z$55:$Z$95,AI65),0)</f>
        <v>329369.88162636699</v>
      </c>
      <c r="AV65" s="51">
        <v>55</v>
      </c>
      <c r="AW65" s="51">
        <f t="shared" si="3"/>
        <v>2.99855933045062</v>
      </c>
      <c r="AX65" s="51">
        <f t="shared" si="4"/>
        <v>3.6576052799964005</v>
      </c>
      <c r="AY65" s="51">
        <f t="shared" si="5"/>
        <v>3.3748340123303366</v>
      </c>
      <c r="AZ65" s="51">
        <f t="shared" si="6"/>
        <v>4.3166443773324357</v>
      </c>
      <c r="BA65" s="51">
        <f t="shared" si="7"/>
        <v>0</v>
      </c>
      <c r="BB65" s="51">
        <f t="shared" si="8"/>
        <v>4.431786132991216E-2</v>
      </c>
      <c r="BC65" s="51">
        <f t="shared" si="9"/>
        <v>5.0789082546853562E-2</v>
      </c>
      <c r="BD65" s="51">
        <f t="shared" si="10"/>
        <v>4.8579443244447934E-2</v>
      </c>
      <c r="BE65" s="51">
        <f t="shared" si="11"/>
        <v>5.7767891890507322E-2</v>
      </c>
      <c r="BF65" s="51">
        <f t="shared" si="12"/>
        <v>0</v>
      </c>
    </row>
    <row r="66" spans="12:58" x14ac:dyDescent="0.15">
      <c r="L66" s="29">
        <f>基础状态预估!C66</f>
        <v>240</v>
      </c>
      <c r="M66" s="29">
        <f>基础状态预估!D66</f>
        <v>81.216820623674849</v>
      </c>
      <c r="N66" s="65">
        <f>基础状态预估!L66*D$10/3</f>
        <v>0</v>
      </c>
      <c r="O66" s="65">
        <f>基础状态预估!M66*E$10/3</f>
        <v>0</v>
      </c>
      <c r="P66" s="65">
        <f>基础状态预估!N66*F$10/3</f>
        <v>0</v>
      </c>
      <c r="Q66" s="65">
        <f>基础状态预估!O66*G$10/3</f>
        <v>17.42654350106012</v>
      </c>
      <c r="R66" s="65">
        <f>基础状态预估!P66*H$10/3</f>
        <v>9.9469129978797586</v>
      </c>
      <c r="S66" s="65">
        <f>基础状态预估!Q66*I$10/3</f>
        <v>0</v>
      </c>
      <c r="T66" s="65">
        <f t="shared" si="18"/>
        <v>27.373456498939881</v>
      </c>
      <c r="U66" s="65">
        <f>基础状态预估!L66*D$15</f>
        <v>0</v>
      </c>
      <c r="V66" s="65">
        <f>基础状态预估!M66*E$15</f>
        <v>0</v>
      </c>
      <c r="W66" s="65">
        <f>基础状态预估!N66*F$15</f>
        <v>0</v>
      </c>
      <c r="X66" s="65">
        <f>基础状态预估!O66*G$15</f>
        <v>0.17426543501060121</v>
      </c>
      <c r="Y66" s="65">
        <f>基础状态预估!P66*H$15</f>
        <v>7.4601847484098191E-2</v>
      </c>
      <c r="Z66" s="65">
        <f>基础状态预估!Q66*I$15</f>
        <v>0</v>
      </c>
      <c r="AA66" s="65">
        <f t="shared" si="19"/>
        <v>0.24886728249469942</v>
      </c>
      <c r="AI66" s="18">
        <v>110</v>
      </c>
      <c r="AJ66" s="18">
        <f t="shared" si="20"/>
        <v>56.202020202020208</v>
      </c>
      <c r="AK66" s="18">
        <f t="shared" si="21"/>
        <v>0.6260606060606061</v>
      </c>
      <c r="AL66" s="28">
        <f>(AJ66-AJ65)*(INDEX([3]小r将兵属性验证!$V$7:$V$166,$AI66,1)+INDEX([3]小r将兵属性验证!$AP$7:$AP$166,$AI66,1))+AL65</f>
        <v>47455154715.437683</v>
      </c>
      <c r="AM66" s="5">
        <f>(AK66-AK65)*(INDEX([3]小r将兵属性验证!$AC$7:$AC$166,$AI66,1)*0.5+INDEX([3]小r将兵属性验证!$AX$7:$AX$166,$AI66,1)*0.5)+AM65</f>
        <v>57777046734.971275</v>
      </c>
      <c r="AN66" s="50">
        <f>IFERROR(求节点(付费投放!$T$55:$T$95,付费投放!$Z$55:$Z$95,AI66),0)</f>
        <v>680863.47303788702</v>
      </c>
      <c r="AV66" s="51">
        <v>56</v>
      </c>
      <c r="AW66" s="51">
        <f t="shared" si="3"/>
        <v>3.5132789458768157</v>
      </c>
      <c r="AX66" s="51">
        <f t="shared" si="4"/>
        <v>4.0564868366029021</v>
      </c>
      <c r="AY66" s="51">
        <f t="shared" si="5"/>
        <v>3.9256590019866713</v>
      </c>
      <c r="AZ66" s="51">
        <f t="shared" si="6"/>
        <v>4.707631659988408</v>
      </c>
      <c r="BA66" s="51">
        <f t="shared" si="7"/>
        <v>0</v>
      </c>
      <c r="BB66" s="51">
        <f t="shared" si="8"/>
        <v>4.969918418815223E-2</v>
      </c>
      <c r="BC66" s="51">
        <f t="shared" si="9"/>
        <v>5.5608744774684568E-2</v>
      </c>
      <c r="BD66" s="51">
        <f t="shared" si="10"/>
        <v>5.4243468885846524E-2</v>
      </c>
      <c r="BE66" s="51">
        <f t="shared" si="11"/>
        <v>6.2518929464108003E-2</v>
      </c>
      <c r="BF66" s="51">
        <f t="shared" si="12"/>
        <v>0</v>
      </c>
    </row>
    <row r="67" spans="12:58" x14ac:dyDescent="0.15">
      <c r="L67" s="29">
        <f>基础状态预估!C67</f>
        <v>270</v>
      </c>
      <c r="M67" s="29">
        <f>基础状态预估!D67</f>
        <v>82.916268958926821</v>
      </c>
      <c r="N67" s="65">
        <f>基础状态预估!L67*D$10/3</f>
        <v>0</v>
      </c>
      <c r="O67" s="65">
        <f>基础状态预估!M67*E$10/3</f>
        <v>0</v>
      </c>
      <c r="P67" s="65">
        <f>基础状态预估!N67*F$10/3</f>
        <v>0</v>
      </c>
      <c r="Q67" s="65">
        <f>基础状态预估!O67*G$10/3</f>
        <v>16.066984832858545</v>
      </c>
      <c r="R67" s="65">
        <f>基础状态预估!P67*H$10/3</f>
        <v>12.666030334282913</v>
      </c>
      <c r="S67" s="65">
        <f>基础状态预估!Q67*I$10/3</f>
        <v>0</v>
      </c>
      <c r="T67" s="65">
        <f t="shared" si="18"/>
        <v>28.73301516714146</v>
      </c>
      <c r="U67" s="65">
        <f>基础状态预估!L67*D$15</f>
        <v>0</v>
      </c>
      <c r="V67" s="65">
        <f>基础状态预估!M67*E$15</f>
        <v>0</v>
      </c>
      <c r="W67" s="65">
        <f>基础状态预估!N67*F$15</f>
        <v>0</v>
      </c>
      <c r="X67" s="65">
        <f>基础状态预估!O67*G$15</f>
        <v>0.16066984832858544</v>
      </c>
      <c r="Y67" s="65">
        <f>基础状态预估!P67*H$15</f>
        <v>9.4995227507121846E-2</v>
      </c>
      <c r="Z67" s="65">
        <f>基础状态预估!Q67*I$15</f>
        <v>0</v>
      </c>
      <c r="AA67" s="65">
        <f t="shared" si="19"/>
        <v>0.2556650758357073</v>
      </c>
      <c r="AI67" s="18">
        <v>120</v>
      </c>
      <c r="AJ67" s="18">
        <f t="shared" si="20"/>
        <v>64.102564102564102</v>
      </c>
      <c r="AK67" s="18">
        <f t="shared" si="21"/>
        <v>0.76923076923076916</v>
      </c>
      <c r="AL67" s="28">
        <f>(AJ67-AJ66)*(INDEX([3]小r将兵属性验证!$V$7:$V$166,$AI67,1)+INDEX([3]小r将兵属性验证!$AP$7:$AP$166,$AI67,1))+AL66</f>
        <v>78790297124.125748</v>
      </c>
      <c r="AM67" s="5">
        <f>(AK67-AK66)*(INDEX([3]小r将兵属性验证!$AC$7:$AC$166,$AI67,1)*0.5+INDEX([3]小r将兵属性验证!$AX$7:$AX$166,$AI67,1)*0.5)+AM66</f>
        <v>101028399348.04712</v>
      </c>
      <c r="AN67" s="50">
        <f>IFERROR(求节点(付费投放!$T$55:$T$95,付费投放!$Z$55:$Z$95,AI67),0)</f>
        <v>1382672.7340900656</v>
      </c>
      <c r="AV67" s="51">
        <v>57</v>
      </c>
      <c r="AW67" s="51">
        <f t="shared" si="3"/>
        <v>4.1118506307745983</v>
      </c>
      <c r="AX67" s="51">
        <f t="shared" si="4"/>
        <v>4.4553683932094028</v>
      </c>
      <c r="AY67" s="51">
        <f t="shared" si="5"/>
        <v>4.4764839916430059</v>
      </c>
      <c r="AZ67" s="51">
        <f t="shared" si="6"/>
        <v>5.0986189426443804</v>
      </c>
      <c r="BA67" s="51">
        <f t="shared" si="7"/>
        <v>0</v>
      </c>
      <c r="BB67" s="51">
        <f t="shared" si="8"/>
        <v>5.5677759461618972E-2</v>
      </c>
      <c r="BC67" s="51">
        <f t="shared" si="9"/>
        <v>6.0428407002515575E-2</v>
      </c>
      <c r="BD67" s="51">
        <f t="shared" si="10"/>
        <v>5.9907494527245114E-2</v>
      </c>
      <c r="BE67" s="51">
        <f t="shared" si="11"/>
        <v>6.7269967037708683E-2</v>
      </c>
      <c r="BF67" s="51">
        <f t="shared" si="12"/>
        <v>0</v>
      </c>
    </row>
    <row r="68" spans="12:58" x14ac:dyDescent="0.15">
      <c r="L68" s="29">
        <f>基础状态预估!C68</f>
        <v>300</v>
      </c>
      <c r="M68" s="29">
        <f>基础状态预估!D68</f>
        <v>84.427173250438543</v>
      </c>
      <c r="N68" s="65">
        <f>基础状态预估!L68*D$10/3</f>
        <v>0</v>
      </c>
      <c r="O68" s="65">
        <f>基础状态预估!M68*E$10/3</f>
        <v>0</v>
      </c>
      <c r="P68" s="65">
        <f>基础状态预估!N68*F$10/3</f>
        <v>0</v>
      </c>
      <c r="Q68" s="65">
        <f>基础状态预估!O68*G$10/3</f>
        <v>14.858261399649168</v>
      </c>
      <c r="R68" s="65">
        <f>基础状态预估!P68*H$10/3</f>
        <v>15.083477200701667</v>
      </c>
      <c r="S68" s="65">
        <f>基础状态预估!Q68*I$10/3</f>
        <v>0</v>
      </c>
      <c r="T68" s="65">
        <f t="shared" si="18"/>
        <v>29.941738600350835</v>
      </c>
      <c r="U68" s="65">
        <f>基础状态预估!L68*D$15</f>
        <v>0</v>
      </c>
      <c r="V68" s="65">
        <f>基础状态预估!M68*E$15</f>
        <v>0</v>
      </c>
      <c r="W68" s="65">
        <f>基础状态预估!N68*F$15</f>
        <v>0</v>
      </c>
      <c r="X68" s="65">
        <f>基础状态预估!O68*G$15</f>
        <v>0.14858261399649167</v>
      </c>
      <c r="Y68" s="65">
        <f>基础状态预估!P68*H$15</f>
        <v>0.1131260790052625</v>
      </c>
      <c r="Z68" s="65">
        <f>基础状态预估!Q68*I$15</f>
        <v>0</v>
      </c>
      <c r="AA68" s="65">
        <f t="shared" si="19"/>
        <v>0.26170869300175414</v>
      </c>
      <c r="AI68" s="18">
        <v>130</v>
      </c>
      <c r="AJ68" s="18">
        <f t="shared" si="20"/>
        <v>66.508725664943313</v>
      </c>
      <c r="AK68" s="18">
        <f t="shared" si="21"/>
        <v>0.79810470797931965</v>
      </c>
      <c r="AL68" s="28">
        <f>(AJ68-AJ67)*(INDEX([3]小r将兵属性验证!$V$7:$V$166,$AI68,1)+INDEX([3]小r将兵属性验证!$AP$7:$AP$166,$AI68,1))+AL67</f>
        <v>93342132392.637817</v>
      </c>
      <c r="AM68" s="5">
        <f>(AK68-AK67)*(INDEX([3]小r将兵属性验证!$AC$7:$AC$166,$AI68,1)*0.5+INDEX([3]小r将兵属性验证!$AX$7:$AX$166,$AI68,1)*0.5)+AM67</f>
        <v>113821826861.75047</v>
      </c>
      <c r="AN68" s="50">
        <f>IFERROR(求节点(付费投放!$T$55:$T$95,付费投放!$Z$55:$Z$95,AI68),0)</f>
        <v>5625134.9699599147</v>
      </c>
      <c r="AV68" s="51">
        <v>58</v>
      </c>
      <c r="AW68" s="51">
        <f t="shared" si="3"/>
        <v>4.710422315672381</v>
      </c>
      <c r="AX68" s="51">
        <f t="shared" si="4"/>
        <v>4.9091844749009992</v>
      </c>
      <c r="AY68" s="51">
        <f t="shared" si="5"/>
        <v>5.027308981299341</v>
      </c>
      <c r="AZ68" s="51">
        <f t="shared" si="6"/>
        <v>5.4896062253003537</v>
      </c>
      <c r="BA68" s="51">
        <f t="shared" si="7"/>
        <v>5.336896411664652</v>
      </c>
      <c r="BB68" s="51">
        <f t="shared" si="8"/>
        <v>6.1656334735085715E-2</v>
      </c>
      <c r="BC68" s="51">
        <f t="shared" si="9"/>
        <v>6.4637767123514989E-2</v>
      </c>
      <c r="BD68" s="51">
        <f t="shared" si="10"/>
        <v>6.5571520168643704E-2</v>
      </c>
      <c r="BE68" s="51">
        <f t="shared" si="11"/>
        <v>7.2021004611309364E-2</v>
      </c>
      <c r="BF68" s="51">
        <f t="shared" si="12"/>
        <v>6.9384986399140119E-2</v>
      </c>
    </row>
    <row r="69" spans="12:58" x14ac:dyDescent="0.15">
      <c r="L69" s="29">
        <f>基础状态预估!C69</f>
        <v>360</v>
      </c>
      <c r="M69" s="29">
        <f>基础状态预估!D69</f>
        <v>87.064762367263285</v>
      </c>
      <c r="N69" s="65">
        <f>基础状态预估!L69*D$10/3</f>
        <v>0</v>
      </c>
      <c r="O69" s="65">
        <f>基础状态预估!M69*E$10/3</f>
        <v>0</v>
      </c>
      <c r="P69" s="65">
        <f>基础状态预估!N69*F$10/3</f>
        <v>0</v>
      </c>
      <c r="Q69" s="65">
        <f>基础状态预估!O69*G$10/3</f>
        <v>0</v>
      </c>
      <c r="R69" s="65">
        <f>基础状态预估!P69*H$10/3</f>
        <v>34.649396702063122</v>
      </c>
      <c r="S69" s="65">
        <f>基础状态预估!Q69*I$10/3</f>
        <v>2.0647623672632847</v>
      </c>
      <c r="T69" s="65">
        <f t="shared" si="18"/>
        <v>36.714159069326406</v>
      </c>
      <c r="U69" s="65">
        <f>基础状态预估!L69*D$15</f>
        <v>0</v>
      </c>
      <c r="V69" s="65">
        <f>基础状态预估!M69*E$15</f>
        <v>0</v>
      </c>
      <c r="W69" s="65">
        <f>基础状态预估!N69*F$15</f>
        <v>0</v>
      </c>
      <c r="X69" s="65">
        <f>基础状态预估!O69*G$15</f>
        <v>0</v>
      </c>
      <c r="Y69" s="65">
        <f>基础状态预估!P69*H$15</f>
        <v>0.25987047526547341</v>
      </c>
      <c r="Z69" s="65">
        <f>基础状态预估!Q69*I$15</f>
        <v>2.4777148407159416E-2</v>
      </c>
      <c r="AA69" s="65">
        <f t="shared" si="19"/>
        <v>0.28464762367263285</v>
      </c>
      <c r="AI69" s="18">
        <v>140</v>
      </c>
      <c r="AJ69" s="18">
        <f t="shared" si="20"/>
        <v>66.561372665517766</v>
      </c>
      <c r="AK69" s="18">
        <f t="shared" si="21"/>
        <v>0.79873647198621311</v>
      </c>
      <c r="AL69" s="28">
        <f>(AJ69-AJ68)*(INDEX([3]小r将兵属性验证!$V$7:$V$166,$AI69,1)+INDEX([3]小r将兵属性验证!$AP$7:$AP$166,$AI69,1))+AL68</f>
        <v>93822159361.191895</v>
      </c>
      <c r="AM69" s="5">
        <f>(AK69-AK68)*(INDEX([3]小r将兵属性验证!$AC$7:$AC$166,$AI69,1)*0.5+INDEX([3]小r将兵属性验证!$AX$7:$AX$166,$AI69,1)*0.5)+AM68</f>
        <v>114222628974.57542</v>
      </c>
      <c r="AN69" s="50">
        <f>IFERROR(求节点(付费投放!$T$55:$T$95,付费投放!$Z$55:$Z$95,AI69),0)</f>
        <v>12549977.979973277</v>
      </c>
      <c r="AV69" s="51">
        <v>59</v>
      </c>
      <c r="AW69" s="51">
        <f t="shared" si="3"/>
        <v>5.3089940005701637</v>
      </c>
      <c r="AX69" s="51">
        <f t="shared" si="4"/>
        <v>5.3784017298447875</v>
      </c>
      <c r="AY69" s="51">
        <f t="shared" si="5"/>
        <v>5.5781339709556761</v>
      </c>
      <c r="AZ69" s="51">
        <f t="shared" si="6"/>
        <v>5.8782232321704315</v>
      </c>
      <c r="BA69" s="51">
        <f t="shared" si="7"/>
        <v>5.9901834637795064</v>
      </c>
      <c r="BB69" s="51">
        <f t="shared" si="8"/>
        <v>6.7634910008552457E-2</v>
      </c>
      <c r="BC69" s="51">
        <f t="shared" si="9"/>
        <v>6.8676025947671818E-2</v>
      </c>
      <c r="BD69" s="51">
        <f t="shared" si="10"/>
        <v>7.1235545810042294E-2</v>
      </c>
      <c r="BE69" s="51">
        <f t="shared" si="11"/>
        <v>7.6173348482556497E-2</v>
      </c>
      <c r="BF69" s="51">
        <f t="shared" si="12"/>
        <v>7.4157380789170696E-2</v>
      </c>
    </row>
    <row r="70" spans="12:58" x14ac:dyDescent="0.15">
      <c r="L70" s="29">
        <f>基础状态预估!C70</f>
        <v>420</v>
      </c>
      <c r="M70" s="29">
        <f>基础状态预估!D70</f>
        <v>89.311817863093353</v>
      </c>
      <c r="N70" s="65">
        <f>基础状态预估!L70*D$10/3</f>
        <v>0</v>
      </c>
      <c r="O70" s="65">
        <f>基础状态预估!M70*E$10/3</f>
        <v>0</v>
      </c>
      <c r="P70" s="65">
        <f>基础状态预估!N70*F$10/3</f>
        <v>0</v>
      </c>
      <c r="Q70" s="65">
        <f>基础状态预估!O70*G$10/3</f>
        <v>0</v>
      </c>
      <c r="R70" s="65">
        <f>基础状态预估!P70*H$10/3</f>
        <v>34.035063461328157</v>
      </c>
      <c r="S70" s="65">
        <f>基础状态预估!Q70*I$10/3</f>
        <v>4.3118178630933519</v>
      </c>
      <c r="T70" s="65">
        <f t="shared" si="18"/>
        <v>38.34688132442151</v>
      </c>
      <c r="U70" s="65">
        <f>基础状态预估!L70*D$15</f>
        <v>0</v>
      </c>
      <c r="V70" s="65">
        <f>基础状态预估!M70*E$15</f>
        <v>0</v>
      </c>
      <c r="W70" s="65">
        <f>基础状态预估!N70*F$15</f>
        <v>0</v>
      </c>
      <c r="X70" s="65">
        <f>基础状态预估!O70*G$15</f>
        <v>0</v>
      </c>
      <c r="Y70" s="65">
        <f>基础状态预估!P70*H$15</f>
        <v>0.25526297595996117</v>
      </c>
      <c r="Z70" s="65">
        <f>基础状态预估!Q70*I$15</f>
        <v>5.1741814357120226E-2</v>
      </c>
      <c r="AA70" s="65">
        <f t="shared" si="19"/>
        <v>0.30700479031708139</v>
      </c>
      <c r="AI70" s="18">
        <v>150</v>
      </c>
      <c r="AJ70" s="18">
        <f t="shared" si="20"/>
        <v>66.614019666092219</v>
      </c>
      <c r="AK70" s="18">
        <f t="shared" si="21"/>
        <v>0.79936823599310658</v>
      </c>
      <c r="AL70" s="28">
        <f>(AJ70-AJ69)*(INDEX([3]小r将兵属性验证!$V$7:$V$166,$AI70,1)+INDEX([3]小r将兵属性验证!$AP$7:$AP$166,$AI70,1))+AL69</f>
        <v>94527733099.15451</v>
      </c>
      <c r="AM70" s="5">
        <f>(AK70-AK69)*(INDEX([3]小r将兵属性验证!$AC$7:$AC$166,$AI70,1)*0.5+INDEX([3]小r将兵属性验证!$AX$7:$AX$166,$AI70,1)*0.5)+AM69</f>
        <v>114803205391.80739</v>
      </c>
      <c r="AN70" s="50">
        <f>IFERROR(求节点(付费投放!$T$55:$T$95,付费投放!$Z$55:$Z$95,AI70),0)</f>
        <v>19474820.989986639</v>
      </c>
      <c r="AV70" s="51">
        <v>60</v>
      </c>
      <c r="AW70" s="51">
        <f t="shared" si="3"/>
        <v>5.7619047619047619</v>
      </c>
      <c r="AX70" s="51">
        <f t="shared" si="4"/>
        <v>5.8476189847885758</v>
      </c>
      <c r="AY70" s="51">
        <f t="shared" si="5"/>
        <v>6.1289589606120103</v>
      </c>
      <c r="AZ70" s="51">
        <f t="shared" si="6"/>
        <v>6.2612713082432281</v>
      </c>
      <c r="BA70" s="51">
        <f t="shared" si="7"/>
        <v>6.6434705158943608</v>
      </c>
      <c r="BB70" s="51">
        <f t="shared" si="8"/>
        <v>7.1428571428571425E-2</v>
      </c>
      <c r="BC70" s="51">
        <f t="shared" si="9"/>
        <v>7.2714284771828633E-2</v>
      </c>
      <c r="BD70" s="51">
        <f t="shared" si="10"/>
        <v>7.6899571451440885E-2</v>
      </c>
      <c r="BE70" s="51">
        <f t="shared" si="11"/>
        <v>7.8919069623648447E-2</v>
      </c>
      <c r="BF70" s="51">
        <f t="shared" si="12"/>
        <v>7.8929775179201286E-2</v>
      </c>
    </row>
    <row r="71" spans="12:58" x14ac:dyDescent="0.15">
      <c r="L71" s="29">
        <f>基础状态预估!C71</f>
        <v>480</v>
      </c>
      <c r="M71" s="29">
        <f>基础状态预估!D71</f>
        <v>91.317295791340641</v>
      </c>
      <c r="N71" s="65">
        <f>基础状态预估!L71*D$10/3</f>
        <v>0</v>
      </c>
      <c r="O71" s="65">
        <f>基础状态预估!M71*E$10/3</f>
        <v>0</v>
      </c>
      <c r="P71" s="65">
        <f>基础状态预估!N71*F$10/3</f>
        <v>0</v>
      </c>
      <c r="Q71" s="65">
        <f>基础状态预估!O71*G$10/3</f>
        <v>0</v>
      </c>
      <c r="R71" s="65">
        <f>基础状态预估!P71*H$10/3</f>
        <v>33.403034053638102</v>
      </c>
      <c r="S71" s="65">
        <f>基础状态预估!Q71*I$10/3</f>
        <v>6.3172957913406407</v>
      </c>
      <c r="T71" s="65">
        <f t="shared" si="18"/>
        <v>39.720329844978743</v>
      </c>
      <c r="U71" s="65">
        <f>基础状态预估!L71*D$15</f>
        <v>0</v>
      </c>
      <c r="V71" s="65">
        <f>基础状态预估!M71*E$15</f>
        <v>0</v>
      </c>
      <c r="W71" s="65">
        <f>基础状态预估!N71*F$15</f>
        <v>0</v>
      </c>
      <c r="X71" s="65">
        <f>基础状态预估!O71*G$15</f>
        <v>0</v>
      </c>
      <c r="Y71" s="65">
        <f>基础状态预估!P71*H$15</f>
        <v>0.2505227554022858</v>
      </c>
      <c r="Z71" s="65">
        <f>基础状态预估!Q71*I$15</f>
        <v>7.5807549496087687E-2</v>
      </c>
      <c r="AA71" s="65">
        <f t="shared" si="19"/>
        <v>0.3263303048983735</v>
      </c>
      <c r="AI71" s="18">
        <v>160</v>
      </c>
      <c r="AJ71" s="18">
        <f t="shared" si="20"/>
        <v>66.666666666666671</v>
      </c>
      <c r="AK71" s="18">
        <f t="shared" si="21"/>
        <v>0.8</v>
      </c>
      <c r="AL71" s="28">
        <f>(AJ71-AJ70)*(INDEX([3]小r将兵属性验证!$V$7:$V$166,$AI71,1)+INDEX([3]小r将兵属性验证!$AP$7:$AP$166,$AI71,1))+AL70</f>
        <v>95398580212.880508</v>
      </c>
      <c r="AM71" s="5">
        <f>(AK71-AK70)*(INDEX([3]小r将兵属性验证!$AC$7:$AC$166,$AI71,1)*0.5+INDEX([3]小r将兵属性验证!$AX$7:$AX$166,$AI71,1)*0.5)+AM70</f>
        <v>115525179316.70416</v>
      </c>
      <c r="AN71" s="50">
        <f>IFERROR(求节点(付费投放!$T$55:$T$95,付费投放!$Z$55:$Z$95,AI71),0)</f>
        <v>26399664</v>
      </c>
      <c r="AV71" s="51">
        <v>61</v>
      </c>
      <c r="AW71" s="51">
        <f t="shared" si="3"/>
        <v>6.1523809523809518</v>
      </c>
      <c r="AX71" s="51">
        <f t="shared" si="4"/>
        <v>6.3168362397323641</v>
      </c>
      <c r="AY71" s="51">
        <f t="shared" si="5"/>
        <v>6.5164837457139058</v>
      </c>
      <c r="AZ71" s="51">
        <f t="shared" si="6"/>
        <v>6.6443193843160255</v>
      </c>
      <c r="BA71" s="51">
        <f t="shared" si="7"/>
        <v>7.2967575680092143</v>
      </c>
      <c r="BB71" s="51">
        <f t="shared" si="8"/>
        <v>7.4285714285714274E-2</v>
      </c>
      <c r="BC71" s="51">
        <f t="shared" si="9"/>
        <v>7.6752543595985462E-2</v>
      </c>
      <c r="BD71" s="51">
        <f t="shared" si="10"/>
        <v>7.9747256185708604E-2</v>
      </c>
      <c r="BE71" s="51">
        <f t="shared" si="11"/>
        <v>8.1664790764740383E-2</v>
      </c>
      <c r="BF71" s="51">
        <f t="shared" si="12"/>
        <v>8.3702169569231877E-2</v>
      </c>
    </row>
    <row r="72" spans="12:58" x14ac:dyDescent="0.15">
      <c r="L72" s="29">
        <f>基础状态预估!C72</f>
        <v>540</v>
      </c>
      <c r="M72" s="29">
        <f>基础状态预估!D72</f>
        <v>93.043666179806593</v>
      </c>
      <c r="N72" s="65">
        <f>基础状态预估!L72*D$10/3</f>
        <v>0</v>
      </c>
      <c r="O72" s="65">
        <f>基础状态预估!M72*E$10/3</f>
        <v>0</v>
      </c>
      <c r="P72" s="65">
        <f>基础状态预估!N72*F$10/3</f>
        <v>0</v>
      </c>
      <c r="Q72" s="65">
        <f>基础状态预估!O72*G$10/3</f>
        <v>0</v>
      </c>
      <c r="R72" s="65">
        <f>基础状态预估!P72*H$10/3</f>
        <v>32.858965810000349</v>
      </c>
      <c r="S72" s="65">
        <f>基础状态预估!Q72*I$10/3</f>
        <v>8.0436661798065927</v>
      </c>
      <c r="T72" s="65">
        <f t="shared" si="18"/>
        <v>40.902631989806942</v>
      </c>
      <c r="U72" s="65">
        <f>基础状态预估!L72*D$15</f>
        <v>0</v>
      </c>
      <c r="V72" s="65">
        <f>基础状态预估!M72*E$15</f>
        <v>0</v>
      </c>
      <c r="W72" s="65">
        <f>基础状态预估!N72*F$15</f>
        <v>0</v>
      </c>
      <c r="X72" s="65">
        <f>基础状态预估!O72*G$15</f>
        <v>0</v>
      </c>
      <c r="Y72" s="65">
        <f>基础状态预估!P72*H$15</f>
        <v>0.24644224357500261</v>
      </c>
      <c r="Z72" s="65">
        <f>基础状态预估!Q72*I$15</f>
        <v>9.6523994157679122E-2</v>
      </c>
      <c r="AA72" s="65">
        <f t="shared" si="19"/>
        <v>0.34296623773268176</v>
      </c>
      <c r="AV72" s="51">
        <v>62</v>
      </c>
      <c r="AW72" s="51">
        <f t="shared" si="3"/>
        <v>6.5428571428571427</v>
      </c>
      <c r="AX72" s="51">
        <f t="shared" si="4"/>
        <v>6.7207644514463531</v>
      </c>
      <c r="AY72" s="51">
        <f t="shared" si="5"/>
        <v>6.8885113205543256</v>
      </c>
      <c r="AZ72" s="51">
        <f t="shared" si="6"/>
        <v>7.0273674603888221</v>
      </c>
      <c r="BA72" s="51">
        <f t="shared" si="7"/>
        <v>7.9500446201240687</v>
      </c>
      <c r="BB72" s="51">
        <f t="shared" si="8"/>
        <v>7.7142857142857138E-2</v>
      </c>
      <c r="BC72" s="51">
        <f t="shared" si="9"/>
        <v>7.9811466771695302E-2</v>
      </c>
      <c r="BD72" s="51">
        <f t="shared" si="10"/>
        <v>8.2327669808314893E-2</v>
      </c>
      <c r="BE72" s="51">
        <f t="shared" si="11"/>
        <v>8.4410511905832333E-2</v>
      </c>
      <c r="BF72" s="51">
        <f t="shared" si="12"/>
        <v>8.8474563959262467E-2</v>
      </c>
    </row>
    <row r="73" spans="12:58" x14ac:dyDescent="0.15">
      <c r="L73" s="29">
        <f>基础状态预估!C73</f>
        <v>600</v>
      </c>
      <c r="M73" s="29">
        <f>基础状态预估!D73</f>
        <v>94.566182978175902</v>
      </c>
      <c r="N73" s="65">
        <f>基础状态预估!L73*D$10/3</f>
        <v>5.9211894646675012E-16</v>
      </c>
      <c r="O73" s="65">
        <f>基础状态预估!M73*E$10/3</f>
        <v>-1.1842378929335002E-15</v>
      </c>
      <c r="P73" s="65">
        <f>基础状态预估!N73*F$10/3</f>
        <v>1.7763568394002505E-15</v>
      </c>
      <c r="Q73" s="65">
        <f>基础状态预估!O73*G$10/3</f>
        <v>-3.5527136788005009E-15</v>
      </c>
      <c r="R73" s="65">
        <f>基础状态预估!P73*H$10/3</f>
        <v>32.379142334150629</v>
      </c>
      <c r="S73" s="65">
        <f>基础状态预估!Q73*I$10/3</f>
        <v>9.5661829781759025</v>
      </c>
      <c r="T73" s="65">
        <f t="shared" si="18"/>
        <v>41.945325312326531</v>
      </c>
      <c r="U73" s="65">
        <f>基础状态预估!L73*D$15</f>
        <v>8.8817841970012525E-18</v>
      </c>
      <c r="V73" s="65">
        <f>基础状态预估!M73*E$15</f>
        <v>-1.7763568394002505E-17</v>
      </c>
      <c r="W73" s="65">
        <f>基础状态预估!N73*F$15</f>
        <v>1.7763568394002505E-17</v>
      </c>
      <c r="X73" s="65">
        <f>基础状态预估!O73*G$15</f>
        <v>-3.552713678800501E-17</v>
      </c>
      <c r="Y73" s="65">
        <f>基础状态预估!P73*H$15</f>
        <v>0.24284356750612973</v>
      </c>
      <c r="Z73" s="65">
        <f>基础状态预估!Q73*I$15</f>
        <v>0.11479419573811082</v>
      </c>
      <c r="AA73" s="65">
        <f t="shared" si="19"/>
        <v>0.35763776324424051</v>
      </c>
      <c r="AV73" s="51">
        <v>63</v>
      </c>
      <c r="AW73" s="51">
        <f t="shared" si="3"/>
        <v>6.9432319327368255</v>
      </c>
      <c r="AX73" s="51">
        <f t="shared" si="4"/>
        <v>7.0924681815631629</v>
      </c>
      <c r="AY73" s="51">
        <f t="shared" si="5"/>
        <v>7.2605388953947445</v>
      </c>
      <c r="AZ73" s="51">
        <f t="shared" si="6"/>
        <v>7.4104155364616187</v>
      </c>
      <c r="BA73" s="51">
        <f t="shared" si="7"/>
        <v>8.603331672238923</v>
      </c>
      <c r="BB73" s="51">
        <f t="shared" si="8"/>
        <v>7.9941397484738691E-2</v>
      </c>
      <c r="BC73" s="51">
        <f t="shared" si="9"/>
        <v>8.2387022723447445E-2</v>
      </c>
      <c r="BD73" s="51">
        <f t="shared" si="10"/>
        <v>8.4908083430921183E-2</v>
      </c>
      <c r="BE73" s="51">
        <f t="shared" si="11"/>
        <v>8.7156233046924284E-2</v>
      </c>
      <c r="BF73" s="51">
        <f t="shared" si="12"/>
        <v>9.3246958349293058E-2</v>
      </c>
    </row>
    <row r="74" spans="12:58" x14ac:dyDescent="0.15">
      <c r="L74" s="29">
        <f>基础状态预估!C74</f>
        <v>660</v>
      </c>
      <c r="M74" s="29">
        <f>基础状态预估!D74</f>
        <v>95.975804150655222</v>
      </c>
      <c r="N74" s="65">
        <f>基础状态预估!L74*D$10/3</f>
        <v>0</v>
      </c>
      <c r="O74" s="65">
        <f>基础状态预估!M74*E$10/3</f>
        <v>0</v>
      </c>
      <c r="P74" s="65">
        <f>基础状态预估!N74*F$10/3</f>
        <v>0</v>
      </c>
      <c r="Q74" s="65">
        <f>基础状态预估!O74*G$10/3</f>
        <v>0</v>
      </c>
      <c r="R74" s="65">
        <f>基础状态预估!P74*H$10/3</f>
        <v>31.154254765329934</v>
      </c>
      <c r="S74" s="65">
        <f>基础状态预估!Q74*I$10/3</f>
        <v>11.951608301310443</v>
      </c>
      <c r="T74" s="65">
        <f t="shared" si="18"/>
        <v>43.105863066640381</v>
      </c>
      <c r="U74" s="65">
        <f>基础状态预估!L74*D$15</f>
        <v>0</v>
      </c>
      <c r="V74" s="65">
        <f>基础状态预估!M74*E$15</f>
        <v>0</v>
      </c>
      <c r="W74" s="65">
        <f>基础状态预估!N74*F$15</f>
        <v>0</v>
      </c>
      <c r="X74" s="65">
        <f>基础状态预估!O74*G$15</f>
        <v>0</v>
      </c>
      <c r="Y74" s="65">
        <f>基础状态预估!P74*H$15</f>
        <v>0.23365691073997449</v>
      </c>
      <c r="Z74" s="65">
        <f>基础状态预估!Q74*I$15</f>
        <v>0.14341929961572533</v>
      </c>
      <c r="AA74" s="65">
        <f t="shared" si="19"/>
        <v>0.37707621035569983</v>
      </c>
      <c r="AV74" s="51">
        <v>64</v>
      </c>
      <c r="AW74" s="51">
        <f t="shared" si="3"/>
        <v>7.3524069770052103</v>
      </c>
      <c r="AX74" s="51">
        <f t="shared" si="4"/>
        <v>7.4641719116799718</v>
      </c>
      <c r="AY74" s="51">
        <f t="shared" si="5"/>
        <v>7.6325664702351634</v>
      </c>
      <c r="AZ74" s="51">
        <f t="shared" si="6"/>
        <v>7.7934636125344152</v>
      </c>
      <c r="BA74" s="51">
        <f t="shared" si="7"/>
        <v>9.2566187243537765</v>
      </c>
      <c r="BB74" s="51">
        <f t="shared" si="8"/>
        <v>8.2687837825287228E-2</v>
      </c>
      <c r="BC74" s="51">
        <f t="shared" si="9"/>
        <v>8.4962578675199574E-2</v>
      </c>
      <c r="BD74" s="51">
        <f t="shared" si="10"/>
        <v>8.7488497053527459E-2</v>
      </c>
      <c r="BE74" s="51">
        <f t="shared" si="11"/>
        <v>8.9901954188016234E-2</v>
      </c>
      <c r="BF74" s="51">
        <f t="shared" si="12"/>
        <v>9.8019352739323634E-2</v>
      </c>
    </row>
    <row r="75" spans="12:58" x14ac:dyDescent="0.15">
      <c r="L75" s="29">
        <f>基础状态预估!C75</f>
        <v>720</v>
      </c>
      <c r="M75" s="29">
        <f>基础状态预估!D75</f>
        <v>97.233430615704805</v>
      </c>
      <c r="N75" s="65">
        <f>基础状态预估!L75*D$10/3</f>
        <v>0</v>
      </c>
      <c r="O75" s="65">
        <f>基础状态预估!M75*E$10/3</f>
        <v>0</v>
      </c>
      <c r="P75" s="65">
        <f>基础状态预估!N75*F$10/3</f>
        <v>0</v>
      </c>
      <c r="Q75" s="65">
        <f>基础状态预估!O75*G$10/3</f>
        <v>0</v>
      </c>
      <c r="R75" s="65">
        <f>基础状态预估!P75*H$10/3</f>
        <v>29.751810707335249</v>
      </c>
      <c r="S75" s="65">
        <f>基础状态预估!Q75*I$10/3</f>
        <v>14.466861231409609</v>
      </c>
      <c r="T75" s="65">
        <f t="shared" si="18"/>
        <v>44.218671938744862</v>
      </c>
      <c r="U75" s="65">
        <f>基础状态预估!L75*D$15</f>
        <v>0</v>
      </c>
      <c r="V75" s="65">
        <f>基础状态预估!M75*E$15</f>
        <v>0</v>
      </c>
      <c r="W75" s="65">
        <f>基础状态预估!N75*F$15</f>
        <v>0</v>
      </c>
      <c r="X75" s="65">
        <f>基础状态预估!O75*G$15</f>
        <v>0</v>
      </c>
      <c r="Y75" s="65">
        <f>基础状态预估!P75*H$15</f>
        <v>0.22313858030501435</v>
      </c>
      <c r="Z75" s="65">
        <f>基础状态预估!Q75*I$15</f>
        <v>0.17360233477691531</v>
      </c>
      <c r="AA75" s="65">
        <f t="shared" si="19"/>
        <v>0.39674091508192966</v>
      </c>
      <c r="AV75" s="51">
        <v>65</v>
      </c>
      <c r="AW75" s="51">
        <f t="shared" si="3"/>
        <v>7.7615820212735951</v>
      </c>
      <c r="AX75" s="51">
        <f t="shared" si="4"/>
        <v>8.2084694957324373</v>
      </c>
      <c r="AY75" s="51">
        <f t="shared" si="5"/>
        <v>8.5710094782795778</v>
      </c>
      <c r="AZ75" s="51">
        <f t="shared" si="6"/>
        <v>8.5673514247349658</v>
      </c>
      <c r="BA75" s="51">
        <f t="shared" si="7"/>
        <v>9.90990577646863</v>
      </c>
      <c r="BB75" s="51">
        <f t="shared" si="8"/>
        <v>8.543427816583575E-2</v>
      </c>
      <c r="BC75" s="51">
        <f t="shared" si="9"/>
        <v>8.9937763836677911E-2</v>
      </c>
      <c r="BD75" s="51">
        <f t="shared" si="10"/>
        <v>9.3765320022234061E-2</v>
      </c>
      <c r="BE75" s="51">
        <f t="shared" si="11"/>
        <v>9.5568654335942069E-2</v>
      </c>
      <c r="BF75" s="51">
        <f t="shared" si="12"/>
        <v>0.10279174712935422</v>
      </c>
    </row>
    <row r="76" spans="12:58" x14ac:dyDescent="0.15">
      <c r="L76" s="29">
        <f>基础状态预估!C76</f>
        <v>780</v>
      </c>
      <c r="M76" s="29">
        <f>基础状态预估!D76</f>
        <v>98.349886009806795</v>
      </c>
      <c r="N76" s="65">
        <f>基础状态预估!L76*D$10/3</f>
        <v>0</v>
      </c>
      <c r="O76" s="65">
        <f>基础状态预估!M76*E$10/3</f>
        <v>0</v>
      </c>
      <c r="P76" s="65">
        <f>基础状态预估!N76*F$10/3</f>
        <v>0</v>
      </c>
      <c r="Q76" s="65">
        <f>基础状态预估!O76*G$10/3</f>
        <v>0</v>
      </c>
      <c r="R76" s="65">
        <f>基础状态预估!P76*H$10/3</f>
        <v>28.506793783003332</v>
      </c>
      <c r="S76" s="65">
        <f>基础状态预估!Q76*I$10/3</f>
        <v>16.69977201961359</v>
      </c>
      <c r="T76" s="65">
        <f t="shared" si="18"/>
        <v>45.206565802616922</v>
      </c>
      <c r="U76" s="65">
        <f>基础状态预估!L76*D$15</f>
        <v>0</v>
      </c>
      <c r="V76" s="65">
        <f>基础状态预估!M76*E$15</f>
        <v>0</v>
      </c>
      <c r="W76" s="65">
        <f>基础状态预估!N76*F$15</f>
        <v>0</v>
      </c>
      <c r="X76" s="65">
        <f>基础状态预估!O76*G$15</f>
        <v>0</v>
      </c>
      <c r="Y76" s="65">
        <f>基础状态预估!P76*H$15</f>
        <v>0.213800953372525</v>
      </c>
      <c r="Z76" s="65">
        <f>基础状态预估!Q76*I$15</f>
        <v>0.20039726423536308</v>
      </c>
      <c r="AA76" s="65">
        <f t="shared" si="19"/>
        <v>0.41419821760788811</v>
      </c>
      <c r="AV76" s="51">
        <v>66</v>
      </c>
      <c r="AW76" s="51">
        <f t="shared" ref="AW76:AW139" si="22">IFERROR(求节点($M$11:$M$51,$T$11:$T$51,$AV76),0)</f>
        <v>8.9030758704551314</v>
      </c>
      <c r="AX76" s="51">
        <f t="shared" ref="AX76:AX139" si="23">IFERROR(求节点($M$55:$M$95,$T$55:$T$95,$AV76),0)</f>
        <v>9.3183916247535006</v>
      </c>
      <c r="AY76" s="51">
        <f t="shared" ref="AY76:AY139" si="24">IFERROR(求节点($M$99:$M$139,$T$99:$T$139,$AV76),0)</f>
        <v>9.6040016443778722</v>
      </c>
      <c r="AZ76" s="51">
        <f t="shared" ref="AZ76:AZ139" si="25">IFERROR(求节点($M$143:$M$183,$T$143:$T$183,$AV76),0)</f>
        <v>9.6007287502861001</v>
      </c>
      <c r="BA76" s="51">
        <f t="shared" ref="BA76:BA139" si="26">IFERROR(求节点($M$187:$M$227,$T$187:$T$227,$AV76),0)</f>
        <v>10.563192828583485</v>
      </c>
      <c r="BB76" s="51">
        <f t="shared" ref="BB76:BB139" si="27">IFERROR(求节点($M$11:$M$51,$AA$11:$AA$51,$AV76),0)</f>
        <v>9.35E-2</v>
      </c>
      <c r="BC76" s="51">
        <f t="shared" ref="BC76:BC139" si="28">IFERROR(求节点($M$55:$M$95,$AA$55:$AA$95,$AV76),0)</f>
        <v>9.7267693523950316E-2</v>
      </c>
      <c r="BD76" s="51">
        <f t="shared" ref="BD76:BD139" si="29">IFERROR(求节点($M$99:$M$139,$AA$99:$AA$139,$AV76),0)</f>
        <v>0.1006591678299697</v>
      </c>
      <c r="BE76" s="51">
        <f t="shared" ref="BE76:BE139" si="30">IFERROR(求节点($M$143:$M$183,$AA$143:$AA$183,$AV76),0)</f>
        <v>0.10317467474976541</v>
      </c>
      <c r="BF76" s="51">
        <f t="shared" ref="BF76:BF139" si="31">IFERROR(求节点($M$187:$M$227,$AA$187:$AA$227,$AV76),0)</f>
        <v>0.10756414151938481</v>
      </c>
    </row>
    <row r="77" spans="12:58" x14ac:dyDescent="0.15">
      <c r="L77" s="29">
        <f>基础状态预估!C77</f>
        <v>840</v>
      </c>
      <c r="M77" s="29">
        <f>基础状态预估!D77</f>
        <v>99.398994483715043</v>
      </c>
      <c r="N77" s="65">
        <f>基础状态预估!L77*D$10/3</f>
        <v>0</v>
      </c>
      <c r="O77" s="65">
        <f>基础状态预估!M77*E$10/3</f>
        <v>0</v>
      </c>
      <c r="P77" s="65">
        <f>基础状态预估!N77*F$10/3</f>
        <v>0</v>
      </c>
      <c r="Q77" s="65">
        <f>基础状态预估!O77*G$10/3</f>
        <v>0</v>
      </c>
      <c r="R77" s="65">
        <f>基础状态预估!P77*H$10/3</f>
        <v>27.336878878766257</v>
      </c>
      <c r="S77" s="65">
        <f>基础状态预估!Q77*I$10/3</f>
        <v>18.797988967430086</v>
      </c>
      <c r="T77" s="65">
        <f t="shared" si="18"/>
        <v>46.134867846196343</v>
      </c>
      <c r="U77" s="65">
        <f>基础状态预估!L77*D$15</f>
        <v>0</v>
      </c>
      <c r="V77" s="65">
        <f>基础状态预估!M77*E$15</f>
        <v>0</v>
      </c>
      <c r="W77" s="65">
        <f>基础状态预估!N77*F$15</f>
        <v>0</v>
      </c>
      <c r="X77" s="65">
        <f>基础状态预估!O77*G$15</f>
        <v>0</v>
      </c>
      <c r="Y77" s="65">
        <f>基础状态预估!P77*H$15</f>
        <v>0.20502659159074693</v>
      </c>
      <c r="Z77" s="65">
        <f>基础状态预估!Q77*I$15</f>
        <v>0.22557586760916104</v>
      </c>
      <c r="AA77" s="65">
        <f t="shared" si="19"/>
        <v>0.43060245919990797</v>
      </c>
      <c r="AV77" s="51">
        <v>67</v>
      </c>
      <c r="AW77" s="51">
        <f t="shared" si="22"/>
        <v>10.104357882339924</v>
      </c>
      <c r="AX77" s="51">
        <f t="shared" si="23"/>
        <v>10.428313753774564</v>
      </c>
      <c r="AY77" s="51">
        <f t="shared" si="24"/>
        <v>10.636993810476165</v>
      </c>
      <c r="AZ77" s="51">
        <f t="shared" si="25"/>
        <v>10.634106075837234</v>
      </c>
      <c r="BA77" s="51">
        <f t="shared" si="26"/>
        <v>11.216479880698341</v>
      </c>
      <c r="BB77" s="51">
        <f t="shared" si="27"/>
        <v>0.10200000000000001</v>
      </c>
      <c r="BC77" s="51">
        <f t="shared" si="28"/>
        <v>0.10459762321122273</v>
      </c>
      <c r="BD77" s="51">
        <f t="shared" si="29"/>
        <v>0.10755301563770535</v>
      </c>
      <c r="BE77" s="51">
        <f t="shared" si="30"/>
        <v>0.11078069516358877</v>
      </c>
      <c r="BF77" s="51">
        <f t="shared" si="31"/>
        <v>0.11233653590941539</v>
      </c>
    </row>
    <row r="78" spans="12:58" x14ac:dyDescent="0.15">
      <c r="L78" s="29">
        <f>基础状态预估!C78</f>
        <v>900</v>
      </c>
      <c r="M78" s="29">
        <f>基础状态预估!D78</f>
        <v>100.38607135362956</v>
      </c>
      <c r="N78" s="65">
        <f>基础状态预估!L78*D$10/3</f>
        <v>0</v>
      </c>
      <c r="O78" s="65">
        <f>基础状态预估!M78*E$10/3</f>
        <v>0</v>
      </c>
      <c r="P78" s="65">
        <f>基础状态预估!N78*F$10/3</f>
        <v>0</v>
      </c>
      <c r="Q78" s="65">
        <f>基础状态预估!O78*G$10/3</f>
        <v>0</v>
      </c>
      <c r="R78" s="65">
        <f>基础状态预估!P78*H$10/3</f>
        <v>26.220539769139179</v>
      </c>
      <c r="S78" s="65">
        <f>基础状态预估!Q78*I$10/3</f>
        <v>20.772142707259118</v>
      </c>
      <c r="T78" s="65">
        <f t="shared" si="18"/>
        <v>46.992682476398301</v>
      </c>
      <c r="U78" s="65">
        <f>基础状态预估!L78*D$15</f>
        <v>0</v>
      </c>
      <c r="V78" s="65">
        <f>基础状态预估!M78*E$15</f>
        <v>0</v>
      </c>
      <c r="W78" s="65">
        <f>基础状态预估!N78*F$15</f>
        <v>0</v>
      </c>
      <c r="X78" s="65">
        <f>基础状态预估!O78*G$15</f>
        <v>0</v>
      </c>
      <c r="Y78" s="65">
        <f>基础状态预估!P78*H$15</f>
        <v>0.19665404826854385</v>
      </c>
      <c r="Z78" s="65">
        <f>基础状态预估!Q78*I$15</f>
        <v>0.24926571248710944</v>
      </c>
      <c r="AA78" s="65">
        <f t="shared" si="19"/>
        <v>0.44591976075565332</v>
      </c>
      <c r="AV78" s="51">
        <v>68</v>
      </c>
      <c r="AW78" s="51">
        <f t="shared" si="22"/>
        <v>11.05</v>
      </c>
      <c r="AX78" s="51">
        <f t="shared" si="23"/>
        <v>11.3</v>
      </c>
      <c r="AY78" s="51">
        <f t="shared" si="24"/>
        <v>11.543215454649403</v>
      </c>
      <c r="AZ78" s="51">
        <f t="shared" si="25"/>
        <v>11.667483401388367</v>
      </c>
      <c r="BA78" s="51">
        <f t="shared" si="26"/>
        <v>12.022222222222224</v>
      </c>
      <c r="BB78" s="51">
        <f t="shared" si="27"/>
        <v>0.1105</v>
      </c>
      <c r="BC78" s="51">
        <f t="shared" si="28"/>
        <v>0.113</v>
      </c>
      <c r="BD78" s="51">
        <f t="shared" si="29"/>
        <v>0.11543215454649404</v>
      </c>
      <c r="BE78" s="51">
        <f t="shared" si="30"/>
        <v>0.11838671557741212</v>
      </c>
      <c r="BF78" s="51">
        <f t="shared" si="31"/>
        <v>0.12022222222222223</v>
      </c>
    </row>
    <row r="79" spans="12:58" x14ac:dyDescent="0.15">
      <c r="L79" s="29">
        <f>基础状态预估!C79</f>
        <v>1020</v>
      </c>
      <c r="M79" s="29">
        <f>基础状态预估!D79</f>
        <v>102.22764429032095</v>
      </c>
      <c r="N79" s="65">
        <f>基础状态预估!L79*D$10/3</f>
        <v>0</v>
      </c>
      <c r="O79" s="65">
        <f>基础状态预估!M79*E$10/3</f>
        <v>0</v>
      </c>
      <c r="P79" s="65">
        <f>基础状态预估!N79*F$10/3</f>
        <v>0</v>
      </c>
      <c r="Q79" s="65">
        <f>基础状态预估!O79*G$10/3</f>
        <v>0</v>
      </c>
      <c r="R79" s="65">
        <f>基础状态预估!P79*H$10/3</f>
        <v>24.09249993118468</v>
      </c>
      <c r="S79" s="65">
        <f>基础状态预估!Q79*I$10/3</f>
        <v>24.455288580641906</v>
      </c>
      <c r="T79" s="65">
        <f t="shared" si="18"/>
        <v>48.547788511826582</v>
      </c>
      <c r="U79" s="65">
        <f>基础状态预估!L79*D$15</f>
        <v>0</v>
      </c>
      <c r="V79" s="65">
        <f>基础状态预估!M79*E$15</f>
        <v>0</v>
      </c>
      <c r="W79" s="65">
        <f>基础状态预估!N79*F$15</f>
        <v>0</v>
      </c>
      <c r="X79" s="65">
        <f>基础状态预估!O79*G$15</f>
        <v>0</v>
      </c>
      <c r="Y79" s="65">
        <f>基础状态预估!P79*H$15</f>
        <v>0.18069374948388511</v>
      </c>
      <c r="Z79" s="65">
        <f>基础状态预估!Q79*I$15</f>
        <v>0.29346346296770287</v>
      </c>
      <c r="AA79" s="65">
        <f t="shared" si="19"/>
        <v>0.47415721245158798</v>
      </c>
      <c r="AV79" s="51">
        <v>69</v>
      </c>
      <c r="AW79" s="51">
        <f t="shared" si="22"/>
        <v>11.9</v>
      </c>
      <c r="AX79" s="51">
        <f t="shared" si="23"/>
        <v>12.15</v>
      </c>
      <c r="AY79" s="51">
        <f t="shared" si="24"/>
        <v>12.382868256708925</v>
      </c>
      <c r="AZ79" s="51">
        <f t="shared" si="25"/>
        <v>12.622222222222222</v>
      </c>
      <c r="BA79" s="51">
        <f t="shared" si="26"/>
        <v>12.844444444444445</v>
      </c>
      <c r="BB79" s="51">
        <f t="shared" si="27"/>
        <v>0.11899999999999999</v>
      </c>
      <c r="BC79" s="51">
        <f t="shared" si="28"/>
        <v>0.12150000000000001</v>
      </c>
      <c r="BD79" s="51">
        <f t="shared" si="29"/>
        <v>0.12382868256708925</v>
      </c>
      <c r="BE79" s="51">
        <f t="shared" si="30"/>
        <v>0.12622222222222224</v>
      </c>
      <c r="BF79" s="51">
        <f t="shared" si="31"/>
        <v>0.12844444444444447</v>
      </c>
    </row>
    <row r="80" spans="12:58" x14ac:dyDescent="0.15">
      <c r="L80" s="29">
        <f>基础状态预估!C80</f>
        <v>1140</v>
      </c>
      <c r="M80" s="29">
        <f>基础状态预估!D80</f>
        <v>103.86099440914086</v>
      </c>
      <c r="N80" s="65">
        <f>基础状态预估!L80*D$10/3</f>
        <v>0</v>
      </c>
      <c r="O80" s="65">
        <f>基础状态预估!M80*E$10/3</f>
        <v>0</v>
      </c>
      <c r="P80" s="65">
        <f>基础状态预估!N80*F$10/3</f>
        <v>0</v>
      </c>
      <c r="Q80" s="65">
        <f>基础状态预估!O80*G$10/3</f>
        <v>0</v>
      </c>
      <c r="R80" s="65">
        <f>基础状态预估!P80*H$10/3</f>
        <v>22.205073127215005</v>
      </c>
      <c r="S80" s="65">
        <f>基础状态预估!Q80*I$10/3</f>
        <v>27.721988818281716</v>
      </c>
      <c r="T80" s="65">
        <f t="shared" si="18"/>
        <v>49.927061945496717</v>
      </c>
      <c r="U80" s="65">
        <f>基础状态预估!L80*D$15</f>
        <v>0</v>
      </c>
      <c r="V80" s="65">
        <f>基础状态预估!M80*E$15</f>
        <v>0</v>
      </c>
      <c r="W80" s="65">
        <f>基础状态预估!N80*F$15</f>
        <v>0</v>
      </c>
      <c r="X80" s="65">
        <f>基础状态预估!O80*G$15</f>
        <v>0</v>
      </c>
      <c r="Y80" s="65">
        <f>基础状态预估!P80*H$15</f>
        <v>0.16653804845411255</v>
      </c>
      <c r="Z80" s="65">
        <f>基础状态预估!Q80*I$15</f>
        <v>0.33266386581938057</v>
      </c>
      <c r="AA80" s="65">
        <f t="shared" si="19"/>
        <v>0.49920191427349314</v>
      </c>
      <c r="AV80" s="51">
        <v>70</v>
      </c>
      <c r="AW80" s="51">
        <f t="shared" si="22"/>
        <v>12.740223778986513</v>
      </c>
      <c r="AX80" s="51">
        <f t="shared" si="23"/>
        <v>12.987994448169152</v>
      </c>
      <c r="AY80" s="51">
        <f t="shared" si="24"/>
        <v>13.222222222222221</v>
      </c>
      <c r="AZ80" s="51">
        <f t="shared" si="25"/>
        <v>13.444444444444445</v>
      </c>
      <c r="BA80" s="51">
        <f t="shared" si="26"/>
        <v>13.666666666666668</v>
      </c>
      <c r="BB80" s="51">
        <f t="shared" si="27"/>
        <v>0.12740223778986512</v>
      </c>
      <c r="BC80" s="51">
        <f t="shared" si="28"/>
        <v>0.12987994448169152</v>
      </c>
      <c r="BD80" s="51">
        <f t="shared" si="29"/>
        <v>0.13222222222222221</v>
      </c>
      <c r="BE80" s="51">
        <f t="shared" si="30"/>
        <v>0.13444444444444445</v>
      </c>
      <c r="BF80" s="51">
        <f t="shared" si="31"/>
        <v>0.13666666666666669</v>
      </c>
    </row>
    <row r="81" spans="12:58" x14ac:dyDescent="0.15">
      <c r="L81" s="29">
        <f>基础状态预估!C81</f>
        <v>1260</v>
      </c>
      <c r="M81" s="29">
        <f>基础状态预估!D81</f>
        <v>105.28054430059714</v>
      </c>
      <c r="N81" s="65">
        <f>基础状态预估!L81*D$10/3</f>
        <v>0</v>
      </c>
      <c r="O81" s="65">
        <f>基础状态预估!M81*E$10/3</f>
        <v>0</v>
      </c>
      <c r="P81" s="65">
        <f>基础状态预估!N81*F$10/3</f>
        <v>0</v>
      </c>
      <c r="Q81" s="65">
        <f>基础状态预估!O81*G$10/3</f>
        <v>0</v>
      </c>
      <c r="R81" s="65">
        <f>基础状态预估!P81*H$10/3</f>
        <v>20.319865701415086</v>
      </c>
      <c r="S81" s="65">
        <f>基础状态预估!Q81*I$10/3</f>
        <v>30.867136929118441</v>
      </c>
      <c r="T81" s="65">
        <f t="shared" si="18"/>
        <v>51.187002630533527</v>
      </c>
      <c r="U81" s="65">
        <f>基础状态预估!L81*D$15</f>
        <v>0</v>
      </c>
      <c r="V81" s="65">
        <f>基础状态预估!M81*E$15</f>
        <v>0</v>
      </c>
      <c r="W81" s="65">
        <f>基础状态预估!N81*F$15</f>
        <v>0</v>
      </c>
      <c r="X81" s="65">
        <f>基础状态预估!O81*G$15</f>
        <v>0</v>
      </c>
      <c r="Y81" s="65">
        <f>基础状态预估!P81*H$15</f>
        <v>0.15239899276061317</v>
      </c>
      <c r="Z81" s="65">
        <f>基础状态预估!Q81*I$15</f>
        <v>0.37040564314942132</v>
      </c>
      <c r="AA81" s="65">
        <f t="shared" si="19"/>
        <v>0.52280463591003445</v>
      </c>
      <c r="AV81" s="51">
        <v>71</v>
      </c>
      <c r="AW81" s="51">
        <f t="shared" si="22"/>
        <v>13.578252409380145</v>
      </c>
      <c r="AX81" s="51">
        <f t="shared" si="23"/>
        <v>13.819976745971347</v>
      </c>
      <c r="AY81" s="51">
        <f t="shared" si="24"/>
        <v>14.044444444444444</v>
      </c>
      <c r="AZ81" s="51">
        <f t="shared" si="25"/>
        <v>14.266666666666667</v>
      </c>
      <c r="BA81" s="51">
        <f t="shared" si="26"/>
        <v>14.488888888888889</v>
      </c>
      <c r="BB81" s="51">
        <f t="shared" si="27"/>
        <v>0.13578252409380145</v>
      </c>
      <c r="BC81" s="51">
        <f t="shared" si="28"/>
        <v>0.13819976745971346</v>
      </c>
      <c r="BD81" s="51">
        <f t="shared" si="29"/>
        <v>0.14044444444444446</v>
      </c>
      <c r="BE81" s="51">
        <f t="shared" si="30"/>
        <v>0.14266666666666666</v>
      </c>
      <c r="BF81" s="51">
        <f t="shared" si="31"/>
        <v>0.1448888888888889</v>
      </c>
    </row>
    <row r="82" spans="12:58" x14ac:dyDescent="0.15">
      <c r="L82" s="29">
        <f>基础状态预估!C82</f>
        <v>1380</v>
      </c>
      <c r="M82" s="29">
        <f>基础状态预估!D82</f>
        <v>106.5877808636499</v>
      </c>
      <c r="N82" s="65">
        <f>基础状态预估!L82*D$10/3</f>
        <v>0</v>
      </c>
      <c r="O82" s="65">
        <f>基础状态预估!M82*E$10/3</f>
        <v>0</v>
      </c>
      <c r="P82" s="65">
        <f>基础状态预估!N82*F$10/3</f>
        <v>0</v>
      </c>
      <c r="Q82" s="65">
        <f>基础状态预估!O82*G$10/3</f>
        <v>0</v>
      </c>
      <c r="R82" s="65">
        <f>基础状态预估!P82*H$10/3</f>
        <v>17.668420228071728</v>
      </c>
      <c r="S82" s="65">
        <f>基础状态预估!Q82*I$10/3</f>
        <v>34.90768630582695</v>
      </c>
      <c r="T82" s="65">
        <f t="shared" si="18"/>
        <v>52.576106533898681</v>
      </c>
      <c r="U82" s="65">
        <f>基础状态预估!L82*D$15</f>
        <v>0</v>
      </c>
      <c r="V82" s="65">
        <f>基础状态预估!M82*E$15</f>
        <v>0</v>
      </c>
      <c r="W82" s="65">
        <f>基础状态预估!N82*F$15</f>
        <v>0</v>
      </c>
      <c r="X82" s="65">
        <f>基础状态预估!O82*G$15</f>
        <v>0</v>
      </c>
      <c r="Y82" s="65">
        <f>基础状态预估!P82*H$15</f>
        <v>0.13251315171053796</v>
      </c>
      <c r="Z82" s="65">
        <f>基础状态预估!Q82*I$15</f>
        <v>0.41889223566992345</v>
      </c>
      <c r="AA82" s="65">
        <f t="shared" si="19"/>
        <v>0.55140538738046141</v>
      </c>
      <c r="AV82" s="51">
        <v>72</v>
      </c>
      <c r="AW82" s="51">
        <f t="shared" si="22"/>
        <v>14.416281039773777</v>
      </c>
      <c r="AX82" s="51">
        <f t="shared" si="23"/>
        <v>14.644444444444444</v>
      </c>
      <c r="AY82" s="51">
        <f t="shared" si="24"/>
        <v>14.866666666666667</v>
      </c>
      <c r="AZ82" s="51">
        <f t="shared" si="25"/>
        <v>15.088888888888889</v>
      </c>
      <c r="BA82" s="51">
        <f t="shared" si="26"/>
        <v>15.31111111111111</v>
      </c>
      <c r="BB82" s="51">
        <f t="shared" si="27"/>
        <v>0.14416281039773776</v>
      </c>
      <c r="BC82" s="51">
        <f t="shared" si="28"/>
        <v>0.14644444444444443</v>
      </c>
      <c r="BD82" s="51">
        <f t="shared" si="29"/>
        <v>0.14866666666666667</v>
      </c>
      <c r="BE82" s="51">
        <f t="shared" si="30"/>
        <v>0.15088888888888888</v>
      </c>
      <c r="BF82" s="51">
        <f t="shared" si="31"/>
        <v>0.15311111111111114</v>
      </c>
    </row>
    <row r="83" spans="12:58" x14ac:dyDescent="0.15">
      <c r="L83" s="29">
        <f>基础状态预估!C83</f>
        <v>1500</v>
      </c>
      <c r="M83" s="29">
        <f>基础状态预估!D83</f>
        <v>107.79548237561555</v>
      </c>
      <c r="N83" s="65">
        <f>基础状态预估!L83*D$10/3</f>
        <v>0</v>
      </c>
      <c r="O83" s="65">
        <f>基础状态预估!M83*E$10/3</f>
        <v>0</v>
      </c>
      <c r="P83" s="65">
        <f>基础状态预估!N83*F$10/3</f>
        <v>0</v>
      </c>
      <c r="Q83" s="65">
        <f>基础状态预估!O83*G$10/3</f>
        <v>0</v>
      </c>
      <c r="R83" s="65">
        <f>基础状态预估!P83*H$10/3</f>
        <v>15.218859989660587</v>
      </c>
      <c r="S83" s="65">
        <f>基础状态预估!Q83*I$10/3</f>
        <v>38.64058188826624</v>
      </c>
      <c r="T83" s="65">
        <f t="shared" si="18"/>
        <v>53.859441877926827</v>
      </c>
      <c r="U83" s="65">
        <f>基础状态预估!L83*D$15</f>
        <v>0</v>
      </c>
      <c r="V83" s="65">
        <f>基础状态预估!M83*E$15</f>
        <v>0</v>
      </c>
      <c r="W83" s="65">
        <f>基础状态预估!N83*F$15</f>
        <v>0</v>
      </c>
      <c r="X83" s="65">
        <f>基础状态预估!O83*G$15</f>
        <v>0</v>
      </c>
      <c r="Y83" s="65">
        <f>基础状态预估!P83*H$15</f>
        <v>0.1141414499224544</v>
      </c>
      <c r="Z83" s="65">
        <f>基础状态预估!Q83*I$15</f>
        <v>0.46368698265919495</v>
      </c>
      <c r="AA83" s="65">
        <f t="shared" si="19"/>
        <v>0.5778284325816494</v>
      </c>
      <c r="AV83" s="51">
        <v>73</v>
      </c>
      <c r="AW83" s="51">
        <f t="shared" si="22"/>
        <v>15.244444444444444</v>
      </c>
      <c r="AX83" s="51">
        <f t="shared" si="23"/>
        <v>15.466666666666667</v>
      </c>
      <c r="AY83" s="51">
        <f t="shared" si="24"/>
        <v>15.688888888888888</v>
      </c>
      <c r="AZ83" s="51">
        <f t="shared" si="25"/>
        <v>15.91111111111111</v>
      </c>
      <c r="BA83" s="51">
        <f t="shared" si="26"/>
        <v>16.133333333333333</v>
      </c>
      <c r="BB83" s="51">
        <f t="shared" si="27"/>
        <v>0.15244444444444444</v>
      </c>
      <c r="BC83" s="51">
        <f t="shared" si="28"/>
        <v>0.15466666666666667</v>
      </c>
      <c r="BD83" s="51">
        <f t="shared" si="29"/>
        <v>0.15688888888888888</v>
      </c>
      <c r="BE83" s="51">
        <f t="shared" si="30"/>
        <v>0.15911111111111109</v>
      </c>
      <c r="BF83" s="51">
        <f t="shared" si="31"/>
        <v>0.16133333333333336</v>
      </c>
    </row>
    <row r="84" spans="12:58" x14ac:dyDescent="0.15">
      <c r="L84" s="29">
        <f>基础状态预估!C84</f>
        <v>1800</v>
      </c>
      <c r="M84" s="29">
        <f>基础状态预估!D84</f>
        <v>110.45909768117225</v>
      </c>
      <c r="N84" s="65">
        <f>基础状态预估!L84*D$10/3</f>
        <v>0</v>
      </c>
      <c r="O84" s="65">
        <f>基础状态预估!M84*E$10/3</f>
        <v>0</v>
      </c>
      <c r="P84" s="65">
        <f>基础状态预估!N84*F$10/3</f>
        <v>0</v>
      </c>
      <c r="Q84" s="65">
        <f>基础状态预估!O84*G$10/3</f>
        <v>0</v>
      </c>
      <c r="R84" s="65">
        <f>基础状态预估!P84*H$10/3</f>
        <v>9.8162948042486047</v>
      </c>
      <c r="S84" s="65">
        <f>基础状态预估!Q84*I$10/3</f>
        <v>46.873574650896053</v>
      </c>
      <c r="T84" s="65">
        <f t="shared" si="18"/>
        <v>56.68986945514466</v>
      </c>
      <c r="U84" s="65">
        <f>基础状态预估!L84*D$15</f>
        <v>0</v>
      </c>
      <c r="V84" s="65">
        <f>基础状态预估!M84*E$15</f>
        <v>0</v>
      </c>
      <c r="W84" s="65">
        <f>基础状态预估!N84*F$15</f>
        <v>0</v>
      </c>
      <c r="X84" s="65">
        <f>基础状态预估!O84*G$15</f>
        <v>0</v>
      </c>
      <c r="Y84" s="65">
        <f>基础状态预估!P84*H$15</f>
        <v>7.3622211031864532E-2</v>
      </c>
      <c r="Z84" s="65">
        <f>基础状态预估!Q84*I$15</f>
        <v>0.56248289581075261</v>
      </c>
      <c r="AA84" s="65">
        <f t="shared" si="19"/>
        <v>0.63610510684261712</v>
      </c>
      <c r="AV84" s="51">
        <v>74</v>
      </c>
      <c r="AW84" s="51">
        <f t="shared" si="22"/>
        <v>16.066666666666666</v>
      </c>
      <c r="AX84" s="51">
        <f t="shared" si="23"/>
        <v>16.288888888888888</v>
      </c>
      <c r="AY84" s="51">
        <f t="shared" si="24"/>
        <v>16.511111111111109</v>
      </c>
      <c r="AZ84" s="51">
        <f t="shared" si="25"/>
        <v>16.733333333333331</v>
      </c>
      <c r="BA84" s="51">
        <f t="shared" si="26"/>
        <v>18.197553680217588</v>
      </c>
      <c r="BB84" s="51">
        <f t="shared" si="27"/>
        <v>0.16066666666666665</v>
      </c>
      <c r="BC84" s="51">
        <f t="shared" si="28"/>
        <v>0.16288888888888889</v>
      </c>
      <c r="BD84" s="51">
        <f t="shared" si="29"/>
        <v>0.16511111111111113</v>
      </c>
      <c r="BE84" s="51">
        <f t="shared" si="30"/>
        <v>0.16733333333333331</v>
      </c>
      <c r="BF84" s="51">
        <f t="shared" si="31"/>
        <v>0.17997899250128935</v>
      </c>
    </row>
    <row r="85" spans="12:58" x14ac:dyDescent="0.15">
      <c r="L85" s="29">
        <f>基础状态预估!C85</f>
        <v>2100</v>
      </c>
      <c r="M85" s="29">
        <f>基础状态预估!D85</f>
        <v>112.6575750662045</v>
      </c>
      <c r="N85" s="65">
        <f>基础状态预估!L85*D$10/3</f>
        <v>0</v>
      </c>
      <c r="O85" s="65">
        <f>基础状态预估!M85*E$10/3</f>
        <v>0</v>
      </c>
      <c r="P85" s="65">
        <f>基础状态预估!N85*F$10/3</f>
        <v>0</v>
      </c>
      <c r="Q85" s="65">
        <f>基础状态预估!O85*G$10/3</f>
        <v>0</v>
      </c>
      <c r="R85" s="65">
        <f>基础状态预估!P85*H$10/3</f>
        <v>5.3346796769749574</v>
      </c>
      <c r="S85" s="65">
        <f>基础状态预估!Q85*I$10/3</f>
        <v>53.668868386450278</v>
      </c>
      <c r="T85" s="65">
        <f t="shared" si="18"/>
        <v>59.003548063425235</v>
      </c>
      <c r="U85" s="65">
        <f>基础状态预估!L85*D$15</f>
        <v>0</v>
      </c>
      <c r="V85" s="65">
        <f>基础状态预估!M85*E$15</f>
        <v>0</v>
      </c>
      <c r="W85" s="65">
        <f>基础状态预估!N85*F$15</f>
        <v>0</v>
      </c>
      <c r="X85" s="65">
        <f>基础状态预估!O85*G$15</f>
        <v>0</v>
      </c>
      <c r="Y85" s="65">
        <f>基础状态预估!P85*H$15</f>
        <v>4.0010097577312179E-2</v>
      </c>
      <c r="Z85" s="65">
        <f>基础状态预估!Q85*I$15</f>
        <v>0.64402642063740334</v>
      </c>
      <c r="AA85" s="65">
        <f t="shared" si="19"/>
        <v>0.68403651821471556</v>
      </c>
      <c r="AV85" s="51">
        <v>75</v>
      </c>
      <c r="AW85" s="51">
        <f t="shared" si="22"/>
        <v>16.892457902254161</v>
      </c>
      <c r="AX85" s="51">
        <f t="shared" si="23"/>
        <v>18.184125903221524</v>
      </c>
      <c r="AY85" s="51">
        <f t="shared" si="24"/>
        <v>18.776101319697844</v>
      </c>
      <c r="AZ85" s="51">
        <f t="shared" si="25"/>
        <v>18.527585900134319</v>
      </c>
      <c r="BA85" s="51">
        <f t="shared" si="26"/>
        <v>20.309701370959452</v>
      </c>
      <c r="BB85" s="51">
        <f t="shared" si="27"/>
        <v>0.16891820334440094</v>
      </c>
      <c r="BC85" s="51">
        <f t="shared" si="28"/>
        <v>0.18012030795253545</v>
      </c>
      <c r="BD85" s="51">
        <f t="shared" si="29"/>
        <v>0.1852702821582288</v>
      </c>
      <c r="BE85" s="51">
        <f t="shared" si="30"/>
        <v>0.18372061045001717</v>
      </c>
      <c r="BF85" s="51">
        <f t="shared" si="31"/>
        <v>0.19902688065555096</v>
      </c>
    </row>
    <row r="86" spans="12:58" x14ac:dyDescent="0.15">
      <c r="L86" s="29">
        <f>基础状态预估!C86</f>
        <v>2400</v>
      </c>
      <c r="M86" s="29">
        <f>基础状态预估!D86</f>
        <v>114.60231372852645</v>
      </c>
      <c r="N86" s="65">
        <f>基础状态预估!L86*D$10/3</f>
        <v>0</v>
      </c>
      <c r="O86" s="65">
        <f>基础状态预估!M86*E$10/3</f>
        <v>0</v>
      </c>
      <c r="P86" s="65">
        <f>基础状态预估!N86*F$10/3</f>
        <v>0</v>
      </c>
      <c r="Q86" s="65">
        <f>基础状态预估!O86*G$10/3</f>
        <v>0</v>
      </c>
      <c r="R86" s="65">
        <f>基础状态预估!P86*H$10/3</f>
        <v>1.3237128508153735</v>
      </c>
      <c r="S86" s="65">
        <f>基础状态预估!Q86*I$10/3</f>
        <v>59.679878797263576</v>
      </c>
      <c r="T86" s="65">
        <f t="shared" si="18"/>
        <v>61.003591648078952</v>
      </c>
      <c r="U86" s="65">
        <f>基础状态预估!L86*D$15</f>
        <v>0</v>
      </c>
      <c r="V86" s="65">
        <f>基础状态预估!M86*E$15</f>
        <v>0</v>
      </c>
      <c r="W86" s="65">
        <f>基础状态预估!N86*F$15</f>
        <v>0</v>
      </c>
      <c r="X86" s="65">
        <f>基础状态预估!O86*G$15</f>
        <v>0</v>
      </c>
      <c r="Y86" s="65">
        <f>基础状态预估!P86*H$15</f>
        <v>9.9278463811153014E-3</v>
      </c>
      <c r="Z86" s="65">
        <f>基础状态预估!Q86*I$15</f>
        <v>0.71615854556716296</v>
      </c>
      <c r="AA86" s="65">
        <f t="shared" si="19"/>
        <v>0.72608639194827829</v>
      </c>
      <c r="AV86" s="51">
        <v>76</v>
      </c>
      <c r="AW86" s="51">
        <f t="shared" si="22"/>
        <v>19.952204462297885</v>
      </c>
      <c r="AX86" s="51">
        <f t="shared" si="23"/>
        <v>20.981432135679167</v>
      </c>
      <c r="AY86" s="51">
        <f t="shared" si="24"/>
        <v>21.294556653963561</v>
      </c>
      <c r="AZ86" s="51">
        <f t="shared" si="25"/>
        <v>21.268486491346891</v>
      </c>
      <c r="BA86" s="51">
        <f t="shared" si="26"/>
        <v>22.42184906170132</v>
      </c>
      <c r="BB86" s="51">
        <f t="shared" si="27"/>
        <v>0.19551856006632731</v>
      </c>
      <c r="BC86" s="51">
        <f t="shared" si="28"/>
        <v>0.2049256385879823</v>
      </c>
      <c r="BD86" s="51">
        <f t="shared" si="29"/>
        <v>0.20752653344466457</v>
      </c>
      <c r="BE86" s="51">
        <f t="shared" si="30"/>
        <v>0.20805973097175834</v>
      </c>
      <c r="BF86" s="51">
        <f t="shared" si="31"/>
        <v>0.21807476880981261</v>
      </c>
    </row>
    <row r="87" spans="12:58" x14ac:dyDescent="0.15">
      <c r="L87" s="29">
        <f>基础状态预估!C87</f>
        <v>2700</v>
      </c>
      <c r="M87" s="29">
        <f>基础状态预估!D87</f>
        <v>116.33278549477166</v>
      </c>
      <c r="N87" s="65">
        <f>基础状态预估!L87*D$10/3</f>
        <v>0</v>
      </c>
      <c r="O87" s="65">
        <f>基础状态预估!M87*E$10/3</f>
        <v>0</v>
      </c>
      <c r="P87" s="65">
        <f>基础状态预估!N87*F$10/3</f>
        <v>0</v>
      </c>
      <c r="Q87" s="65">
        <f>基础状态预估!O87*G$10/3</f>
        <v>0</v>
      </c>
      <c r="R87" s="65">
        <f>基础状态预估!P87*H$10/3</f>
        <v>0</v>
      </c>
      <c r="S87" s="65">
        <f>基础状态预估!Q87*I$10/3</f>
        <v>62.221941279370093</v>
      </c>
      <c r="T87" s="65">
        <f t="shared" si="18"/>
        <v>62.221941279370093</v>
      </c>
      <c r="U87" s="65">
        <f>基础状态预估!L87*D$15</f>
        <v>0</v>
      </c>
      <c r="V87" s="65">
        <f>基础状态预估!M87*E$15</f>
        <v>0</v>
      </c>
      <c r="W87" s="65">
        <f>基础状态预估!N87*F$15</f>
        <v>0</v>
      </c>
      <c r="X87" s="65">
        <f>基础状态预估!O87*G$15</f>
        <v>0</v>
      </c>
      <c r="Y87" s="65">
        <f>基础状态预估!P87*H$15</f>
        <v>0</v>
      </c>
      <c r="Z87" s="65">
        <f>基础状态预估!Q87*I$15</f>
        <v>0.74666329535244103</v>
      </c>
      <c r="AA87" s="65">
        <f t="shared" si="19"/>
        <v>0.74666329535244103</v>
      </c>
      <c r="AV87" s="51">
        <v>77</v>
      </c>
      <c r="AW87" s="51">
        <f t="shared" si="22"/>
        <v>23.011951022341613</v>
      </c>
      <c r="AX87" s="51">
        <f t="shared" si="23"/>
        <v>23.778738368136811</v>
      </c>
      <c r="AY87" s="51">
        <f t="shared" si="24"/>
        <v>23.813011988229281</v>
      </c>
      <c r="AZ87" s="51">
        <f t="shared" si="25"/>
        <v>23.614670788911429</v>
      </c>
      <c r="BA87" s="51">
        <f t="shared" si="26"/>
        <v>24.533996752443187</v>
      </c>
      <c r="BB87" s="51">
        <f t="shared" si="27"/>
        <v>0.22211891678825371</v>
      </c>
      <c r="BC87" s="51">
        <f t="shared" si="28"/>
        <v>0.22973096922342917</v>
      </c>
      <c r="BD87" s="51">
        <f t="shared" si="29"/>
        <v>0.22978278473110036</v>
      </c>
      <c r="BE87" s="51">
        <f t="shared" si="30"/>
        <v>0.22814670788911431</v>
      </c>
      <c r="BF87" s="51">
        <f t="shared" si="31"/>
        <v>0.23712265696407422</v>
      </c>
    </row>
    <row r="88" spans="12:58" x14ac:dyDescent="0.15">
      <c r="L88" s="29">
        <f>基础状态预估!C88</f>
        <v>3000</v>
      </c>
      <c r="M88" s="29">
        <f>基础状态预估!D88</f>
        <v>117.85065637558189</v>
      </c>
      <c r="N88" s="65">
        <f>基础状态预估!L88*D$10/3</f>
        <v>0</v>
      </c>
      <c r="O88" s="65">
        <f>基础状态预估!M88*E$10/3</f>
        <v>0</v>
      </c>
      <c r="P88" s="65">
        <f>基础状态预估!N88*F$10/3</f>
        <v>0</v>
      </c>
      <c r="Q88" s="65">
        <f>基础状态预估!O88*G$10/3</f>
        <v>0</v>
      </c>
      <c r="R88" s="65">
        <f>基础状态预估!P88*H$10/3</f>
        <v>0</v>
      </c>
      <c r="S88" s="65">
        <f>基础状态预估!Q88*I$10/3</f>
        <v>63.000336602862511</v>
      </c>
      <c r="T88" s="65">
        <f t="shared" si="18"/>
        <v>63.000336602862511</v>
      </c>
      <c r="U88" s="65">
        <f>基础状态预估!L88*D$15</f>
        <v>0</v>
      </c>
      <c r="V88" s="65">
        <f>基础状态预估!M88*E$15</f>
        <v>0</v>
      </c>
      <c r="W88" s="65">
        <f>基础状态预估!N88*F$15</f>
        <v>0</v>
      </c>
      <c r="X88" s="65">
        <f>基础状态预估!O88*G$15</f>
        <v>0</v>
      </c>
      <c r="Y88" s="65">
        <f>基础状态预估!P88*H$15</f>
        <v>0</v>
      </c>
      <c r="Z88" s="65">
        <f>基础状态预估!Q88*I$15</f>
        <v>0.75600403923435011</v>
      </c>
      <c r="AA88" s="65">
        <f t="shared" si="19"/>
        <v>0.75600403923435011</v>
      </c>
      <c r="AV88" s="51">
        <v>78</v>
      </c>
      <c r="AW88" s="51">
        <f t="shared" si="22"/>
        <v>24.311111111111114</v>
      </c>
      <c r="AX88" s="51">
        <f t="shared" si="23"/>
        <v>24.750619970228673</v>
      </c>
      <c r="AY88" s="51">
        <f t="shared" si="24"/>
        <v>25.177630719813322</v>
      </c>
      <c r="AZ88" s="51">
        <f t="shared" si="25"/>
        <v>25.151785599545185</v>
      </c>
      <c r="BA88" s="51">
        <f t="shared" si="26"/>
        <v>25.62023464905165</v>
      </c>
      <c r="BB88" s="51">
        <f t="shared" si="27"/>
        <v>0.23111111111111113</v>
      </c>
      <c r="BC88" s="51">
        <f t="shared" si="28"/>
        <v>0.23550619970228676</v>
      </c>
      <c r="BD88" s="51">
        <f t="shared" si="29"/>
        <v>0.23977630719813323</v>
      </c>
      <c r="BE88" s="51">
        <f t="shared" si="30"/>
        <v>0.23951785599545186</v>
      </c>
      <c r="BF88" s="51">
        <f t="shared" si="31"/>
        <v>0.2442023464905165</v>
      </c>
    </row>
    <row r="89" spans="12:58" x14ac:dyDescent="0.15">
      <c r="L89" s="29">
        <f>基础状态预估!C89</f>
        <v>3300</v>
      </c>
      <c r="M89" s="29">
        <f>基础状态预估!D89</f>
        <v>119.21088872323202</v>
      </c>
      <c r="N89" s="65">
        <f>基础状态预估!L89*D$10/3</f>
        <v>0</v>
      </c>
      <c r="O89" s="65">
        <f>基础状态预估!M89*E$10/3</f>
        <v>0</v>
      </c>
      <c r="P89" s="65">
        <f>基础状态预估!N89*F$10/3</f>
        <v>0</v>
      </c>
      <c r="Q89" s="65">
        <f>基础状态预估!O89*G$10/3</f>
        <v>0</v>
      </c>
      <c r="R89" s="65">
        <f>基础状态预估!P89*H$10/3</f>
        <v>0</v>
      </c>
      <c r="S89" s="65">
        <f>基础状态预估!Q89*I$10/3</f>
        <v>63.697891652939497</v>
      </c>
      <c r="T89" s="65">
        <f t="shared" si="18"/>
        <v>63.697891652939497</v>
      </c>
      <c r="U89" s="65">
        <f>基础状态预估!L89*D$15</f>
        <v>0</v>
      </c>
      <c r="V89" s="65">
        <f>基础状态预估!M89*E$15</f>
        <v>0</v>
      </c>
      <c r="W89" s="65">
        <f>基础状态预估!N89*F$15</f>
        <v>0</v>
      </c>
      <c r="X89" s="65">
        <f>基础状态预估!O89*G$15</f>
        <v>0</v>
      </c>
      <c r="Y89" s="65">
        <f>基础状态预估!P89*H$15</f>
        <v>0</v>
      </c>
      <c r="Z89" s="65">
        <f>基础状态预估!Q89*I$15</f>
        <v>0.76437469983527395</v>
      </c>
      <c r="AA89" s="65">
        <f t="shared" si="19"/>
        <v>0.76437469983527395</v>
      </c>
      <c r="AV89" s="51">
        <v>79</v>
      </c>
      <c r="AW89" s="51">
        <f t="shared" si="22"/>
        <v>25.155555555555559</v>
      </c>
      <c r="AX89" s="51">
        <f t="shared" si="23"/>
        <v>25.589769949423456</v>
      </c>
      <c r="AY89" s="51">
        <f t="shared" si="24"/>
        <v>25.98897971564385</v>
      </c>
      <c r="AZ89" s="51">
        <f t="shared" si="25"/>
        <v>26.4</v>
      </c>
      <c r="BA89" s="51">
        <f t="shared" si="26"/>
        <v>26.576029070912014</v>
      </c>
      <c r="BB89" s="51">
        <f t="shared" si="27"/>
        <v>0.23555555555555557</v>
      </c>
      <c r="BC89" s="51">
        <f t="shared" si="28"/>
        <v>0.23989769949423459</v>
      </c>
      <c r="BD89" s="51">
        <f t="shared" si="29"/>
        <v>0.24388979715643852</v>
      </c>
      <c r="BE89" s="51">
        <f t="shared" si="30"/>
        <v>0.248</v>
      </c>
      <c r="BF89" s="51">
        <f t="shared" si="31"/>
        <v>0.24976029070912012</v>
      </c>
    </row>
    <row r="90" spans="12:58" x14ac:dyDescent="0.15">
      <c r="L90" s="29">
        <f>基础状态预估!C90</f>
        <v>3600</v>
      </c>
      <c r="M90" s="29">
        <f>基础状态预估!D90</f>
        <v>120.46417102385924</v>
      </c>
      <c r="N90" s="65">
        <f>基础状态预估!L90*D$10/3</f>
        <v>0</v>
      </c>
      <c r="O90" s="65">
        <f>基础状态预估!M90*E$10/3</f>
        <v>0</v>
      </c>
      <c r="P90" s="65">
        <f>基础状态预估!N90*F$10/3</f>
        <v>0</v>
      </c>
      <c r="Q90" s="65">
        <f>基础状态预估!O90*G$10/3</f>
        <v>0</v>
      </c>
      <c r="R90" s="65">
        <f>基础状态预估!P90*H$10/3</f>
        <v>0</v>
      </c>
      <c r="S90" s="65">
        <f>基础状态预估!Q90*I$10/3</f>
        <v>64.340600525056018</v>
      </c>
      <c r="T90" s="65">
        <f t="shared" si="18"/>
        <v>64.340600525056018</v>
      </c>
      <c r="U90" s="65">
        <f>基础状态预估!L90*D$15</f>
        <v>0</v>
      </c>
      <c r="V90" s="65">
        <f>基础状态预估!M90*E$15</f>
        <v>0</v>
      </c>
      <c r="W90" s="65">
        <f>基础状态预估!N90*F$15</f>
        <v>0</v>
      </c>
      <c r="X90" s="65">
        <f>基础状态预估!O90*G$15</f>
        <v>0</v>
      </c>
      <c r="Y90" s="65">
        <f>基础状态预估!P90*H$15</f>
        <v>0</v>
      </c>
      <c r="Z90" s="65">
        <f>基础状态预估!Q90*I$15</f>
        <v>0.77208720630067218</v>
      </c>
      <c r="AA90" s="65">
        <f t="shared" si="19"/>
        <v>0.77208720630067218</v>
      </c>
      <c r="AV90" s="51">
        <v>80</v>
      </c>
      <c r="AW90" s="51">
        <f t="shared" si="22"/>
        <v>25.981229942150939</v>
      </c>
      <c r="AX90" s="51">
        <f t="shared" si="23"/>
        <v>26.400000000000002</v>
      </c>
      <c r="AY90" s="51">
        <f t="shared" si="24"/>
        <v>26.8</v>
      </c>
      <c r="AZ90" s="51">
        <f t="shared" si="25"/>
        <v>27.2</v>
      </c>
      <c r="BA90" s="51">
        <f t="shared" si="26"/>
        <v>27.531823492772379</v>
      </c>
      <c r="BB90" s="51">
        <f t="shared" si="27"/>
        <v>0.23981229942150939</v>
      </c>
      <c r="BC90" s="51">
        <f t="shared" si="28"/>
        <v>0.24400000000000002</v>
      </c>
      <c r="BD90" s="51">
        <f t="shared" si="29"/>
        <v>0.24800000000000003</v>
      </c>
      <c r="BE90" s="51">
        <f t="shared" si="30"/>
        <v>0.252</v>
      </c>
      <c r="BF90" s="51">
        <f t="shared" si="31"/>
        <v>0.25531823492772376</v>
      </c>
    </row>
    <row r="91" spans="12:58" x14ac:dyDescent="0.15">
      <c r="L91" s="29">
        <f>基础状态预估!C91</f>
        <v>3900</v>
      </c>
      <c r="M91" s="29">
        <f>基础状态预估!D91</f>
        <v>121.65302977187105</v>
      </c>
      <c r="N91" s="65">
        <f>基础状态预估!L91*D$10/3</f>
        <v>0</v>
      </c>
      <c r="O91" s="65">
        <f>基础状态预估!M91*E$10/3</f>
        <v>0</v>
      </c>
      <c r="P91" s="65">
        <f>基础状态预估!N91*F$10/3</f>
        <v>0</v>
      </c>
      <c r="Q91" s="65">
        <f>基础状态预估!O91*G$10/3</f>
        <v>0</v>
      </c>
      <c r="R91" s="65">
        <f>基础状态预估!P91*H$10/3</f>
        <v>0</v>
      </c>
      <c r="S91" s="65">
        <f>基础状态预估!Q91*I$10/3</f>
        <v>64.950271677882583</v>
      </c>
      <c r="T91" s="65">
        <f t="shared" si="18"/>
        <v>64.950271677882583</v>
      </c>
      <c r="U91" s="65">
        <f>基础状态预估!L91*D$15</f>
        <v>0</v>
      </c>
      <c r="V91" s="65">
        <f>基础状态预估!M91*E$15</f>
        <v>0</v>
      </c>
      <c r="W91" s="65">
        <f>基础状态预估!N91*F$15</f>
        <v>0</v>
      </c>
      <c r="X91" s="65">
        <f>基础状态预估!O91*G$15</f>
        <v>0</v>
      </c>
      <c r="Y91" s="65">
        <f>基础状态预估!P91*H$15</f>
        <v>0</v>
      </c>
      <c r="Z91" s="65">
        <f>基础状态预估!Q91*I$15</f>
        <v>0.77940326013459105</v>
      </c>
      <c r="AA91" s="65">
        <f t="shared" si="19"/>
        <v>0.77940326013459105</v>
      </c>
      <c r="AV91" s="51">
        <v>81</v>
      </c>
      <c r="AW91" s="51">
        <f t="shared" si="22"/>
        <v>26.8</v>
      </c>
      <c r="AX91" s="51">
        <f t="shared" si="23"/>
        <v>27.200000000000003</v>
      </c>
      <c r="AY91" s="51">
        <f t="shared" si="24"/>
        <v>27.600000000000005</v>
      </c>
      <c r="AZ91" s="51">
        <f t="shared" si="25"/>
        <v>28</v>
      </c>
      <c r="BA91" s="51">
        <f t="shared" si="26"/>
        <v>28.4</v>
      </c>
      <c r="BB91" s="51">
        <f t="shared" si="27"/>
        <v>0.24400000000000002</v>
      </c>
      <c r="BC91" s="51">
        <f t="shared" si="28"/>
        <v>0.24800000000000003</v>
      </c>
      <c r="BD91" s="51">
        <f t="shared" si="29"/>
        <v>0.25200000000000006</v>
      </c>
      <c r="BE91" s="51">
        <f t="shared" si="30"/>
        <v>0.25600000000000001</v>
      </c>
      <c r="BF91" s="51">
        <f t="shared" si="31"/>
        <v>0.26</v>
      </c>
    </row>
    <row r="92" spans="12:58" x14ac:dyDescent="0.15">
      <c r="L92" s="29">
        <f>基础状态预估!C92</f>
        <v>4200</v>
      </c>
      <c r="M92" s="29">
        <f>基础状态预估!D92</f>
        <v>122.73490799469288</v>
      </c>
      <c r="N92" s="65">
        <f>基础状态预估!L92*D$10/3</f>
        <v>0</v>
      </c>
      <c r="O92" s="65">
        <f>基础状态预估!M92*E$10/3</f>
        <v>0</v>
      </c>
      <c r="P92" s="65">
        <f>基础状态预估!N92*F$10/3</f>
        <v>0</v>
      </c>
      <c r="Q92" s="65">
        <f>基础状态预估!O92*G$10/3</f>
        <v>0</v>
      </c>
      <c r="R92" s="65">
        <f>基础状态预估!P92*H$10/3</f>
        <v>0</v>
      </c>
      <c r="S92" s="65">
        <f>基础状态预估!Q92*I$10/3</f>
        <v>65.505081022919427</v>
      </c>
      <c r="T92" s="65">
        <f t="shared" si="18"/>
        <v>65.505081022919427</v>
      </c>
      <c r="U92" s="65">
        <f>基础状态预估!L92*D$15</f>
        <v>0</v>
      </c>
      <c r="V92" s="65">
        <f>基础状态预估!M92*E$15</f>
        <v>0</v>
      </c>
      <c r="W92" s="65">
        <f>基础状态预估!N92*F$15</f>
        <v>0</v>
      </c>
      <c r="X92" s="65">
        <f>基础状态预估!O92*G$15</f>
        <v>0</v>
      </c>
      <c r="Y92" s="65">
        <f>基础状态预估!P92*H$15</f>
        <v>0</v>
      </c>
      <c r="Z92" s="65">
        <f>基础状态预估!Q92*I$15</f>
        <v>0.78606097227503313</v>
      </c>
      <c r="AA92" s="65">
        <f t="shared" si="19"/>
        <v>0.78606097227503313</v>
      </c>
      <c r="AV92" s="51">
        <v>82</v>
      </c>
      <c r="AW92" s="51">
        <f t="shared" si="22"/>
        <v>27.6</v>
      </c>
      <c r="AX92" s="51">
        <f t="shared" si="23"/>
        <v>28.000000000000004</v>
      </c>
      <c r="AY92" s="51">
        <f t="shared" si="24"/>
        <v>28.400000000000006</v>
      </c>
      <c r="AZ92" s="51">
        <f t="shared" si="25"/>
        <v>28.799999999999997</v>
      </c>
      <c r="BA92" s="51">
        <f t="shared" si="26"/>
        <v>29.2</v>
      </c>
      <c r="BB92" s="51">
        <f t="shared" si="27"/>
        <v>0.248</v>
      </c>
      <c r="BC92" s="51">
        <f t="shared" si="28"/>
        <v>0.252</v>
      </c>
      <c r="BD92" s="51">
        <f t="shared" si="29"/>
        <v>0.25600000000000001</v>
      </c>
      <c r="BE92" s="51">
        <f t="shared" si="30"/>
        <v>0.26</v>
      </c>
      <c r="BF92" s="51">
        <f t="shared" si="31"/>
        <v>0.26400000000000001</v>
      </c>
    </row>
    <row r="93" spans="12:58" x14ac:dyDescent="0.15">
      <c r="L93" s="29">
        <f>基础状态预估!C93</f>
        <v>4500</v>
      </c>
      <c r="M93" s="29">
        <f>基础状态预估!D93</f>
        <v>123.70999272209546</v>
      </c>
      <c r="N93" s="65">
        <f>基础状态预估!L93*D$10/3</f>
        <v>0</v>
      </c>
      <c r="O93" s="65">
        <f>基础状态预估!M93*E$10/3</f>
        <v>0</v>
      </c>
      <c r="P93" s="65">
        <f>基础状态预估!N93*F$10/3</f>
        <v>0</v>
      </c>
      <c r="Q93" s="65">
        <f>基础状态预估!O93*G$10/3</f>
        <v>0</v>
      </c>
      <c r="R93" s="65">
        <f>基础状态预估!P93*H$10/3</f>
        <v>0</v>
      </c>
      <c r="S93" s="65">
        <f>基础状态预估!Q93*I$10/3</f>
        <v>66.005124472869468</v>
      </c>
      <c r="T93" s="65">
        <f t="shared" si="18"/>
        <v>66.005124472869468</v>
      </c>
      <c r="U93" s="65">
        <f>基础状态预估!L93*D$15</f>
        <v>0</v>
      </c>
      <c r="V93" s="65">
        <f>基础状态预估!M93*E$15</f>
        <v>0</v>
      </c>
      <c r="W93" s="65">
        <f>基础状态预估!N93*F$15</f>
        <v>0</v>
      </c>
      <c r="X93" s="65">
        <f>基础状态预估!O93*G$15</f>
        <v>0</v>
      </c>
      <c r="Y93" s="65">
        <f>基础状态预估!P93*H$15</f>
        <v>0</v>
      </c>
      <c r="Z93" s="65">
        <f>基础状态预估!Q93*I$15</f>
        <v>0.79206149367443357</v>
      </c>
      <c r="AA93" s="65">
        <f t="shared" si="19"/>
        <v>0.79206149367443357</v>
      </c>
      <c r="AV93" s="51">
        <v>83</v>
      </c>
      <c r="AW93" s="51">
        <f t="shared" si="22"/>
        <v>28.400000000000002</v>
      </c>
      <c r="AX93" s="51">
        <f t="shared" si="23"/>
        <v>28.800000000000004</v>
      </c>
      <c r="AY93" s="51">
        <f t="shared" si="24"/>
        <v>29.200000000000006</v>
      </c>
      <c r="AZ93" s="51">
        <f t="shared" si="25"/>
        <v>29.599999999999998</v>
      </c>
      <c r="BA93" s="51">
        <f t="shared" si="26"/>
        <v>30</v>
      </c>
      <c r="BB93" s="51">
        <f t="shared" si="27"/>
        <v>0.252</v>
      </c>
      <c r="BC93" s="51">
        <f t="shared" si="28"/>
        <v>0.25600000000000001</v>
      </c>
      <c r="BD93" s="51">
        <f t="shared" si="29"/>
        <v>0.26</v>
      </c>
      <c r="BE93" s="51">
        <f t="shared" si="30"/>
        <v>0.26400000000000001</v>
      </c>
      <c r="BF93" s="51">
        <f t="shared" si="31"/>
        <v>0.26800000000000002</v>
      </c>
    </row>
    <row r="94" spans="12:58" x14ac:dyDescent="0.15">
      <c r="L94" s="29">
        <f>基础状态预估!C94</f>
        <v>4800</v>
      </c>
      <c r="M94" s="29">
        <f>基础状态预估!D94</f>
        <v>124.63695716337583</v>
      </c>
      <c r="N94" s="65">
        <f>基础状态预估!L94*D$10/3</f>
        <v>0</v>
      </c>
      <c r="O94" s="65">
        <f>基础状态预估!M94*E$10/3</f>
        <v>0</v>
      </c>
      <c r="P94" s="65">
        <f>基础状态预估!N94*F$10/3</f>
        <v>0</v>
      </c>
      <c r="Q94" s="65">
        <f>基础状态预估!O94*G$10/3</f>
        <v>0</v>
      </c>
      <c r="R94" s="65">
        <f>基础状态预估!P94*H$10/3</f>
        <v>0</v>
      </c>
      <c r="S94" s="65">
        <f>基础状态预估!Q94*I$10/3</f>
        <v>66.480490853013251</v>
      </c>
      <c r="T94" s="65">
        <f t="shared" si="18"/>
        <v>66.480490853013251</v>
      </c>
      <c r="U94" s="65">
        <f>基础状态预估!L94*D$15</f>
        <v>0</v>
      </c>
      <c r="V94" s="65">
        <f>基础状态预估!M94*E$15</f>
        <v>0</v>
      </c>
      <c r="W94" s="65">
        <f>基础状态预估!N94*F$15</f>
        <v>0</v>
      </c>
      <c r="X94" s="65">
        <f>基础状态预估!O94*G$15</f>
        <v>0</v>
      </c>
      <c r="Y94" s="65">
        <f>基础状态预估!P94*H$15</f>
        <v>0</v>
      </c>
      <c r="Z94" s="65">
        <f>基础状态预估!Q94*I$15</f>
        <v>0.79776589023615896</v>
      </c>
      <c r="AA94" s="65">
        <f t="shared" si="19"/>
        <v>0.79776589023615896</v>
      </c>
      <c r="AV94" s="51">
        <v>84</v>
      </c>
      <c r="AW94" s="51">
        <f t="shared" si="22"/>
        <v>29.200000000000003</v>
      </c>
      <c r="AX94" s="51">
        <f t="shared" si="23"/>
        <v>29.6</v>
      </c>
      <c r="AY94" s="51">
        <f t="shared" si="24"/>
        <v>30.000000000000004</v>
      </c>
      <c r="AZ94" s="51">
        <f t="shared" si="25"/>
        <v>30.4</v>
      </c>
      <c r="BA94" s="51">
        <f t="shared" si="26"/>
        <v>31.335996674188387</v>
      </c>
      <c r="BB94" s="51">
        <f t="shared" si="27"/>
        <v>0.25600000000000001</v>
      </c>
      <c r="BC94" s="51">
        <f t="shared" si="28"/>
        <v>0.26</v>
      </c>
      <c r="BD94" s="51">
        <f t="shared" si="29"/>
        <v>0.26400000000000001</v>
      </c>
      <c r="BE94" s="51">
        <f t="shared" si="30"/>
        <v>0.26800000000000002</v>
      </c>
      <c r="BF94" s="51">
        <f t="shared" si="31"/>
        <v>0.272893327790314</v>
      </c>
    </row>
    <row r="95" spans="12:58" x14ac:dyDescent="0.15">
      <c r="L95" s="29">
        <f>基础状态预估!C95</f>
        <v>65535</v>
      </c>
      <c r="M95" s="29">
        <f>基础状态预估!D95</f>
        <v>160</v>
      </c>
      <c r="N95" s="65">
        <f>基础状态预估!L95*D$10/3</f>
        <v>0</v>
      </c>
      <c r="O95" s="65">
        <f>基础状态预估!M95*E$10/3</f>
        <v>0</v>
      </c>
      <c r="P95" s="65">
        <f>基础状态预估!N95*F$10/3</f>
        <v>0</v>
      </c>
      <c r="Q95" s="65">
        <f>基础状态预估!O95*G$10/3</f>
        <v>0</v>
      </c>
      <c r="R95" s="65">
        <f>基础状态预估!P95*H$10/3</f>
        <v>0</v>
      </c>
      <c r="S95" s="65">
        <f>基础状态预估!Q95*I$10/3</f>
        <v>66.666666666666671</v>
      </c>
      <c r="T95" s="65">
        <f t="shared" ref="T95" si="32">SUM(N95:S95)</f>
        <v>66.666666666666671</v>
      </c>
      <c r="U95" s="65">
        <f>基础状态预估!L95*D$15</f>
        <v>0</v>
      </c>
      <c r="V95" s="65">
        <f>基础状态预估!M95*E$15</f>
        <v>0</v>
      </c>
      <c r="W95" s="65">
        <f>基础状态预估!N95*F$15</f>
        <v>0</v>
      </c>
      <c r="X95" s="65">
        <f>基础状态预估!O95*G$15</f>
        <v>0</v>
      </c>
      <c r="Y95" s="65">
        <f>基础状态预估!P95*H$15</f>
        <v>0</v>
      </c>
      <c r="Z95" s="65">
        <f>基础状态预估!Q95*I$15</f>
        <v>0.8</v>
      </c>
      <c r="AA95" s="65">
        <f t="shared" ref="AA95" si="33">SUM(U95:Z95)</f>
        <v>0.8</v>
      </c>
      <c r="AV95" s="51">
        <v>85</v>
      </c>
      <c r="AW95" s="51">
        <f t="shared" si="22"/>
        <v>30.087475516081387</v>
      </c>
      <c r="AX95" s="51">
        <f t="shared" si="23"/>
        <v>31.412560412270121</v>
      </c>
      <c r="AY95" s="51">
        <f t="shared" si="24"/>
        <v>32.341853038399876</v>
      </c>
      <c r="AZ95" s="51">
        <f t="shared" si="25"/>
        <v>32.174179892191546</v>
      </c>
      <c r="BA95" s="51">
        <f t="shared" si="26"/>
        <v>32.748490488249985</v>
      </c>
      <c r="BB95" s="51">
        <f t="shared" si="27"/>
        <v>0.2602520751743207</v>
      </c>
      <c r="BC95" s="51">
        <f t="shared" si="28"/>
        <v>0.26669052774272917</v>
      </c>
      <c r="BD95" s="51">
        <f t="shared" si="29"/>
        <v>0.27056975506399977</v>
      </c>
      <c r="BE95" s="51">
        <f t="shared" si="30"/>
        <v>0.27413208065039363</v>
      </c>
      <c r="BF95" s="51">
        <f t="shared" si="31"/>
        <v>0.27791415081374998</v>
      </c>
    </row>
    <row r="96" spans="12:58" x14ac:dyDescent="0.15">
      <c r="AV96" s="51">
        <v>86</v>
      </c>
      <c r="AW96" s="51">
        <f t="shared" si="22"/>
        <v>32.929326127458715</v>
      </c>
      <c r="AX96" s="51">
        <f t="shared" si="23"/>
        <v>33.980216013279176</v>
      </c>
      <c r="AY96" s="51">
        <f t="shared" si="24"/>
        <v>34.893020940282483</v>
      </c>
      <c r="AZ96" s="51">
        <f t="shared" si="25"/>
        <v>35.175739613874001</v>
      </c>
      <c r="BA96" s="51">
        <f t="shared" si="26"/>
        <v>34.788356169179131</v>
      </c>
      <c r="BB96" s="51">
        <f t="shared" si="27"/>
        <v>0.27013600557972578</v>
      </c>
      <c r="BC96" s="51">
        <f t="shared" si="28"/>
        <v>0.27538745878652027</v>
      </c>
      <c r="BD96" s="51">
        <f t="shared" si="29"/>
        <v>0.27799999999999997</v>
      </c>
      <c r="BE96" s="51">
        <f t="shared" si="30"/>
        <v>0.28295039287476692</v>
      </c>
      <c r="BF96" s="51">
        <f t="shared" si="31"/>
        <v>0.2858391618028957</v>
      </c>
    </row>
    <row r="97" spans="12:58" x14ac:dyDescent="0.15">
      <c r="L97" s="25" t="s">
        <v>19</v>
      </c>
      <c r="M97" s="26"/>
      <c r="N97" s="88" t="s">
        <v>91</v>
      </c>
      <c r="O97" s="89"/>
      <c r="P97" s="89"/>
      <c r="Q97" s="89"/>
      <c r="R97" s="89"/>
      <c r="S97" s="90"/>
      <c r="T97" s="62"/>
      <c r="U97" s="88" t="s">
        <v>92</v>
      </c>
      <c r="V97" s="89"/>
      <c r="W97" s="89"/>
      <c r="X97" s="89"/>
      <c r="Y97" s="89"/>
      <c r="Z97" s="90"/>
      <c r="AA97" s="63"/>
      <c r="AV97" s="51">
        <v>87</v>
      </c>
      <c r="AW97" s="51">
        <f t="shared" si="22"/>
        <v>35.771176738836047</v>
      </c>
      <c r="AX97" s="51">
        <f t="shared" si="23"/>
        <v>36.547871614288226</v>
      </c>
      <c r="AY97" s="51">
        <f t="shared" si="24"/>
        <v>36.774551499541786</v>
      </c>
      <c r="AZ97" s="51">
        <f t="shared" si="25"/>
        <v>37.724697691280326</v>
      </c>
      <c r="BA97" s="51">
        <f t="shared" si="26"/>
        <v>37.220024172730483</v>
      </c>
      <c r="BB97" s="51">
        <f t="shared" si="27"/>
        <v>0.28001993598513086</v>
      </c>
      <c r="BC97" s="51">
        <f t="shared" si="28"/>
        <v>0.28408438983031137</v>
      </c>
      <c r="BD97" s="51">
        <f t="shared" si="29"/>
        <v>0.28799999999999998</v>
      </c>
      <c r="BE97" s="51">
        <f t="shared" si="30"/>
        <v>0.29193523268460247</v>
      </c>
      <c r="BF97" s="51">
        <f t="shared" si="31"/>
        <v>0.29557787794904478</v>
      </c>
    </row>
    <row r="98" spans="12:58" x14ac:dyDescent="0.15">
      <c r="L98" s="27" t="s">
        <v>31</v>
      </c>
      <c r="M98" s="27" t="s">
        <v>25</v>
      </c>
      <c r="N98" s="64" t="s">
        <v>26</v>
      </c>
      <c r="O98" s="64" t="s">
        <v>38</v>
      </c>
      <c r="P98" s="64" t="s">
        <v>27</v>
      </c>
      <c r="Q98" s="64" t="s">
        <v>29</v>
      </c>
      <c r="R98" s="64" t="s">
        <v>28</v>
      </c>
      <c r="S98" s="64" t="s">
        <v>43</v>
      </c>
      <c r="T98" s="64" t="s">
        <v>95</v>
      </c>
      <c r="U98" s="64" t="s">
        <v>26</v>
      </c>
      <c r="V98" s="64" t="s">
        <v>38</v>
      </c>
      <c r="W98" s="64" t="s">
        <v>27</v>
      </c>
      <c r="X98" s="64" t="s">
        <v>29</v>
      </c>
      <c r="Y98" s="64" t="s">
        <v>28</v>
      </c>
      <c r="Z98" s="64" t="s">
        <v>43</v>
      </c>
      <c r="AA98" s="64" t="s">
        <v>95</v>
      </c>
      <c r="AV98" s="51">
        <v>88</v>
      </c>
      <c r="AW98" s="51">
        <f t="shared" si="22"/>
        <v>36.866666666666667</v>
      </c>
      <c r="AX98" s="51">
        <f t="shared" si="23"/>
        <v>37.393707616127038</v>
      </c>
      <c r="AY98" s="51">
        <f t="shared" si="24"/>
        <v>37.909504870035938</v>
      </c>
      <c r="AZ98" s="51">
        <f t="shared" si="25"/>
        <v>38.413911449946021</v>
      </c>
      <c r="BA98" s="51">
        <f t="shared" si="26"/>
        <v>38.903030303030306</v>
      </c>
      <c r="BB98" s="51">
        <f t="shared" si="27"/>
        <v>0.29000000000000004</v>
      </c>
      <c r="BC98" s="51">
        <f t="shared" si="28"/>
        <v>0.29395280712095279</v>
      </c>
      <c r="BD98" s="51">
        <f t="shared" si="29"/>
        <v>0.29782128652526951</v>
      </c>
      <c r="BE98" s="51">
        <f t="shared" si="30"/>
        <v>0.30160433587459518</v>
      </c>
      <c r="BF98" s="51">
        <f t="shared" si="31"/>
        <v>0.30527272727272731</v>
      </c>
    </row>
    <row r="99" spans="12:58" x14ac:dyDescent="0.15">
      <c r="L99" s="29">
        <f>基础状态预估!C99</f>
        <v>15</v>
      </c>
      <c r="M99" s="29">
        <f>基础状态预估!D99</f>
        <v>44.442238853326032</v>
      </c>
      <c r="N99" s="65">
        <f>基础状态预估!L99*D$10/3</f>
        <v>0</v>
      </c>
      <c r="O99" s="65">
        <f>基础状态预估!M99*E$10/3</f>
        <v>0</v>
      </c>
      <c r="P99" s="65">
        <f>基础状态预估!N99*F$10/3</f>
        <v>0</v>
      </c>
      <c r="Q99" s="65">
        <f>基础状态预估!O99*G$10/3</f>
        <v>0</v>
      </c>
      <c r="R99" s="65">
        <f>基础状态预估!P99*H$10/3</f>
        <v>0</v>
      </c>
      <c r="S99" s="65">
        <f>基础状态预估!Q99*I$10/3</f>
        <v>0</v>
      </c>
      <c r="T99" s="65">
        <f>SUM(N99:S99)</f>
        <v>0</v>
      </c>
      <c r="U99" s="65">
        <f>基础状态预估!L99*D$15</f>
        <v>0</v>
      </c>
      <c r="V99" s="65">
        <f>基础状态预估!M99*E$15</f>
        <v>0</v>
      </c>
      <c r="W99" s="65">
        <f>基础状态预估!N99*F$15</f>
        <v>0</v>
      </c>
      <c r="X99" s="65">
        <f>基础状态预估!O99*G$15</f>
        <v>0</v>
      </c>
      <c r="Y99" s="65">
        <f>基础状态预估!P99*H$15</f>
        <v>0</v>
      </c>
      <c r="Z99" s="65">
        <f>基础状态预估!Q99*I$15</f>
        <v>0</v>
      </c>
      <c r="AA99" s="65">
        <f>SUM(U99:Z99)</f>
        <v>0</v>
      </c>
      <c r="AI99" s="18" t="s">
        <v>2</v>
      </c>
      <c r="AJ99" s="93" t="s">
        <v>93</v>
      </c>
      <c r="AK99" s="94"/>
      <c r="AL99" s="93" t="s">
        <v>98</v>
      </c>
      <c r="AM99" s="94"/>
      <c r="AV99" s="51">
        <v>89</v>
      </c>
      <c r="AW99" s="51">
        <f t="shared" si="22"/>
        <v>37.6</v>
      </c>
      <c r="AX99" s="51">
        <f t="shared" si="23"/>
        <v>38.120312837104002</v>
      </c>
      <c r="AY99" s="51">
        <f t="shared" si="24"/>
        <v>38.6049830339417</v>
      </c>
      <c r="AZ99" s="51">
        <f t="shared" si="25"/>
        <v>39.103030303030302</v>
      </c>
      <c r="BA99" s="51">
        <f t="shared" si="26"/>
        <v>39.587878787878786</v>
      </c>
      <c r="BB99" s="51">
        <f t="shared" si="27"/>
        <v>0.30000000000000004</v>
      </c>
      <c r="BC99" s="51">
        <f t="shared" si="28"/>
        <v>0.30390234627828</v>
      </c>
      <c r="BD99" s="51">
        <f t="shared" si="29"/>
        <v>0.30753737275456272</v>
      </c>
      <c r="BE99" s="51">
        <f t="shared" si="30"/>
        <v>0.31127272727272726</v>
      </c>
      <c r="BF99" s="51">
        <f t="shared" si="31"/>
        <v>0.31490909090909097</v>
      </c>
    </row>
    <row r="100" spans="12:58" x14ac:dyDescent="0.15">
      <c r="L100" s="29">
        <f>基础状态预估!C100</f>
        <v>30</v>
      </c>
      <c r="M100" s="29">
        <f>基础状态预估!D100</f>
        <v>54.213705787583436</v>
      </c>
      <c r="N100" s="65">
        <f>基础状态预估!L100*D$10/3</f>
        <v>1.0989823533924599</v>
      </c>
      <c r="O100" s="65">
        <f>基础状态预估!M100*E$10/3</f>
        <v>1.842741157516687</v>
      </c>
      <c r="P100" s="65">
        <f>基础状态预估!N100*F$10/3</f>
        <v>0</v>
      </c>
      <c r="Q100" s="65">
        <f>基础状态预估!O100*G$10/3</f>
        <v>0</v>
      </c>
      <c r="R100" s="65">
        <f>基础状态预估!P100*H$10/3</f>
        <v>0</v>
      </c>
      <c r="S100" s="65">
        <f>基础状态预估!Q100*I$10/3</f>
        <v>0</v>
      </c>
      <c r="T100" s="65">
        <f t="shared" ref="T100:T138" si="34">SUM(N100:S100)</f>
        <v>2.9417235109091466</v>
      </c>
      <c r="U100" s="65">
        <f>基础状态预估!L100*D$15</f>
        <v>1.6484735300886896E-2</v>
      </c>
      <c r="V100" s="65">
        <f>基础状态预估!M100*E$15</f>
        <v>2.7641117362750305E-2</v>
      </c>
      <c r="W100" s="65">
        <f>基础状态预估!N100*F$15</f>
        <v>0</v>
      </c>
      <c r="X100" s="65">
        <f>基础状态预估!O100*G$15</f>
        <v>0</v>
      </c>
      <c r="Y100" s="65">
        <f>基础状态预估!P100*H$15</f>
        <v>0</v>
      </c>
      <c r="Z100" s="65">
        <f>基础状态预估!Q100*I$15</f>
        <v>0</v>
      </c>
      <c r="AA100" s="65">
        <f t="shared" ref="AA100:AA138" si="35">SUM(U100:Z100)</f>
        <v>4.4125852663637201E-2</v>
      </c>
      <c r="AI100" s="18" t="s">
        <v>25</v>
      </c>
      <c r="AJ100" s="18" t="s">
        <v>96</v>
      </c>
      <c r="AK100" s="18" t="s">
        <v>94</v>
      </c>
      <c r="AL100" s="18" t="s">
        <v>96</v>
      </c>
      <c r="AM100" s="18" t="s">
        <v>94</v>
      </c>
      <c r="AN100" s="15" t="s">
        <v>99</v>
      </c>
      <c r="AV100" s="51">
        <v>90</v>
      </c>
      <c r="AW100" s="51">
        <f t="shared" si="22"/>
        <v>38.312903250486308</v>
      </c>
      <c r="AX100" s="51">
        <f t="shared" si="23"/>
        <v>38.81818181818182</v>
      </c>
      <c r="AY100" s="51">
        <f t="shared" si="24"/>
        <v>39.300461197847454</v>
      </c>
      <c r="AZ100" s="51">
        <f t="shared" si="25"/>
        <v>39.787878787878789</v>
      </c>
      <c r="BA100" s="51">
        <f t="shared" si="26"/>
        <v>40.272727272727273</v>
      </c>
      <c r="BB100" s="51">
        <f t="shared" si="27"/>
        <v>0.30984677437864733</v>
      </c>
      <c r="BC100" s="51">
        <f t="shared" si="28"/>
        <v>0.31363636363636366</v>
      </c>
      <c r="BD100" s="51">
        <f t="shared" si="29"/>
        <v>0.31725345898385593</v>
      </c>
      <c r="BE100" s="51">
        <f t="shared" si="30"/>
        <v>0.32090909090909092</v>
      </c>
      <c r="BF100" s="51">
        <f t="shared" si="31"/>
        <v>0.32454545454545458</v>
      </c>
    </row>
    <row r="101" spans="12:58" x14ac:dyDescent="0.15">
      <c r="L101" s="29">
        <f>基础状态预估!C101</f>
        <v>45</v>
      </c>
      <c r="M101" s="29">
        <f>基础状态预估!D101</f>
        <v>60.086674688654931</v>
      </c>
      <c r="N101" s="65">
        <f>基础状态预估!L101*D$10/3</f>
        <v>0</v>
      </c>
      <c r="O101" s="65">
        <f>基础状态预估!M101*E$10/3</f>
        <v>3.1246967319008712</v>
      </c>
      <c r="P101" s="65">
        <f>基础状态预估!N101*F$10/3</f>
        <v>3.0520048131929585</v>
      </c>
      <c r="Q101" s="65">
        <f>基础状态预估!O101*G$10/3</f>
        <v>0</v>
      </c>
      <c r="R101" s="65">
        <f>基础状态预估!P101*H$10/3</f>
        <v>0</v>
      </c>
      <c r="S101" s="65">
        <f>基础状态预估!Q101*I$10/3</f>
        <v>0</v>
      </c>
      <c r="T101" s="65">
        <f t="shared" si="34"/>
        <v>6.1767015450938292</v>
      </c>
      <c r="U101" s="65">
        <f>基础状态预估!L101*D$15</f>
        <v>0</v>
      </c>
      <c r="V101" s="65">
        <f>基础状态预估!M101*E$15</f>
        <v>4.687045097851307E-2</v>
      </c>
      <c r="W101" s="65">
        <f>基础状态预估!N101*F$15</f>
        <v>3.0520048131929586E-2</v>
      </c>
      <c r="X101" s="65">
        <f>基础状态预估!O101*G$15</f>
        <v>0</v>
      </c>
      <c r="Y101" s="65">
        <f>基础状态预估!P101*H$15</f>
        <v>0</v>
      </c>
      <c r="Z101" s="65">
        <f>基础状态预估!Q101*I$15</f>
        <v>0</v>
      </c>
      <c r="AA101" s="65">
        <f t="shared" si="35"/>
        <v>7.7390499110442657E-2</v>
      </c>
      <c r="AI101" s="18">
        <v>10</v>
      </c>
      <c r="AJ101" s="18">
        <f>IFERROR(求节点($M$99:$M$139,$T$99:$T$139,$AI101),0)</f>
        <v>0</v>
      </c>
      <c r="AK101" s="18">
        <f>IFERROR(求节点($M$99:$M$139,$AA$99:$AA$139,$AI101),0)</f>
        <v>0</v>
      </c>
      <c r="AL101" s="41">
        <f>AJ101*(INDEX([3]中r将兵属性验证!$V$7:$V$166,$AI101,1)+INDEX([3]中r将兵属性验证!$AP$7:$AP$166,$AI101,1))</f>
        <v>0</v>
      </c>
      <c r="AM101" s="11">
        <f>AK101*(INDEX([3]中r将兵属性验证!$AC$7:$AC$166,$AI101,1)*0.5+INDEX([3]中r将兵属性验证!$AX$7:$AX$166,$AI101,1)*0.5)</f>
        <v>0</v>
      </c>
      <c r="AN101" s="50">
        <f>IFERROR(求节点(付费投放!$T$99:$T$139,付费投放!$Z$99:$Z$139,AI101),0)</f>
        <v>0</v>
      </c>
      <c r="AV101" s="51">
        <v>91</v>
      </c>
      <c r="AW101" s="51">
        <f t="shared" si="22"/>
        <v>39.018181818181823</v>
      </c>
      <c r="AX101" s="51">
        <f t="shared" si="23"/>
        <v>39.5030303030303</v>
      </c>
      <c r="AY101" s="51">
        <f t="shared" si="24"/>
        <v>39.987878787878785</v>
      </c>
      <c r="AZ101" s="51">
        <f t="shared" si="25"/>
        <v>40.472727272727276</v>
      </c>
      <c r="BA101" s="51">
        <f t="shared" si="26"/>
        <v>40.957575757575754</v>
      </c>
      <c r="BB101" s="51">
        <f t="shared" si="27"/>
        <v>0.31963636363636366</v>
      </c>
      <c r="BC101" s="51">
        <f t="shared" si="28"/>
        <v>0.32327272727272732</v>
      </c>
      <c r="BD101" s="51">
        <f t="shared" si="29"/>
        <v>0.32690909090909087</v>
      </c>
      <c r="BE101" s="51">
        <f t="shared" si="30"/>
        <v>0.33054545454545453</v>
      </c>
      <c r="BF101" s="51">
        <f t="shared" si="31"/>
        <v>0.33418181818181825</v>
      </c>
    </row>
    <row r="102" spans="12:58" x14ac:dyDescent="0.15">
      <c r="L102" s="29">
        <f>基础状态预估!C102</f>
        <v>60</v>
      </c>
      <c r="M102" s="29">
        <f>基础状态预估!D102</f>
        <v>64.14304723627319</v>
      </c>
      <c r="N102" s="65">
        <f>基础状态预估!L102*D$10/3</f>
        <v>0</v>
      </c>
      <c r="O102" s="65">
        <f>基础状态预估!M102*E$10/3</f>
        <v>2.1999556448695894</v>
      </c>
      <c r="P102" s="65">
        <f>基础状态预估!N102*F$10/3</f>
        <v>5.4858283417639138</v>
      </c>
      <c r="Q102" s="65">
        <f>基础状态预估!O102*G$10/3</f>
        <v>0</v>
      </c>
      <c r="R102" s="65">
        <f>基础状态预估!P102*H$10/3</f>
        <v>0</v>
      </c>
      <c r="S102" s="65">
        <f>基础状态预估!Q102*I$10/3</f>
        <v>0</v>
      </c>
      <c r="T102" s="65">
        <f t="shared" si="34"/>
        <v>7.6857839866335027</v>
      </c>
      <c r="U102" s="65">
        <f>基础状态预估!L102*D$15</f>
        <v>0</v>
      </c>
      <c r="V102" s="65">
        <f>基础状态预估!M102*E$15</f>
        <v>3.2999334673043841E-2</v>
      </c>
      <c r="W102" s="65">
        <f>基础状态预估!N102*F$15</f>
        <v>5.4858283417639139E-2</v>
      </c>
      <c r="X102" s="65">
        <f>基础状态预估!O102*G$15</f>
        <v>0</v>
      </c>
      <c r="Y102" s="65">
        <f>基础状态预估!P102*H$15</f>
        <v>0</v>
      </c>
      <c r="Z102" s="65">
        <f>基础状态预估!Q102*I$15</f>
        <v>0</v>
      </c>
      <c r="AA102" s="65">
        <f t="shared" si="35"/>
        <v>8.7857618090682987E-2</v>
      </c>
      <c r="AI102" s="18">
        <v>20</v>
      </c>
      <c r="AJ102" s="18">
        <f t="shared" ref="AJ102:AJ116" si="36">IFERROR(求节点($M$99:$M$139,$T$99:$T$139,$AI102),0)</f>
        <v>0</v>
      </c>
      <c r="AK102" s="18">
        <f t="shared" ref="AK102:AK115" si="37">IFERROR(求节点($M$99:$M$139,$AA$99:$AA$139,$AI102),0)</f>
        <v>0</v>
      </c>
      <c r="AL102" s="28">
        <f>(AJ102-AJ101)*(INDEX([3]中r将兵属性验证!$V$7:$V$166,$AI102,1)+INDEX([3]中r将兵属性验证!$AP$7:$AP$166,$AI102,1))+AL101</f>
        <v>0</v>
      </c>
      <c r="AM102" s="5">
        <f>(AK102-AK101)*(INDEX([3]中r将兵属性验证!$AC$7:$AC$166,$AI102,1)*0.5+INDEX([3]中r将兵属性验证!$AX$7:$AX$166,$AI102,1)*0.5)+AM101</f>
        <v>0</v>
      </c>
      <c r="AN102" s="50">
        <f>IFERROR(求节点(付费投放!$T$99:$T$139,付费投放!$Z$99:$Z$139,AI102),0)</f>
        <v>0</v>
      </c>
      <c r="AV102" s="51">
        <v>92</v>
      </c>
      <c r="AW102" s="51">
        <f t="shared" si="22"/>
        <v>39.703030303030303</v>
      </c>
      <c r="AX102" s="51">
        <f t="shared" si="23"/>
        <v>40.187878787878788</v>
      </c>
      <c r="AY102" s="51">
        <f t="shared" si="24"/>
        <v>40.672727272727272</v>
      </c>
      <c r="AZ102" s="51">
        <f t="shared" si="25"/>
        <v>41.157575757575756</v>
      </c>
      <c r="BA102" s="51">
        <f t="shared" si="26"/>
        <v>41.642424242424241</v>
      </c>
      <c r="BB102" s="51">
        <f t="shared" si="27"/>
        <v>0.32927272727272722</v>
      </c>
      <c r="BC102" s="51">
        <f t="shared" si="28"/>
        <v>0.33290909090909099</v>
      </c>
      <c r="BD102" s="51">
        <f t="shared" si="29"/>
        <v>0.33654545454545454</v>
      </c>
      <c r="BE102" s="51">
        <f t="shared" si="30"/>
        <v>0.3401818181818182</v>
      </c>
      <c r="BF102" s="51">
        <f t="shared" si="31"/>
        <v>0.34381818181818186</v>
      </c>
    </row>
    <row r="103" spans="12:58" x14ac:dyDescent="0.15">
      <c r="L103" s="29">
        <f>基础状态预估!C103</f>
        <v>75</v>
      </c>
      <c r="M103" s="29">
        <f>基础状态预估!D103</f>
        <v>67.344310856946692</v>
      </c>
      <c r="N103" s="65">
        <f>基础状态预估!L103*D$10/3</f>
        <v>0</v>
      </c>
      <c r="O103" s="65">
        <f>基础状态预估!M103*E$10/3</f>
        <v>0</v>
      </c>
      <c r="P103" s="65">
        <f>基础状态预估!N103*F$10/3</f>
        <v>8.1794912000686573</v>
      </c>
      <c r="Q103" s="65">
        <f>基础状态预估!O103*G$10/3</f>
        <v>2.8131730283360299</v>
      </c>
      <c r="R103" s="65">
        <f>基础状态预估!P103*H$10/3</f>
        <v>0</v>
      </c>
      <c r="S103" s="65">
        <f>基础状态预估!Q103*I$10/3</f>
        <v>0</v>
      </c>
      <c r="T103" s="65">
        <f t="shared" si="34"/>
        <v>10.992664228404687</v>
      </c>
      <c r="U103" s="65">
        <f>基础状态预估!L103*D$15</f>
        <v>0</v>
      </c>
      <c r="V103" s="65">
        <f>基础状态预估!M103*E$15</f>
        <v>0</v>
      </c>
      <c r="W103" s="65">
        <f>基础状态预估!N103*F$15</f>
        <v>8.1794912000686573E-2</v>
      </c>
      <c r="X103" s="65">
        <f>基础状态预估!O103*G$15</f>
        <v>2.8131730283360301E-2</v>
      </c>
      <c r="Y103" s="65">
        <f>基础状态预估!P103*H$15</f>
        <v>0</v>
      </c>
      <c r="Z103" s="65">
        <f>基础状态预估!Q103*I$15</f>
        <v>0</v>
      </c>
      <c r="AA103" s="65">
        <f t="shared" si="35"/>
        <v>0.10992664228404687</v>
      </c>
      <c r="AI103" s="18">
        <v>30</v>
      </c>
      <c r="AJ103" s="18">
        <f t="shared" si="36"/>
        <v>0</v>
      </c>
      <c r="AK103" s="18">
        <f t="shared" si="37"/>
        <v>0</v>
      </c>
      <c r="AL103" s="28">
        <f>(AJ103-AJ102)*(INDEX([3]中r将兵属性验证!$V$7:$V$166,$AI103,1)+INDEX([3]中r将兵属性验证!$AP$7:$AP$166,$AI103,1))+AL102</f>
        <v>0</v>
      </c>
      <c r="AM103" s="5">
        <f>(AK103-AK102)*(INDEX([3]中r将兵属性验证!$AC$7:$AC$166,$AI103,1)*0.5+INDEX([3]中r将兵属性验证!$AX$7:$AX$166,$AI103,1)*0.5)+AM102</f>
        <v>0</v>
      </c>
      <c r="AN103" s="50">
        <f>IFERROR(求节点(付费投放!$T$99:$T$139,付费投放!$Z$99:$Z$139,AI103),0)</f>
        <v>0</v>
      </c>
      <c r="AV103" s="51">
        <v>93</v>
      </c>
      <c r="AW103" s="51">
        <f t="shared" si="22"/>
        <v>40.38787878787879</v>
      </c>
      <c r="AX103" s="51">
        <f t="shared" si="23"/>
        <v>40.872727272727275</v>
      </c>
      <c r="AY103" s="51">
        <f t="shared" si="24"/>
        <v>41.357575757575759</v>
      </c>
      <c r="AZ103" s="51">
        <f t="shared" si="25"/>
        <v>41.850044376558849</v>
      </c>
      <c r="BA103" s="51">
        <f t="shared" si="26"/>
        <v>42.327272727272728</v>
      </c>
      <c r="BB103" s="51">
        <f t="shared" si="27"/>
        <v>0.33890909090909088</v>
      </c>
      <c r="BC103" s="51">
        <f t="shared" si="28"/>
        <v>0.3425454545454546</v>
      </c>
      <c r="BD103" s="51">
        <f t="shared" si="29"/>
        <v>0.34618181818181815</v>
      </c>
      <c r="BE103" s="51">
        <f t="shared" si="30"/>
        <v>0.35004678584221999</v>
      </c>
      <c r="BF103" s="51">
        <f t="shared" si="31"/>
        <v>0.35345454545454547</v>
      </c>
    </row>
    <row r="104" spans="12:58" x14ac:dyDescent="0.15">
      <c r="L104" s="29">
        <f>基础状态预估!C104</f>
        <v>90</v>
      </c>
      <c r="M104" s="29">
        <f>基础状态预估!D104</f>
        <v>69.982855616450394</v>
      </c>
      <c r="N104" s="65">
        <f>基础状态预估!L104*D$10/3</f>
        <v>0</v>
      </c>
      <c r="O104" s="65">
        <f>基础状态预估!M104*E$10/3</f>
        <v>0</v>
      </c>
      <c r="P104" s="65">
        <f>基础状态预估!N104*F$10/3</f>
        <v>7.2286989893409626</v>
      </c>
      <c r="Q104" s="65">
        <f>基础状态预估!O104*G$10/3</f>
        <v>5.9794267397404726</v>
      </c>
      <c r="R104" s="65">
        <f>基础状态预估!P104*H$10/3</f>
        <v>0</v>
      </c>
      <c r="S104" s="65">
        <f>基础状态预估!Q104*I$10/3</f>
        <v>0</v>
      </c>
      <c r="T104" s="65">
        <f t="shared" si="34"/>
        <v>13.208125729081434</v>
      </c>
      <c r="U104" s="65">
        <f>基础状态预估!L104*D$15</f>
        <v>0</v>
      </c>
      <c r="V104" s="65">
        <f>基础状态预估!M104*E$15</f>
        <v>0</v>
      </c>
      <c r="W104" s="65">
        <f>基础状态预估!N104*F$15</f>
        <v>7.2286989893409634E-2</v>
      </c>
      <c r="X104" s="65">
        <f>基础状态预估!O104*G$15</f>
        <v>5.9794267397404725E-2</v>
      </c>
      <c r="Y104" s="65">
        <f>基础状态预估!P104*H$15</f>
        <v>0</v>
      </c>
      <c r="Z104" s="65">
        <f>基础状态预估!Q104*I$15</f>
        <v>0</v>
      </c>
      <c r="AA104" s="65">
        <f t="shared" si="35"/>
        <v>0.13208125729081435</v>
      </c>
      <c r="AI104" s="18">
        <v>40</v>
      </c>
      <c r="AJ104" s="18">
        <f t="shared" si="36"/>
        <v>0</v>
      </c>
      <c r="AK104" s="18">
        <f t="shared" si="37"/>
        <v>0</v>
      </c>
      <c r="AL104" s="28">
        <f>(AJ104-AJ103)*(INDEX([3]中r将兵属性验证!$V$7:$V$166,$AI104,1)+INDEX([3]中r将兵属性验证!$AP$7:$AP$166,$AI104,1))+AL103</f>
        <v>0</v>
      </c>
      <c r="AM104" s="5">
        <f>(AK104-AK103)*(INDEX([3]中r将兵属性验证!$AC$7:$AC$166,$AI104,1)*0.5+INDEX([3]中r将兵属性验证!$AX$7:$AX$166,$AI104,1)*0.5)+AM103</f>
        <v>0</v>
      </c>
      <c r="AN104" s="50">
        <f>IFERROR(求节点(付费投放!$T$99:$T$139,付费投放!$Z$99:$Z$139,AI104),0)</f>
        <v>0</v>
      </c>
      <c r="AV104" s="51">
        <v>94</v>
      </c>
      <c r="AW104" s="51">
        <f t="shared" si="22"/>
        <v>41.072727272727271</v>
      </c>
      <c r="AX104" s="51">
        <f t="shared" si="23"/>
        <v>41.557575757575762</v>
      </c>
      <c r="AY104" s="51">
        <f t="shared" si="24"/>
        <v>42.042424242424246</v>
      </c>
      <c r="AZ104" s="51">
        <f t="shared" si="25"/>
        <v>42.548085821648336</v>
      </c>
      <c r="BA104" s="51">
        <f t="shared" si="26"/>
        <v>43.012121212121215</v>
      </c>
      <c r="BB104" s="51">
        <f t="shared" si="27"/>
        <v>0.34854545454545455</v>
      </c>
      <c r="BC104" s="51">
        <f t="shared" si="28"/>
        <v>0.35218181818181821</v>
      </c>
      <c r="BD104" s="51">
        <f t="shared" si="29"/>
        <v>0.35581818181818181</v>
      </c>
      <c r="BE104" s="51">
        <f t="shared" si="30"/>
        <v>0.36007893828581372</v>
      </c>
      <c r="BF104" s="51">
        <f t="shared" si="31"/>
        <v>0.36309090909090913</v>
      </c>
    </row>
    <row r="105" spans="12:58" x14ac:dyDescent="0.15">
      <c r="L105" s="29">
        <f>基础状态预估!C105</f>
        <v>105</v>
      </c>
      <c r="M105" s="29">
        <f>基础状态预估!D105</f>
        <v>72.23150684883845</v>
      </c>
      <c r="N105" s="65">
        <f>基础状态预估!L105*D$10/3</f>
        <v>0</v>
      </c>
      <c r="O105" s="65">
        <f>基础状态预估!M105*E$10/3</f>
        <v>0</v>
      </c>
      <c r="P105" s="65">
        <f>基础状态预估!N105*F$10/3</f>
        <v>6.3792085237721414</v>
      </c>
      <c r="Q105" s="65">
        <f>基础状态预估!O105*G$10/3</f>
        <v>8.67780821860614</v>
      </c>
      <c r="R105" s="65">
        <f>基础状态预估!P105*H$10/3</f>
        <v>0</v>
      </c>
      <c r="S105" s="65">
        <f>基础状态预估!Q105*I$10/3</f>
        <v>0</v>
      </c>
      <c r="T105" s="65">
        <f t="shared" si="34"/>
        <v>15.057016742378281</v>
      </c>
      <c r="U105" s="65">
        <f>基础状态预估!L105*D$15</f>
        <v>0</v>
      </c>
      <c r="V105" s="65">
        <f>基础状态预估!M105*E$15</f>
        <v>0</v>
      </c>
      <c r="W105" s="65">
        <f>基础状态预估!N105*F$15</f>
        <v>6.379208523772141E-2</v>
      </c>
      <c r="X105" s="65">
        <f>基础状态预估!O105*G$15</f>
        <v>8.6778082186061409E-2</v>
      </c>
      <c r="Y105" s="65">
        <f>基础状态预估!P105*H$15</f>
        <v>0</v>
      </c>
      <c r="Z105" s="65">
        <f>基础状态预估!Q105*I$15</f>
        <v>0</v>
      </c>
      <c r="AA105" s="65">
        <f t="shared" si="35"/>
        <v>0.15057016742378282</v>
      </c>
      <c r="AI105" s="18">
        <v>50</v>
      </c>
      <c r="AJ105" s="18">
        <f t="shared" si="36"/>
        <v>1.6731772970411924</v>
      </c>
      <c r="AK105" s="18">
        <f t="shared" si="37"/>
        <v>2.5097659455617888E-2</v>
      </c>
      <c r="AL105" s="28">
        <f>(AJ105-AJ104)*(INDEX([3]中r将兵属性验证!$V$7:$V$166,$AI105,1)+INDEX([3]中r将兵属性验证!$AP$7:$AP$166,$AI105,1))+AL104</f>
        <v>34384839.997159153</v>
      </c>
      <c r="AM105" s="5">
        <f>(AK105-AK104)*(INDEX([3]中r将兵属性验证!$AC$7:$AC$166,$AI105,1)*0.5+INDEX([3]中r将兵属性验证!$AX$7:$AX$166,$AI105,1)*0.5)+AM104</f>
        <v>44641801.608448423</v>
      </c>
      <c r="AN105" s="50">
        <f>IFERROR(求节点(付费投放!$T$99:$T$139,付费投放!$Z$99:$Z$139,AI105),0)</f>
        <v>1592.5685790461866</v>
      </c>
      <c r="AV105" s="51">
        <v>95</v>
      </c>
      <c r="AW105" s="51">
        <f t="shared" si="22"/>
        <v>41.769569615566063</v>
      </c>
      <c r="AX105" s="51">
        <f t="shared" si="23"/>
        <v>42.302485833266594</v>
      </c>
      <c r="AY105" s="51">
        <f t="shared" si="24"/>
        <v>42.798792379551593</v>
      </c>
      <c r="AZ105" s="51">
        <f t="shared" si="25"/>
        <v>43.246127266737822</v>
      </c>
      <c r="BA105" s="51">
        <f t="shared" si="26"/>
        <v>43.804065889658716</v>
      </c>
      <c r="BB105" s="51">
        <f t="shared" si="27"/>
        <v>0.3585416339215271</v>
      </c>
      <c r="BC105" s="51">
        <f t="shared" si="28"/>
        <v>0.36362002954345235</v>
      </c>
      <c r="BD105" s="51">
        <f t="shared" si="29"/>
        <v>0.36760013502291139</v>
      </c>
      <c r="BE105" s="51">
        <f t="shared" si="30"/>
        <v>0.3701110907294074</v>
      </c>
      <c r="BF105" s="51">
        <f t="shared" si="31"/>
        <v>0.37594015850794327</v>
      </c>
    </row>
    <row r="106" spans="12:58" x14ac:dyDescent="0.15">
      <c r="L106" s="29">
        <f>基础状态预估!C106</f>
        <v>120</v>
      </c>
      <c r="M106" s="29">
        <f>基础状态预估!D106</f>
        <v>74.149428238300118</v>
      </c>
      <c r="N106" s="65">
        <f>基础状态预估!L106*D$10/3</f>
        <v>0</v>
      </c>
      <c r="O106" s="65">
        <f>基础状态预估!M106*E$10/3</f>
        <v>0</v>
      </c>
      <c r="P106" s="65">
        <f>基础状态预估!N106*F$10/3</f>
        <v>5.6546604433088445</v>
      </c>
      <c r="Q106" s="65">
        <f>基础状态预估!O106*G$10/3</f>
        <v>10.97931388596014</v>
      </c>
      <c r="R106" s="65">
        <f>基础状态预估!P106*H$10/3</f>
        <v>0</v>
      </c>
      <c r="S106" s="65">
        <f>基础状态预估!Q106*I$10/3</f>
        <v>0</v>
      </c>
      <c r="T106" s="65">
        <f t="shared" si="34"/>
        <v>16.633974329268984</v>
      </c>
      <c r="U106" s="65">
        <f>基础状态预估!L106*D$15</f>
        <v>0</v>
      </c>
      <c r="V106" s="65">
        <f>基础状态预估!M106*E$15</f>
        <v>0</v>
      </c>
      <c r="W106" s="65">
        <f>基础状态预估!N106*F$15</f>
        <v>5.6546604433088447E-2</v>
      </c>
      <c r="X106" s="65">
        <f>基础状态预估!O106*G$15</f>
        <v>0.1097931388596014</v>
      </c>
      <c r="Y106" s="65">
        <f>基础状态预估!P106*H$15</f>
        <v>0</v>
      </c>
      <c r="Z106" s="65">
        <f>基础状态预估!Q106*I$15</f>
        <v>0</v>
      </c>
      <c r="AA106" s="65">
        <f t="shared" si="35"/>
        <v>0.16633974329268986</v>
      </c>
      <c r="AI106" s="18">
        <v>60</v>
      </c>
      <c r="AJ106" s="18">
        <f t="shared" si="36"/>
        <v>6.1289589606120103</v>
      </c>
      <c r="AK106" s="18">
        <f t="shared" si="37"/>
        <v>7.6899571451440885E-2</v>
      </c>
      <c r="AL106" s="28">
        <f>(AJ106-AJ105)*(INDEX([3]中r将兵属性验证!$V$7:$V$166,$AI106,1)+INDEX([3]中r将兵属性验证!$AP$7:$AP$166,$AI106,1))+AL105</f>
        <v>217677231.26312512</v>
      </c>
      <c r="AM106" s="5">
        <f>(AK106-AK105)*(INDEX([3]中r将兵属性验证!$AC$7:$AC$166,$AI106,1)*0.5+INDEX([3]中r将兵属性验证!$AX$7:$AX$166,$AI106,1)*0.5)+AM105</f>
        <v>249859042.054804</v>
      </c>
      <c r="AN106" s="50">
        <f>IFERROR(求节点(付费投放!$T$99:$T$139,付费投放!$Z$99:$Z$139,AI106),0)</f>
        <v>5558.6769260451001</v>
      </c>
      <c r="AV106" s="51">
        <v>96</v>
      </c>
      <c r="AW106" s="51">
        <f t="shared" si="22"/>
        <v>42.643403704233677</v>
      </c>
      <c r="AX106" s="51">
        <f t="shared" si="23"/>
        <v>43.127272727272732</v>
      </c>
      <c r="AY106" s="51">
        <f t="shared" si="24"/>
        <v>43.626644899222541</v>
      </c>
      <c r="AZ106" s="51">
        <f t="shared" si="25"/>
        <v>44.096969696969701</v>
      </c>
      <c r="BA106" s="51">
        <f t="shared" si="26"/>
        <v>44.59898883165215</v>
      </c>
      <c r="BB106" s="51">
        <f t="shared" si="27"/>
        <v>0.37384756567246497</v>
      </c>
      <c r="BC106" s="51">
        <f t="shared" si="28"/>
        <v>0.37745454545454543</v>
      </c>
      <c r="BD106" s="51">
        <f t="shared" si="29"/>
        <v>0.38152661970394897</v>
      </c>
      <c r="BE106" s="51">
        <f t="shared" si="30"/>
        <v>0.38472727272727275</v>
      </c>
      <c r="BF106" s="51">
        <f t="shared" si="31"/>
        <v>0.38887875585865533</v>
      </c>
    </row>
    <row r="107" spans="12:58" x14ac:dyDescent="0.15">
      <c r="L107" s="29">
        <f>基础状态预估!C107</f>
        <v>150</v>
      </c>
      <c r="M107" s="29">
        <f>基础状态预估!D107</f>
        <v>77.324097991611154</v>
      </c>
      <c r="N107" s="65">
        <f>基础状态预估!L107*D$10/3</f>
        <v>0</v>
      </c>
      <c r="O107" s="65">
        <f>基础状态预估!M107*E$10/3</f>
        <v>0</v>
      </c>
      <c r="P107" s="65">
        <f>基础状态预估!N107*F$10/3</f>
        <v>0</v>
      </c>
      <c r="Q107" s="65">
        <f>基础状态预估!O107*G$10/3</f>
        <v>20.910681517449351</v>
      </c>
      <c r="R107" s="65">
        <f>基础状态预估!P107*H$10/3</f>
        <v>3.7185567865778464</v>
      </c>
      <c r="S107" s="65">
        <f>基础状态预估!Q107*I$10/3</f>
        <v>0</v>
      </c>
      <c r="T107" s="65">
        <f t="shared" si="34"/>
        <v>24.629238304027197</v>
      </c>
      <c r="U107" s="65">
        <f>基础状态预估!L107*D$15</f>
        <v>0</v>
      </c>
      <c r="V107" s="65">
        <f>基础状态预估!M107*E$15</f>
        <v>0</v>
      </c>
      <c r="W107" s="65">
        <f>基础状态预估!N107*F$15</f>
        <v>0</v>
      </c>
      <c r="X107" s="65">
        <f>基础状态预估!O107*G$15</f>
        <v>0.2091068151744935</v>
      </c>
      <c r="Y107" s="65">
        <f>基础状态预估!P107*H$15</f>
        <v>2.7889175899333849E-2</v>
      </c>
      <c r="Z107" s="65">
        <f>基础状态预估!Q107*I$15</f>
        <v>0</v>
      </c>
      <c r="AA107" s="65">
        <f t="shared" si="35"/>
        <v>0.23699599107382735</v>
      </c>
      <c r="AI107" s="18">
        <v>70</v>
      </c>
      <c r="AJ107" s="18">
        <f t="shared" si="36"/>
        <v>13.222222222222221</v>
      </c>
      <c r="AK107" s="18">
        <f t="shared" si="37"/>
        <v>0.13222222222222221</v>
      </c>
      <c r="AL107" s="28">
        <f>(AJ107-AJ106)*(INDEX([3]中r将兵属性验证!$V$7:$V$166,$AI107,1)+INDEX([3]中r将兵属性验证!$AP$7:$AP$166,$AI107,1))+AL106</f>
        <v>1138898372.0423827</v>
      </c>
      <c r="AM107" s="5">
        <f>(AK107-AK106)*(INDEX([3]中r将兵属性验证!$AC$7:$AC$166,$AI107,1)*0.5+INDEX([3]中r将兵属性验证!$AX$7:$AX$166,$AI107,1)*0.5)+AM106</f>
        <v>875019399.41280651</v>
      </c>
      <c r="AN107" s="50">
        <f>IFERROR(求节点(付费投放!$T$99:$T$139,付费投放!$Z$99:$Z$139,AI107),0)</f>
        <v>21578.530253165765</v>
      </c>
      <c r="AV107" s="51">
        <v>97</v>
      </c>
      <c r="AW107" s="51">
        <f t="shared" si="22"/>
        <v>43.527272727272731</v>
      </c>
      <c r="AX107" s="51">
        <f t="shared" si="23"/>
        <v>44.012121212121215</v>
      </c>
      <c r="AY107" s="51">
        <f t="shared" si="24"/>
        <v>44.496969696969693</v>
      </c>
      <c r="AZ107" s="51">
        <f t="shared" si="25"/>
        <v>44.981818181818184</v>
      </c>
      <c r="BA107" s="51">
        <f t="shared" si="26"/>
        <v>45.448964902410218</v>
      </c>
      <c r="BB107" s="51">
        <f t="shared" si="27"/>
        <v>0.3894545454545455</v>
      </c>
      <c r="BC107" s="51">
        <f t="shared" si="28"/>
        <v>0.3930909090909091</v>
      </c>
      <c r="BD107" s="51">
        <f t="shared" si="29"/>
        <v>0.39672727272727271</v>
      </c>
      <c r="BE107" s="51">
        <f t="shared" si="30"/>
        <v>0.40036363636363642</v>
      </c>
      <c r="BF107" s="51">
        <f t="shared" si="31"/>
        <v>0.40386723676807662</v>
      </c>
    </row>
    <row r="108" spans="12:58" x14ac:dyDescent="0.15">
      <c r="L108" s="29">
        <f>基础状态预估!C108</f>
        <v>180</v>
      </c>
      <c r="M108" s="29">
        <f>基础状态预估!D108</f>
        <v>79.97103607409106</v>
      </c>
      <c r="N108" s="65">
        <f>基础状态预估!L108*D$10/3</f>
        <v>0</v>
      </c>
      <c r="O108" s="65">
        <f>基础状态预估!M108*E$10/3</f>
        <v>0</v>
      </c>
      <c r="P108" s="65">
        <f>基础状态预估!N108*F$10/3</f>
        <v>0</v>
      </c>
      <c r="Q108" s="65">
        <f>基础状态预估!O108*G$10/3</f>
        <v>18.823171140727155</v>
      </c>
      <c r="R108" s="65">
        <f>基础状态预估!P108*H$10/3</f>
        <v>7.9536577185456956</v>
      </c>
      <c r="S108" s="65">
        <f>基础状态预估!Q108*I$10/3</f>
        <v>0</v>
      </c>
      <c r="T108" s="65">
        <f t="shared" si="34"/>
        <v>26.77682885927285</v>
      </c>
      <c r="U108" s="65">
        <f>基础状态预估!L108*D$15</f>
        <v>0</v>
      </c>
      <c r="V108" s="65">
        <f>基础状态预估!M108*E$15</f>
        <v>0</v>
      </c>
      <c r="W108" s="65">
        <f>基础状态预估!N108*F$15</f>
        <v>0</v>
      </c>
      <c r="X108" s="65">
        <f>基础状态预估!O108*G$15</f>
        <v>0.18823171140727155</v>
      </c>
      <c r="Y108" s="65">
        <f>基础状态预估!P108*H$15</f>
        <v>5.9652432889092721E-2</v>
      </c>
      <c r="Z108" s="65">
        <f>基础状态预估!Q108*I$15</f>
        <v>0</v>
      </c>
      <c r="AA108" s="65">
        <f t="shared" si="35"/>
        <v>0.24788414429636427</v>
      </c>
      <c r="AI108" s="18">
        <v>80</v>
      </c>
      <c r="AJ108" s="18">
        <f t="shared" si="36"/>
        <v>26.8</v>
      </c>
      <c r="AK108" s="18">
        <f t="shared" si="37"/>
        <v>0.24800000000000003</v>
      </c>
      <c r="AL108" s="28">
        <f>(AJ108-AJ107)*(INDEX([3]中r将兵属性验证!$V$7:$V$166,$AI108,1)+INDEX([3]中r将兵属性验证!$AP$7:$AP$166,$AI108,1))+AL107</f>
        <v>5527379280.2953835</v>
      </c>
      <c r="AM108" s="5">
        <f>(AK108-AK107)*(INDEX([3]中r将兵属性验证!$AC$7:$AC$166,$AI108,1)*0.5+INDEX([3]中r将兵属性验证!$AX$7:$AX$166,$AI108,1)*0.5)+AM107</f>
        <v>4198610356.2214823</v>
      </c>
      <c r="AN108" s="50">
        <f>IFERROR(求节点(付费投放!$T$99:$T$139,付费投放!$Z$99:$Z$139,AI108),0)</f>
        <v>83563.118361528323</v>
      </c>
      <c r="AV108" s="51">
        <v>98</v>
      </c>
      <c r="AW108" s="51">
        <f t="shared" si="22"/>
        <v>44.412121212121214</v>
      </c>
      <c r="AX108" s="51">
        <f t="shared" si="23"/>
        <v>44.896969696969698</v>
      </c>
      <c r="AY108" s="51">
        <f t="shared" si="24"/>
        <v>45.381563379689361</v>
      </c>
      <c r="AZ108" s="51">
        <f t="shared" si="25"/>
        <v>45.849414189032274</v>
      </c>
      <c r="BA108" s="51">
        <f t="shared" si="26"/>
        <v>46.31111111111111</v>
      </c>
      <c r="BB108" s="51">
        <f t="shared" si="27"/>
        <v>0.40509090909090911</v>
      </c>
      <c r="BC108" s="51">
        <f t="shared" si="28"/>
        <v>0.40872727272727277</v>
      </c>
      <c r="BD108" s="51">
        <f t="shared" si="29"/>
        <v>0.41236172534767024</v>
      </c>
      <c r="BE108" s="51">
        <f t="shared" si="30"/>
        <v>0.41587060641774209</v>
      </c>
      <c r="BF108" s="51">
        <f t="shared" si="31"/>
        <v>0.41933333333333334</v>
      </c>
    </row>
    <row r="109" spans="12:58" x14ac:dyDescent="0.15">
      <c r="L109" s="29">
        <f>基础状态预估!C109</f>
        <v>210</v>
      </c>
      <c r="M109" s="29">
        <f>基础状态预估!D109</f>
        <v>82.238672852681816</v>
      </c>
      <c r="N109" s="65">
        <f>基础状态预估!L109*D$10/3</f>
        <v>0</v>
      </c>
      <c r="O109" s="65">
        <f>基础状态预估!M109*E$10/3</f>
        <v>0</v>
      </c>
      <c r="P109" s="65">
        <f>基础状态预估!N109*F$10/3</f>
        <v>0</v>
      </c>
      <c r="Q109" s="65">
        <f>基础状态预估!O109*G$10/3</f>
        <v>17.00906171785455</v>
      </c>
      <c r="R109" s="65">
        <f>基础状态预估!P109*H$10/3</f>
        <v>11.581876564290907</v>
      </c>
      <c r="S109" s="65">
        <f>基础状态预估!Q109*I$10/3</f>
        <v>0</v>
      </c>
      <c r="T109" s="65">
        <f t="shared" si="34"/>
        <v>28.590938282145459</v>
      </c>
      <c r="U109" s="65">
        <f>基础状态预估!L109*D$15</f>
        <v>0</v>
      </c>
      <c r="V109" s="65">
        <f>基础状态预估!M109*E$15</f>
        <v>0</v>
      </c>
      <c r="W109" s="65">
        <f>基础状态预估!N109*F$15</f>
        <v>0</v>
      </c>
      <c r="X109" s="65">
        <f>基础状态预估!O109*G$15</f>
        <v>0.17009061717854551</v>
      </c>
      <c r="Y109" s="65">
        <f>基础状态预估!P109*H$15</f>
        <v>8.6864074232181801E-2</v>
      </c>
      <c r="Z109" s="65">
        <f>基础状态预估!Q109*I$15</f>
        <v>0</v>
      </c>
      <c r="AA109" s="65">
        <f t="shared" si="35"/>
        <v>0.2569546914107273</v>
      </c>
      <c r="AI109" s="18">
        <v>90</v>
      </c>
      <c r="AJ109" s="18">
        <f t="shared" si="36"/>
        <v>39.300461197847454</v>
      </c>
      <c r="AK109" s="18">
        <f t="shared" si="37"/>
        <v>0.31725345898385593</v>
      </c>
      <c r="AL109" s="28">
        <f>(AJ109-AJ108)*(INDEX([3]中r将兵属性验证!$V$7:$V$166,$AI109,1)+INDEX([3]中r将兵属性验证!$AP$7:$AP$166,$AI109,1))+AL108</f>
        <v>16658291849.980986</v>
      </c>
      <c r="AM109" s="5">
        <f>(AK109-AK108)*(INDEX([3]中r将兵属性验证!$AC$7:$AC$166,$AI109,1)*0.5+INDEX([3]中r将兵属性验证!$AX$7:$AX$166,$AI109,1)*0.5)+AM108</f>
        <v>9345896920.1080246</v>
      </c>
      <c r="AN109" s="50">
        <f>IFERROR(求节点(付费投放!$T$99:$T$139,付费投放!$Z$99:$Z$139,AI109),0)</f>
        <v>203431.81530556976</v>
      </c>
      <c r="AV109" s="51">
        <v>99</v>
      </c>
      <c r="AW109" s="51">
        <f t="shared" si="22"/>
        <v>45.296969696969697</v>
      </c>
      <c r="AX109" s="51">
        <f t="shared" si="23"/>
        <v>45.781818181818181</v>
      </c>
      <c r="AY109" s="51">
        <f t="shared" si="24"/>
        <v>46.265554686647995</v>
      </c>
      <c r="AZ109" s="51">
        <f t="shared" si="25"/>
        <v>46.708990465575219</v>
      </c>
      <c r="BA109" s="51">
        <f t="shared" si="26"/>
        <v>47.155555555555551</v>
      </c>
      <c r="BB109" s="51">
        <f t="shared" si="27"/>
        <v>0.42072727272727273</v>
      </c>
      <c r="BC109" s="51">
        <f t="shared" si="28"/>
        <v>0.42436363636363639</v>
      </c>
      <c r="BD109" s="51">
        <f t="shared" si="29"/>
        <v>0.42799166014986001</v>
      </c>
      <c r="BE109" s="51">
        <f t="shared" si="30"/>
        <v>0.43131742849181409</v>
      </c>
      <c r="BF109" s="51">
        <f t="shared" si="31"/>
        <v>0.4346666666666667</v>
      </c>
    </row>
    <row r="110" spans="12:58" x14ac:dyDescent="0.15">
      <c r="L110" s="29">
        <f>基础状态预估!C110</f>
        <v>240</v>
      </c>
      <c r="M110" s="29">
        <f>基础状态预估!D110</f>
        <v>84.163908914135135</v>
      </c>
      <c r="N110" s="65">
        <f>基础状态预估!L110*D$10/3</f>
        <v>0</v>
      </c>
      <c r="O110" s="65">
        <f>基础状态预估!M110*E$10/3</f>
        <v>0</v>
      </c>
      <c r="P110" s="65">
        <f>基础状态预估!N110*F$10/3</f>
        <v>0</v>
      </c>
      <c r="Q110" s="65">
        <f>基础状态预估!O110*G$10/3</f>
        <v>15.468872868691895</v>
      </c>
      <c r="R110" s="65">
        <f>基础状态预估!P110*H$10/3</f>
        <v>14.662254262616216</v>
      </c>
      <c r="S110" s="65">
        <f>基础状态预估!Q110*I$10/3</f>
        <v>0</v>
      </c>
      <c r="T110" s="65">
        <f t="shared" si="34"/>
        <v>30.131127131308112</v>
      </c>
      <c r="U110" s="65">
        <f>基础状态预估!L110*D$15</f>
        <v>0</v>
      </c>
      <c r="V110" s="65">
        <f>基础状态预估!M110*E$15</f>
        <v>0</v>
      </c>
      <c r="W110" s="65">
        <f>基础状态预估!N110*F$15</f>
        <v>0</v>
      </c>
      <c r="X110" s="65">
        <f>基础状态预估!O110*G$15</f>
        <v>0.15468872868691894</v>
      </c>
      <c r="Y110" s="65">
        <f>基础状态预估!P110*H$15</f>
        <v>0.10996690696962162</v>
      </c>
      <c r="Z110" s="65">
        <f>基础状态预估!Q110*I$15</f>
        <v>0</v>
      </c>
      <c r="AA110" s="65">
        <f t="shared" si="35"/>
        <v>0.26465563565654054</v>
      </c>
      <c r="AI110" s="18">
        <v>100</v>
      </c>
      <c r="AJ110" s="18">
        <f t="shared" si="36"/>
        <v>47.111111111111107</v>
      </c>
      <c r="AK110" s="18">
        <f t="shared" si="37"/>
        <v>0.44333333333333336</v>
      </c>
      <c r="AL110" s="28">
        <f>(AJ110-AJ109)*(INDEX([3]中r将兵属性验证!$V$7:$V$166,$AI110,1)+INDEX([3]中r将兵属性验证!$AP$7:$AP$166,$AI110,1))+AL109</f>
        <v>30851868991.318756</v>
      </c>
      <c r="AM110" s="5">
        <f>(AK110-AK109)*(INDEX([3]中r将兵属性验证!$AC$7:$AC$166,$AI110,1)*0.5+INDEX([3]中r将兵属性验证!$AX$7:$AX$166,$AI110,1)*0.5)+AM109</f>
        <v>27162079380.733612</v>
      </c>
      <c r="AN110" s="50">
        <f>IFERROR(求节点(付费投放!$T$99:$T$139,付费投放!$Z$99:$Z$139,AI110),0)</f>
        <v>445179.82145555556</v>
      </c>
      <c r="AV110" s="51">
        <v>100</v>
      </c>
      <c r="AW110" s="51">
        <f t="shared" si="22"/>
        <v>46.18120652791233</v>
      </c>
      <c r="AX110" s="51">
        <f t="shared" si="23"/>
        <v>46.657168935822689</v>
      </c>
      <c r="AY110" s="51">
        <f t="shared" si="24"/>
        <v>47.111111111111107</v>
      </c>
      <c r="AZ110" s="51">
        <f t="shared" si="25"/>
        <v>47.555555555555557</v>
      </c>
      <c r="BA110" s="51">
        <f t="shared" si="26"/>
        <v>48</v>
      </c>
      <c r="BB110" s="51">
        <f t="shared" si="27"/>
        <v>0.43635904895934252</v>
      </c>
      <c r="BC110" s="51">
        <f t="shared" si="28"/>
        <v>0.43992876701867017</v>
      </c>
      <c r="BD110" s="51">
        <f t="shared" si="29"/>
        <v>0.44333333333333336</v>
      </c>
      <c r="BE110" s="51">
        <f t="shared" si="30"/>
        <v>0.44666666666666666</v>
      </c>
      <c r="BF110" s="51">
        <f t="shared" si="31"/>
        <v>0.45</v>
      </c>
    </row>
    <row r="111" spans="12:58" x14ac:dyDescent="0.15">
      <c r="L111" s="29">
        <f>基础状态预估!C111</f>
        <v>270</v>
      </c>
      <c r="M111" s="29">
        <f>基础状态预估!D111</f>
        <v>85.878108880436827</v>
      </c>
      <c r="N111" s="65">
        <f>基础状态预估!L111*D$10/3</f>
        <v>0</v>
      </c>
      <c r="O111" s="65">
        <f>基础状态预估!M111*E$10/3</f>
        <v>0</v>
      </c>
      <c r="P111" s="65">
        <f>基础状态预估!N111*F$10/3</f>
        <v>0</v>
      </c>
      <c r="Q111" s="65">
        <f>基础状态预估!O111*G$10/3</f>
        <v>5.1408023151949038</v>
      </c>
      <c r="R111" s="65">
        <f>基础状态预估!P111*H$10/3</f>
        <v>28.644767878290306</v>
      </c>
      <c r="S111" s="65">
        <f>基础状态预估!Q111*I$10/3</f>
        <v>0.87810888043682667</v>
      </c>
      <c r="T111" s="65">
        <f t="shared" si="34"/>
        <v>34.66367907392204</v>
      </c>
      <c r="U111" s="65">
        <f>基础状态预估!L111*D$15</f>
        <v>0</v>
      </c>
      <c r="V111" s="65">
        <f>基础状态预估!M111*E$15</f>
        <v>0</v>
      </c>
      <c r="W111" s="65">
        <f>基础状态预估!N111*F$15</f>
        <v>0</v>
      </c>
      <c r="X111" s="65">
        <f>基础状态预估!O111*G$15</f>
        <v>5.1408023151949041E-2</v>
      </c>
      <c r="Y111" s="65">
        <f>基础状态预估!P111*H$15</f>
        <v>0.21483575908717728</v>
      </c>
      <c r="Z111" s="65">
        <f>基础状态预估!Q111*I$15</f>
        <v>1.0537306565241919E-2</v>
      </c>
      <c r="AA111" s="65">
        <f t="shared" si="35"/>
        <v>0.27678108880436825</v>
      </c>
      <c r="AI111" s="18">
        <v>110</v>
      </c>
      <c r="AJ111" s="18">
        <f t="shared" si="36"/>
        <v>56.646464646464644</v>
      </c>
      <c r="AK111" s="18">
        <f t="shared" si="37"/>
        <v>0.62939393939393939</v>
      </c>
      <c r="AL111" s="28">
        <f>(AJ111-AJ110)*(INDEX([3]中r将兵属性验证!$V$7:$V$166,$AI111,1)+INDEX([3]中r将兵属性验证!$AP$7:$AP$166,$AI111,1))+AL110</f>
        <v>60647539009.93264</v>
      </c>
      <c r="AM111" s="5">
        <f>(AK111-AK110)*(INDEX([3]中r将兵属性验证!$AC$7:$AC$166,$AI111,1)*0.5+INDEX([3]中r将兵属性验证!$AX$7:$AX$166,$AI111,1)*0.5)+AM110</f>
        <v>69247160106.221664</v>
      </c>
      <c r="AN111" s="50">
        <f>IFERROR(求节点(付费投放!$T$99:$T$139,付费投放!$Z$99:$Z$139,AI111),0)</f>
        <v>919951.11002740043</v>
      </c>
      <c r="AV111" s="51">
        <v>101</v>
      </c>
      <c r="AW111" s="51">
        <f t="shared" si="22"/>
        <v>47.052073783605969</v>
      </c>
      <c r="AX111" s="51">
        <f t="shared" si="23"/>
        <v>47.511111111111113</v>
      </c>
      <c r="AY111" s="51">
        <f t="shared" si="24"/>
        <v>47.955555555555549</v>
      </c>
      <c r="AZ111" s="51">
        <f t="shared" si="25"/>
        <v>48.4</v>
      </c>
      <c r="BA111" s="51">
        <f t="shared" si="26"/>
        <v>48.844444444444441</v>
      </c>
      <c r="BB111" s="51">
        <f t="shared" si="27"/>
        <v>0.45189055337704481</v>
      </c>
      <c r="BC111" s="51">
        <f t="shared" si="28"/>
        <v>0.45533333333333337</v>
      </c>
      <c r="BD111" s="51">
        <f t="shared" si="29"/>
        <v>0.45866666666666667</v>
      </c>
      <c r="BE111" s="51">
        <f t="shared" si="30"/>
        <v>0.46199999999999997</v>
      </c>
      <c r="BF111" s="51">
        <f t="shared" si="31"/>
        <v>0.46533333333333332</v>
      </c>
    </row>
    <row r="112" spans="12:58" x14ac:dyDescent="0.15">
      <c r="L112" s="29">
        <f>基础状态预估!C112</f>
        <v>300</v>
      </c>
      <c r="M112" s="29">
        <f>基础状态预估!D112</f>
        <v>87.370536081129359</v>
      </c>
      <c r="N112" s="65">
        <f>基础状态预估!L112*D$10/3</f>
        <v>0</v>
      </c>
      <c r="O112" s="65">
        <f>基础状态预估!M112*E$10/3</f>
        <v>0</v>
      </c>
      <c r="P112" s="65">
        <f>基础状态预估!N112*F$10/3</f>
        <v>0</v>
      </c>
      <c r="Q112" s="65">
        <f>基础状态预估!O112*G$10/3</f>
        <v>0</v>
      </c>
      <c r="R112" s="65">
        <f>基础状态预估!P112*H$10/3</f>
        <v>35.101190378365501</v>
      </c>
      <c r="S112" s="65">
        <f>基础状态预估!Q112*I$10/3</f>
        <v>2.3705360811293583</v>
      </c>
      <c r="T112" s="65">
        <f t="shared" si="34"/>
        <v>37.47172645949486</v>
      </c>
      <c r="U112" s="65">
        <f>基础状态预估!L112*D$15</f>
        <v>0</v>
      </c>
      <c r="V112" s="65">
        <f>基础状态预估!M112*E$15</f>
        <v>0</v>
      </c>
      <c r="W112" s="65">
        <f>基础状态预估!N112*F$15</f>
        <v>0</v>
      </c>
      <c r="X112" s="65">
        <f>基础状态预估!O112*G$15</f>
        <v>0</v>
      </c>
      <c r="Y112" s="65">
        <f>基础状态预估!P112*H$15</f>
        <v>0.26325892783774124</v>
      </c>
      <c r="Z112" s="65">
        <f>基础状态预估!Q112*I$15</f>
        <v>2.8446432973552302E-2</v>
      </c>
      <c r="AA112" s="65">
        <f t="shared" si="35"/>
        <v>0.29170536081129356</v>
      </c>
      <c r="AI112" s="18">
        <v>120</v>
      </c>
      <c r="AJ112" s="18">
        <f t="shared" si="36"/>
        <v>64.615384615384613</v>
      </c>
      <c r="AK112" s="18">
        <f t="shared" si="37"/>
        <v>0.77538461538461534</v>
      </c>
      <c r="AL112" s="28">
        <f>(AJ112-AJ111)*(INDEX([3]中r将兵属性验证!$V$7:$V$166,$AI112,1)+INDEX([3]中r将兵属性验证!$AP$7:$AP$166,$AI112,1))+AL111</f>
        <v>101900279513.76097</v>
      </c>
      <c r="AM112" s="5">
        <f>(AK112-AK111)*(INDEX([3]中r将兵属性验证!$AC$7:$AC$166,$AI112,1)*0.5+INDEX([3]中r将兵属性验证!$AX$7:$AX$166,$AI112,1)*0.5)+AM111</f>
        <v>120448037208.11115</v>
      </c>
      <c r="AN112" s="50">
        <f>IFERROR(求节点(付费投放!$T$99:$T$139,付费投放!$Z$99:$Z$139,AI112),0)</f>
        <v>1877116.8886227864</v>
      </c>
      <c r="AV112" s="51">
        <v>102</v>
      </c>
      <c r="AW112" s="51">
        <f t="shared" si="22"/>
        <v>47.911111111111111</v>
      </c>
      <c r="AX112" s="51">
        <f t="shared" si="23"/>
        <v>48.355555555555554</v>
      </c>
      <c r="AY112" s="51">
        <f t="shared" si="24"/>
        <v>48.800000000000004</v>
      </c>
      <c r="AZ112" s="51">
        <f t="shared" si="25"/>
        <v>49.244444444444447</v>
      </c>
      <c r="BA112" s="51">
        <f t="shared" si="26"/>
        <v>49.688888888888883</v>
      </c>
      <c r="BB112" s="51">
        <f t="shared" si="27"/>
        <v>0.46733333333333332</v>
      </c>
      <c r="BC112" s="51">
        <f t="shared" si="28"/>
        <v>0.47066666666666673</v>
      </c>
      <c r="BD112" s="51">
        <f t="shared" si="29"/>
        <v>0.47400000000000003</v>
      </c>
      <c r="BE112" s="51">
        <f t="shared" si="30"/>
        <v>0.47733333333333333</v>
      </c>
      <c r="BF112" s="51">
        <f t="shared" si="31"/>
        <v>0.48066666666666669</v>
      </c>
    </row>
    <row r="113" spans="12:58" x14ac:dyDescent="0.15">
      <c r="L113" s="29">
        <f>基础状态预估!C113</f>
        <v>360</v>
      </c>
      <c r="M113" s="29">
        <f>基础状态预估!D113</f>
        <v>90.241691698216215</v>
      </c>
      <c r="N113" s="65">
        <f>基础状态预估!L113*D$10/3</f>
        <v>0</v>
      </c>
      <c r="O113" s="65">
        <f>基础状态预估!M113*E$10/3</f>
        <v>0</v>
      </c>
      <c r="P113" s="65">
        <f>基础状态预估!N113*F$10/3</f>
        <v>0</v>
      </c>
      <c r="Q113" s="65">
        <f>基础状态预估!O113*G$10/3</f>
        <v>0</v>
      </c>
      <c r="R113" s="65">
        <f>基础状态预估!P113*H$10/3</f>
        <v>34.22686079813792</v>
      </c>
      <c r="S113" s="65">
        <f>基础状态预估!Q113*I$10/3</f>
        <v>5.2416916982162149</v>
      </c>
      <c r="T113" s="65">
        <f t="shared" si="34"/>
        <v>39.468552496354135</v>
      </c>
      <c r="U113" s="65">
        <f>基础状态预估!L113*D$15</f>
        <v>0</v>
      </c>
      <c r="V113" s="65">
        <f>基础状态预估!M113*E$15</f>
        <v>0</v>
      </c>
      <c r="W113" s="65">
        <f>基础状态预估!N113*F$15</f>
        <v>0</v>
      </c>
      <c r="X113" s="65">
        <f>基础状态预估!O113*G$15</f>
        <v>0</v>
      </c>
      <c r="Y113" s="65">
        <f>基础状态预估!P113*H$15</f>
        <v>0.25670145598603439</v>
      </c>
      <c r="Z113" s="65">
        <f>基础状态预估!Q113*I$15</f>
        <v>6.2900300378594579E-2</v>
      </c>
      <c r="AA113" s="65">
        <f t="shared" si="35"/>
        <v>0.31960175636462895</v>
      </c>
      <c r="AI113" s="18">
        <v>130</v>
      </c>
      <c r="AJ113" s="18">
        <f t="shared" si="36"/>
        <v>66.666666666666671</v>
      </c>
      <c r="AK113" s="18">
        <f t="shared" si="37"/>
        <v>0.8</v>
      </c>
      <c r="AL113" s="28">
        <f>(AJ113-AJ112)*(INDEX([3]中r将兵属性验证!$V$7:$V$166,$AI113,1)+INDEX([3]中r将兵属性验证!$AP$7:$AP$166,$AI113,1))+AL112</f>
        <v>118237058165.34322</v>
      </c>
      <c r="AM113" s="5">
        <f>(AK113-AK112)*(INDEX([3]中r将兵属性验证!$AC$7:$AC$166,$AI113,1)*0.5+INDEX([3]中r将兵属性验证!$AX$7:$AX$166,$AI113,1)*0.5)+AM112</f>
        <v>133266161319.60741</v>
      </c>
      <c r="AN113" s="50">
        <f>IFERROR(求节点(付费投放!$T$99:$T$139,付费投放!$Z$99:$Z$139,AI113),0)</f>
        <v>5886851.2203493845</v>
      </c>
      <c r="AV113" s="51">
        <v>103</v>
      </c>
      <c r="AW113" s="51">
        <f t="shared" si="22"/>
        <v>48.755555555555567</v>
      </c>
      <c r="AX113" s="51">
        <f t="shared" si="23"/>
        <v>49.199999999999996</v>
      </c>
      <c r="AY113" s="51">
        <f t="shared" si="24"/>
        <v>49.644444444444453</v>
      </c>
      <c r="AZ113" s="51">
        <f t="shared" si="25"/>
        <v>50.088888888888889</v>
      </c>
      <c r="BA113" s="51">
        <f t="shared" si="26"/>
        <v>50.533333333333331</v>
      </c>
      <c r="BB113" s="51">
        <f t="shared" si="27"/>
        <v>0.48266666666666669</v>
      </c>
      <c r="BC113" s="51">
        <f t="shared" si="28"/>
        <v>0.48599999999999999</v>
      </c>
      <c r="BD113" s="51">
        <f t="shared" si="29"/>
        <v>0.48933333333333334</v>
      </c>
      <c r="BE113" s="51">
        <f t="shared" si="30"/>
        <v>0.4926666666666667</v>
      </c>
      <c r="BF113" s="51">
        <f t="shared" si="31"/>
        <v>0.49600000000000005</v>
      </c>
    </row>
    <row r="114" spans="12:58" x14ac:dyDescent="0.15">
      <c r="L114" s="29">
        <f>基础状态预估!C114</f>
        <v>420</v>
      </c>
      <c r="M114" s="29">
        <f>基础状态预估!D114</f>
        <v>92.520930542961992</v>
      </c>
      <c r="N114" s="65">
        <f>基础状态预估!L114*D$10/3</f>
        <v>0</v>
      </c>
      <c r="O114" s="65">
        <f>基础状态预估!M114*E$10/3</f>
        <v>0</v>
      </c>
      <c r="P114" s="65">
        <f>基础状态预估!N114*F$10/3</f>
        <v>0</v>
      </c>
      <c r="Q114" s="65">
        <f>基础状态预估!O114*G$10/3</f>
        <v>0</v>
      </c>
      <c r="R114" s="65">
        <f>基础状态预估!P114*H$10/3</f>
        <v>33.5085552228241</v>
      </c>
      <c r="S114" s="65">
        <f>基础状态预估!Q114*I$10/3</f>
        <v>7.5209305429619917</v>
      </c>
      <c r="T114" s="65">
        <f t="shared" si="34"/>
        <v>41.029485765786092</v>
      </c>
      <c r="U114" s="65">
        <f>基础状态预估!L114*D$15</f>
        <v>0</v>
      </c>
      <c r="V114" s="65">
        <f>基础状态预估!M114*E$15</f>
        <v>0</v>
      </c>
      <c r="W114" s="65">
        <f>基础状态预估!N114*F$15</f>
        <v>0</v>
      </c>
      <c r="X114" s="65">
        <f>基础状态预估!O114*G$15</f>
        <v>0</v>
      </c>
      <c r="Y114" s="65">
        <f>基础状态预估!P114*H$15</f>
        <v>0.25131416417118074</v>
      </c>
      <c r="Z114" s="65">
        <f>基础状态预估!Q114*I$15</f>
        <v>9.0251166515543893E-2</v>
      </c>
      <c r="AA114" s="65">
        <f t="shared" si="35"/>
        <v>0.34156533068672462</v>
      </c>
      <c r="AI114" s="18">
        <v>140</v>
      </c>
      <c r="AJ114" s="18">
        <f t="shared" si="36"/>
        <v>66.666666666666671</v>
      </c>
      <c r="AK114" s="18">
        <f t="shared" si="37"/>
        <v>0.8</v>
      </c>
      <c r="AL114" s="28">
        <f>(AJ114-AJ113)*(INDEX([3]中r将兵属性验证!$V$7:$V$166,$AI114,1)+INDEX([3]中r将兵属性验证!$AP$7:$AP$166,$AI114,1))+AL113</f>
        <v>118237058165.34322</v>
      </c>
      <c r="AM114" s="5">
        <f>(AK114-AK113)*(INDEX([3]中r将兵属性验证!$AC$7:$AC$166,$AI114,1)*0.5+INDEX([3]中r将兵属性验证!$AX$7:$AX$166,$AI114,1)*0.5)+AM113</f>
        <v>133266161319.60741</v>
      </c>
      <c r="AN114" s="50">
        <f>IFERROR(求节点(付费投放!$T$99:$T$139,付费投放!$Z$99:$Z$139,AI114),0)</f>
        <v>18911367.480232924</v>
      </c>
      <c r="AV114" s="51">
        <v>104</v>
      </c>
      <c r="AW114" s="51">
        <f t="shared" si="22"/>
        <v>49.599999999999994</v>
      </c>
      <c r="AX114" s="51">
        <f t="shared" si="23"/>
        <v>50.05043823570329</v>
      </c>
      <c r="AY114" s="51">
        <f t="shared" si="24"/>
        <v>50.507246751439617</v>
      </c>
      <c r="AZ114" s="51">
        <f t="shared" si="25"/>
        <v>50.935795072288983</v>
      </c>
      <c r="BA114" s="51">
        <f t="shared" si="26"/>
        <v>51.380214408137341</v>
      </c>
      <c r="BB114" s="51">
        <f t="shared" si="27"/>
        <v>0.49799999999999994</v>
      </c>
      <c r="BC114" s="51">
        <f t="shared" si="28"/>
        <v>0.50151314707109873</v>
      </c>
      <c r="BD114" s="51">
        <f t="shared" si="29"/>
        <v>0.50521740254318848</v>
      </c>
      <c r="BE114" s="51">
        <f t="shared" si="30"/>
        <v>0.50807385216866952</v>
      </c>
      <c r="BF114" s="51">
        <f t="shared" si="31"/>
        <v>0.51140643224412052</v>
      </c>
    </row>
    <row r="115" spans="12:58" x14ac:dyDescent="0.15">
      <c r="L115" s="29">
        <f>基础状态预估!C115</f>
        <v>480</v>
      </c>
      <c r="M115" s="29">
        <f>基础状态预估!D115</f>
        <v>94.499876682726793</v>
      </c>
      <c r="N115" s="65">
        <f>基础状态预估!L115*D$10/3</f>
        <v>0</v>
      </c>
      <c r="O115" s="65">
        <f>基础状态预估!M115*E$10/3</f>
        <v>0</v>
      </c>
      <c r="P115" s="65">
        <f>基础状态预估!N115*F$10/3</f>
        <v>0</v>
      </c>
      <c r="Q115" s="65">
        <f>基础状态预估!O115*G$10/3</f>
        <v>0</v>
      </c>
      <c r="R115" s="65">
        <f>基础状态预估!P115*H$10/3</f>
        <v>32.884887348473981</v>
      </c>
      <c r="S115" s="65">
        <f>基础状态预估!Q115*I$10/3</f>
        <v>9.4998766827267929</v>
      </c>
      <c r="T115" s="65">
        <f t="shared" si="34"/>
        <v>42.384764031200774</v>
      </c>
      <c r="U115" s="65">
        <f>基础状态预估!L115*D$15</f>
        <v>0</v>
      </c>
      <c r="V115" s="65">
        <f>基础状态预估!M115*E$15</f>
        <v>0</v>
      </c>
      <c r="W115" s="65">
        <f>基础状态预估!N115*F$15</f>
        <v>0</v>
      </c>
      <c r="X115" s="65">
        <f>基础状态预估!O115*G$15</f>
        <v>0</v>
      </c>
      <c r="Y115" s="65">
        <f>基础状态预估!P115*H$15</f>
        <v>0.24663665511355487</v>
      </c>
      <c r="Z115" s="65">
        <f>基础状态预估!Q115*I$15</f>
        <v>0.11399852019272151</v>
      </c>
      <c r="AA115" s="65">
        <f t="shared" si="35"/>
        <v>0.36063517530627637</v>
      </c>
      <c r="AI115" s="18">
        <v>150</v>
      </c>
      <c r="AJ115" s="18">
        <f t="shared" si="36"/>
        <v>66.666666666666671</v>
      </c>
      <c r="AK115" s="18">
        <f t="shared" si="37"/>
        <v>0.8</v>
      </c>
      <c r="AL115" s="28">
        <f>(AJ115-AJ114)*(INDEX([3]中r将兵属性验证!$V$7:$V$166,$AI115,1)+INDEX([3]中r将兵属性验证!$AP$7:$AP$166,$AI115,1))+AL114</f>
        <v>118237058165.34322</v>
      </c>
      <c r="AM115" s="5">
        <f>(AK115-AK114)*(INDEX([3]中r将兵属性验证!$AC$7:$AC$166,$AI115,1)*0.5+INDEX([3]中r将兵属性验证!$AX$7:$AX$166,$AI115,1)*0.5)+AM114</f>
        <v>133266161319.60741</v>
      </c>
      <c r="AN115" s="50">
        <f>IFERROR(求节点(付费投放!$T$99:$T$139,付费投放!$Z$99:$Z$139,AI115),0)</f>
        <v>31935883.740116462</v>
      </c>
      <c r="AV115" s="51">
        <v>105</v>
      </c>
      <c r="AW115" s="51">
        <f t="shared" si="22"/>
        <v>50.508409324557149</v>
      </c>
      <c r="AX115" s="51">
        <f t="shared" si="23"/>
        <v>50.93800174623567</v>
      </c>
      <c r="AY115" s="51">
        <f t="shared" si="24"/>
        <v>51.397860869249783</v>
      </c>
      <c r="AZ115" s="51">
        <f t="shared" si="25"/>
        <v>51.802498255972687</v>
      </c>
      <c r="BA115" s="51">
        <f t="shared" si="26"/>
        <v>52.345569782956865</v>
      </c>
      <c r="BB115" s="51">
        <f t="shared" si="27"/>
        <v>0.5152522797367145</v>
      </c>
      <c r="BC115" s="51">
        <f t="shared" si="28"/>
        <v>0.51814005238707028</v>
      </c>
      <c r="BD115" s="51">
        <f t="shared" si="29"/>
        <v>0.52193582607749345</v>
      </c>
      <c r="BE115" s="51">
        <f t="shared" si="30"/>
        <v>0.52407494767918072</v>
      </c>
      <c r="BF115" s="51">
        <f t="shared" si="31"/>
        <v>0.53036709348870603</v>
      </c>
    </row>
    <row r="116" spans="12:58" x14ac:dyDescent="0.15">
      <c r="L116" s="29">
        <f>基础状态预估!C116</f>
        <v>540</v>
      </c>
      <c r="M116" s="29">
        <f>基础状态预估!D116</f>
        <v>96.254819565842766</v>
      </c>
      <c r="N116" s="65">
        <f>基础状态预估!L116*D$10/3</f>
        <v>0</v>
      </c>
      <c r="O116" s="65">
        <f>基础状态预估!M116*E$10/3</f>
        <v>0</v>
      </c>
      <c r="P116" s="65">
        <f>基础状态预估!N116*F$10/3</f>
        <v>0</v>
      </c>
      <c r="Q116" s="65">
        <f>基础状态预估!O116*G$10/3</f>
        <v>0</v>
      </c>
      <c r="R116" s="65">
        <f>基础状态预估!P116*H$10/3</f>
        <v>31.327958787181398</v>
      </c>
      <c r="S116" s="65">
        <f>基础状态预估!Q116*I$10/3</f>
        <v>12.509639131685532</v>
      </c>
      <c r="T116" s="65">
        <f t="shared" si="34"/>
        <v>43.837597918866933</v>
      </c>
      <c r="U116" s="65">
        <f>基础状态预估!L116*D$15</f>
        <v>0</v>
      </c>
      <c r="V116" s="65">
        <f>基础状态预估!M116*E$15</f>
        <v>0</v>
      </c>
      <c r="W116" s="65">
        <f>基础状态预估!N116*F$15</f>
        <v>0</v>
      </c>
      <c r="X116" s="65">
        <f>基础状态预估!O116*G$15</f>
        <v>0</v>
      </c>
      <c r="Y116" s="65">
        <f>基础状态预估!P116*H$15</f>
        <v>0.23495969090386049</v>
      </c>
      <c r="Z116" s="65">
        <f>基础状态预估!Q116*I$15</f>
        <v>0.15011566958022637</v>
      </c>
      <c r="AA116" s="65">
        <f t="shared" si="35"/>
        <v>0.38507536048408686</v>
      </c>
      <c r="AI116" s="18">
        <v>160</v>
      </c>
      <c r="AJ116" s="18">
        <f t="shared" si="36"/>
        <v>66.666666666666671</v>
      </c>
      <c r="AK116" s="18">
        <f>IFERROR(求节点($M$99:$M$139,$AA$99:$AA$139,$AI116),0)</f>
        <v>0.8</v>
      </c>
      <c r="AL116" s="28">
        <f>(AJ116-AJ115)*(INDEX([3]中r将兵属性验证!$V$7:$V$166,$AI116,1)+INDEX([3]中r将兵属性验证!$AP$7:$AP$166,$AI116,1))+AL115</f>
        <v>118237058165.34322</v>
      </c>
      <c r="AM116" s="5">
        <f>(AK116-AK115)*(INDEX([3]中r将兵属性验证!$AC$7:$AC$166,$AI116,1)*0.5+INDEX([3]中r将兵属性验证!$AX$7:$AX$166,$AI116,1)*0.5)+AM115</f>
        <v>133266161319.60741</v>
      </c>
      <c r="AN116" s="50">
        <f>IFERROR(求节点(付费投放!$T$99:$T$139,付费投放!$Z$99:$Z$139,AI116),0)</f>
        <v>44960400</v>
      </c>
      <c r="AV116" s="51">
        <v>106</v>
      </c>
      <c r="AW116" s="51">
        <f t="shared" si="22"/>
        <v>51.507070707070703</v>
      </c>
      <c r="AX116" s="51">
        <f t="shared" si="23"/>
        <v>51.951515151515153</v>
      </c>
      <c r="AY116" s="51">
        <f t="shared" si="24"/>
        <v>52.395959595959596</v>
      </c>
      <c r="AZ116" s="51">
        <f t="shared" si="25"/>
        <v>52.840404040404039</v>
      </c>
      <c r="BA116" s="51">
        <f t="shared" si="26"/>
        <v>53.310925157776381</v>
      </c>
      <c r="BB116" s="51">
        <f t="shared" si="27"/>
        <v>0.53521212121212125</v>
      </c>
      <c r="BC116" s="51">
        <f t="shared" si="28"/>
        <v>0.53854545454545455</v>
      </c>
      <c r="BD116" s="51">
        <f t="shared" si="29"/>
        <v>0.54187878787878785</v>
      </c>
      <c r="BE116" s="51">
        <f t="shared" si="30"/>
        <v>0.54521212121212126</v>
      </c>
      <c r="BF116" s="51">
        <f t="shared" si="31"/>
        <v>0.54932775473329154</v>
      </c>
    </row>
    <row r="117" spans="12:58" x14ac:dyDescent="0.15">
      <c r="L117" s="29">
        <f>基础状态预估!C117</f>
        <v>600</v>
      </c>
      <c r="M117" s="29">
        <f>基础状态预估!D117</f>
        <v>97.702742999048837</v>
      </c>
      <c r="N117" s="65">
        <f>基础状态预估!L117*D$10/3</f>
        <v>0</v>
      </c>
      <c r="O117" s="65">
        <f>基础状态预估!M117*E$10/3</f>
        <v>0</v>
      </c>
      <c r="P117" s="65">
        <f>基础状态预估!N117*F$10/3</f>
        <v>0</v>
      </c>
      <c r="Q117" s="65">
        <f>基础状态预估!O117*G$10/3</f>
        <v>0</v>
      </c>
      <c r="R117" s="65">
        <f>基础状态预估!P117*H$10/3</f>
        <v>29.713304776818266</v>
      </c>
      <c r="S117" s="65">
        <f>基础状态预估!Q117*I$10/3</f>
        <v>15.405485998097674</v>
      </c>
      <c r="T117" s="65">
        <f t="shared" si="34"/>
        <v>45.118790774915936</v>
      </c>
      <c r="U117" s="65">
        <f>基础状态预估!L117*D$15</f>
        <v>0</v>
      </c>
      <c r="V117" s="65">
        <f>基础状态预估!M117*E$15</f>
        <v>0</v>
      </c>
      <c r="W117" s="65">
        <f>基础状态预估!N117*F$15</f>
        <v>0</v>
      </c>
      <c r="X117" s="65">
        <f>基础状态预估!O117*G$15</f>
        <v>0</v>
      </c>
      <c r="Y117" s="65">
        <f>基础状态预估!P117*H$15</f>
        <v>0.22284978582613701</v>
      </c>
      <c r="Z117" s="65">
        <f>基础状态预估!Q117*I$15</f>
        <v>0.1848658319771721</v>
      </c>
      <c r="AA117" s="65">
        <f t="shared" si="35"/>
        <v>0.40771561780330912</v>
      </c>
      <c r="AV117" s="51">
        <v>107</v>
      </c>
      <c r="AW117" s="51">
        <f t="shared" si="22"/>
        <v>52.569696969696963</v>
      </c>
      <c r="AX117" s="51">
        <f t="shared" si="23"/>
        <v>53.014141414141413</v>
      </c>
      <c r="AY117" s="51">
        <f t="shared" si="24"/>
        <v>53.458585858585856</v>
      </c>
      <c r="AZ117" s="51">
        <f t="shared" si="25"/>
        <v>53.903030303030306</v>
      </c>
      <c r="BA117" s="51">
        <f t="shared" si="26"/>
        <v>54.347474747474749</v>
      </c>
      <c r="BB117" s="51">
        <f t="shared" si="27"/>
        <v>0.55709090909090908</v>
      </c>
      <c r="BC117" s="51">
        <f t="shared" si="28"/>
        <v>0.56042424242424249</v>
      </c>
      <c r="BD117" s="51">
        <f t="shared" si="29"/>
        <v>0.56375757575757579</v>
      </c>
      <c r="BE117" s="51">
        <f t="shared" si="30"/>
        <v>0.56709090909090909</v>
      </c>
      <c r="BF117" s="51">
        <f t="shared" si="31"/>
        <v>0.5704242424242425</v>
      </c>
    </row>
    <row r="118" spans="12:58" x14ac:dyDescent="0.15">
      <c r="L118" s="29">
        <f>基础状态预估!C118</f>
        <v>660</v>
      </c>
      <c r="M118" s="29">
        <f>基础状态预估!D118</f>
        <v>99.028118033845786</v>
      </c>
      <c r="N118" s="65">
        <f>基础状态预估!L118*D$10/3</f>
        <v>0</v>
      </c>
      <c r="O118" s="65">
        <f>基础状态预估!M118*E$10/3</f>
        <v>0</v>
      </c>
      <c r="P118" s="65">
        <f>基础状态预估!N118*F$10/3</f>
        <v>0</v>
      </c>
      <c r="Q118" s="65">
        <f>基础状态预估!O118*G$10/3</f>
        <v>0</v>
      </c>
      <c r="R118" s="65">
        <f>基础状态预估!P118*H$10/3</f>
        <v>28.234174716444873</v>
      </c>
      <c r="S118" s="65">
        <f>基础状态预估!Q118*I$10/3</f>
        <v>18.056236067691572</v>
      </c>
      <c r="T118" s="65">
        <f t="shared" si="34"/>
        <v>46.290410784136441</v>
      </c>
      <c r="U118" s="65">
        <f>基础状态预估!L118*D$15</f>
        <v>0</v>
      </c>
      <c r="V118" s="65">
        <f>基础状态预估!M118*E$15</f>
        <v>0</v>
      </c>
      <c r="W118" s="65">
        <f>基础状态预估!N118*F$15</f>
        <v>0</v>
      </c>
      <c r="X118" s="65">
        <f>基础状态预估!O118*G$15</f>
        <v>0</v>
      </c>
      <c r="Y118" s="65">
        <f>基础状态预估!P118*H$15</f>
        <v>0.21175631037333656</v>
      </c>
      <c r="Z118" s="65">
        <f>基础状态预估!Q118*I$15</f>
        <v>0.21667483281229885</v>
      </c>
      <c r="AA118" s="65">
        <f t="shared" si="35"/>
        <v>0.42843114318563541</v>
      </c>
      <c r="AV118" s="51">
        <v>108</v>
      </c>
      <c r="AW118" s="51">
        <f t="shared" si="22"/>
        <v>53.632323232323223</v>
      </c>
      <c r="AX118" s="51">
        <f t="shared" si="23"/>
        <v>54.07676767676768</v>
      </c>
      <c r="AY118" s="51">
        <f t="shared" si="24"/>
        <v>54.521212121212116</v>
      </c>
      <c r="AZ118" s="51">
        <f t="shared" si="25"/>
        <v>54.965656565656566</v>
      </c>
      <c r="BA118" s="51">
        <f t="shared" si="26"/>
        <v>55.410101010101016</v>
      </c>
      <c r="BB118" s="51">
        <f t="shared" si="27"/>
        <v>0.57896969696969702</v>
      </c>
      <c r="BC118" s="51">
        <f t="shared" si="28"/>
        <v>0.58230303030303043</v>
      </c>
      <c r="BD118" s="51">
        <f t="shared" si="29"/>
        <v>0.58563636363636362</v>
      </c>
      <c r="BE118" s="51">
        <f t="shared" si="30"/>
        <v>0.58896969696969692</v>
      </c>
      <c r="BF118" s="51">
        <f t="shared" si="31"/>
        <v>0.59230303030303033</v>
      </c>
    </row>
    <row r="119" spans="12:58" x14ac:dyDescent="0.15">
      <c r="L119" s="29">
        <f>基础状态预估!C119</f>
        <v>720</v>
      </c>
      <c r="M119" s="29">
        <f>基础状态预估!D119</f>
        <v>100.26856904007842</v>
      </c>
      <c r="N119" s="65">
        <f>基础状态预估!L119*D$10/3</f>
        <v>0</v>
      </c>
      <c r="O119" s="65">
        <f>基础状态预估!M119*E$10/3</f>
        <v>0</v>
      </c>
      <c r="P119" s="65">
        <f>基础状态预估!N119*F$10/3</f>
        <v>0</v>
      </c>
      <c r="Q119" s="65">
        <f>基础状态预估!O119*G$10/3</f>
        <v>0</v>
      </c>
      <c r="R119" s="65">
        <f>基础状态预估!P119*H$10/3</f>
        <v>26.800764664798269</v>
      </c>
      <c r="S119" s="65">
        <f>基础状态预估!Q119*I$10/3</f>
        <v>20.537138080156836</v>
      </c>
      <c r="T119" s="65">
        <f t="shared" si="34"/>
        <v>47.337902744955102</v>
      </c>
      <c r="U119" s="65">
        <f>基础状态预估!L119*D$15</f>
        <v>0</v>
      </c>
      <c r="V119" s="65">
        <f>基础状态预估!M119*E$15</f>
        <v>0</v>
      </c>
      <c r="W119" s="65">
        <f>基础状态预估!N119*F$15</f>
        <v>0</v>
      </c>
      <c r="X119" s="65">
        <f>基础状态预估!O119*G$15</f>
        <v>0</v>
      </c>
      <c r="Y119" s="65">
        <f>基础状态预估!P119*H$15</f>
        <v>0.20100573498598703</v>
      </c>
      <c r="Z119" s="65">
        <f>基础状态预估!Q119*I$15</f>
        <v>0.24644565696188203</v>
      </c>
      <c r="AA119" s="65">
        <f t="shared" si="35"/>
        <v>0.44745139194786909</v>
      </c>
      <c r="AV119" s="51">
        <v>109</v>
      </c>
      <c r="AW119" s="51">
        <f t="shared" si="22"/>
        <v>54.694949494949498</v>
      </c>
      <c r="AX119" s="51">
        <f t="shared" si="23"/>
        <v>55.139393939393941</v>
      </c>
      <c r="AY119" s="51">
        <f t="shared" si="24"/>
        <v>55.583838383838376</v>
      </c>
      <c r="AZ119" s="51">
        <f t="shared" si="25"/>
        <v>56.025762867728929</v>
      </c>
      <c r="BA119" s="51">
        <f t="shared" si="26"/>
        <v>56.458591430487424</v>
      </c>
      <c r="BB119" s="51">
        <f t="shared" si="27"/>
        <v>0.60084848484848485</v>
      </c>
      <c r="BC119" s="51">
        <f t="shared" si="28"/>
        <v>0.60418181818181826</v>
      </c>
      <c r="BD119" s="51">
        <f t="shared" si="29"/>
        <v>0.60751515151515156</v>
      </c>
      <c r="BE119" s="51">
        <f t="shared" si="30"/>
        <v>0.61082958514433061</v>
      </c>
      <c r="BF119" s="51">
        <f t="shared" si="31"/>
        <v>0.61407579936501933</v>
      </c>
    </row>
    <row r="120" spans="12:58" x14ac:dyDescent="0.15">
      <c r="L120" s="29">
        <f>基础状态预估!C120</f>
        <v>780</v>
      </c>
      <c r="M120" s="29">
        <f>基础状态预估!D120</f>
        <v>101.47512451488986</v>
      </c>
      <c r="N120" s="65">
        <f>基础状态预估!L120*D$10/3</f>
        <v>0</v>
      </c>
      <c r="O120" s="65">
        <f>基础状态预估!M120*E$10/3</f>
        <v>0</v>
      </c>
      <c r="P120" s="65">
        <f>基础状态预估!N120*F$10/3</f>
        <v>0</v>
      </c>
      <c r="Q120" s="65">
        <f>基础状态预估!O120*G$10/3</f>
        <v>0</v>
      </c>
      <c r="R120" s="65">
        <f>基础状态预估!P120*H$10/3</f>
        <v>25.406522782793946</v>
      </c>
      <c r="S120" s="65">
        <f>基础状态预估!Q120*I$10/3</f>
        <v>22.950249029779712</v>
      </c>
      <c r="T120" s="65">
        <f t="shared" si="34"/>
        <v>48.356771812573655</v>
      </c>
      <c r="U120" s="65">
        <f>基础状态预估!L120*D$15</f>
        <v>0</v>
      </c>
      <c r="V120" s="65">
        <f>基础状态预估!M120*E$15</f>
        <v>0</v>
      </c>
      <c r="W120" s="65">
        <f>基础状态预估!N120*F$15</f>
        <v>0</v>
      </c>
      <c r="X120" s="65">
        <f>基础状态预估!O120*G$15</f>
        <v>0</v>
      </c>
      <c r="Y120" s="65">
        <f>基础状态预估!P120*H$15</f>
        <v>0.1905489208709546</v>
      </c>
      <c r="Z120" s="65">
        <f>基础状态预估!Q120*I$15</f>
        <v>0.27540298835735655</v>
      </c>
      <c r="AA120" s="65">
        <f t="shared" si="35"/>
        <v>0.46595190922831115</v>
      </c>
      <c r="AV120" s="51">
        <v>110</v>
      </c>
      <c r="AW120" s="51">
        <f t="shared" si="22"/>
        <v>55.757575757575765</v>
      </c>
      <c r="AX120" s="51">
        <f t="shared" si="23"/>
        <v>56.202020202020208</v>
      </c>
      <c r="AY120" s="51">
        <f t="shared" si="24"/>
        <v>56.646464646464644</v>
      </c>
      <c r="AZ120" s="51">
        <f t="shared" si="25"/>
        <v>57.083627683785728</v>
      </c>
      <c r="BA120" s="51">
        <f t="shared" si="26"/>
        <v>57.501165501165495</v>
      </c>
      <c r="BB120" s="51">
        <f t="shared" si="27"/>
        <v>0.62272727272727268</v>
      </c>
      <c r="BC120" s="51">
        <f t="shared" si="28"/>
        <v>0.6260606060606061</v>
      </c>
      <c r="BD120" s="51">
        <f t="shared" si="29"/>
        <v>0.62939393939393939</v>
      </c>
      <c r="BE120" s="51">
        <f t="shared" si="30"/>
        <v>0.63267266217384766</v>
      </c>
      <c r="BF120" s="51">
        <f t="shared" si="31"/>
        <v>0.63580419580419578</v>
      </c>
    </row>
    <row r="121" spans="12:58" x14ac:dyDescent="0.15">
      <c r="L121" s="29">
        <f>基础状态预估!C121</f>
        <v>840</v>
      </c>
      <c r="M121" s="29">
        <f>基础状态预估!D121</f>
        <v>102.61094151224314</v>
      </c>
      <c r="N121" s="65">
        <f>基础状态预估!L121*D$10/3</f>
        <v>0</v>
      </c>
      <c r="O121" s="65">
        <f>基础状态预估!M121*E$10/3</f>
        <v>0</v>
      </c>
      <c r="P121" s="65">
        <f>基础状态预估!N121*F$10/3</f>
        <v>0</v>
      </c>
      <c r="Q121" s="65">
        <f>基础状态预估!O121*G$10/3</f>
        <v>0</v>
      </c>
      <c r="R121" s="65">
        <f>基础状态预估!P121*H$10/3</f>
        <v>24.094023141407927</v>
      </c>
      <c r="S121" s="65">
        <f>基础状态预估!Q121*I$10/3</f>
        <v>25.221883024486289</v>
      </c>
      <c r="T121" s="65">
        <f t="shared" si="34"/>
        <v>49.315906165894219</v>
      </c>
      <c r="U121" s="65">
        <f>基础状态预估!L121*D$15</f>
        <v>0</v>
      </c>
      <c r="V121" s="65">
        <f>基础状态预估!M121*E$15</f>
        <v>0</v>
      </c>
      <c r="W121" s="65">
        <f>基础状态预估!N121*F$15</f>
        <v>0</v>
      </c>
      <c r="X121" s="65">
        <f>基础状态预估!O121*G$15</f>
        <v>0</v>
      </c>
      <c r="Y121" s="65">
        <f>基础状态预估!P121*H$15</f>
        <v>0.18070517356055946</v>
      </c>
      <c r="Z121" s="65">
        <f>基础状态预估!Q121*I$15</f>
        <v>0.30266259629383546</v>
      </c>
      <c r="AA121" s="65">
        <f t="shared" si="35"/>
        <v>0.48336776985439489</v>
      </c>
      <c r="AV121" s="51">
        <v>111</v>
      </c>
      <c r="AW121" s="51">
        <f t="shared" si="22"/>
        <v>56.820202020202025</v>
      </c>
      <c r="AX121" s="51">
        <f t="shared" si="23"/>
        <v>57.259115303549308</v>
      </c>
      <c r="AY121" s="51">
        <f t="shared" si="24"/>
        <v>57.708935077875218</v>
      </c>
      <c r="AZ121" s="51">
        <f t="shared" si="25"/>
        <v>58.119347319347312</v>
      </c>
      <c r="BA121" s="51">
        <f t="shared" si="26"/>
        <v>58.529603729603728</v>
      </c>
      <c r="BB121" s="51">
        <f t="shared" si="27"/>
        <v>0.64460606060606052</v>
      </c>
      <c r="BC121" s="51">
        <f t="shared" si="28"/>
        <v>0.64789791023116527</v>
      </c>
      <c r="BD121" s="51">
        <f t="shared" si="29"/>
        <v>0.65127155853860952</v>
      </c>
      <c r="BE121" s="51">
        <f t="shared" si="30"/>
        <v>0.65434965034965042</v>
      </c>
      <c r="BF121" s="51">
        <f t="shared" si="31"/>
        <v>0.6574265734265734</v>
      </c>
    </row>
    <row r="122" spans="12:58" x14ac:dyDescent="0.15">
      <c r="L122" s="29">
        <f>基础状态预估!C122</f>
        <v>900</v>
      </c>
      <c r="M122" s="29">
        <f>基础状态预估!D122</f>
        <v>103.60238266350056</v>
      </c>
      <c r="N122" s="65">
        <f>基础状态预估!L122*D$10/3</f>
        <v>0</v>
      </c>
      <c r="O122" s="65">
        <f>基础状态预估!M122*E$10/3</f>
        <v>0</v>
      </c>
      <c r="P122" s="65">
        <f>基础状态预估!N122*F$10/3</f>
        <v>0</v>
      </c>
      <c r="Q122" s="65">
        <f>基础状态预估!O122*G$10/3</f>
        <v>0</v>
      </c>
      <c r="R122" s="65">
        <f>基础状态预估!P122*H$10/3</f>
        <v>22.948357811066018</v>
      </c>
      <c r="S122" s="65">
        <f>基础状态预估!Q122*I$10/3</f>
        <v>27.204765327001127</v>
      </c>
      <c r="T122" s="65">
        <f t="shared" si="34"/>
        <v>50.153123138067144</v>
      </c>
      <c r="U122" s="65">
        <f>基础状态预估!L122*D$15</f>
        <v>0</v>
      </c>
      <c r="V122" s="65">
        <f>基础状态预估!M122*E$15</f>
        <v>0</v>
      </c>
      <c r="W122" s="65">
        <f>基础状态预估!N122*F$15</f>
        <v>0</v>
      </c>
      <c r="X122" s="65">
        <f>基础状态预估!O122*G$15</f>
        <v>0</v>
      </c>
      <c r="Y122" s="65">
        <f>基础状态预估!P122*H$15</f>
        <v>0.17211268358299514</v>
      </c>
      <c r="Z122" s="65">
        <f>基础状态预估!Q122*I$15</f>
        <v>0.32645718392401352</v>
      </c>
      <c r="AA122" s="65">
        <f t="shared" si="35"/>
        <v>0.49856986750700866</v>
      </c>
      <c r="AV122" s="51">
        <v>112</v>
      </c>
      <c r="AW122" s="51">
        <f t="shared" si="22"/>
        <v>57.882828282828285</v>
      </c>
      <c r="AX122" s="51">
        <f t="shared" si="23"/>
        <v>58.311515762172469</v>
      </c>
      <c r="AY122" s="51">
        <f t="shared" si="24"/>
        <v>58.737432955817169</v>
      </c>
      <c r="AZ122" s="51">
        <f t="shared" si="25"/>
        <v>59.147785547785546</v>
      </c>
      <c r="BA122" s="51">
        <f t="shared" si="26"/>
        <v>59.558041958041962</v>
      </c>
      <c r="BB122" s="51">
        <f t="shared" si="27"/>
        <v>0.66648484848484846</v>
      </c>
      <c r="BC122" s="51">
        <f t="shared" si="28"/>
        <v>0.66970000457992984</v>
      </c>
      <c r="BD122" s="51">
        <f t="shared" si="29"/>
        <v>0.67289438353226505</v>
      </c>
      <c r="BE122" s="51">
        <f t="shared" si="30"/>
        <v>0.67597202797202793</v>
      </c>
      <c r="BF122" s="51">
        <f t="shared" si="31"/>
        <v>0.67904895104895113</v>
      </c>
    </row>
    <row r="123" spans="12:58" x14ac:dyDescent="0.15">
      <c r="L123" s="29">
        <f>基础状态预估!C123</f>
        <v>1020</v>
      </c>
      <c r="M123" s="29">
        <f>基础状态预估!D123</f>
        <v>105.37513360458028</v>
      </c>
      <c r="N123" s="65">
        <f>基础状态预估!L123*D$10/3</f>
        <v>0</v>
      </c>
      <c r="O123" s="65">
        <f>基础状态预估!M123*E$10/3</f>
        <v>0</v>
      </c>
      <c r="P123" s="65">
        <f>基础状态预估!N123*F$10/3</f>
        <v>0</v>
      </c>
      <c r="Q123" s="65">
        <f>基础状态预估!O123*G$10/3</f>
        <v>0</v>
      </c>
      <c r="R123" s="65">
        <f>基础状态预估!P123*H$10/3</f>
        <v>20.572456284851302</v>
      </c>
      <c r="S123" s="65">
        <f>基础状态预估!Q123*I$10/3</f>
        <v>31.159503868702696</v>
      </c>
      <c r="T123" s="65">
        <f t="shared" si="34"/>
        <v>51.731960153553999</v>
      </c>
      <c r="U123" s="65">
        <f>基础状态预估!L123*D$15</f>
        <v>0</v>
      </c>
      <c r="V123" s="65">
        <f>基础状态预估!M123*E$15</f>
        <v>0</v>
      </c>
      <c r="W123" s="65">
        <f>基础状态预估!N123*F$15</f>
        <v>0</v>
      </c>
      <c r="X123" s="65">
        <f>基础状态预估!O123*G$15</f>
        <v>0</v>
      </c>
      <c r="Y123" s="65">
        <f>基础状态预估!P123*H$15</f>
        <v>0.15429342213638478</v>
      </c>
      <c r="Z123" s="65">
        <f>基础状态预估!Q123*I$15</f>
        <v>0.37391404642443238</v>
      </c>
      <c r="AA123" s="65">
        <f t="shared" si="35"/>
        <v>0.52820746856081713</v>
      </c>
      <c r="AV123" s="51">
        <v>113</v>
      </c>
      <c r="AW123" s="51">
        <f t="shared" si="22"/>
        <v>58.931269358400897</v>
      </c>
      <c r="AX123" s="51">
        <f t="shared" si="23"/>
        <v>59.355710955710954</v>
      </c>
      <c r="AY123" s="51">
        <f t="shared" si="24"/>
        <v>59.765930833759128</v>
      </c>
      <c r="AZ123" s="51">
        <f t="shared" si="25"/>
        <v>60.176223776223779</v>
      </c>
      <c r="BA123" s="51">
        <f t="shared" si="26"/>
        <v>60.586480186480188</v>
      </c>
      <c r="BB123" s="51">
        <f t="shared" si="27"/>
        <v>0.68825724746073402</v>
      </c>
      <c r="BC123" s="51">
        <f t="shared" si="28"/>
        <v>0.69144055944055949</v>
      </c>
      <c r="BD123" s="51">
        <f t="shared" si="29"/>
        <v>0.69451720852592069</v>
      </c>
      <c r="BE123" s="51">
        <f t="shared" si="30"/>
        <v>0.69759440559440555</v>
      </c>
      <c r="BF123" s="51">
        <f t="shared" si="31"/>
        <v>0.70067132867132864</v>
      </c>
    </row>
    <row r="124" spans="12:58" x14ac:dyDescent="0.15">
      <c r="L124" s="29">
        <f>基础状态预估!C124</f>
        <v>1140</v>
      </c>
      <c r="M124" s="29">
        <f>基础状态预估!D124</f>
        <v>106.97877061452158</v>
      </c>
      <c r="N124" s="65">
        <f>基础状态预估!L124*D$10/3</f>
        <v>0</v>
      </c>
      <c r="O124" s="65">
        <f>基础状态预估!M124*E$10/3</f>
        <v>0</v>
      </c>
      <c r="P124" s="65">
        <f>基础状态预估!N124*F$10/3</f>
        <v>0</v>
      </c>
      <c r="Q124" s="65">
        <f>基础状态预估!O124*G$10/3</f>
        <v>0</v>
      </c>
      <c r="R124" s="65">
        <f>基础状态预估!P124*H$10/3</f>
        <v>17.319826874788557</v>
      </c>
      <c r="S124" s="65">
        <f>基础状态预估!Q124*I$10/3</f>
        <v>36.116200081248515</v>
      </c>
      <c r="T124" s="65">
        <f t="shared" si="34"/>
        <v>53.436026956037068</v>
      </c>
      <c r="U124" s="65">
        <f>基础状态预估!L124*D$15</f>
        <v>0</v>
      </c>
      <c r="V124" s="65">
        <f>基础状态预估!M124*E$15</f>
        <v>0</v>
      </c>
      <c r="W124" s="65">
        <f>基础状态预估!N124*F$15</f>
        <v>0</v>
      </c>
      <c r="X124" s="65">
        <f>基础状态预估!O124*G$15</f>
        <v>0</v>
      </c>
      <c r="Y124" s="65">
        <f>基础状态预估!P124*H$15</f>
        <v>0.12989870156091418</v>
      </c>
      <c r="Z124" s="65">
        <f>基础状态预估!Q124*I$15</f>
        <v>0.43339440097498222</v>
      </c>
      <c r="AA124" s="65">
        <f t="shared" si="35"/>
        <v>0.56329310253589637</v>
      </c>
      <c r="AV124" s="51">
        <v>114</v>
      </c>
      <c r="AW124" s="51">
        <f t="shared" si="22"/>
        <v>59.97272400581727</v>
      </c>
      <c r="AX124" s="51">
        <f t="shared" si="23"/>
        <v>60.38414918414918</v>
      </c>
      <c r="AY124" s="51">
        <f t="shared" si="24"/>
        <v>60.752026230690106</v>
      </c>
      <c r="AZ124" s="51">
        <f t="shared" si="25"/>
        <v>61.204662004662005</v>
      </c>
      <c r="BA124" s="51">
        <f t="shared" si="26"/>
        <v>61.614918414918414</v>
      </c>
      <c r="BB124" s="51">
        <f t="shared" si="27"/>
        <v>0.70995095094374872</v>
      </c>
      <c r="BC124" s="51">
        <f t="shared" si="28"/>
        <v>0.71306293706293711</v>
      </c>
      <c r="BD124" s="51">
        <f t="shared" si="29"/>
        <v>0.71486847922839536</v>
      </c>
      <c r="BE124" s="51">
        <f t="shared" si="30"/>
        <v>0.71921678321678317</v>
      </c>
      <c r="BF124" s="51">
        <f t="shared" si="31"/>
        <v>0.72229370629370626</v>
      </c>
    </row>
    <row r="125" spans="12:58" x14ac:dyDescent="0.15">
      <c r="L125" s="29">
        <f>基础状态预估!C125</f>
        <v>1260</v>
      </c>
      <c r="M125" s="29">
        <f>基础状态预估!D125</f>
        <v>108.50202374400071</v>
      </c>
      <c r="N125" s="65">
        <f>基础状态预估!L125*D$10/3</f>
        <v>0</v>
      </c>
      <c r="O125" s="65">
        <f>基础状态预估!M125*E$10/3</f>
        <v>0</v>
      </c>
      <c r="P125" s="65">
        <f>基础状态预估!N125*F$10/3</f>
        <v>0</v>
      </c>
      <c r="Q125" s="65">
        <f>基础状态预估!O125*G$10/3</f>
        <v>0</v>
      </c>
      <c r="R125" s="65">
        <f>基础状态预估!P125*H$10/3</f>
        <v>14.23023870913795</v>
      </c>
      <c r="S125" s="65">
        <f>基础状态预估!Q125*I$10/3</f>
        <v>40.824437026911284</v>
      </c>
      <c r="T125" s="65">
        <f t="shared" si="34"/>
        <v>55.054675736049234</v>
      </c>
      <c r="U125" s="65">
        <f>基础状态预估!L125*D$15</f>
        <v>0</v>
      </c>
      <c r="V125" s="65">
        <f>基础状态预估!M125*E$15</f>
        <v>0</v>
      </c>
      <c r="W125" s="65">
        <f>基础状态预估!N125*F$15</f>
        <v>0</v>
      </c>
      <c r="X125" s="65">
        <f>基础状态预估!O125*G$15</f>
        <v>0</v>
      </c>
      <c r="Y125" s="65">
        <f>基础状态预估!P125*H$15</f>
        <v>0.10672679031853463</v>
      </c>
      <c r="Z125" s="65">
        <f>基础状态预估!Q125*I$15</f>
        <v>0.48989324432293546</v>
      </c>
      <c r="AA125" s="65">
        <f t="shared" si="35"/>
        <v>0.59662003464147007</v>
      </c>
      <c r="AV125" s="51">
        <v>115</v>
      </c>
      <c r="AW125" s="51">
        <f t="shared" si="22"/>
        <v>60.844743109125702</v>
      </c>
      <c r="AX125" s="51">
        <f t="shared" si="23"/>
        <v>61.283585191845724</v>
      </c>
      <c r="AY125" s="51">
        <f t="shared" si="24"/>
        <v>61.67111308558205</v>
      </c>
      <c r="AZ125" s="51">
        <f t="shared" si="25"/>
        <v>62.197973238644572</v>
      </c>
      <c r="BA125" s="51">
        <f t="shared" si="26"/>
        <v>62.643356643356647</v>
      </c>
      <c r="BB125" s="51">
        <f t="shared" si="27"/>
        <v>0.72688075481223258</v>
      </c>
      <c r="BC125" s="51">
        <f t="shared" si="28"/>
        <v>0.73081524806306408</v>
      </c>
      <c r="BD125" s="51">
        <f t="shared" si="29"/>
        <v>0.73321031564438455</v>
      </c>
      <c r="BE125" s="51">
        <f t="shared" si="30"/>
        <v>0.73978535100549103</v>
      </c>
      <c r="BF125" s="51">
        <f t="shared" si="31"/>
        <v>0.74391608391608399</v>
      </c>
    </row>
    <row r="126" spans="12:58" x14ac:dyDescent="0.15">
      <c r="L126" s="29">
        <f>基础状态预估!C126</f>
        <v>1380</v>
      </c>
      <c r="M126" s="29">
        <f>基础状态预估!D126</f>
        <v>109.8194473820428</v>
      </c>
      <c r="N126" s="65">
        <f>基础状态预估!L126*D$10/3</f>
        <v>0</v>
      </c>
      <c r="O126" s="65">
        <f>基础状态预估!M126*E$10/3</f>
        <v>0</v>
      </c>
      <c r="P126" s="65">
        <f>基础状态预估!N126*F$10/3</f>
        <v>0</v>
      </c>
      <c r="Q126" s="65">
        <f>基础状态预估!O126*G$10/3</f>
        <v>0</v>
      </c>
      <c r="R126" s="65">
        <f>基础状态预估!P126*H$10/3</f>
        <v>11.558130966523294</v>
      </c>
      <c r="S126" s="65">
        <f>基础状态预估!Q126*I$10/3</f>
        <v>44.896473726314099</v>
      </c>
      <c r="T126" s="65">
        <f t="shared" si="34"/>
        <v>56.454604692837393</v>
      </c>
      <c r="U126" s="65">
        <f>基础状态预估!L126*D$15</f>
        <v>0</v>
      </c>
      <c r="V126" s="65">
        <f>基础状态预估!M126*E$15</f>
        <v>0</v>
      </c>
      <c r="W126" s="65">
        <f>基础状态预估!N126*F$15</f>
        <v>0</v>
      </c>
      <c r="X126" s="65">
        <f>基础状态预估!O126*G$15</f>
        <v>0</v>
      </c>
      <c r="Y126" s="65">
        <f>基础状态预估!P126*H$15</f>
        <v>8.6685982248924709E-2</v>
      </c>
      <c r="Z126" s="65">
        <f>基础状态预估!Q126*I$15</f>
        <v>0.53875768471576924</v>
      </c>
      <c r="AA126" s="65">
        <f t="shared" si="35"/>
        <v>0.62544366696469389</v>
      </c>
      <c r="AV126" s="51">
        <v>116</v>
      </c>
      <c r="AW126" s="51">
        <f t="shared" si="22"/>
        <v>61.53846153846154</v>
      </c>
      <c r="AX126" s="51">
        <f t="shared" si="23"/>
        <v>61.987641539401586</v>
      </c>
      <c r="AY126" s="51">
        <f t="shared" si="24"/>
        <v>62.564102564102569</v>
      </c>
      <c r="AZ126" s="51">
        <f t="shared" si="25"/>
        <v>63.076923076923073</v>
      </c>
      <c r="BA126" s="51">
        <f t="shared" si="26"/>
        <v>63.491271194768331</v>
      </c>
      <c r="BB126" s="51">
        <f t="shared" si="27"/>
        <v>0.73846153846153861</v>
      </c>
      <c r="BC126" s="51">
        <f t="shared" si="28"/>
        <v>0.74270616925897048</v>
      </c>
      <c r="BD126" s="51">
        <f t="shared" si="29"/>
        <v>0.75076923076923074</v>
      </c>
      <c r="BE126" s="51">
        <f t="shared" si="30"/>
        <v>0.75692307692307692</v>
      </c>
      <c r="BF126" s="51">
        <f t="shared" si="31"/>
        <v>0.76012275122766537</v>
      </c>
    </row>
    <row r="127" spans="12:58" x14ac:dyDescent="0.15">
      <c r="L127" s="29">
        <f>基础状态预估!C127</f>
        <v>1500</v>
      </c>
      <c r="M127" s="29">
        <f>基础状态预估!D127</f>
        <v>110.99543397036992</v>
      </c>
      <c r="N127" s="65">
        <f>基础状态预估!L127*D$10/3</f>
        <v>0</v>
      </c>
      <c r="O127" s="65">
        <f>基础状态预估!M127*E$10/3</f>
        <v>0</v>
      </c>
      <c r="P127" s="65">
        <f>基础状态预估!N127*F$10/3</f>
        <v>0</v>
      </c>
      <c r="Q127" s="65">
        <f>基础状态预估!O127*G$10/3</f>
        <v>0</v>
      </c>
      <c r="R127" s="65">
        <f>基础状态预估!P127*H$10/3</f>
        <v>9.1728975631284957</v>
      </c>
      <c r="S127" s="65">
        <f>基础状态预估!Q127*I$10/3</f>
        <v>48.531341362961562</v>
      </c>
      <c r="T127" s="65">
        <f t="shared" si="34"/>
        <v>57.704238926090056</v>
      </c>
      <c r="U127" s="65">
        <f>基础状态预估!L127*D$15</f>
        <v>0</v>
      </c>
      <c r="V127" s="65">
        <f>基础状态预估!M127*E$15</f>
        <v>0</v>
      </c>
      <c r="W127" s="65">
        <f>基础状态预估!N127*F$15</f>
        <v>0</v>
      </c>
      <c r="X127" s="65">
        <f>基础状态预估!O127*G$15</f>
        <v>0</v>
      </c>
      <c r="Y127" s="65">
        <f>基础状态预估!P127*H$15</f>
        <v>6.8796731723463719E-2</v>
      </c>
      <c r="Z127" s="65">
        <f>基础状态预估!Q127*I$15</f>
        <v>0.58237609635553866</v>
      </c>
      <c r="AA127" s="65">
        <f t="shared" si="35"/>
        <v>0.65117282807900234</v>
      </c>
      <c r="AV127" s="51">
        <v>117</v>
      </c>
      <c r="AW127" s="51">
        <f t="shared" si="22"/>
        <v>62.051282051282051</v>
      </c>
      <c r="AX127" s="51">
        <f t="shared" si="23"/>
        <v>62.564102564102569</v>
      </c>
      <c r="AY127" s="51">
        <f t="shared" si="24"/>
        <v>63.07692307692308</v>
      </c>
      <c r="AZ127" s="51">
        <f t="shared" si="25"/>
        <v>63.589743589743591</v>
      </c>
      <c r="BA127" s="51">
        <f t="shared" si="26"/>
        <v>64.102564102564102</v>
      </c>
      <c r="BB127" s="51">
        <f t="shared" si="27"/>
        <v>0.74461538461538468</v>
      </c>
      <c r="BC127" s="51">
        <f t="shared" si="28"/>
        <v>0.75076923076923086</v>
      </c>
      <c r="BD127" s="51">
        <f t="shared" si="29"/>
        <v>0.75692307692307703</v>
      </c>
      <c r="BE127" s="51">
        <f t="shared" si="30"/>
        <v>0.7630769230769231</v>
      </c>
      <c r="BF127" s="51">
        <f t="shared" si="31"/>
        <v>0.76923076923076927</v>
      </c>
    </row>
    <row r="128" spans="12:58" x14ac:dyDescent="0.15">
      <c r="L128" s="29">
        <f>基础状态预估!C128</f>
        <v>1800</v>
      </c>
      <c r="M128" s="29">
        <f>基础状态预估!D128</f>
        <v>113.61244781532119</v>
      </c>
      <c r="N128" s="65">
        <f>基础状态预估!L128*D$10/3</f>
        <v>0</v>
      </c>
      <c r="O128" s="65">
        <f>基础状态预估!M128*E$10/3</f>
        <v>0</v>
      </c>
      <c r="P128" s="65">
        <f>基础状态预估!N128*F$10/3</f>
        <v>0</v>
      </c>
      <c r="Q128" s="65">
        <f>基础状态预估!O128*G$10/3</f>
        <v>0</v>
      </c>
      <c r="R128" s="65">
        <f>基础状态预估!P128*H$10/3</f>
        <v>3.7755388648107462</v>
      </c>
      <c r="S128" s="65">
        <f>基础状态预估!Q128*I$10/3</f>
        <v>56.620293247356408</v>
      </c>
      <c r="T128" s="65">
        <f t="shared" si="34"/>
        <v>60.395832112167156</v>
      </c>
      <c r="U128" s="65">
        <f>基础状态预估!L128*D$15</f>
        <v>0</v>
      </c>
      <c r="V128" s="65">
        <f>基础状态预估!M128*E$15</f>
        <v>0</v>
      </c>
      <c r="W128" s="65">
        <f>基础状态预估!N128*F$15</f>
        <v>0</v>
      </c>
      <c r="X128" s="65">
        <f>基础状态预估!O128*G$15</f>
        <v>0</v>
      </c>
      <c r="Y128" s="65">
        <f>基础状态预估!P128*H$15</f>
        <v>2.8316541486080597E-2</v>
      </c>
      <c r="Z128" s="65">
        <f>基础状态预估!Q128*I$15</f>
        <v>0.67944351896827682</v>
      </c>
      <c r="AA128" s="65">
        <f t="shared" si="35"/>
        <v>0.70776006045435746</v>
      </c>
      <c r="AV128" s="51">
        <v>118</v>
      </c>
      <c r="AW128" s="51">
        <f t="shared" si="22"/>
        <v>62.564102564102569</v>
      </c>
      <c r="AX128" s="51">
        <f t="shared" si="23"/>
        <v>63.07692307692308</v>
      </c>
      <c r="AY128" s="51">
        <f t="shared" si="24"/>
        <v>63.589743589743591</v>
      </c>
      <c r="AZ128" s="51">
        <f t="shared" si="25"/>
        <v>64.102564102564102</v>
      </c>
      <c r="BA128" s="51">
        <f t="shared" si="26"/>
        <v>64.615384615384613</v>
      </c>
      <c r="BB128" s="51">
        <f t="shared" si="27"/>
        <v>0.75076923076923074</v>
      </c>
      <c r="BC128" s="51">
        <f t="shared" si="28"/>
        <v>0.75692307692307692</v>
      </c>
      <c r="BD128" s="51">
        <f t="shared" si="29"/>
        <v>0.7630769230769231</v>
      </c>
      <c r="BE128" s="51">
        <f t="shared" si="30"/>
        <v>0.76923076923076916</v>
      </c>
      <c r="BF128" s="51">
        <f t="shared" si="31"/>
        <v>0.77538461538461534</v>
      </c>
    </row>
    <row r="129" spans="12:58" x14ac:dyDescent="0.15">
      <c r="L129" s="29">
        <f>基础状态预估!C129</f>
        <v>2100</v>
      </c>
      <c r="M129" s="29">
        <f>基础状态预估!D129</f>
        <v>115.93576288835948</v>
      </c>
      <c r="N129" s="65">
        <f>基础状态预估!L129*D$10/3</f>
        <v>0</v>
      </c>
      <c r="O129" s="65">
        <f>基础状态预估!M129*E$10/3</f>
        <v>0</v>
      </c>
      <c r="P129" s="65">
        <f>基础状态预估!N129*F$10/3</f>
        <v>0</v>
      </c>
      <c r="Q129" s="65">
        <f>基础状态预估!O129*G$10/3</f>
        <v>0</v>
      </c>
      <c r="R129" s="65">
        <f>基础状态预估!P129*H$10/3</f>
        <v>0</v>
      </c>
      <c r="S129" s="65">
        <f>基础状态预估!Q129*I$10/3</f>
        <v>62.531160455568966</v>
      </c>
      <c r="T129" s="65">
        <f t="shared" si="34"/>
        <v>62.531160455568966</v>
      </c>
      <c r="U129" s="65">
        <f>基础状态预估!L129*D$15</f>
        <v>0</v>
      </c>
      <c r="V129" s="65">
        <f>基础状态预估!M129*E$15</f>
        <v>0</v>
      </c>
      <c r="W129" s="65">
        <f>基础状态预估!N129*F$15</f>
        <v>0</v>
      </c>
      <c r="X129" s="65">
        <f>基础状态预估!O129*G$15</f>
        <v>0</v>
      </c>
      <c r="Y129" s="65">
        <f>基础状态预估!P129*H$15</f>
        <v>0</v>
      </c>
      <c r="Z129" s="65">
        <f>基础状态预估!Q129*I$15</f>
        <v>0.75037392546682757</v>
      </c>
      <c r="AA129" s="65">
        <f t="shared" si="35"/>
        <v>0.75037392546682757</v>
      </c>
      <c r="AV129" s="51">
        <v>119</v>
      </c>
      <c r="AW129" s="51">
        <f t="shared" si="22"/>
        <v>63.076923076923073</v>
      </c>
      <c r="AX129" s="51">
        <f t="shared" si="23"/>
        <v>63.589743589743591</v>
      </c>
      <c r="AY129" s="51">
        <f t="shared" si="24"/>
        <v>64.102564102564102</v>
      </c>
      <c r="AZ129" s="51">
        <f t="shared" si="25"/>
        <v>64.615384615384613</v>
      </c>
      <c r="BA129" s="51">
        <f t="shared" si="26"/>
        <v>65.128205128205124</v>
      </c>
      <c r="BB129" s="51">
        <f t="shared" si="27"/>
        <v>0.75692307692307692</v>
      </c>
      <c r="BC129" s="51">
        <f t="shared" si="28"/>
        <v>0.7630769230769231</v>
      </c>
      <c r="BD129" s="51">
        <f t="shared" si="29"/>
        <v>0.76923076923076927</v>
      </c>
      <c r="BE129" s="51">
        <f t="shared" si="30"/>
        <v>0.77538461538461534</v>
      </c>
      <c r="BF129" s="51">
        <f t="shared" si="31"/>
        <v>0.78153846153846152</v>
      </c>
    </row>
    <row r="130" spans="12:58" x14ac:dyDescent="0.15">
      <c r="L130" s="29">
        <f>基础状态预估!C130</f>
        <v>2400</v>
      </c>
      <c r="M130" s="29">
        <f>基础状态预估!D130</f>
        <v>117.8398587801079</v>
      </c>
      <c r="N130" s="65">
        <f>基础状态预估!L130*D$10/3</f>
        <v>0</v>
      </c>
      <c r="O130" s="65">
        <f>基础状态预估!M130*E$10/3</f>
        <v>0</v>
      </c>
      <c r="P130" s="65">
        <f>基础状态预估!N130*F$10/3</f>
        <v>0</v>
      </c>
      <c r="Q130" s="65">
        <f>基础状态预估!O130*G$10/3</f>
        <v>0</v>
      </c>
      <c r="R130" s="65">
        <f>基础状态预估!P130*H$10/3</f>
        <v>0</v>
      </c>
      <c r="S130" s="65">
        <f>基础状态预估!Q130*I$10/3</f>
        <v>63.507619887234824</v>
      </c>
      <c r="T130" s="65">
        <f t="shared" si="34"/>
        <v>63.507619887234824</v>
      </c>
      <c r="U130" s="65">
        <f>基础状态预估!L130*D$15</f>
        <v>0</v>
      </c>
      <c r="V130" s="65">
        <f>基础状态预估!M130*E$15</f>
        <v>0</v>
      </c>
      <c r="W130" s="65">
        <f>基础状态预估!N130*F$15</f>
        <v>0</v>
      </c>
      <c r="X130" s="65">
        <f>基础状态预估!O130*G$15</f>
        <v>0</v>
      </c>
      <c r="Y130" s="65">
        <f>基础状态预估!P130*H$15</f>
        <v>0</v>
      </c>
      <c r="Z130" s="65">
        <f>基础状态预估!Q130*I$15</f>
        <v>0.76209143864681794</v>
      </c>
      <c r="AA130" s="65">
        <f t="shared" si="35"/>
        <v>0.76209143864681794</v>
      </c>
      <c r="AV130" s="51">
        <v>120</v>
      </c>
      <c r="AW130" s="51">
        <f t="shared" si="22"/>
        <v>63.589743589743584</v>
      </c>
      <c r="AX130" s="51">
        <f t="shared" si="23"/>
        <v>64.102564102564102</v>
      </c>
      <c r="AY130" s="51">
        <f t="shared" si="24"/>
        <v>64.615384615384613</v>
      </c>
      <c r="AZ130" s="51">
        <f t="shared" si="25"/>
        <v>65.128205128205124</v>
      </c>
      <c r="BA130" s="51">
        <f t="shared" si="26"/>
        <v>65.641025641025635</v>
      </c>
      <c r="BB130" s="51">
        <f t="shared" si="27"/>
        <v>0.7630769230769231</v>
      </c>
      <c r="BC130" s="51">
        <f t="shared" si="28"/>
        <v>0.76923076923076916</v>
      </c>
      <c r="BD130" s="51">
        <f t="shared" si="29"/>
        <v>0.77538461538461534</v>
      </c>
      <c r="BE130" s="51">
        <f t="shared" si="30"/>
        <v>0.78153846153846152</v>
      </c>
      <c r="BF130" s="51">
        <f t="shared" si="31"/>
        <v>0.78769230769230769</v>
      </c>
    </row>
    <row r="131" spans="12:58" x14ac:dyDescent="0.15">
      <c r="L131" s="29">
        <f>基础状态预估!C131</f>
        <v>2700</v>
      </c>
      <c r="M131" s="29">
        <f>基础状态预估!D131</f>
        <v>119.50922016248074</v>
      </c>
      <c r="N131" s="65">
        <f>基础状态预估!L131*D$10/3</f>
        <v>0</v>
      </c>
      <c r="O131" s="65">
        <f>基础状态预估!M131*E$10/3</f>
        <v>0</v>
      </c>
      <c r="P131" s="65">
        <f>基础状态预估!N131*F$10/3</f>
        <v>0</v>
      </c>
      <c r="Q131" s="65">
        <f>基础状态预估!O131*G$10/3</f>
        <v>0</v>
      </c>
      <c r="R131" s="65">
        <f>基础状态预估!P131*H$10/3</f>
        <v>0</v>
      </c>
      <c r="S131" s="65">
        <f>基础状态预估!Q131*I$10/3</f>
        <v>64.363702647426024</v>
      </c>
      <c r="T131" s="65">
        <f t="shared" si="34"/>
        <v>64.363702647426024</v>
      </c>
      <c r="U131" s="65">
        <f>基础状态预估!L131*D$15</f>
        <v>0</v>
      </c>
      <c r="V131" s="65">
        <f>基础状态预估!M131*E$15</f>
        <v>0</v>
      </c>
      <c r="W131" s="65">
        <f>基础状态预估!N131*F$15</f>
        <v>0</v>
      </c>
      <c r="X131" s="65">
        <f>基础状态预估!O131*G$15</f>
        <v>0</v>
      </c>
      <c r="Y131" s="65">
        <f>基础状态预估!P131*H$15</f>
        <v>0</v>
      </c>
      <c r="Z131" s="65">
        <f>基础状态预估!Q131*I$15</f>
        <v>0.77236443176911229</v>
      </c>
      <c r="AA131" s="65">
        <f t="shared" si="35"/>
        <v>0.77236443176911229</v>
      </c>
      <c r="AV131" s="51">
        <v>121</v>
      </c>
      <c r="AW131" s="51">
        <f t="shared" si="22"/>
        <v>64.102564102564102</v>
      </c>
      <c r="AX131" s="51">
        <f t="shared" si="23"/>
        <v>64.615384615384613</v>
      </c>
      <c r="AY131" s="51">
        <f t="shared" si="24"/>
        <v>65.128205128205124</v>
      </c>
      <c r="AZ131" s="51">
        <f t="shared" si="25"/>
        <v>65.641025641025635</v>
      </c>
      <c r="BA131" s="51">
        <f t="shared" si="26"/>
        <v>66.147687629468024</v>
      </c>
      <c r="BB131" s="51">
        <f t="shared" si="27"/>
        <v>0.76923076923076927</v>
      </c>
      <c r="BC131" s="51">
        <f t="shared" si="28"/>
        <v>0.77538461538461534</v>
      </c>
      <c r="BD131" s="51">
        <f t="shared" si="29"/>
        <v>0.78153846153846152</v>
      </c>
      <c r="BE131" s="51">
        <f t="shared" si="30"/>
        <v>0.78769230769230758</v>
      </c>
      <c r="BF131" s="51">
        <f t="shared" si="31"/>
        <v>0.79377225155361641</v>
      </c>
    </row>
    <row r="132" spans="12:58" x14ac:dyDescent="0.15">
      <c r="L132" s="29">
        <f>基础状态预估!C132</f>
        <v>3000</v>
      </c>
      <c r="M132" s="29">
        <f>基础状态预估!D132</f>
        <v>121.10344291172865</v>
      </c>
      <c r="N132" s="65">
        <f>基础状态预估!L132*D$10/3</f>
        <v>0</v>
      </c>
      <c r="O132" s="65">
        <f>基础状态预估!M132*E$10/3</f>
        <v>0</v>
      </c>
      <c r="P132" s="65">
        <f>基础状态预估!N132*F$10/3</f>
        <v>0</v>
      </c>
      <c r="Q132" s="65">
        <f>基础状态预估!O132*G$10/3</f>
        <v>0</v>
      </c>
      <c r="R132" s="65">
        <f>基础状态预估!P132*H$10/3</f>
        <v>0</v>
      </c>
      <c r="S132" s="65">
        <f>基础状态预估!Q132*I$10/3</f>
        <v>65.181252775245454</v>
      </c>
      <c r="T132" s="65">
        <f t="shared" si="34"/>
        <v>65.181252775245454</v>
      </c>
      <c r="U132" s="65">
        <f>基础状态预估!L132*D$15</f>
        <v>0</v>
      </c>
      <c r="V132" s="65">
        <f>基础状态预估!M132*E$15</f>
        <v>0</v>
      </c>
      <c r="W132" s="65">
        <f>基础状态预估!N132*F$15</f>
        <v>0</v>
      </c>
      <c r="X132" s="65">
        <f>基础状态预估!O132*G$15</f>
        <v>0</v>
      </c>
      <c r="Y132" s="65">
        <f>基础状态预估!P132*H$15</f>
        <v>0</v>
      </c>
      <c r="Z132" s="65">
        <f>基础状态预估!Q132*I$15</f>
        <v>0.78217503330294547</v>
      </c>
      <c r="AA132" s="65">
        <f t="shared" si="35"/>
        <v>0.78217503330294547</v>
      </c>
      <c r="AV132" s="51">
        <v>122</v>
      </c>
      <c r="AW132" s="51">
        <f t="shared" si="22"/>
        <v>64.615384615384613</v>
      </c>
      <c r="AX132" s="51">
        <f t="shared" si="23"/>
        <v>65.128205128205124</v>
      </c>
      <c r="AY132" s="51">
        <f t="shared" si="24"/>
        <v>65.641025641025635</v>
      </c>
      <c r="AZ132" s="51">
        <f t="shared" si="25"/>
        <v>66.153846153846146</v>
      </c>
      <c r="BA132" s="51">
        <f t="shared" si="26"/>
        <v>66.521162295489319</v>
      </c>
      <c r="BB132" s="51">
        <f t="shared" si="27"/>
        <v>0.77538461538461545</v>
      </c>
      <c r="BC132" s="51">
        <f t="shared" si="28"/>
        <v>0.78153846153846152</v>
      </c>
      <c r="BD132" s="51">
        <f t="shared" si="29"/>
        <v>0.78769230769230769</v>
      </c>
      <c r="BE132" s="51">
        <f t="shared" si="30"/>
        <v>0.79384615384615376</v>
      </c>
      <c r="BF132" s="51">
        <f t="shared" si="31"/>
        <v>0.79825394754587187</v>
      </c>
    </row>
    <row r="133" spans="12:58" x14ac:dyDescent="0.15">
      <c r="L133" s="29">
        <f>基础状态预估!C133</f>
        <v>3300</v>
      </c>
      <c r="M133" s="29">
        <f>基础状态预估!D133</f>
        <v>122.49249432194588</v>
      </c>
      <c r="N133" s="65">
        <f>基础状态预估!L133*D$10/3</f>
        <v>0</v>
      </c>
      <c r="O133" s="65">
        <f>基础状态预估!M133*E$10/3</f>
        <v>0</v>
      </c>
      <c r="P133" s="65">
        <f>基础状态预估!N133*F$10/3</f>
        <v>0</v>
      </c>
      <c r="Q133" s="65">
        <f>基础状态预估!O133*G$10/3</f>
        <v>0</v>
      </c>
      <c r="R133" s="65">
        <f>基础状态预估!P133*H$10/3</f>
        <v>0</v>
      </c>
      <c r="S133" s="65">
        <f>基础状态预估!Q133*I$10/3</f>
        <v>65.893586831767124</v>
      </c>
      <c r="T133" s="65">
        <f t="shared" si="34"/>
        <v>65.893586831767124</v>
      </c>
      <c r="U133" s="65">
        <f>基础状态预估!L133*D$15</f>
        <v>0</v>
      </c>
      <c r="V133" s="65">
        <f>基础状态预估!M133*E$15</f>
        <v>0</v>
      </c>
      <c r="W133" s="65">
        <f>基础状态预估!N133*F$15</f>
        <v>0</v>
      </c>
      <c r="X133" s="65">
        <f>基础状态预估!O133*G$15</f>
        <v>0</v>
      </c>
      <c r="Y133" s="65">
        <f>基础状态预估!P133*H$15</f>
        <v>0</v>
      </c>
      <c r="Z133" s="65">
        <f>基础状态预估!Q133*I$15</f>
        <v>0.79072304198120547</v>
      </c>
      <c r="AA133" s="65">
        <f t="shared" si="35"/>
        <v>0.79072304198120547</v>
      </c>
      <c r="AV133" s="51">
        <v>123</v>
      </c>
      <c r="AW133" s="51">
        <f t="shared" si="22"/>
        <v>64.797235885459088</v>
      </c>
      <c r="AX133" s="51">
        <f t="shared" si="23"/>
        <v>65.641025641025649</v>
      </c>
      <c r="AY133" s="51">
        <f t="shared" si="24"/>
        <v>66.15384615384616</v>
      </c>
      <c r="AZ133" s="51">
        <f t="shared" si="25"/>
        <v>66.558306839767226</v>
      </c>
      <c r="BA133" s="51">
        <f t="shared" si="26"/>
        <v>66.666666666666671</v>
      </c>
      <c r="BB133" s="51">
        <f t="shared" si="27"/>
        <v>0.77756683062550924</v>
      </c>
      <c r="BC133" s="51">
        <f t="shared" si="28"/>
        <v>0.78769230769230769</v>
      </c>
      <c r="BD133" s="51">
        <f t="shared" si="29"/>
        <v>0.79384615384615387</v>
      </c>
      <c r="BE133" s="51">
        <f t="shared" si="30"/>
        <v>0.79869968207720676</v>
      </c>
      <c r="BF133" s="51">
        <f t="shared" si="31"/>
        <v>0.8</v>
      </c>
    </row>
    <row r="134" spans="12:58" x14ac:dyDescent="0.15">
      <c r="L134" s="29">
        <f>基础状态预估!C134</f>
        <v>3600</v>
      </c>
      <c r="M134" s="29">
        <f>基础状态预估!D134</f>
        <v>123.71653233872999</v>
      </c>
      <c r="N134" s="65">
        <f>基础状态预估!L134*D$10/3</f>
        <v>0</v>
      </c>
      <c r="O134" s="65">
        <f>基础状态预估!M134*E$10/3</f>
        <v>0</v>
      </c>
      <c r="P134" s="65">
        <f>基础状态预估!N134*F$10/3</f>
        <v>0</v>
      </c>
      <c r="Q134" s="65">
        <f>基础状态预估!O134*G$10/3</f>
        <v>0</v>
      </c>
      <c r="R134" s="65">
        <f>基础状态预估!P134*H$10/3</f>
        <v>0</v>
      </c>
      <c r="S134" s="65">
        <f>基础状态预估!Q134*I$10/3</f>
        <v>66.521298635246154</v>
      </c>
      <c r="T134" s="65">
        <f t="shared" si="34"/>
        <v>66.521298635246154</v>
      </c>
      <c r="U134" s="65">
        <f>基础状态预估!L134*D$15</f>
        <v>0</v>
      </c>
      <c r="V134" s="65">
        <f>基础状态预估!M134*E$15</f>
        <v>0</v>
      </c>
      <c r="W134" s="65">
        <f>基础状态预估!N134*F$15</f>
        <v>0</v>
      </c>
      <c r="X134" s="65">
        <f>基础状态预估!O134*G$15</f>
        <v>0</v>
      </c>
      <c r="Y134" s="65">
        <f>基础状态预估!P134*H$15</f>
        <v>0</v>
      </c>
      <c r="Z134" s="65">
        <f>基础状态预估!Q134*I$15</f>
        <v>0.79825558362295379</v>
      </c>
      <c r="AA134" s="65">
        <f t="shared" si="35"/>
        <v>0.79825558362295379</v>
      </c>
      <c r="AV134" s="51">
        <v>124</v>
      </c>
      <c r="AW134" s="51">
        <f t="shared" si="22"/>
        <v>64.847761041707955</v>
      </c>
      <c r="AX134" s="51">
        <f t="shared" si="23"/>
        <v>66.15384615384616</v>
      </c>
      <c r="AY134" s="51">
        <f t="shared" si="24"/>
        <v>66.557620657731789</v>
      </c>
      <c r="AZ134" s="51">
        <f t="shared" si="25"/>
        <v>66.635997699596373</v>
      </c>
      <c r="BA134" s="51">
        <f t="shared" si="26"/>
        <v>66.666666666666671</v>
      </c>
      <c r="BB134" s="51">
        <f t="shared" si="27"/>
        <v>0.77817313250049547</v>
      </c>
      <c r="BC134" s="51">
        <f t="shared" si="28"/>
        <v>0.79384615384615387</v>
      </c>
      <c r="BD134" s="51">
        <f t="shared" si="29"/>
        <v>0.79869144789278146</v>
      </c>
      <c r="BE134" s="51">
        <f t="shared" si="30"/>
        <v>0.79963197239515649</v>
      </c>
      <c r="BF134" s="51">
        <f t="shared" si="31"/>
        <v>0.8</v>
      </c>
    </row>
    <row r="135" spans="12:58" x14ac:dyDescent="0.15">
      <c r="L135" s="29">
        <f>基础状态预估!C135</f>
        <v>3900</v>
      </c>
      <c r="M135" s="29">
        <f>基础状态预估!D135</f>
        <v>124.85102687042894</v>
      </c>
      <c r="N135" s="65">
        <f>基础状态预估!L135*D$10/3</f>
        <v>0</v>
      </c>
      <c r="O135" s="65">
        <f>基础状态预估!M135*E$10/3</f>
        <v>0</v>
      </c>
      <c r="P135" s="65">
        <f>基础状态预估!N135*F$10/3</f>
        <v>0</v>
      </c>
      <c r="Q135" s="65">
        <f>基础状态预估!O135*G$10/3</f>
        <v>0</v>
      </c>
      <c r="R135" s="65">
        <f>基础状态预估!P135*H$10/3</f>
        <v>0</v>
      </c>
      <c r="S135" s="65">
        <f>基础状态预估!Q135*I$10/3</f>
        <v>66.666666666666671</v>
      </c>
      <c r="T135" s="65">
        <f t="shared" si="34"/>
        <v>66.666666666666671</v>
      </c>
      <c r="U135" s="65">
        <f>基础状态预估!L135*D$15</f>
        <v>0</v>
      </c>
      <c r="V135" s="65">
        <f>基础状态预估!M135*E$15</f>
        <v>0</v>
      </c>
      <c r="W135" s="65">
        <f>基础状态预估!N135*F$15</f>
        <v>0</v>
      </c>
      <c r="X135" s="65">
        <f>基础状态预估!O135*G$15</f>
        <v>0</v>
      </c>
      <c r="Y135" s="65">
        <f>基础状态预估!P135*H$15</f>
        <v>0</v>
      </c>
      <c r="Z135" s="65">
        <f>基础状态预估!Q135*I$15</f>
        <v>0.8</v>
      </c>
      <c r="AA135" s="65">
        <f t="shared" si="35"/>
        <v>0.8</v>
      </c>
      <c r="AV135" s="51">
        <v>125</v>
      </c>
      <c r="AW135" s="51">
        <f t="shared" si="22"/>
        <v>64.898286197956807</v>
      </c>
      <c r="AX135" s="51">
        <f t="shared" si="23"/>
        <v>66.482402164656079</v>
      </c>
      <c r="AY135" s="51">
        <f t="shared" si="24"/>
        <v>66.666666666666671</v>
      </c>
      <c r="AZ135" s="51">
        <f t="shared" si="25"/>
        <v>66.666666666666671</v>
      </c>
      <c r="BA135" s="51">
        <f t="shared" si="26"/>
        <v>66.666666666666671</v>
      </c>
      <c r="BB135" s="51">
        <f t="shared" si="27"/>
        <v>0.77877943437548169</v>
      </c>
      <c r="BC135" s="51">
        <f t="shared" si="28"/>
        <v>0.79778882597587297</v>
      </c>
      <c r="BD135" s="51">
        <f t="shared" si="29"/>
        <v>0.8</v>
      </c>
      <c r="BE135" s="51">
        <f t="shared" si="30"/>
        <v>0.8</v>
      </c>
      <c r="BF135" s="51">
        <f t="shared" si="31"/>
        <v>0.8</v>
      </c>
    </row>
    <row r="136" spans="12:58" x14ac:dyDescent="0.15">
      <c r="L136" s="29">
        <f>基础状态预估!C136</f>
        <v>4200</v>
      </c>
      <c r="M136" s="29">
        <f>基础状态预估!D136</f>
        <v>125.90913935465674</v>
      </c>
      <c r="N136" s="65">
        <f>基础状态预估!L136*D$10/3</f>
        <v>0</v>
      </c>
      <c r="O136" s="65">
        <f>基础状态预估!M136*E$10/3</f>
        <v>0</v>
      </c>
      <c r="P136" s="65">
        <f>基础状态预估!N136*F$10/3</f>
        <v>0</v>
      </c>
      <c r="Q136" s="65">
        <f>基础状态预估!O136*G$10/3</f>
        <v>0</v>
      </c>
      <c r="R136" s="65">
        <f>基础状态预估!P136*H$10/3</f>
        <v>0</v>
      </c>
      <c r="S136" s="65">
        <f>基础状态预估!Q136*I$10/3</f>
        <v>66.666666666666671</v>
      </c>
      <c r="T136" s="65">
        <f t="shared" si="34"/>
        <v>66.666666666666671</v>
      </c>
      <c r="U136" s="65">
        <f>基础状态预估!L136*D$15</f>
        <v>0</v>
      </c>
      <c r="V136" s="65">
        <f>基础状态预估!M136*E$15</f>
        <v>0</v>
      </c>
      <c r="W136" s="65">
        <f>基础状态预估!N136*F$15</f>
        <v>0</v>
      </c>
      <c r="X136" s="65">
        <f>基础状态预估!O136*G$15</f>
        <v>0</v>
      </c>
      <c r="Y136" s="65">
        <f>基础状态预估!P136*H$15</f>
        <v>0</v>
      </c>
      <c r="Z136" s="65">
        <f>基础状态预估!Q136*I$15</f>
        <v>0.8</v>
      </c>
      <c r="AA136" s="65">
        <f t="shared" si="35"/>
        <v>0.8</v>
      </c>
      <c r="AV136" s="51">
        <v>126</v>
      </c>
      <c r="AW136" s="51">
        <f t="shared" si="22"/>
        <v>64.94881135420566</v>
      </c>
      <c r="AX136" s="51">
        <f t="shared" si="23"/>
        <v>66.487666864713532</v>
      </c>
      <c r="AY136" s="51">
        <f t="shared" si="24"/>
        <v>66.666666666666671</v>
      </c>
      <c r="AZ136" s="51">
        <f t="shared" si="25"/>
        <v>66.666666666666671</v>
      </c>
      <c r="BA136" s="51">
        <f t="shared" si="26"/>
        <v>66.666666666666671</v>
      </c>
      <c r="BB136" s="51">
        <f t="shared" si="27"/>
        <v>0.77938573625046792</v>
      </c>
      <c r="BC136" s="51">
        <f t="shared" si="28"/>
        <v>0.79785200237656229</v>
      </c>
      <c r="BD136" s="51">
        <f t="shared" si="29"/>
        <v>0.8</v>
      </c>
      <c r="BE136" s="51">
        <f t="shared" si="30"/>
        <v>0.8</v>
      </c>
      <c r="BF136" s="51">
        <f t="shared" si="31"/>
        <v>0.8</v>
      </c>
    </row>
    <row r="137" spans="12:58" x14ac:dyDescent="0.15">
      <c r="L137" s="29">
        <f>基础状态预估!C137</f>
        <v>4500</v>
      </c>
      <c r="M137" s="29">
        <f>基础状态预估!D137</f>
        <v>126.96916270090227</v>
      </c>
      <c r="N137" s="65">
        <f>基础状态预估!L137*D$10/3</f>
        <v>0</v>
      </c>
      <c r="O137" s="65">
        <f>基础状态预估!M137*E$10/3</f>
        <v>0</v>
      </c>
      <c r="P137" s="65">
        <f>基础状态预估!N137*F$10/3</f>
        <v>0</v>
      </c>
      <c r="Q137" s="65">
        <f>基础状态预估!O137*G$10/3</f>
        <v>0</v>
      </c>
      <c r="R137" s="65">
        <f>基础状态预估!P137*H$10/3</f>
        <v>0</v>
      </c>
      <c r="S137" s="65">
        <f>基础状态预估!Q137*I$10/3</f>
        <v>66.666666666666671</v>
      </c>
      <c r="T137" s="65">
        <f t="shared" si="34"/>
        <v>66.666666666666671</v>
      </c>
      <c r="U137" s="65">
        <f>基础状态预估!L137*D$15</f>
        <v>0</v>
      </c>
      <c r="V137" s="65">
        <f>基础状态预估!M137*E$15</f>
        <v>0</v>
      </c>
      <c r="W137" s="65">
        <f>基础状态预估!N137*F$15</f>
        <v>0</v>
      </c>
      <c r="X137" s="65">
        <f>基础状态预估!O137*G$15</f>
        <v>0</v>
      </c>
      <c r="Y137" s="65">
        <f>基础状态预估!P137*H$15</f>
        <v>0</v>
      </c>
      <c r="Z137" s="65">
        <f>基础状态预估!Q137*I$15</f>
        <v>0.8</v>
      </c>
      <c r="AA137" s="65">
        <f t="shared" si="35"/>
        <v>0.8</v>
      </c>
      <c r="AV137" s="51">
        <v>127</v>
      </c>
      <c r="AW137" s="51">
        <f t="shared" si="22"/>
        <v>64.999336510454512</v>
      </c>
      <c r="AX137" s="51">
        <f t="shared" si="23"/>
        <v>66.49293156477097</v>
      </c>
      <c r="AY137" s="51">
        <f t="shared" si="24"/>
        <v>66.666666666666671</v>
      </c>
      <c r="AZ137" s="51">
        <f t="shared" si="25"/>
        <v>66.666666666666671</v>
      </c>
      <c r="BA137" s="51">
        <f t="shared" si="26"/>
        <v>66.666666666666671</v>
      </c>
      <c r="BB137" s="51">
        <f t="shared" si="27"/>
        <v>0.77999203812545415</v>
      </c>
      <c r="BC137" s="51">
        <f t="shared" si="28"/>
        <v>0.7979151787772516</v>
      </c>
      <c r="BD137" s="51">
        <f t="shared" si="29"/>
        <v>0.8</v>
      </c>
      <c r="BE137" s="51">
        <f t="shared" si="30"/>
        <v>0.8</v>
      </c>
      <c r="BF137" s="51">
        <f t="shared" si="31"/>
        <v>0.8</v>
      </c>
    </row>
    <row r="138" spans="12:58" x14ac:dyDescent="0.15">
      <c r="L138" s="29">
        <f>基础状态预估!C138</f>
        <v>4800</v>
      </c>
      <c r="M138" s="29">
        <f>基础状态预估!D138</f>
        <v>127.97984726046715</v>
      </c>
      <c r="N138" s="65">
        <f>基础状态预估!L138*D$10/3</f>
        <v>0</v>
      </c>
      <c r="O138" s="65">
        <f>基础状态预估!M138*E$10/3</f>
        <v>0</v>
      </c>
      <c r="P138" s="65">
        <f>基础状态预估!N138*F$10/3</f>
        <v>0</v>
      </c>
      <c r="Q138" s="65">
        <f>基础状态预估!O138*G$10/3</f>
        <v>0</v>
      </c>
      <c r="R138" s="65">
        <f>基础状态预估!P138*H$10/3</f>
        <v>0</v>
      </c>
      <c r="S138" s="65">
        <f>基础状态预估!Q138*I$10/3</f>
        <v>66.666666666666671</v>
      </c>
      <c r="T138" s="65">
        <f t="shared" si="34"/>
        <v>66.666666666666671</v>
      </c>
      <c r="U138" s="65">
        <f>基础状态预估!L138*D$15</f>
        <v>0</v>
      </c>
      <c r="V138" s="65">
        <f>基础状态预估!M138*E$15</f>
        <v>0</v>
      </c>
      <c r="W138" s="65">
        <f>基础状态预估!N138*F$15</f>
        <v>0</v>
      </c>
      <c r="X138" s="65">
        <f>基础状态预估!O138*G$15</f>
        <v>0</v>
      </c>
      <c r="Y138" s="65">
        <f>基础状态预估!P138*H$15</f>
        <v>0</v>
      </c>
      <c r="Z138" s="65">
        <f>基础状态预估!Q138*I$15</f>
        <v>0.8</v>
      </c>
      <c r="AA138" s="65">
        <f t="shared" si="35"/>
        <v>0.8</v>
      </c>
      <c r="AV138" s="51">
        <v>128</v>
      </c>
      <c r="AW138" s="51">
        <f t="shared" si="22"/>
        <v>65.049861666703364</v>
      </c>
      <c r="AX138" s="51">
        <f t="shared" si="23"/>
        <v>66.498196264828422</v>
      </c>
      <c r="AY138" s="51">
        <f t="shared" si="24"/>
        <v>66.666666666666671</v>
      </c>
      <c r="AZ138" s="51">
        <f t="shared" si="25"/>
        <v>66.666666666666671</v>
      </c>
      <c r="BA138" s="51">
        <f t="shared" si="26"/>
        <v>66.666666666666671</v>
      </c>
      <c r="BB138" s="51">
        <f t="shared" si="27"/>
        <v>0.78059834000044037</v>
      </c>
      <c r="BC138" s="51">
        <f t="shared" si="28"/>
        <v>0.79797835517794091</v>
      </c>
      <c r="BD138" s="51">
        <f t="shared" si="29"/>
        <v>0.8</v>
      </c>
      <c r="BE138" s="51">
        <f t="shared" si="30"/>
        <v>0.8</v>
      </c>
      <c r="BF138" s="51">
        <f t="shared" si="31"/>
        <v>0.8</v>
      </c>
    </row>
    <row r="139" spans="12:58" x14ac:dyDescent="0.15">
      <c r="L139" s="29">
        <f>基础状态预估!C139</f>
        <v>65535</v>
      </c>
      <c r="M139" s="29">
        <f>基础状态预估!D139</f>
        <v>160</v>
      </c>
      <c r="N139" s="65">
        <f>基础状态预估!L139*D$10/3</f>
        <v>0</v>
      </c>
      <c r="O139" s="65">
        <f>基础状态预估!M139*E$10/3</f>
        <v>0</v>
      </c>
      <c r="P139" s="65">
        <f>基础状态预估!N139*F$10/3</f>
        <v>0</v>
      </c>
      <c r="Q139" s="65">
        <f>基础状态预估!O139*G$10/3</f>
        <v>0</v>
      </c>
      <c r="R139" s="65">
        <f>基础状态预估!P139*H$10/3</f>
        <v>0</v>
      </c>
      <c r="S139" s="65">
        <f>基础状态预估!Q139*I$10/3</f>
        <v>66.666666666666671</v>
      </c>
      <c r="T139" s="65">
        <f t="shared" ref="T139" si="38">SUM(N139:S139)</f>
        <v>66.666666666666671</v>
      </c>
      <c r="U139" s="65">
        <f>基础状态预估!L139*D$15</f>
        <v>0</v>
      </c>
      <c r="V139" s="65">
        <f>基础状态预估!M139*E$15</f>
        <v>0</v>
      </c>
      <c r="W139" s="65">
        <f>基础状态预估!N139*F$15</f>
        <v>0</v>
      </c>
      <c r="X139" s="65">
        <f>基础状态预估!O139*G$15</f>
        <v>0</v>
      </c>
      <c r="Y139" s="65">
        <f>基础状态预估!P139*H$15</f>
        <v>0</v>
      </c>
      <c r="Z139" s="65">
        <f>基础状态预估!Q139*I$15</f>
        <v>0.8</v>
      </c>
      <c r="AA139" s="65">
        <f t="shared" ref="AA139" si="39">SUM(U139:Z139)</f>
        <v>0.8</v>
      </c>
      <c r="AV139" s="51">
        <v>129</v>
      </c>
      <c r="AW139" s="51">
        <f t="shared" si="22"/>
        <v>65.100386822952217</v>
      </c>
      <c r="AX139" s="51">
        <f t="shared" si="23"/>
        <v>66.503460964885861</v>
      </c>
      <c r="AY139" s="51">
        <f t="shared" si="24"/>
        <v>66.666666666666671</v>
      </c>
      <c r="AZ139" s="51">
        <f t="shared" si="25"/>
        <v>66.666666666666671</v>
      </c>
      <c r="BA139" s="51">
        <f t="shared" si="26"/>
        <v>66.666666666666671</v>
      </c>
      <c r="BB139" s="51">
        <f t="shared" si="27"/>
        <v>0.7812046418754266</v>
      </c>
      <c r="BC139" s="51">
        <f t="shared" si="28"/>
        <v>0.79804153157863034</v>
      </c>
      <c r="BD139" s="51">
        <f t="shared" si="29"/>
        <v>0.8</v>
      </c>
      <c r="BE139" s="51">
        <f t="shared" si="30"/>
        <v>0.8</v>
      </c>
      <c r="BF139" s="51">
        <f t="shared" si="31"/>
        <v>0.8</v>
      </c>
    </row>
    <row r="140" spans="12:58" x14ac:dyDescent="0.15">
      <c r="AV140" s="51">
        <v>130</v>
      </c>
      <c r="AW140" s="51">
        <f t="shared" ref="AW140:AW170" si="40">IFERROR(求节点($M$11:$M$51,$T$11:$T$51,$AV140),0)</f>
        <v>65.150911979201069</v>
      </c>
      <c r="AX140" s="51">
        <f t="shared" ref="AX140:AX170" si="41">IFERROR(求节点($M$55:$M$95,$T$55:$T$95,$AV140),0)</f>
        <v>66.508725664943313</v>
      </c>
      <c r="AY140" s="51">
        <f t="shared" ref="AY140:AY170" si="42">IFERROR(求节点($M$99:$M$139,$T$99:$T$139,$AV140),0)</f>
        <v>66.666666666666671</v>
      </c>
      <c r="AZ140" s="51">
        <f t="shared" ref="AZ140:AZ170" si="43">IFERROR(求节点($M$143:$M$183,$T$143:$T$183,$AV140),0)</f>
        <v>66.666666666666671</v>
      </c>
      <c r="BA140" s="51">
        <f t="shared" ref="BA140:BA170" si="44">IFERROR(求节点($M$187:$M$227,$T$187:$T$227,$AV140),0)</f>
        <v>66.666666666666671</v>
      </c>
      <c r="BB140" s="51">
        <f t="shared" ref="BB140:BB170" si="45">IFERROR(求节点($M$11:$M$51,$AA$11:$AA$51,$AV140),0)</f>
        <v>0.78181094375041293</v>
      </c>
      <c r="BC140" s="51">
        <f t="shared" ref="BC140:BC170" si="46">IFERROR(求节点($M$55:$M$95,$AA$55:$AA$95,$AV140),0)</f>
        <v>0.79810470797931965</v>
      </c>
      <c r="BD140" s="51">
        <f t="shared" ref="BD140:BD170" si="47">IFERROR(求节点($M$99:$M$139,$AA$99:$AA$139,$AV140),0)</f>
        <v>0.8</v>
      </c>
      <c r="BE140" s="51">
        <f t="shared" ref="BE140:BE170" si="48">IFERROR(求节点($M$143:$M$183,$AA$143:$AA$183,$AV140),0)</f>
        <v>0.8</v>
      </c>
      <c r="BF140" s="51">
        <f t="shared" ref="BF140:BF170" si="49">IFERROR(求节点($M$187:$M$227,$AA$187:$AA$227,$AV140),0)</f>
        <v>0.8</v>
      </c>
    </row>
    <row r="141" spans="12:58" x14ac:dyDescent="0.15">
      <c r="L141" s="25" t="s">
        <v>20</v>
      </c>
      <c r="M141" s="26"/>
      <c r="N141" s="88" t="s">
        <v>91</v>
      </c>
      <c r="O141" s="89"/>
      <c r="P141" s="89"/>
      <c r="Q141" s="89"/>
      <c r="R141" s="89"/>
      <c r="S141" s="90"/>
      <c r="T141" s="62"/>
      <c r="U141" s="88" t="s">
        <v>92</v>
      </c>
      <c r="V141" s="89"/>
      <c r="W141" s="89"/>
      <c r="X141" s="89"/>
      <c r="Y141" s="89"/>
      <c r="Z141" s="90"/>
      <c r="AA141" s="63"/>
      <c r="AV141" s="51">
        <v>131</v>
      </c>
      <c r="AW141" s="51">
        <f t="shared" si="40"/>
        <v>65.201437135449922</v>
      </c>
      <c r="AX141" s="51">
        <f t="shared" si="41"/>
        <v>66.513990365000751</v>
      </c>
      <c r="AY141" s="51">
        <f t="shared" si="42"/>
        <v>66.666666666666671</v>
      </c>
      <c r="AZ141" s="51">
        <f t="shared" si="43"/>
        <v>66.666666666666671</v>
      </c>
      <c r="BA141" s="51">
        <f t="shared" si="44"/>
        <v>66.666666666666671</v>
      </c>
      <c r="BB141" s="51">
        <f t="shared" si="45"/>
        <v>0.78241724562539916</v>
      </c>
      <c r="BC141" s="51">
        <f t="shared" si="46"/>
        <v>0.79816788438000896</v>
      </c>
      <c r="BD141" s="51">
        <f t="shared" si="47"/>
        <v>0.8</v>
      </c>
      <c r="BE141" s="51">
        <f t="shared" si="48"/>
        <v>0.8</v>
      </c>
      <c r="BF141" s="51">
        <f t="shared" si="49"/>
        <v>0.8</v>
      </c>
    </row>
    <row r="142" spans="12:58" x14ac:dyDescent="0.15">
      <c r="L142" s="27" t="s">
        <v>31</v>
      </c>
      <c r="M142" s="27" t="s">
        <v>25</v>
      </c>
      <c r="N142" s="64" t="s">
        <v>26</v>
      </c>
      <c r="O142" s="64" t="s">
        <v>38</v>
      </c>
      <c r="P142" s="64" t="s">
        <v>27</v>
      </c>
      <c r="Q142" s="64" t="s">
        <v>29</v>
      </c>
      <c r="R142" s="64" t="s">
        <v>28</v>
      </c>
      <c r="S142" s="64" t="s">
        <v>43</v>
      </c>
      <c r="T142" s="64" t="s">
        <v>95</v>
      </c>
      <c r="U142" s="64" t="s">
        <v>26</v>
      </c>
      <c r="V142" s="64" t="s">
        <v>38</v>
      </c>
      <c r="W142" s="64" t="s">
        <v>27</v>
      </c>
      <c r="X142" s="64" t="s">
        <v>29</v>
      </c>
      <c r="Y142" s="64" t="s">
        <v>28</v>
      </c>
      <c r="Z142" s="64" t="s">
        <v>43</v>
      </c>
      <c r="AA142" s="64" t="s">
        <v>95</v>
      </c>
      <c r="AV142" s="51">
        <v>132</v>
      </c>
      <c r="AW142" s="51">
        <f t="shared" si="40"/>
        <v>65.251962291698774</v>
      </c>
      <c r="AX142" s="51">
        <f t="shared" si="41"/>
        <v>66.519255065058204</v>
      </c>
      <c r="AY142" s="51">
        <f t="shared" si="42"/>
        <v>66.666666666666671</v>
      </c>
      <c r="AZ142" s="51">
        <f t="shared" si="43"/>
        <v>66.666666666666671</v>
      </c>
      <c r="BA142" s="51">
        <f t="shared" si="44"/>
        <v>66.666666666666671</v>
      </c>
      <c r="BB142" s="51">
        <f t="shared" si="45"/>
        <v>0.78302354750038539</v>
      </c>
      <c r="BC142" s="51">
        <f t="shared" si="46"/>
        <v>0.79823106078069839</v>
      </c>
      <c r="BD142" s="51">
        <f t="shared" si="47"/>
        <v>0.8</v>
      </c>
      <c r="BE142" s="51">
        <f t="shared" si="48"/>
        <v>0.8</v>
      </c>
      <c r="BF142" s="51">
        <f t="shared" si="49"/>
        <v>0.8</v>
      </c>
    </row>
    <row r="143" spans="12:58" x14ac:dyDescent="0.15">
      <c r="L143" s="29">
        <f>基础状态预估!C143</f>
        <v>15</v>
      </c>
      <c r="M143" s="29">
        <f>基础状态预估!D143</f>
        <v>48.731413734867289</v>
      </c>
      <c r="N143" s="65">
        <f>基础状态预估!L143*D$10/3</f>
        <v>1.1194241204601867</v>
      </c>
      <c r="O143" s="65">
        <f>基础状态预估!M143*E$10/3</f>
        <v>0.74628274697345764</v>
      </c>
      <c r="P143" s="65">
        <f>基础状态预估!N143*F$10/3</f>
        <v>0</v>
      </c>
      <c r="Q143" s="65">
        <f>基础状态预估!O143*G$10/3</f>
        <v>0</v>
      </c>
      <c r="R143" s="65">
        <f>基础状态预估!P143*H$10/3</f>
        <v>0</v>
      </c>
      <c r="S143" s="65">
        <f>基础状态预估!Q143*I$10/3</f>
        <v>0</v>
      </c>
      <c r="T143" s="65">
        <f>SUM(N143:S143)</f>
        <v>1.8657068674336443</v>
      </c>
      <c r="U143" s="65">
        <f>基础状态预估!L143*D$15</f>
        <v>1.6791361806902799E-2</v>
      </c>
      <c r="V143" s="65">
        <f>基础状态预估!M143*E$15</f>
        <v>1.1194241204601866E-2</v>
      </c>
      <c r="W143" s="65">
        <f>基础状态预估!N143*F$15</f>
        <v>0</v>
      </c>
      <c r="X143" s="65">
        <f>基础状态预估!O143*G$15</f>
        <v>0</v>
      </c>
      <c r="Y143" s="65">
        <f>基础状态预估!P143*H$15</f>
        <v>0</v>
      </c>
      <c r="Z143" s="65">
        <f>基础状态预估!Q143*I$15</f>
        <v>0</v>
      </c>
      <c r="AA143" s="65">
        <f>SUM(U143:Z143)</f>
        <v>2.7985603011504663E-2</v>
      </c>
      <c r="AV143" s="51">
        <v>133</v>
      </c>
      <c r="AW143" s="51">
        <f t="shared" si="40"/>
        <v>65.302487447947627</v>
      </c>
      <c r="AX143" s="51">
        <f t="shared" si="41"/>
        <v>66.524519765115642</v>
      </c>
      <c r="AY143" s="51">
        <f t="shared" si="42"/>
        <v>66.666666666666671</v>
      </c>
      <c r="AZ143" s="51">
        <f t="shared" si="43"/>
        <v>66.666666666666671</v>
      </c>
      <c r="BA143" s="51">
        <f t="shared" si="44"/>
        <v>66.666666666666671</v>
      </c>
      <c r="BB143" s="51">
        <f t="shared" si="45"/>
        <v>0.78362984937537161</v>
      </c>
      <c r="BC143" s="51">
        <f t="shared" si="46"/>
        <v>0.7982942371813877</v>
      </c>
      <c r="BD143" s="51">
        <f t="shared" si="47"/>
        <v>0.8</v>
      </c>
      <c r="BE143" s="51">
        <f t="shared" si="48"/>
        <v>0.8</v>
      </c>
      <c r="BF143" s="51">
        <f t="shared" si="49"/>
        <v>0.8</v>
      </c>
    </row>
    <row r="144" spans="12:58" x14ac:dyDescent="0.15">
      <c r="L144" s="29">
        <f>基础状态预估!C144</f>
        <v>30</v>
      </c>
      <c r="M144" s="29">
        <f>基础状态预估!D144</f>
        <v>58.701446767877648</v>
      </c>
      <c r="N144" s="65">
        <f>基础状态预估!L144*D$10/3</f>
        <v>6.2416223123002247E-2</v>
      </c>
      <c r="O144" s="65">
        <f>基础状态预估!M144*E$10/3</f>
        <v>3.4805787071510594</v>
      </c>
      <c r="P144" s="65">
        <f>基础状态预估!N144*F$10/3</f>
        <v>2.2208680607265889</v>
      </c>
      <c r="Q144" s="65">
        <f>基础状态预估!O144*G$10/3</f>
        <v>0</v>
      </c>
      <c r="R144" s="65">
        <f>基础状态预估!P144*H$10/3</f>
        <v>0</v>
      </c>
      <c r="S144" s="65">
        <f>基础状态预估!Q144*I$10/3</f>
        <v>0</v>
      </c>
      <c r="T144" s="65">
        <f t="shared" ref="T144:T182" si="50">SUM(N144:S144)</f>
        <v>5.76386299100065</v>
      </c>
      <c r="U144" s="65">
        <f>基础状态预估!L144*D$15</f>
        <v>9.3624334684503372E-4</v>
      </c>
      <c r="V144" s="65">
        <f>基础状态预估!M144*E$15</f>
        <v>5.2208680607265898E-2</v>
      </c>
      <c r="W144" s="65">
        <f>基础状态预估!N144*F$15</f>
        <v>2.2208680607265888E-2</v>
      </c>
      <c r="X144" s="65">
        <f>基础状态预估!O144*G$15</f>
        <v>0</v>
      </c>
      <c r="Y144" s="65">
        <f>基础状态预估!P144*H$15</f>
        <v>0</v>
      </c>
      <c r="Z144" s="65">
        <f>基础状态预估!Q144*I$15</f>
        <v>0</v>
      </c>
      <c r="AA144" s="65">
        <f t="shared" ref="AA144:AA182" si="51">SUM(U144:Z144)</f>
        <v>7.5353604561376825E-2</v>
      </c>
      <c r="AI144" s="18" t="s">
        <v>3</v>
      </c>
      <c r="AJ144" s="93" t="s">
        <v>93</v>
      </c>
      <c r="AK144" s="94"/>
      <c r="AL144" s="93" t="s">
        <v>98</v>
      </c>
      <c r="AM144" s="94"/>
      <c r="AV144" s="51">
        <v>134</v>
      </c>
      <c r="AW144" s="51">
        <f t="shared" si="40"/>
        <v>65.353012604196479</v>
      </c>
      <c r="AX144" s="51">
        <f t="shared" si="41"/>
        <v>66.529784465173094</v>
      </c>
      <c r="AY144" s="51">
        <f t="shared" si="42"/>
        <v>66.666666666666671</v>
      </c>
      <c r="AZ144" s="51">
        <f t="shared" si="43"/>
        <v>66.666666666666671</v>
      </c>
      <c r="BA144" s="51">
        <f t="shared" si="44"/>
        <v>66.666666666666671</v>
      </c>
      <c r="BB144" s="51">
        <f t="shared" si="45"/>
        <v>0.78423615125035784</v>
      </c>
      <c r="BC144" s="51">
        <f t="shared" si="46"/>
        <v>0.79835741358207701</v>
      </c>
      <c r="BD144" s="51">
        <f t="shared" si="47"/>
        <v>0.8</v>
      </c>
      <c r="BE144" s="51">
        <f t="shared" si="48"/>
        <v>0.8</v>
      </c>
      <c r="BF144" s="51">
        <f t="shared" si="49"/>
        <v>0.8</v>
      </c>
    </row>
    <row r="145" spans="12:58" x14ac:dyDescent="0.15">
      <c r="L145" s="29">
        <f>基础状态预估!C145</f>
        <v>45</v>
      </c>
      <c r="M145" s="29">
        <f>基础状态预估!D145</f>
        <v>64.399012521055653</v>
      </c>
      <c r="N145" s="65">
        <f>基础状态预估!L145*D$10/3</f>
        <v>0</v>
      </c>
      <c r="O145" s="65">
        <f>基础状态预估!M145*E$10/3</f>
        <v>2.3068970784203482</v>
      </c>
      <c r="P145" s="65">
        <f>基础状态预估!N145*F$10/3</f>
        <v>5.6394075126333911</v>
      </c>
      <c r="Q145" s="65">
        <f>基础状态预估!O145*G$10/3</f>
        <v>0</v>
      </c>
      <c r="R145" s="65">
        <f>基础状态预估!P145*H$10/3</f>
        <v>0</v>
      </c>
      <c r="S145" s="65">
        <f>基础状态预估!Q145*I$10/3</f>
        <v>0</v>
      </c>
      <c r="T145" s="65">
        <f t="shared" si="50"/>
        <v>7.9463045910537389</v>
      </c>
      <c r="U145" s="65">
        <f>基础状态预估!L145*D$15</f>
        <v>0</v>
      </c>
      <c r="V145" s="65">
        <f>基础状态预估!M145*E$15</f>
        <v>3.4603456176305218E-2</v>
      </c>
      <c r="W145" s="65">
        <f>基础状态预估!N145*F$15</f>
        <v>5.639407512633391E-2</v>
      </c>
      <c r="X145" s="65">
        <f>基础状态预估!O145*G$15</f>
        <v>0</v>
      </c>
      <c r="Y145" s="65">
        <f>基础状态预估!P145*H$15</f>
        <v>0</v>
      </c>
      <c r="Z145" s="65">
        <f>基础状态预估!Q145*I$15</f>
        <v>0</v>
      </c>
      <c r="AA145" s="65">
        <f t="shared" si="51"/>
        <v>9.0997531302639129E-2</v>
      </c>
      <c r="AI145" s="18" t="s">
        <v>25</v>
      </c>
      <c r="AJ145" s="18" t="s">
        <v>96</v>
      </c>
      <c r="AK145" s="18" t="s">
        <v>94</v>
      </c>
      <c r="AL145" s="18" t="s">
        <v>96</v>
      </c>
      <c r="AM145" s="18" t="s">
        <v>94</v>
      </c>
      <c r="AN145" s="15" t="s">
        <v>99</v>
      </c>
      <c r="AV145" s="51">
        <v>135</v>
      </c>
      <c r="AW145" s="51">
        <f t="shared" si="40"/>
        <v>65.403537760445332</v>
      </c>
      <c r="AX145" s="51">
        <f t="shared" si="41"/>
        <v>66.535049165230532</v>
      </c>
      <c r="AY145" s="51">
        <f t="shared" si="42"/>
        <v>66.666666666666671</v>
      </c>
      <c r="AZ145" s="51">
        <f t="shared" si="43"/>
        <v>66.666666666666671</v>
      </c>
      <c r="BA145" s="51">
        <f t="shared" si="44"/>
        <v>66.666666666666671</v>
      </c>
      <c r="BB145" s="51">
        <f t="shared" si="45"/>
        <v>0.78484245312534406</v>
      </c>
      <c r="BC145" s="51">
        <f t="shared" si="46"/>
        <v>0.79842058998276644</v>
      </c>
      <c r="BD145" s="51">
        <f t="shared" si="47"/>
        <v>0.8</v>
      </c>
      <c r="BE145" s="51">
        <f t="shared" si="48"/>
        <v>0.8</v>
      </c>
      <c r="BF145" s="51">
        <f t="shared" si="49"/>
        <v>0.8</v>
      </c>
    </row>
    <row r="146" spans="12:58" x14ac:dyDescent="0.15">
      <c r="L146" s="29">
        <f>基础状态预估!C146</f>
        <v>60</v>
      </c>
      <c r="M146" s="29">
        <f>基础状态预估!D146</f>
        <v>68.627579426319684</v>
      </c>
      <c r="N146" s="65">
        <f>基础状态预估!L146*D$10/3</f>
        <v>0</v>
      </c>
      <c r="O146" s="65">
        <f>基础状态预估!M146*E$10/3</f>
        <v>0</v>
      </c>
      <c r="P146" s="65">
        <f>基础状态预估!N146*F$10/3</f>
        <v>7.962914438945897</v>
      </c>
      <c r="Q146" s="65">
        <f>基础状态预估!O146*G$10/3</f>
        <v>4.3530953115836208</v>
      </c>
      <c r="R146" s="65">
        <f>基础状态预估!P146*H$10/3</f>
        <v>0</v>
      </c>
      <c r="S146" s="65">
        <f>基础状态预估!Q146*I$10/3</f>
        <v>0</v>
      </c>
      <c r="T146" s="65">
        <f t="shared" si="50"/>
        <v>12.316009750529517</v>
      </c>
      <c r="U146" s="65">
        <f>基础状态预估!L146*D$15</f>
        <v>0</v>
      </c>
      <c r="V146" s="65">
        <f>基础状态预估!M146*E$15</f>
        <v>0</v>
      </c>
      <c r="W146" s="65">
        <f>基础状态预估!N146*F$15</f>
        <v>7.9629144389458978E-2</v>
      </c>
      <c r="X146" s="65">
        <f>基础状态预估!O146*G$15</f>
        <v>4.3530953115836206E-2</v>
      </c>
      <c r="Y146" s="65">
        <f>基础状态预估!P146*H$15</f>
        <v>0</v>
      </c>
      <c r="Z146" s="65">
        <f>基础状态预估!Q146*I$15</f>
        <v>0</v>
      </c>
      <c r="AA146" s="65">
        <f t="shared" si="51"/>
        <v>0.12316009750529519</v>
      </c>
      <c r="AI146" s="18">
        <v>10</v>
      </c>
      <c r="AJ146" s="18">
        <f>IFERROR(求节点($M$143:$M$183,$T$143:$T$183,$AI146),0)</f>
        <v>0</v>
      </c>
      <c r="AK146" s="18">
        <f>IFERROR(求节点($M$143:$M$183,$AA$143:$AA$183,$AI146),0)</f>
        <v>0</v>
      </c>
      <c r="AL146" s="41">
        <f>AJ146*(INDEX([3]大r将兵属性验证!$V$7:$V$166,$AI146,1)+INDEX([3]大r将兵属性验证!$AP$7:$AP$166,$AI146,1))</f>
        <v>0</v>
      </c>
      <c r="AM146" s="11">
        <f>AK146*(INDEX([3]大r将兵属性验证!$AC$7:$AC$166,$AI146,1)*0.5+INDEX([3]大r将兵属性验证!$AX$7:$AX$166,$AI146,1)*0.5)</f>
        <v>0</v>
      </c>
      <c r="AN146" s="50">
        <f>IFERROR(求节点(付费投放!$T$143:$T$183,付费投放!$Z$143:$Z$183,AI146),0)</f>
        <v>0</v>
      </c>
      <c r="AV146" s="51">
        <v>136</v>
      </c>
      <c r="AW146" s="51">
        <f t="shared" si="40"/>
        <v>65.454062916694184</v>
      </c>
      <c r="AX146" s="51">
        <f t="shared" si="41"/>
        <v>66.540313865287985</v>
      </c>
      <c r="AY146" s="51">
        <f t="shared" si="42"/>
        <v>66.666666666666671</v>
      </c>
      <c r="AZ146" s="51">
        <f t="shared" si="43"/>
        <v>66.666666666666671</v>
      </c>
      <c r="BA146" s="51">
        <f t="shared" si="44"/>
        <v>66.666666666666671</v>
      </c>
      <c r="BB146" s="51">
        <f t="shared" si="45"/>
        <v>0.78544875500033029</v>
      </c>
      <c r="BC146" s="51">
        <f t="shared" si="46"/>
        <v>0.79848376638345575</v>
      </c>
      <c r="BD146" s="51">
        <f t="shared" si="47"/>
        <v>0.8</v>
      </c>
      <c r="BE146" s="51">
        <f t="shared" si="48"/>
        <v>0.8</v>
      </c>
      <c r="BF146" s="51">
        <f t="shared" si="49"/>
        <v>0.8</v>
      </c>
    </row>
    <row r="147" spans="12:58" x14ac:dyDescent="0.15">
      <c r="L147" s="29">
        <f>基础状态预估!C147</f>
        <v>75</v>
      </c>
      <c r="M147" s="29">
        <f>基础状态预估!D147</f>
        <v>71.882008108111634</v>
      </c>
      <c r="N147" s="65">
        <f>基础状态预估!L147*D$10/3</f>
        <v>0</v>
      </c>
      <c r="O147" s="65">
        <f>基础状态预估!M147*E$10/3</f>
        <v>0</v>
      </c>
      <c r="P147" s="65">
        <f>基础状态预估!N147*F$10/3</f>
        <v>6.7334636036022717</v>
      </c>
      <c r="Q147" s="65">
        <f>基础状态预估!O147*G$10/3</f>
        <v>8.2584097297339607</v>
      </c>
      <c r="R147" s="65">
        <f>基础状态预估!P147*H$10/3</f>
        <v>0</v>
      </c>
      <c r="S147" s="65">
        <f>基础状态预估!Q147*I$10/3</f>
        <v>0</v>
      </c>
      <c r="T147" s="65">
        <f t="shared" si="50"/>
        <v>14.991873333336233</v>
      </c>
      <c r="U147" s="65">
        <f>基础状态预估!L147*D$15</f>
        <v>0</v>
      </c>
      <c r="V147" s="65">
        <f>基础状态预估!M147*E$15</f>
        <v>0</v>
      </c>
      <c r="W147" s="65">
        <f>基础状态预估!N147*F$15</f>
        <v>6.7334636036022716E-2</v>
      </c>
      <c r="X147" s="65">
        <f>基础状态预估!O147*G$15</f>
        <v>8.2584097297339606E-2</v>
      </c>
      <c r="Y147" s="65">
        <f>基础状态预估!P147*H$15</f>
        <v>0</v>
      </c>
      <c r="Z147" s="65">
        <f>基础状态预估!Q147*I$15</f>
        <v>0</v>
      </c>
      <c r="AA147" s="65">
        <f t="shared" si="51"/>
        <v>0.14991873333336231</v>
      </c>
      <c r="AI147" s="18">
        <v>20</v>
      </c>
      <c r="AJ147" s="18">
        <f t="shared" ref="AJ147:AJ161" si="52">IFERROR(求节点($M$143:$M$183,$T$143:$T$183,$AI147),0)</f>
        <v>0</v>
      </c>
      <c r="AK147" s="18">
        <f t="shared" ref="AK147:AK161" si="53">IFERROR(求节点($M$143:$M$183,$AA$143:$AA$183,$AI147),0)</f>
        <v>0</v>
      </c>
      <c r="AL147" s="28">
        <f>(AJ147-AJ146)*(INDEX([3]大r将兵属性验证!$V$7:$V$166,$AI147,1)+INDEX([3]大r将兵属性验证!$AP$7:$AP$166,$AI147,1))+AL146</f>
        <v>0</v>
      </c>
      <c r="AM147" s="5">
        <f>(AK147-AK146)*(INDEX([3]大r将兵属性验证!$AC$7:$AC$166,$AI147,1)*0.5+INDEX([3]大r将兵属性验证!$AX$7:$AX$166,$AI147,1)*0.5)+AM146</f>
        <v>0</v>
      </c>
      <c r="AN147" s="50">
        <f>IFERROR(求节点(付费投放!$T$143:$T$183,付费投放!$Z$143:$Z$183,AI147),0)</f>
        <v>0</v>
      </c>
      <c r="AV147" s="51">
        <v>137</v>
      </c>
      <c r="AW147" s="51">
        <f t="shared" si="40"/>
        <v>65.504588072943037</v>
      </c>
      <c r="AX147" s="51">
        <f t="shared" si="41"/>
        <v>66.545578565345423</v>
      </c>
      <c r="AY147" s="51">
        <f t="shared" si="42"/>
        <v>66.666666666666671</v>
      </c>
      <c r="AZ147" s="51">
        <f t="shared" si="43"/>
        <v>66.666666666666671</v>
      </c>
      <c r="BA147" s="51">
        <f t="shared" si="44"/>
        <v>66.666666666666671</v>
      </c>
      <c r="BB147" s="51">
        <f t="shared" si="45"/>
        <v>0.78605505687531652</v>
      </c>
      <c r="BC147" s="51">
        <f t="shared" si="46"/>
        <v>0.79854694278414506</v>
      </c>
      <c r="BD147" s="51">
        <f t="shared" si="47"/>
        <v>0.8</v>
      </c>
      <c r="BE147" s="51">
        <f t="shared" si="48"/>
        <v>0.8</v>
      </c>
      <c r="BF147" s="51">
        <f t="shared" si="49"/>
        <v>0.8</v>
      </c>
    </row>
    <row r="148" spans="12:58" x14ac:dyDescent="0.15">
      <c r="L148" s="29">
        <f>基础状态预估!C148</f>
        <v>90</v>
      </c>
      <c r="M148" s="29">
        <f>基础状态预估!D148</f>
        <v>74.493385467679886</v>
      </c>
      <c r="N148" s="65">
        <f>基础状态预估!L148*D$10/3</f>
        <v>0</v>
      </c>
      <c r="O148" s="65">
        <f>基础状态预估!M148*E$10/3</f>
        <v>0</v>
      </c>
      <c r="P148" s="65">
        <f>基础状态预估!N148*F$10/3</f>
        <v>5.7469432677653769</v>
      </c>
      <c r="Q148" s="65">
        <f>基础状态预估!O148*G$10/3</f>
        <v>11.392062561215861</v>
      </c>
      <c r="R148" s="65">
        <f>基础状态预估!P148*H$10/3</f>
        <v>0</v>
      </c>
      <c r="S148" s="65">
        <f>基础状态预估!Q148*I$10/3</f>
        <v>0</v>
      </c>
      <c r="T148" s="65">
        <f t="shared" si="50"/>
        <v>17.139005828981237</v>
      </c>
      <c r="U148" s="65">
        <f>基础状态预估!L148*D$15</f>
        <v>0</v>
      </c>
      <c r="V148" s="65">
        <f>基础状态预估!M148*E$15</f>
        <v>0</v>
      </c>
      <c r="W148" s="65">
        <f>基础状态预估!N148*F$15</f>
        <v>5.746943267765376E-2</v>
      </c>
      <c r="X148" s="65">
        <f>基础状态预估!O148*G$15</f>
        <v>0.11392062561215863</v>
      </c>
      <c r="Y148" s="65">
        <f>基础状态预估!P148*H$15</f>
        <v>0</v>
      </c>
      <c r="Z148" s="65">
        <f>基础状态预估!Q148*I$15</f>
        <v>0</v>
      </c>
      <c r="AA148" s="65">
        <f t="shared" si="51"/>
        <v>0.17139005828981238</v>
      </c>
      <c r="AI148" s="18">
        <v>30</v>
      </c>
      <c r="AJ148" s="18">
        <f t="shared" si="52"/>
        <v>0</v>
      </c>
      <c r="AK148" s="18">
        <f t="shared" si="53"/>
        <v>0</v>
      </c>
      <c r="AL148" s="28">
        <f>(AJ148-AJ147)*(INDEX([3]大r将兵属性验证!$V$7:$V$166,$AI148,1)+INDEX([3]大r将兵属性验证!$AP$7:$AP$166,$AI148,1))+AL147</f>
        <v>0</v>
      </c>
      <c r="AM148" s="5">
        <f>(AK148-AK147)*(INDEX([3]大r将兵属性验证!$AC$7:$AC$166,$AI148,1)*0.5+INDEX([3]大r将兵属性验证!$AX$7:$AX$166,$AI148,1)*0.5)+AM147</f>
        <v>0</v>
      </c>
      <c r="AN148" s="50">
        <f>IFERROR(求节点(付费投放!$T$143:$T$183,付费投放!$Z$143:$Z$183,AI148),0)</f>
        <v>0</v>
      </c>
      <c r="AV148" s="51">
        <v>138</v>
      </c>
      <c r="AW148" s="51">
        <f t="shared" si="40"/>
        <v>65.555113229191889</v>
      </c>
      <c r="AX148" s="51">
        <f t="shared" si="41"/>
        <v>66.550843265402875</v>
      </c>
      <c r="AY148" s="51">
        <f t="shared" si="42"/>
        <v>66.666666666666671</v>
      </c>
      <c r="AZ148" s="51">
        <f t="shared" si="43"/>
        <v>66.666666666666671</v>
      </c>
      <c r="BA148" s="51">
        <f t="shared" si="44"/>
        <v>66.666666666666671</v>
      </c>
      <c r="BB148" s="51">
        <f t="shared" si="45"/>
        <v>0.78666135875030274</v>
      </c>
      <c r="BC148" s="51">
        <f t="shared" si="46"/>
        <v>0.79861011918483438</v>
      </c>
      <c r="BD148" s="51">
        <f t="shared" si="47"/>
        <v>0.8</v>
      </c>
      <c r="BE148" s="51">
        <f t="shared" si="48"/>
        <v>0.8</v>
      </c>
      <c r="BF148" s="51">
        <f t="shared" si="49"/>
        <v>0.8</v>
      </c>
    </row>
    <row r="149" spans="12:58" x14ac:dyDescent="0.15">
      <c r="L149" s="29">
        <f>基础状态预估!C149</f>
        <v>105</v>
      </c>
      <c r="M149" s="29">
        <f>基础状态预估!D149</f>
        <v>76.672104206565521</v>
      </c>
      <c r="N149" s="65">
        <f>基础状态预估!L149*D$10/3</f>
        <v>0</v>
      </c>
      <c r="O149" s="65">
        <f>基础状态预估!M149*E$10/3</f>
        <v>0</v>
      </c>
      <c r="P149" s="65">
        <f>基础状态预估!N149*F$10/3</f>
        <v>1.4124529103987644</v>
      </c>
      <c r="Q149" s="65">
        <f>基础状态预估!O149*G$10/3</f>
        <v>19.022837667575189</v>
      </c>
      <c r="R149" s="65">
        <f>基础状态预估!P149*H$10/3</f>
        <v>2.6753667305048339</v>
      </c>
      <c r="S149" s="65">
        <f>基础状态预估!Q149*I$10/3</f>
        <v>0</v>
      </c>
      <c r="T149" s="65">
        <f t="shared" si="50"/>
        <v>23.110657308478785</v>
      </c>
      <c r="U149" s="65">
        <f>基础状态预估!L149*D$15</f>
        <v>0</v>
      </c>
      <c r="V149" s="65">
        <f>基础状态预估!M149*E$15</f>
        <v>0</v>
      </c>
      <c r="W149" s="65">
        <f>基础状态预估!N149*F$15</f>
        <v>1.4124529103987645E-2</v>
      </c>
      <c r="X149" s="65">
        <f>基础状态预估!O149*G$15</f>
        <v>0.1902283766757519</v>
      </c>
      <c r="Y149" s="65">
        <f>基础状态预估!P149*H$15</f>
        <v>2.0065250478786253E-2</v>
      </c>
      <c r="Z149" s="65">
        <f>基础状态预估!Q149*I$15</f>
        <v>0</v>
      </c>
      <c r="AA149" s="65">
        <f t="shared" si="51"/>
        <v>0.22441815625852579</v>
      </c>
      <c r="AI149" s="18">
        <v>40</v>
      </c>
      <c r="AJ149" s="18">
        <f t="shared" si="52"/>
        <v>0</v>
      </c>
      <c r="AK149" s="18">
        <f t="shared" si="53"/>
        <v>0</v>
      </c>
      <c r="AL149" s="28">
        <f>(AJ149-AJ148)*(INDEX([3]大r将兵属性验证!$V$7:$V$166,$AI149,1)+INDEX([3]大r将兵属性验证!$AP$7:$AP$166,$AI149,1))+AL148</f>
        <v>0</v>
      </c>
      <c r="AM149" s="5">
        <f>(AK149-AK148)*(INDEX([3]大r将兵属性验证!$AC$7:$AC$166,$AI149,1)*0.5+INDEX([3]大r将兵属性验证!$AX$7:$AX$166,$AI149,1)*0.5)+AM148</f>
        <v>0</v>
      </c>
      <c r="AN149" s="50">
        <f>IFERROR(求节点(付费投放!$T$143:$T$183,付费投放!$Z$143:$Z$183,AI149),0)</f>
        <v>0</v>
      </c>
      <c r="AV149" s="51">
        <v>139</v>
      </c>
      <c r="AW149" s="51">
        <f t="shared" si="40"/>
        <v>65.605638385440756</v>
      </c>
      <c r="AX149" s="51">
        <f t="shared" si="41"/>
        <v>66.556107965460313</v>
      </c>
      <c r="AY149" s="51">
        <f t="shared" si="42"/>
        <v>66.666666666666671</v>
      </c>
      <c r="AZ149" s="51">
        <f t="shared" si="43"/>
        <v>66.666666666666671</v>
      </c>
      <c r="BA149" s="51">
        <f t="shared" si="44"/>
        <v>66.666666666666671</v>
      </c>
      <c r="BB149" s="51">
        <f t="shared" si="45"/>
        <v>0.78726766062528908</v>
      </c>
      <c r="BC149" s="51">
        <f t="shared" si="46"/>
        <v>0.7986732955855238</v>
      </c>
      <c r="BD149" s="51">
        <f t="shared" si="47"/>
        <v>0.8</v>
      </c>
      <c r="BE149" s="51">
        <f t="shared" si="48"/>
        <v>0.8</v>
      </c>
      <c r="BF149" s="51">
        <f t="shared" si="49"/>
        <v>0.8</v>
      </c>
    </row>
    <row r="150" spans="12:58" x14ac:dyDescent="0.15">
      <c r="L150" s="29">
        <f>基础状态预估!C150</f>
        <v>120</v>
      </c>
      <c r="M150" s="29">
        <f>基础状态预估!D150</f>
        <v>78.608065926757661</v>
      </c>
      <c r="N150" s="65">
        <f>基础状态预估!L150*D$10/3</f>
        <v>0</v>
      </c>
      <c r="O150" s="65">
        <f>基础状态预估!M150*E$10/3</f>
        <v>0</v>
      </c>
      <c r="P150" s="65">
        <f>基础状态预估!N150*F$10/3</f>
        <v>0</v>
      </c>
      <c r="Q150" s="65">
        <f>基础状态预估!O150*G$10/3</f>
        <v>20.313547258593871</v>
      </c>
      <c r="R150" s="65">
        <f>基础状态预估!P150*H$10/3</f>
        <v>5.7729054828122566</v>
      </c>
      <c r="S150" s="65">
        <f>基础状态预估!Q150*I$10/3</f>
        <v>0</v>
      </c>
      <c r="T150" s="65">
        <f t="shared" si="50"/>
        <v>26.086452741406127</v>
      </c>
      <c r="U150" s="65">
        <f>基础状态预估!L150*D$15</f>
        <v>0</v>
      </c>
      <c r="V150" s="65">
        <f>基础状态预估!M150*E$15</f>
        <v>0</v>
      </c>
      <c r="W150" s="65">
        <f>基础状态预估!N150*F$15</f>
        <v>0</v>
      </c>
      <c r="X150" s="65">
        <f>基础状态预估!O150*G$15</f>
        <v>0.20313547258593873</v>
      </c>
      <c r="Y150" s="65">
        <f>基础状态预估!P150*H$15</f>
        <v>4.3296791121091929E-2</v>
      </c>
      <c r="Z150" s="65">
        <f>基础状态预估!Q150*I$15</f>
        <v>0</v>
      </c>
      <c r="AA150" s="65">
        <f t="shared" si="51"/>
        <v>0.24643226370703064</v>
      </c>
      <c r="AI150" s="18">
        <v>50</v>
      </c>
      <c r="AJ150" s="18">
        <f t="shared" si="52"/>
        <v>2.3617079640525724</v>
      </c>
      <c r="AK150" s="18">
        <f t="shared" si="53"/>
        <v>3.4012704022503927E-2</v>
      </c>
      <c r="AL150" s="28">
        <f>(AJ150-AJ149)*(INDEX([3]大r将兵属性验证!$V$7:$V$166,$AI150,1)+INDEX([3]大r将兵属性验证!$AP$7:$AP$166,$AI150,1))+AL149</f>
        <v>61237389.037536614</v>
      </c>
      <c r="AM150" s="5">
        <f>(AK150-AK149)*(INDEX([3]大r将兵属性验证!$AC$7:$AC$166,$AI150,1)*0.5+INDEX([3]大r将兵属性验证!$AX$7:$AX$166,$AI150,1)*0.5)+AM149</f>
        <v>76538618.514248133</v>
      </c>
      <c r="AN150" s="50">
        <f>IFERROR(求节点(付费投放!$T$143:$T$183,付费投放!$Z$143:$Z$183,AI150),0)</f>
        <v>888.1346833364222</v>
      </c>
      <c r="AV150" s="51">
        <v>140</v>
      </c>
      <c r="AW150" s="51">
        <f t="shared" si="40"/>
        <v>65.656163541689608</v>
      </c>
      <c r="AX150" s="51">
        <f t="shared" si="41"/>
        <v>66.561372665517766</v>
      </c>
      <c r="AY150" s="51">
        <f t="shared" si="42"/>
        <v>66.666666666666671</v>
      </c>
      <c r="AZ150" s="51">
        <f t="shared" si="43"/>
        <v>66.666666666666671</v>
      </c>
      <c r="BA150" s="51">
        <f t="shared" si="44"/>
        <v>66.666666666666671</v>
      </c>
      <c r="BB150" s="51">
        <f t="shared" si="45"/>
        <v>0.7878739625002753</v>
      </c>
      <c r="BC150" s="51">
        <f t="shared" si="46"/>
        <v>0.79873647198621311</v>
      </c>
      <c r="BD150" s="51">
        <f t="shared" si="47"/>
        <v>0.8</v>
      </c>
      <c r="BE150" s="51">
        <f t="shared" si="48"/>
        <v>0.8</v>
      </c>
      <c r="BF150" s="51">
        <f t="shared" si="49"/>
        <v>0.8</v>
      </c>
    </row>
    <row r="151" spans="12:58" x14ac:dyDescent="0.15">
      <c r="L151" s="29">
        <f>基础状态预估!C151</f>
        <v>150</v>
      </c>
      <c r="M151" s="29">
        <f>基础状态预估!D151</f>
        <v>81.919202803497143</v>
      </c>
      <c r="N151" s="65">
        <f>基础状态预估!L151*D$10/3</f>
        <v>5.9211894646675012E-16</v>
      </c>
      <c r="O151" s="65">
        <f>基础状态预估!M151*E$10/3</f>
        <v>-1.1842378929335002E-15</v>
      </c>
      <c r="P151" s="65">
        <f>基础状态预估!N151*F$10/3</f>
        <v>1.7763568394002505E-15</v>
      </c>
      <c r="Q151" s="65">
        <f>基础状态预估!O151*G$10/3</f>
        <v>17.664637757202286</v>
      </c>
      <c r="R151" s="65">
        <f>基础状态预估!P151*H$10/3</f>
        <v>11.070724485595427</v>
      </c>
      <c r="S151" s="65">
        <f>基础状态预估!Q151*I$10/3</f>
        <v>0</v>
      </c>
      <c r="T151" s="65">
        <f t="shared" si="50"/>
        <v>28.735362242797713</v>
      </c>
      <c r="U151" s="65">
        <f>基础状态预估!L151*D$15</f>
        <v>8.8817841970012525E-18</v>
      </c>
      <c r="V151" s="65">
        <f>基础状态预估!M151*E$15</f>
        <v>-1.7763568394002505E-17</v>
      </c>
      <c r="W151" s="65">
        <f>基础状态预估!N151*F$15</f>
        <v>1.7763568394002505E-17</v>
      </c>
      <c r="X151" s="65">
        <f>基础状态预估!O151*G$15</f>
        <v>0.17664637757202287</v>
      </c>
      <c r="Y151" s="65">
        <f>基础状态预估!P151*H$15</f>
        <v>8.3030433641965704E-2</v>
      </c>
      <c r="Z151" s="65">
        <f>基础状态预估!Q151*I$15</f>
        <v>0</v>
      </c>
      <c r="AA151" s="65">
        <f t="shared" si="51"/>
        <v>0.25967681121398856</v>
      </c>
      <c r="AI151" s="18">
        <v>60</v>
      </c>
      <c r="AJ151" s="18">
        <f t="shared" si="52"/>
        <v>6.2612713082432281</v>
      </c>
      <c r="AK151" s="18">
        <f t="shared" si="53"/>
        <v>7.8919069623648447E-2</v>
      </c>
      <c r="AL151" s="28">
        <f>(AJ151-AJ150)*(INDEX([3]大r将兵属性验证!$V$7:$V$166,$AI151,1)+INDEX([3]大r将兵属性验证!$AP$7:$AP$166,$AI151,1))+AL150</f>
        <v>273472692.39426428</v>
      </c>
      <c r="AM151" s="5">
        <f>(AK151-AK150)*(INDEX([3]大r将兵属性验证!$AC$7:$AC$166,$AI151,1)*0.5+INDEX([3]大r将兵属性验证!$AX$7:$AX$166,$AI151,1)*0.5)+AM150</f>
        <v>321110873.63187903</v>
      </c>
      <c r="AN151" s="50">
        <f>IFERROR(求节点(付费投放!$T$143:$T$183,付费投放!$Z$143:$Z$183,AI151),0)</f>
        <v>8570.8375528897268</v>
      </c>
      <c r="AV151" s="51">
        <v>141</v>
      </c>
      <c r="AW151" s="51">
        <f t="shared" si="40"/>
        <v>65.706688697938461</v>
      </c>
      <c r="AX151" s="51">
        <f t="shared" si="41"/>
        <v>66.566637365575204</v>
      </c>
      <c r="AY151" s="51">
        <f t="shared" si="42"/>
        <v>66.666666666666671</v>
      </c>
      <c r="AZ151" s="51">
        <f t="shared" si="43"/>
        <v>66.666666666666671</v>
      </c>
      <c r="BA151" s="51">
        <f t="shared" si="44"/>
        <v>66.666666666666671</v>
      </c>
      <c r="BB151" s="51">
        <f t="shared" si="45"/>
        <v>0.78848026437526153</v>
      </c>
      <c r="BC151" s="51">
        <f t="shared" si="46"/>
        <v>0.79879964838690243</v>
      </c>
      <c r="BD151" s="51">
        <f t="shared" si="47"/>
        <v>0.8</v>
      </c>
      <c r="BE151" s="51">
        <f t="shared" si="48"/>
        <v>0.8</v>
      </c>
      <c r="BF151" s="51">
        <f t="shared" si="49"/>
        <v>0.8</v>
      </c>
    </row>
    <row r="152" spans="12:58" x14ac:dyDescent="0.15">
      <c r="L152" s="29">
        <f>基础状态预估!C152</f>
        <v>180</v>
      </c>
      <c r="M152" s="29">
        <f>基础状态预估!D152</f>
        <v>84.557504671530296</v>
      </c>
      <c r="N152" s="65">
        <f>基础状态预估!L152*D$10/3</f>
        <v>0</v>
      </c>
      <c r="O152" s="65">
        <f>基础状态预估!M152*E$10/3</f>
        <v>0</v>
      </c>
      <c r="P152" s="65">
        <f>基础状态预估!N152*F$10/3</f>
        <v>0</v>
      </c>
      <c r="Q152" s="65">
        <f>基础状态预估!O152*G$10/3</f>
        <v>15.553996262775764</v>
      </c>
      <c r="R152" s="65">
        <f>基础状态预估!P152*H$10/3</f>
        <v>15.292007474448473</v>
      </c>
      <c r="S152" s="65">
        <f>基础状态预估!Q152*I$10/3</f>
        <v>0</v>
      </c>
      <c r="T152" s="65">
        <f t="shared" si="50"/>
        <v>30.846003737224237</v>
      </c>
      <c r="U152" s="65">
        <f>基础状态预估!L152*D$15</f>
        <v>0</v>
      </c>
      <c r="V152" s="65">
        <f>基础状态预估!M152*E$15</f>
        <v>0</v>
      </c>
      <c r="W152" s="65">
        <f>基础状态预估!N152*F$15</f>
        <v>0</v>
      </c>
      <c r="X152" s="65">
        <f>基础状态预估!O152*G$15</f>
        <v>0.15553996262775766</v>
      </c>
      <c r="Y152" s="65">
        <f>基础状态预估!P152*H$15</f>
        <v>0.11469005605836355</v>
      </c>
      <c r="Z152" s="65">
        <f>基础状态预估!Q152*I$15</f>
        <v>0</v>
      </c>
      <c r="AA152" s="65">
        <f t="shared" si="51"/>
        <v>0.27023001868612118</v>
      </c>
      <c r="AI152" s="18">
        <v>70</v>
      </c>
      <c r="AJ152" s="18">
        <f t="shared" si="52"/>
        <v>13.444444444444445</v>
      </c>
      <c r="AK152" s="18">
        <f t="shared" si="53"/>
        <v>0.13444444444444445</v>
      </c>
      <c r="AL152" s="28">
        <f>(AJ152-AJ151)*(INDEX([3]大r将兵属性验证!$V$7:$V$166,$AI152,1)+INDEX([3]大r将兵属性验证!$AP$7:$AP$166,$AI152,1))+AL151</f>
        <v>1473444288.2292707</v>
      </c>
      <c r="AM152" s="5">
        <f>(AK152-AK151)*(INDEX([3]大r将兵属性验证!$AC$7:$AC$166,$AI152,1)*0.5+INDEX([3]大r将兵属性验证!$AX$7:$AX$166,$AI152,1)*0.5)+AM151</f>
        <v>1155836955.6104445</v>
      </c>
      <c r="AN152" s="50">
        <f>IFERROR(求节点(付费投放!$T$143:$T$183,付费投放!$Z$143:$Z$183,AI152),0)</f>
        <v>23883.526050481447</v>
      </c>
      <c r="AV152" s="51">
        <v>142</v>
      </c>
      <c r="AW152" s="51">
        <f t="shared" si="40"/>
        <v>65.757213854187313</v>
      </c>
      <c r="AX152" s="51">
        <f t="shared" si="41"/>
        <v>66.571902065632656</v>
      </c>
      <c r="AY152" s="51">
        <f t="shared" si="42"/>
        <v>66.666666666666671</v>
      </c>
      <c r="AZ152" s="51">
        <f t="shared" si="43"/>
        <v>66.666666666666671</v>
      </c>
      <c r="BA152" s="51">
        <f t="shared" si="44"/>
        <v>66.666666666666671</v>
      </c>
      <c r="BB152" s="51">
        <f t="shared" si="45"/>
        <v>0.78908656625024776</v>
      </c>
      <c r="BC152" s="51">
        <f t="shared" si="46"/>
        <v>0.79886282478759185</v>
      </c>
      <c r="BD152" s="51">
        <f t="shared" si="47"/>
        <v>0.8</v>
      </c>
      <c r="BE152" s="51">
        <f t="shared" si="48"/>
        <v>0.8</v>
      </c>
      <c r="BF152" s="51">
        <f t="shared" si="49"/>
        <v>0.8</v>
      </c>
    </row>
    <row r="153" spans="12:58" x14ac:dyDescent="0.15">
      <c r="L153" s="29">
        <f>基础状态预估!C153</f>
        <v>210</v>
      </c>
      <c r="M153" s="29">
        <f>基础状态预估!D153</f>
        <v>86.804267332174788</v>
      </c>
      <c r="N153" s="65">
        <f>基础状态预估!L153*D$10/3</f>
        <v>0</v>
      </c>
      <c r="O153" s="65">
        <f>基础状态预估!M153*E$10/3</f>
        <v>0</v>
      </c>
      <c r="P153" s="65">
        <f>基础状态预估!N153*F$10/3</f>
        <v>0</v>
      </c>
      <c r="Q153" s="65">
        <f>基础状态预估!O153*G$10/3</f>
        <v>0</v>
      </c>
      <c r="R153" s="65">
        <f>基础状态预估!P153*H$10/3</f>
        <v>35.785528711420056</v>
      </c>
      <c r="S153" s="65">
        <f>基础状态预估!Q153*I$10/3</f>
        <v>1.8042673321747882</v>
      </c>
      <c r="T153" s="65">
        <f t="shared" si="50"/>
        <v>37.589796043594845</v>
      </c>
      <c r="U153" s="65">
        <f>基础状态预估!L153*D$15</f>
        <v>0</v>
      </c>
      <c r="V153" s="65">
        <f>基础状态预估!M153*E$15</f>
        <v>0</v>
      </c>
      <c r="W153" s="65">
        <f>基础状态预估!N153*F$15</f>
        <v>0</v>
      </c>
      <c r="X153" s="65">
        <f>基础状态预估!O153*G$15</f>
        <v>0</v>
      </c>
      <c r="Y153" s="65">
        <f>基础状态预估!P153*H$15</f>
        <v>0.26839146533565045</v>
      </c>
      <c r="Z153" s="65">
        <f>基础状态预估!Q153*I$15</f>
        <v>2.1651207986097459E-2</v>
      </c>
      <c r="AA153" s="65">
        <f t="shared" si="51"/>
        <v>0.29004267332174793</v>
      </c>
      <c r="AI153" s="18">
        <v>80</v>
      </c>
      <c r="AJ153" s="18">
        <f t="shared" si="52"/>
        <v>27.2</v>
      </c>
      <c r="AK153" s="18">
        <f t="shared" si="53"/>
        <v>0.252</v>
      </c>
      <c r="AL153" s="28">
        <f>(AJ153-AJ152)*(INDEX([3]大r将兵属性验证!$V$7:$V$166,$AI153,1)+INDEX([3]大r将兵属性验证!$AP$7:$AP$166,$AI153,1))+AL152</f>
        <v>7893989564.3937864</v>
      </c>
      <c r="AM153" s="5">
        <f>(AK153-AK152)*(INDEX([3]大r将兵属性验证!$AC$7:$AC$166,$AI153,1)*0.5+INDEX([3]大r将兵属性验证!$AX$7:$AX$166,$AI153,1)*0.5)+AM152</f>
        <v>5870680990.1336937</v>
      </c>
      <c r="AN153" s="50">
        <f>IFERROR(求节点(付费投放!$T$143:$T$183,付费投放!$Z$143:$Z$183,AI153),0)</f>
        <v>112800.77401436039</v>
      </c>
      <c r="AV153" s="51">
        <v>143</v>
      </c>
      <c r="AW153" s="51">
        <f t="shared" si="40"/>
        <v>65.807739010436165</v>
      </c>
      <c r="AX153" s="51">
        <f t="shared" si="41"/>
        <v>66.577166765690095</v>
      </c>
      <c r="AY153" s="51">
        <f t="shared" si="42"/>
        <v>66.666666666666671</v>
      </c>
      <c r="AZ153" s="51">
        <f t="shared" si="43"/>
        <v>66.666666666666671</v>
      </c>
      <c r="BA153" s="51">
        <f t="shared" si="44"/>
        <v>66.666666666666671</v>
      </c>
      <c r="BB153" s="51">
        <f t="shared" si="45"/>
        <v>0.78969286812523398</v>
      </c>
      <c r="BC153" s="51">
        <f t="shared" si="46"/>
        <v>0.79892600118828117</v>
      </c>
      <c r="BD153" s="51">
        <f t="shared" si="47"/>
        <v>0.8</v>
      </c>
      <c r="BE153" s="51">
        <f t="shared" si="48"/>
        <v>0.8</v>
      </c>
      <c r="BF153" s="51">
        <f t="shared" si="49"/>
        <v>0.8</v>
      </c>
    </row>
    <row r="154" spans="12:58" x14ac:dyDescent="0.15">
      <c r="L154" s="29">
        <f>基础状态预估!C154</f>
        <v>240</v>
      </c>
      <c r="M154" s="29">
        <f>基础状态预估!D154</f>
        <v>88.978258962579233</v>
      </c>
      <c r="N154" s="65">
        <f>基础状态预估!L154*D$10/3</f>
        <v>0</v>
      </c>
      <c r="O154" s="65">
        <f>基础状态预估!M154*E$10/3</f>
        <v>0</v>
      </c>
      <c r="P154" s="65">
        <f>基础状态预估!N154*F$10/3</f>
        <v>0</v>
      </c>
      <c r="Q154" s="65">
        <f>基础状态预估!O154*G$10/3</f>
        <v>0</v>
      </c>
      <c r="R154" s="65">
        <f>基础状态预估!P154*H$10/3</f>
        <v>35.109882023914423</v>
      </c>
      <c r="S154" s="65">
        <f>基础状态预估!Q154*I$10/3</f>
        <v>3.9782589625792326</v>
      </c>
      <c r="T154" s="65">
        <f t="shared" si="50"/>
        <v>39.088140986493656</v>
      </c>
      <c r="U154" s="65">
        <f>基础状态预估!L154*D$15</f>
        <v>0</v>
      </c>
      <c r="V154" s="65">
        <f>基础状态预估!M154*E$15</f>
        <v>0</v>
      </c>
      <c r="W154" s="65">
        <f>基础状态预估!N154*F$15</f>
        <v>0</v>
      </c>
      <c r="X154" s="65">
        <f>基础状态预估!O154*G$15</f>
        <v>0</v>
      </c>
      <c r="Y154" s="65">
        <f>基础状态预估!P154*H$15</f>
        <v>0.26332411517935816</v>
      </c>
      <c r="Z154" s="65">
        <f>基础状态预估!Q154*I$15</f>
        <v>4.7739107550950788E-2</v>
      </c>
      <c r="AA154" s="65">
        <f t="shared" si="51"/>
        <v>0.31106322273030895</v>
      </c>
      <c r="AI154" s="18">
        <v>90</v>
      </c>
      <c r="AJ154" s="18">
        <f t="shared" si="52"/>
        <v>39.787878787878789</v>
      </c>
      <c r="AK154" s="18">
        <f t="shared" si="53"/>
        <v>0.32090909090909092</v>
      </c>
      <c r="AL154" s="28">
        <f>(AJ154-AJ153)*(INDEX([3]大r将兵属性验证!$V$7:$V$166,$AI154,1)+INDEX([3]大r将兵属性验证!$AP$7:$AP$166,$AI154,1))+AL153</f>
        <v>24307486600.737766</v>
      </c>
      <c r="AM154" s="5">
        <f>(AK154-AK153)*(INDEX([3]大r将兵属性验证!$AC$7:$AC$166,$AI154,1)*0.5+INDEX([3]大r将兵属性验证!$AX$7:$AX$166,$AI154,1)*0.5)+AM153</f>
        <v>12821797877.801279</v>
      </c>
      <c r="AN154" s="50">
        <f>IFERROR(求节点(付费投放!$T$143:$T$183,付费投放!$Z$143:$Z$183,AI154),0)</f>
        <v>295115.15784622275</v>
      </c>
      <c r="AV154" s="51">
        <v>144</v>
      </c>
      <c r="AW154" s="51">
        <f t="shared" si="40"/>
        <v>65.858264166685018</v>
      </c>
      <c r="AX154" s="51">
        <f t="shared" si="41"/>
        <v>66.582431465747547</v>
      </c>
      <c r="AY154" s="51">
        <f t="shared" si="42"/>
        <v>66.666666666666671</v>
      </c>
      <c r="AZ154" s="51">
        <f t="shared" si="43"/>
        <v>66.666666666666671</v>
      </c>
      <c r="BA154" s="51">
        <f t="shared" si="44"/>
        <v>66.666666666666671</v>
      </c>
      <c r="BB154" s="51">
        <f t="shared" si="45"/>
        <v>0.79029917000022021</v>
      </c>
      <c r="BC154" s="51">
        <f t="shared" si="46"/>
        <v>0.79898917758897048</v>
      </c>
      <c r="BD154" s="51">
        <f t="shared" si="47"/>
        <v>0.8</v>
      </c>
      <c r="BE154" s="51">
        <f t="shared" si="48"/>
        <v>0.8</v>
      </c>
      <c r="BF154" s="51">
        <f t="shared" si="49"/>
        <v>0.8</v>
      </c>
    </row>
    <row r="155" spans="12:58" x14ac:dyDescent="0.15">
      <c r="L155" s="29">
        <f>基础状态预估!C155</f>
        <v>270</v>
      </c>
      <c r="M155" s="29">
        <f>基础状态预估!D155</f>
        <v>90.852534040676616</v>
      </c>
      <c r="N155" s="65">
        <f>基础状态预估!L155*D$10/3</f>
        <v>0</v>
      </c>
      <c r="O155" s="65">
        <f>基础状态预估!M155*E$10/3</f>
        <v>0</v>
      </c>
      <c r="P155" s="65">
        <f>基础状态预估!N155*F$10/3</f>
        <v>0</v>
      </c>
      <c r="Q155" s="65">
        <f>基础状态预估!O155*G$10/3</f>
        <v>0</v>
      </c>
      <c r="R155" s="65">
        <f>基础状态预估!P155*H$10/3</f>
        <v>34.51920139324131</v>
      </c>
      <c r="S155" s="65">
        <f>基础状态预估!Q155*I$10/3</f>
        <v>5.8525340406766162</v>
      </c>
      <c r="T155" s="65">
        <f t="shared" si="50"/>
        <v>40.371735433917927</v>
      </c>
      <c r="U155" s="65">
        <f>基础状态预估!L155*D$15</f>
        <v>0</v>
      </c>
      <c r="V155" s="65">
        <f>基础状态预估!M155*E$15</f>
        <v>0</v>
      </c>
      <c r="W155" s="65">
        <f>基础状态预估!N155*F$15</f>
        <v>0</v>
      </c>
      <c r="X155" s="65">
        <f>基础状态预估!O155*G$15</f>
        <v>0</v>
      </c>
      <c r="Y155" s="65">
        <f>基础状态预估!P155*H$15</f>
        <v>0.25889401044930982</v>
      </c>
      <c r="Z155" s="65">
        <f>基础状态预估!Q155*I$15</f>
        <v>7.0230408488119386E-2</v>
      </c>
      <c r="AA155" s="65">
        <f t="shared" si="51"/>
        <v>0.32912441893742922</v>
      </c>
      <c r="AI155" s="18">
        <v>100</v>
      </c>
      <c r="AJ155" s="18">
        <f t="shared" si="52"/>
        <v>47.555555555555557</v>
      </c>
      <c r="AK155" s="18">
        <f t="shared" si="53"/>
        <v>0.44666666666666666</v>
      </c>
      <c r="AL155" s="28">
        <f>(AJ155-AJ154)*(INDEX([3]大r将兵属性验证!$V$7:$V$166,$AI155,1)+INDEX([3]大r将兵属性验证!$AP$7:$AP$166,$AI155,1))+AL154</f>
        <v>45693756399.169586</v>
      </c>
      <c r="AM155" s="5">
        <f>(AK155-AK154)*(INDEX([3]大r将兵属性验证!$AC$7:$AC$166,$AI155,1)*0.5+INDEX([3]大r将兵属性验证!$AX$7:$AX$166,$AI155,1)*0.5)+AM154</f>
        <v>35365954321.942108</v>
      </c>
      <c r="AN155" s="50">
        <f>IFERROR(求节点(付费投放!$T$143:$T$183,付费投放!$Z$143:$Z$183,AI155),0)</f>
        <v>666832.18506032485</v>
      </c>
      <c r="AV155" s="51">
        <v>145</v>
      </c>
      <c r="AW155" s="51">
        <f t="shared" si="40"/>
        <v>65.90878932293387</v>
      </c>
      <c r="AX155" s="51">
        <f t="shared" si="41"/>
        <v>66.587696165804985</v>
      </c>
      <c r="AY155" s="51">
        <f t="shared" si="42"/>
        <v>66.666666666666671</v>
      </c>
      <c r="AZ155" s="51">
        <f t="shared" si="43"/>
        <v>66.666666666666671</v>
      </c>
      <c r="BA155" s="51">
        <f t="shared" si="44"/>
        <v>66.666666666666671</v>
      </c>
      <c r="BB155" s="51">
        <f t="shared" si="45"/>
        <v>0.79090547187520643</v>
      </c>
      <c r="BC155" s="51">
        <f t="shared" si="46"/>
        <v>0.7990523539896599</v>
      </c>
      <c r="BD155" s="51">
        <f t="shared" si="47"/>
        <v>0.8</v>
      </c>
      <c r="BE155" s="51">
        <f t="shared" si="48"/>
        <v>0.8</v>
      </c>
      <c r="BF155" s="51">
        <f t="shared" si="49"/>
        <v>0.8</v>
      </c>
    </row>
    <row r="156" spans="12:58" x14ac:dyDescent="0.15">
      <c r="L156" s="29">
        <f>基础状态预估!C156</f>
        <v>300</v>
      </c>
      <c r="M156" s="29">
        <f>基础状态预估!D156</f>
        <v>92.422409073065808</v>
      </c>
      <c r="N156" s="65">
        <f>基础状态预估!L156*D$10/3</f>
        <v>0</v>
      </c>
      <c r="O156" s="65">
        <f>基础状态预估!M156*E$10/3</f>
        <v>0</v>
      </c>
      <c r="P156" s="65">
        <f>基础状态预估!N156*F$10/3</f>
        <v>0</v>
      </c>
      <c r="Q156" s="65">
        <f>基础状态预估!O156*G$10/3</f>
        <v>0</v>
      </c>
      <c r="R156" s="65">
        <f>基础状态预估!P156*H$10/3</f>
        <v>34.024452898185324</v>
      </c>
      <c r="S156" s="65">
        <f>基础状态预估!Q156*I$10/3</f>
        <v>7.4224090730658077</v>
      </c>
      <c r="T156" s="65">
        <f t="shared" si="50"/>
        <v>41.446861971251131</v>
      </c>
      <c r="U156" s="65">
        <f>基础状态预估!L156*D$15</f>
        <v>0</v>
      </c>
      <c r="V156" s="65">
        <f>基础状态预估!M156*E$15</f>
        <v>0</v>
      </c>
      <c r="W156" s="65">
        <f>基础状态预估!N156*F$15</f>
        <v>0</v>
      </c>
      <c r="X156" s="65">
        <f>基础状态预估!O156*G$15</f>
        <v>0</v>
      </c>
      <c r="Y156" s="65">
        <f>基础状态预估!P156*H$15</f>
        <v>0.2551833967363899</v>
      </c>
      <c r="Z156" s="65">
        <f>基础状态预估!Q156*I$15</f>
        <v>8.9068908876789699E-2</v>
      </c>
      <c r="AA156" s="65">
        <f t="shared" si="51"/>
        <v>0.3442523056131796</v>
      </c>
      <c r="AI156" s="18">
        <v>110</v>
      </c>
      <c r="AJ156" s="18">
        <f t="shared" si="52"/>
        <v>57.083627683785728</v>
      </c>
      <c r="AK156" s="18">
        <f t="shared" si="53"/>
        <v>0.63267266217384766</v>
      </c>
      <c r="AL156" s="28">
        <f>(AJ156-AJ155)*(INDEX([3]大r将兵属性验证!$V$7:$V$166,$AI156,1)+INDEX([3]大r将兵属性验证!$AP$7:$AP$166,$AI156,1))+AL155</f>
        <v>86342325215.300171</v>
      </c>
      <c r="AM156" s="5">
        <f>(AK156-AK155)*(INDEX([3]大r将兵属性验证!$AC$7:$AC$166,$AI156,1)*0.5+INDEX([3]大r将兵属性验证!$AX$7:$AX$166,$AI156,1)*0.5)+AM155</f>
        <v>84925279620.767578</v>
      </c>
      <c r="AN156" s="50">
        <f>IFERROR(求节点(付费投放!$T$143:$T$183,付费投放!$Z$143:$Z$183,AI156),0)</f>
        <v>1395596.6552106997</v>
      </c>
      <c r="AV156" s="51">
        <v>146</v>
      </c>
      <c r="AW156" s="51">
        <f t="shared" si="40"/>
        <v>65.959314479182723</v>
      </c>
      <c r="AX156" s="51">
        <f t="shared" si="41"/>
        <v>66.592960865862437</v>
      </c>
      <c r="AY156" s="51">
        <f t="shared" si="42"/>
        <v>66.666666666666671</v>
      </c>
      <c r="AZ156" s="51">
        <f t="shared" si="43"/>
        <v>66.666666666666671</v>
      </c>
      <c r="BA156" s="51">
        <f t="shared" si="44"/>
        <v>66.666666666666671</v>
      </c>
      <c r="BB156" s="51">
        <f t="shared" si="45"/>
        <v>0.79151177375019266</v>
      </c>
      <c r="BC156" s="51">
        <f t="shared" si="46"/>
        <v>0.79911553039034922</v>
      </c>
      <c r="BD156" s="51">
        <f t="shared" si="47"/>
        <v>0.8</v>
      </c>
      <c r="BE156" s="51">
        <f t="shared" si="48"/>
        <v>0.8</v>
      </c>
      <c r="BF156" s="51">
        <f t="shared" si="49"/>
        <v>0.8</v>
      </c>
    </row>
    <row r="157" spans="12:58" x14ac:dyDescent="0.15">
      <c r="L157" s="29">
        <f>基础状态预估!C157</f>
        <v>360</v>
      </c>
      <c r="M157" s="29">
        <f>基础状态预估!D157</f>
        <v>95.182038399947245</v>
      </c>
      <c r="N157" s="65">
        <f>基础状态预估!L157*D$10/3</f>
        <v>0</v>
      </c>
      <c r="O157" s="65">
        <f>基础状态预估!M157*E$10/3</f>
        <v>0</v>
      </c>
      <c r="P157" s="65">
        <f>基础状态预估!N157*F$10/3</f>
        <v>0</v>
      </c>
      <c r="Q157" s="65">
        <f>基础状态预估!O157*G$10/3</f>
        <v>0</v>
      </c>
      <c r="R157" s="65">
        <f>基础状态预估!P157*H$10/3</f>
        <v>33.009120814604287</v>
      </c>
      <c r="S157" s="65">
        <f>基础状态预估!Q157*I$10/3</f>
        <v>10.364076799894491</v>
      </c>
      <c r="T157" s="65">
        <f t="shared" si="50"/>
        <v>43.373197614498778</v>
      </c>
      <c r="U157" s="65">
        <f>基础状态预估!L157*D$15</f>
        <v>0</v>
      </c>
      <c r="V157" s="65">
        <f>基础状态预估!M157*E$15</f>
        <v>0</v>
      </c>
      <c r="W157" s="65">
        <f>基础状态预估!N157*F$15</f>
        <v>0</v>
      </c>
      <c r="X157" s="65">
        <f>基础状态预估!O157*G$15</f>
        <v>0</v>
      </c>
      <c r="Y157" s="65">
        <f>基础状态预估!P157*H$15</f>
        <v>0.24756840610953215</v>
      </c>
      <c r="Z157" s="65">
        <f>基础状态预估!Q157*I$15</f>
        <v>0.1243689215987339</v>
      </c>
      <c r="AA157" s="65">
        <f t="shared" si="51"/>
        <v>0.37193732770826604</v>
      </c>
      <c r="AI157" s="18">
        <v>120</v>
      </c>
      <c r="AJ157" s="18">
        <f t="shared" si="52"/>
        <v>65.128205128205124</v>
      </c>
      <c r="AK157" s="18">
        <f t="shared" si="53"/>
        <v>0.78153846153846152</v>
      </c>
      <c r="AL157" s="28">
        <f>(AJ157-AJ156)*(INDEX([3]大r将兵属性验证!$V$7:$V$166,$AI157,1)+INDEX([3]大r将兵属性验证!$AP$7:$AP$166,$AI157,1))+AL156</f>
        <v>135963258974.59268</v>
      </c>
      <c r="AM157" s="5">
        <f>(AK157-AK156)*(INDEX([3]大r将兵属性验证!$AC$7:$AC$166,$AI157,1)*0.5+INDEX([3]大r将兵属性验证!$AX$7:$AX$166,$AI157,1)*0.5)+AM156</f>
        <v>142959047821.12799</v>
      </c>
      <c r="AN157" s="50">
        <f>IFERROR(求节点(付费投放!$T$143:$T$183,付费投放!$Z$143:$Z$183,AI157),0)</f>
        <v>2853618.3015822796</v>
      </c>
      <c r="AV157" s="51">
        <v>147</v>
      </c>
      <c r="AW157" s="51">
        <f t="shared" si="40"/>
        <v>66.009839635431575</v>
      </c>
      <c r="AX157" s="51">
        <f t="shared" si="41"/>
        <v>66.598225565919876</v>
      </c>
      <c r="AY157" s="51">
        <f t="shared" si="42"/>
        <v>66.666666666666671</v>
      </c>
      <c r="AZ157" s="51">
        <f t="shared" si="43"/>
        <v>66.666666666666671</v>
      </c>
      <c r="BA157" s="51">
        <f t="shared" si="44"/>
        <v>66.666666666666671</v>
      </c>
      <c r="BB157" s="51">
        <f t="shared" si="45"/>
        <v>0.79211807562517889</v>
      </c>
      <c r="BC157" s="51">
        <f t="shared" si="46"/>
        <v>0.79917870679103853</v>
      </c>
      <c r="BD157" s="51">
        <f t="shared" si="47"/>
        <v>0.8</v>
      </c>
      <c r="BE157" s="51">
        <f t="shared" si="48"/>
        <v>0.8</v>
      </c>
      <c r="BF157" s="51">
        <f t="shared" si="49"/>
        <v>0.8</v>
      </c>
    </row>
    <row r="158" spans="12:58" x14ac:dyDescent="0.15">
      <c r="L158" s="29">
        <f>基础状态预估!C158</f>
        <v>420</v>
      </c>
      <c r="M158" s="29">
        <f>基础状态预估!D158</f>
        <v>97.317333988949088</v>
      </c>
      <c r="N158" s="65">
        <f>基础状态预估!L158*D$10/3</f>
        <v>0</v>
      </c>
      <c r="O158" s="65">
        <f>基础状态预估!M158*E$10/3</f>
        <v>0</v>
      </c>
      <c r="P158" s="65">
        <f>基础状态预估!N158*F$10/3</f>
        <v>0</v>
      </c>
      <c r="Q158" s="65">
        <f>基础状态预估!O158*G$10/3</f>
        <v>0</v>
      </c>
      <c r="R158" s="65">
        <f>基础状态预估!P158*H$10/3</f>
        <v>30.627942703232534</v>
      </c>
      <c r="S158" s="65">
        <f>基础状态预估!Q158*I$10/3</f>
        <v>14.634667977898175</v>
      </c>
      <c r="T158" s="65">
        <f t="shared" si="50"/>
        <v>45.26261068113071</v>
      </c>
      <c r="U158" s="65">
        <f>基础状态预估!L158*D$15</f>
        <v>0</v>
      </c>
      <c r="V158" s="65">
        <f>基础状态预估!M158*E$15</f>
        <v>0</v>
      </c>
      <c r="W158" s="65">
        <f>基础状态预估!N158*F$15</f>
        <v>0</v>
      </c>
      <c r="X158" s="65">
        <f>基础状态预估!O158*G$15</f>
        <v>0</v>
      </c>
      <c r="Y158" s="65">
        <f>基础状态预估!P158*H$15</f>
        <v>0.22970957027424402</v>
      </c>
      <c r="Z158" s="65">
        <f>基础状态预估!Q158*I$15</f>
        <v>0.17561601573477809</v>
      </c>
      <c r="AA158" s="65">
        <f t="shared" si="51"/>
        <v>0.40532558600902213</v>
      </c>
      <c r="AI158" s="18">
        <v>130</v>
      </c>
      <c r="AJ158" s="18">
        <f t="shared" si="52"/>
        <v>66.666666666666671</v>
      </c>
      <c r="AK158" s="18">
        <f t="shared" si="53"/>
        <v>0.8</v>
      </c>
      <c r="AL158" s="28">
        <f>(AJ158-AJ157)*(INDEX([3]大r将兵属性验证!$V$7:$V$166,$AI158,1)+INDEX([3]大r将兵属性验证!$AP$7:$AP$166,$AI158,1))+AL157</f>
        <v>149247857781.75714</v>
      </c>
      <c r="AM158" s="5">
        <f>(AK158-AK157)*(INDEX([3]大r将兵属性验证!$AC$7:$AC$166,$AI158,1)*0.5+INDEX([3]大r将兵属性验证!$AX$7:$AX$166,$AI158,1)*0.5)+AM157</f>
        <v>153341793446.23633</v>
      </c>
      <c r="AN158" s="50">
        <f>IFERROR(求节点(付费投放!$T$143:$T$183,付费投放!$Z$143:$Z$183,AI158),0)</f>
        <v>5743282.762908509</v>
      </c>
      <c r="AV158" s="51">
        <v>148</v>
      </c>
      <c r="AW158" s="51">
        <f t="shared" si="40"/>
        <v>66.060364791680428</v>
      </c>
      <c r="AX158" s="51">
        <f t="shared" si="41"/>
        <v>66.603490265977328</v>
      </c>
      <c r="AY158" s="51">
        <f t="shared" si="42"/>
        <v>66.666666666666671</v>
      </c>
      <c r="AZ158" s="51">
        <f t="shared" si="43"/>
        <v>66.666666666666671</v>
      </c>
      <c r="BA158" s="51">
        <f t="shared" si="44"/>
        <v>66.666666666666671</v>
      </c>
      <c r="BB158" s="51">
        <f t="shared" si="45"/>
        <v>0.79272437750016522</v>
      </c>
      <c r="BC158" s="51">
        <f t="shared" si="46"/>
        <v>0.79924188319172784</v>
      </c>
      <c r="BD158" s="51">
        <f t="shared" si="47"/>
        <v>0.8</v>
      </c>
      <c r="BE158" s="51">
        <f t="shared" si="48"/>
        <v>0.8</v>
      </c>
      <c r="BF158" s="51">
        <f t="shared" si="49"/>
        <v>0.8</v>
      </c>
    </row>
    <row r="159" spans="12:58" x14ac:dyDescent="0.15">
      <c r="L159" s="29">
        <f>基础状态预估!C159</f>
        <v>480</v>
      </c>
      <c r="M159" s="29">
        <f>基础状态预估!D159</f>
        <v>99.140144664710178</v>
      </c>
      <c r="N159" s="65">
        <f>基础状态预估!L159*D$10/3</f>
        <v>0</v>
      </c>
      <c r="O159" s="65">
        <f>基础状态预估!M159*E$10/3</f>
        <v>0</v>
      </c>
      <c r="P159" s="65">
        <f>基础状态预估!N159*F$10/3</f>
        <v>0</v>
      </c>
      <c r="Q159" s="65">
        <f>基础状态预估!O159*G$10/3</f>
        <v>0</v>
      </c>
      <c r="R159" s="65">
        <f>基础状态预估!P159*H$10/3</f>
        <v>28.549166165223792</v>
      </c>
      <c r="S159" s="65">
        <f>基础状态预估!Q159*I$10/3</f>
        <v>18.280289329420356</v>
      </c>
      <c r="T159" s="65">
        <f t="shared" si="50"/>
        <v>46.829455494644151</v>
      </c>
      <c r="U159" s="65">
        <f>基础状态预估!L159*D$15</f>
        <v>0</v>
      </c>
      <c r="V159" s="65">
        <f>基础状态预估!M159*E$15</f>
        <v>0</v>
      </c>
      <c r="W159" s="65">
        <f>基础状态预估!N159*F$15</f>
        <v>0</v>
      </c>
      <c r="X159" s="65">
        <f>基础状态预估!O159*G$15</f>
        <v>0</v>
      </c>
      <c r="Y159" s="65">
        <f>基础状态预估!P159*H$15</f>
        <v>0.21411874623917843</v>
      </c>
      <c r="Z159" s="65">
        <f>基础状态预估!Q159*I$15</f>
        <v>0.21936347195304429</v>
      </c>
      <c r="AA159" s="65">
        <f t="shared" si="51"/>
        <v>0.43348221819222271</v>
      </c>
      <c r="AI159" s="18">
        <v>140</v>
      </c>
      <c r="AJ159" s="18">
        <f t="shared" si="52"/>
        <v>66.666666666666671</v>
      </c>
      <c r="AK159" s="18">
        <f t="shared" si="53"/>
        <v>0.8</v>
      </c>
      <c r="AL159" s="28">
        <f>(AJ159-AJ158)*(INDEX([3]大r将兵属性验证!$V$7:$V$166,$AI159,1)+INDEX([3]大r将兵属性验证!$AP$7:$AP$166,$AI159,1))+AL158</f>
        <v>149247857781.75714</v>
      </c>
      <c r="AM159" s="5">
        <f>(AK159-AK158)*(INDEX([3]大r将兵属性验证!$AC$7:$AC$166,$AI159,1)*0.5+INDEX([3]大r将兵属性验证!$AX$7:$AX$166,$AI159,1)*0.5)+AM158</f>
        <v>153341793446.23633</v>
      </c>
      <c r="AN159" s="50">
        <f>IFERROR(求节点(付费投放!$T$143:$T$183,付费投放!$Z$143:$Z$183,AI159),0)</f>
        <v>30572380.88673665</v>
      </c>
      <c r="AV159" s="51">
        <v>149</v>
      </c>
      <c r="AW159" s="51">
        <f t="shared" si="40"/>
        <v>66.11088994792928</v>
      </c>
      <c r="AX159" s="51">
        <f t="shared" si="41"/>
        <v>66.608754966034766</v>
      </c>
      <c r="AY159" s="51">
        <f t="shared" si="42"/>
        <v>66.666666666666671</v>
      </c>
      <c r="AZ159" s="51">
        <f t="shared" si="43"/>
        <v>66.666666666666671</v>
      </c>
      <c r="BA159" s="51">
        <f t="shared" si="44"/>
        <v>66.666666666666671</v>
      </c>
      <c r="BB159" s="51">
        <f t="shared" si="45"/>
        <v>0.79333067937515145</v>
      </c>
      <c r="BC159" s="51">
        <f t="shared" si="46"/>
        <v>0.79930505959241727</v>
      </c>
      <c r="BD159" s="51">
        <f t="shared" si="47"/>
        <v>0.8</v>
      </c>
      <c r="BE159" s="51">
        <f t="shared" si="48"/>
        <v>0.8</v>
      </c>
      <c r="BF159" s="51">
        <f t="shared" si="49"/>
        <v>0.8</v>
      </c>
    </row>
    <row r="160" spans="12:58" x14ac:dyDescent="0.15">
      <c r="L160" s="29">
        <f>基础状态预估!C160</f>
        <v>540</v>
      </c>
      <c r="M160" s="29">
        <f>基础状态预估!D160</f>
        <v>100.94083826848818</v>
      </c>
      <c r="N160" s="65">
        <f>基础状态预估!L160*D$10/3</f>
        <v>0</v>
      </c>
      <c r="O160" s="65">
        <f>基础状态预估!M160*E$10/3</f>
        <v>0</v>
      </c>
      <c r="P160" s="65">
        <f>基础状态预估!N160*F$10/3</f>
        <v>0</v>
      </c>
      <c r="Q160" s="65">
        <f>基础状态预估!O160*G$10/3</f>
        <v>0</v>
      </c>
      <c r="R160" s="65">
        <f>基础状态预估!P160*H$10/3</f>
        <v>26.468364667524767</v>
      </c>
      <c r="S160" s="65">
        <f>基础状态预估!Q160*I$10/3</f>
        <v>21.881676536976357</v>
      </c>
      <c r="T160" s="65">
        <f t="shared" si="50"/>
        <v>48.350041204501125</v>
      </c>
      <c r="U160" s="65">
        <f>基础状态预估!L160*D$15</f>
        <v>0</v>
      </c>
      <c r="V160" s="65">
        <f>基础状态预估!M160*E$15</f>
        <v>0</v>
      </c>
      <c r="W160" s="65">
        <f>基础状态预估!N160*F$15</f>
        <v>0</v>
      </c>
      <c r="X160" s="65">
        <f>基础状态预估!O160*G$15</f>
        <v>0</v>
      </c>
      <c r="Y160" s="65">
        <f>基础状态预估!P160*H$15</f>
        <v>0.19851273500643576</v>
      </c>
      <c r="Z160" s="65">
        <f>基础状态预估!Q160*I$15</f>
        <v>0.26258011844371631</v>
      </c>
      <c r="AA160" s="65">
        <f t="shared" si="51"/>
        <v>0.46109285345015205</v>
      </c>
      <c r="AI160" s="18">
        <v>150</v>
      </c>
      <c r="AJ160" s="18">
        <f t="shared" si="52"/>
        <v>66.666666666666671</v>
      </c>
      <c r="AK160" s="18">
        <f t="shared" si="53"/>
        <v>0.8</v>
      </c>
      <c r="AL160" s="28">
        <f>(AJ160-AJ159)*(INDEX([3]大r将兵属性验证!$V$7:$V$166,$AI160,1)+INDEX([3]大r将兵属性验证!$AP$7:$AP$166,$AI160,1))+AL159</f>
        <v>149247857781.75714</v>
      </c>
      <c r="AM160" s="5">
        <f>(AK160-AK159)*(INDEX([3]大r将兵属性验证!$AC$7:$AC$166,$AI160,1)*0.5+INDEX([3]大r将兵属性验证!$AX$7:$AX$166,$AI160,1)*0.5)+AM159</f>
        <v>153341793446.23633</v>
      </c>
      <c r="AN160" s="50">
        <f>IFERROR(求节点(付费投放!$T$143:$T$183,付费投放!$Z$143:$Z$183,AI160),0)</f>
        <v>63522350.443368323</v>
      </c>
      <c r="AV160" s="51">
        <v>150</v>
      </c>
      <c r="AW160" s="51">
        <f t="shared" si="40"/>
        <v>66.161415104178133</v>
      </c>
      <c r="AX160" s="51">
        <f t="shared" si="41"/>
        <v>66.614019666092219</v>
      </c>
      <c r="AY160" s="51">
        <f t="shared" si="42"/>
        <v>66.666666666666671</v>
      </c>
      <c r="AZ160" s="51">
        <f t="shared" si="43"/>
        <v>66.666666666666671</v>
      </c>
      <c r="BA160" s="51">
        <f t="shared" si="44"/>
        <v>66.666666666666671</v>
      </c>
      <c r="BB160" s="51">
        <f t="shared" si="45"/>
        <v>0.79393698125013767</v>
      </c>
      <c r="BC160" s="51">
        <f t="shared" si="46"/>
        <v>0.79936823599310658</v>
      </c>
      <c r="BD160" s="51">
        <f t="shared" si="47"/>
        <v>0.8</v>
      </c>
      <c r="BE160" s="51">
        <f t="shared" si="48"/>
        <v>0.8</v>
      </c>
      <c r="BF160" s="51">
        <f t="shared" si="49"/>
        <v>0.8</v>
      </c>
    </row>
    <row r="161" spans="12:58" x14ac:dyDescent="0.15">
      <c r="L161" s="29">
        <f>基础状态预估!C161</f>
        <v>600</v>
      </c>
      <c r="M161" s="29">
        <f>基础状态预估!D161</f>
        <v>102.53646170914388</v>
      </c>
      <c r="N161" s="65">
        <f>基础状态预估!L161*D$10/3</f>
        <v>0</v>
      </c>
      <c r="O161" s="65">
        <f>基础状态预估!M161*E$10/3</f>
        <v>0</v>
      </c>
      <c r="P161" s="65">
        <f>基础状态预估!N161*F$10/3</f>
        <v>0</v>
      </c>
      <c r="Q161" s="65">
        <f>基础状态预估!O161*G$10/3</f>
        <v>0</v>
      </c>
      <c r="R161" s="65">
        <f>基础状态预估!P161*H$10/3</f>
        <v>24.624533136100411</v>
      </c>
      <c r="S161" s="65">
        <f>基础状态预估!Q161*I$10/3</f>
        <v>25.072923418287758</v>
      </c>
      <c r="T161" s="65">
        <f t="shared" si="50"/>
        <v>49.697456554388168</v>
      </c>
      <c r="U161" s="65">
        <f>基础状态预估!L161*D$15</f>
        <v>0</v>
      </c>
      <c r="V161" s="65">
        <f>基础状态预估!M161*E$15</f>
        <v>0</v>
      </c>
      <c r="W161" s="65">
        <f>基础状态预估!N161*F$15</f>
        <v>0</v>
      </c>
      <c r="X161" s="65">
        <f>基础状态预估!O161*G$15</f>
        <v>0</v>
      </c>
      <c r="Y161" s="65">
        <f>基础状态预估!P161*H$15</f>
        <v>0.1846839985207531</v>
      </c>
      <c r="Z161" s="65">
        <f>基础状态预估!Q161*I$15</f>
        <v>0.30087508101945309</v>
      </c>
      <c r="AA161" s="65">
        <f t="shared" si="51"/>
        <v>0.48555907954020616</v>
      </c>
      <c r="AI161" s="18">
        <v>160</v>
      </c>
      <c r="AJ161" s="18">
        <f t="shared" si="52"/>
        <v>66.666666666666671</v>
      </c>
      <c r="AK161" s="18">
        <f t="shared" si="53"/>
        <v>0.8</v>
      </c>
      <c r="AL161" s="28">
        <f>(AJ161-AJ160)*(INDEX([3]大r将兵属性验证!$V$7:$V$166,$AI161,1)+INDEX([3]大r将兵属性验证!$AP$7:$AP$166,$AI161,1))+AL160</f>
        <v>149247857781.75714</v>
      </c>
      <c r="AM161" s="5">
        <f>(AK161-AK160)*(INDEX([3]大r将兵属性验证!$AC$7:$AC$166,$AI161,1)*0.5+INDEX([3]大r将兵属性验证!$AX$7:$AX$166,$AI161,1)*0.5)+AM160</f>
        <v>153341793446.23633</v>
      </c>
      <c r="AN161" s="50">
        <f>IFERROR(求节点(付费投放!$T$143:$T$183,付费投放!$Z$143:$Z$183,AI161),0)</f>
        <v>96472320</v>
      </c>
      <c r="AV161" s="51">
        <v>151</v>
      </c>
      <c r="AW161" s="51">
        <f t="shared" si="40"/>
        <v>66.211940260426985</v>
      </c>
      <c r="AX161" s="51">
        <f t="shared" si="41"/>
        <v>66.619284366149657</v>
      </c>
      <c r="AY161" s="51">
        <f t="shared" si="42"/>
        <v>66.666666666666671</v>
      </c>
      <c r="AZ161" s="51">
        <f t="shared" si="43"/>
        <v>66.666666666666671</v>
      </c>
      <c r="BA161" s="51">
        <f t="shared" si="44"/>
        <v>66.666666666666671</v>
      </c>
      <c r="BB161" s="51">
        <f t="shared" si="45"/>
        <v>0.7945432831251239</v>
      </c>
      <c r="BC161" s="51">
        <f t="shared" si="46"/>
        <v>0.79943141239379589</v>
      </c>
      <c r="BD161" s="51">
        <f t="shared" si="47"/>
        <v>0.8</v>
      </c>
      <c r="BE161" s="51">
        <f t="shared" si="48"/>
        <v>0.8</v>
      </c>
      <c r="BF161" s="51">
        <f t="shared" si="49"/>
        <v>0.8</v>
      </c>
    </row>
    <row r="162" spans="12:58" x14ac:dyDescent="0.15">
      <c r="L162" s="29">
        <f>基础状态预估!C162</f>
        <v>660</v>
      </c>
      <c r="M162" s="29">
        <f>基础状态预估!D162</f>
        <v>103.88940348646028</v>
      </c>
      <c r="N162" s="65">
        <f>基础状态预估!L162*D$10/3</f>
        <v>0</v>
      </c>
      <c r="O162" s="65">
        <f>基础状态预估!M162*E$10/3</f>
        <v>0</v>
      </c>
      <c r="P162" s="65">
        <f>基础状态预估!N162*F$10/3</f>
        <v>0</v>
      </c>
      <c r="Q162" s="65">
        <f>基础状态预估!O162*G$10/3</f>
        <v>0</v>
      </c>
      <c r="R162" s="65">
        <f>基础状态预估!P162*H$10/3</f>
        <v>23.061133748979234</v>
      </c>
      <c r="S162" s="65">
        <f>基础状态预估!Q162*I$10/3</f>
        <v>27.778806972920563</v>
      </c>
      <c r="T162" s="65">
        <f t="shared" si="50"/>
        <v>50.839940721899794</v>
      </c>
      <c r="U162" s="65">
        <f>基础状态预估!L162*D$15</f>
        <v>0</v>
      </c>
      <c r="V162" s="65">
        <f>基础状态预估!M162*E$15</f>
        <v>0</v>
      </c>
      <c r="W162" s="65">
        <f>基础状态预估!N162*F$15</f>
        <v>0</v>
      </c>
      <c r="X162" s="65">
        <f>基础状态预估!O162*G$15</f>
        <v>0</v>
      </c>
      <c r="Y162" s="65">
        <f>基础状态预估!P162*H$15</f>
        <v>0.17295850311734426</v>
      </c>
      <c r="Z162" s="65">
        <f>基础状态预估!Q162*I$15</f>
        <v>0.33334568367504674</v>
      </c>
      <c r="AA162" s="65">
        <f t="shared" si="51"/>
        <v>0.50630418679239098</v>
      </c>
      <c r="AV162" s="51">
        <v>152</v>
      </c>
      <c r="AW162" s="51">
        <f t="shared" si="40"/>
        <v>66.262465416675838</v>
      </c>
      <c r="AX162" s="51">
        <f t="shared" si="41"/>
        <v>66.624549066207109</v>
      </c>
      <c r="AY162" s="51">
        <f t="shared" si="42"/>
        <v>66.666666666666671</v>
      </c>
      <c r="AZ162" s="51">
        <f t="shared" si="43"/>
        <v>66.666666666666671</v>
      </c>
      <c r="BA162" s="51">
        <f t="shared" si="44"/>
        <v>66.666666666666671</v>
      </c>
      <c r="BB162" s="51">
        <f t="shared" si="45"/>
        <v>0.79514958500011013</v>
      </c>
      <c r="BC162" s="51">
        <f t="shared" si="46"/>
        <v>0.79949458879448532</v>
      </c>
      <c r="BD162" s="51">
        <f t="shared" si="47"/>
        <v>0.8</v>
      </c>
      <c r="BE162" s="51">
        <f t="shared" si="48"/>
        <v>0.8</v>
      </c>
      <c r="BF162" s="51">
        <f t="shared" si="49"/>
        <v>0.8</v>
      </c>
    </row>
    <row r="163" spans="12:58" x14ac:dyDescent="0.15">
      <c r="L163" s="29">
        <f>基础状态预估!C163</f>
        <v>720</v>
      </c>
      <c r="M163" s="29">
        <f>基础状态预估!D163</f>
        <v>105.12617440644733</v>
      </c>
      <c r="N163" s="65">
        <f>基础状态预估!L163*D$10/3</f>
        <v>0</v>
      </c>
      <c r="O163" s="65">
        <f>基础状态预估!M163*E$10/3</f>
        <v>0</v>
      </c>
      <c r="P163" s="65">
        <f>基础状态预估!N163*F$10/3</f>
        <v>0</v>
      </c>
      <c r="Q163" s="65">
        <f>基础状态预估!O163*G$10/3</f>
        <v>0</v>
      </c>
      <c r="R163" s="65">
        <f>基础状态预估!P163*H$10/3</f>
        <v>21.521860395811874</v>
      </c>
      <c r="S163" s="65">
        <f>基础状态预估!Q163*I$10/3</f>
        <v>30.38999361992812</v>
      </c>
      <c r="T163" s="65">
        <f t="shared" si="50"/>
        <v>51.911854015739991</v>
      </c>
      <c r="U163" s="65">
        <f>基础状态预估!L163*D$15</f>
        <v>0</v>
      </c>
      <c r="V163" s="65">
        <f>基础状态预估!M163*E$15</f>
        <v>0</v>
      </c>
      <c r="W163" s="65">
        <f>基础状态预估!N163*F$15</f>
        <v>0</v>
      </c>
      <c r="X163" s="65">
        <f>基础状态预估!O163*G$15</f>
        <v>0</v>
      </c>
      <c r="Y163" s="65">
        <f>基础状态预估!P163*H$15</f>
        <v>0.16141395296858907</v>
      </c>
      <c r="Z163" s="65">
        <f>基础状态预估!Q163*I$15</f>
        <v>0.36467992343913741</v>
      </c>
      <c r="AA163" s="65">
        <f t="shared" si="51"/>
        <v>0.52609387640772654</v>
      </c>
      <c r="AV163" s="51">
        <v>153</v>
      </c>
      <c r="AW163" s="51">
        <f t="shared" si="40"/>
        <v>66.312990572924704</v>
      </c>
      <c r="AX163" s="51">
        <f t="shared" si="41"/>
        <v>66.629813766264547</v>
      </c>
      <c r="AY163" s="51">
        <f t="shared" si="42"/>
        <v>66.666666666666671</v>
      </c>
      <c r="AZ163" s="51">
        <f t="shared" si="43"/>
        <v>66.666666666666671</v>
      </c>
      <c r="BA163" s="51">
        <f t="shared" si="44"/>
        <v>66.666666666666671</v>
      </c>
      <c r="BB163" s="51">
        <f t="shared" si="45"/>
        <v>0.79575588687509635</v>
      </c>
      <c r="BC163" s="51">
        <f t="shared" si="46"/>
        <v>0.79955776519517463</v>
      </c>
      <c r="BD163" s="51">
        <f t="shared" si="47"/>
        <v>0.8</v>
      </c>
      <c r="BE163" s="51">
        <f t="shared" si="48"/>
        <v>0.8</v>
      </c>
      <c r="BF163" s="51">
        <f t="shared" si="49"/>
        <v>0.8</v>
      </c>
    </row>
    <row r="164" spans="12:58" x14ac:dyDescent="0.15">
      <c r="L164" s="29">
        <f>基础状态预估!C164</f>
        <v>780</v>
      </c>
      <c r="M164" s="29">
        <f>基础状态预估!D164</f>
        <v>106.30192050618264</v>
      </c>
      <c r="N164" s="65">
        <f>基础状态预估!L164*D$10/3</f>
        <v>0</v>
      </c>
      <c r="O164" s="65">
        <f>基础状态预估!M164*E$10/3</f>
        <v>0</v>
      </c>
      <c r="P164" s="65">
        <f>基础状态预估!N164*F$10/3</f>
        <v>0</v>
      </c>
      <c r="Q164" s="65">
        <f>基础状态预估!O164*G$10/3</f>
        <v>0</v>
      </c>
      <c r="R164" s="65">
        <f>基础状态预估!P164*H$10/3</f>
        <v>19.137114771298243</v>
      </c>
      <c r="S164" s="65">
        <f>基础状态预估!Q164*I$10/3</f>
        <v>34.024117928200887</v>
      </c>
      <c r="T164" s="65">
        <f t="shared" si="50"/>
        <v>53.161232699499131</v>
      </c>
      <c r="U164" s="65">
        <f>基础状态预估!L164*D$15</f>
        <v>0</v>
      </c>
      <c r="V164" s="65">
        <f>基础状态预估!M164*E$15</f>
        <v>0</v>
      </c>
      <c r="W164" s="65">
        <f>基础状态预估!N164*F$15</f>
        <v>0</v>
      </c>
      <c r="X164" s="65">
        <f>基础状态预估!O164*G$15</f>
        <v>0</v>
      </c>
      <c r="Y164" s="65">
        <f>基础状态预估!P164*H$15</f>
        <v>0.14352836078473682</v>
      </c>
      <c r="Z164" s="65">
        <f>基础状态预估!Q164*I$15</f>
        <v>0.40828941513841066</v>
      </c>
      <c r="AA164" s="65">
        <f t="shared" si="51"/>
        <v>0.55181777592314751</v>
      </c>
      <c r="AV164" s="51">
        <v>154</v>
      </c>
      <c r="AW164" s="51">
        <f t="shared" si="40"/>
        <v>66.363515729173557</v>
      </c>
      <c r="AX164" s="51">
        <f t="shared" si="41"/>
        <v>66.635078466322</v>
      </c>
      <c r="AY164" s="51">
        <f t="shared" si="42"/>
        <v>66.666666666666671</v>
      </c>
      <c r="AZ164" s="51">
        <f t="shared" si="43"/>
        <v>66.666666666666671</v>
      </c>
      <c r="BA164" s="51">
        <f t="shared" si="44"/>
        <v>66.666666666666671</v>
      </c>
      <c r="BB164" s="51">
        <f t="shared" si="45"/>
        <v>0.79636218875008258</v>
      </c>
      <c r="BC164" s="51">
        <f t="shared" si="46"/>
        <v>0.79962094159586394</v>
      </c>
      <c r="BD164" s="51">
        <f t="shared" si="47"/>
        <v>0.8</v>
      </c>
      <c r="BE164" s="51">
        <f t="shared" si="48"/>
        <v>0.8</v>
      </c>
      <c r="BF164" s="51">
        <f t="shared" si="49"/>
        <v>0.8</v>
      </c>
    </row>
    <row r="165" spans="12:58" x14ac:dyDescent="0.15">
      <c r="L165" s="29">
        <f>基础状态预估!C165</f>
        <v>840</v>
      </c>
      <c r="M165" s="29">
        <f>基础状态预估!D165</f>
        <v>107.429678558787</v>
      </c>
      <c r="N165" s="65">
        <f>基础状态预估!L165*D$10/3</f>
        <v>0</v>
      </c>
      <c r="O165" s="65">
        <f>基础状态预估!M165*E$10/3</f>
        <v>0</v>
      </c>
      <c r="P165" s="65">
        <f>基础状态预估!N165*F$10/3</f>
        <v>0</v>
      </c>
      <c r="Q165" s="65">
        <f>基础状态预估!O165*G$10/3</f>
        <v>0</v>
      </c>
      <c r="R165" s="65">
        <f>基础状态预估!P165*H$10/3</f>
        <v>16.849702478743126</v>
      </c>
      <c r="S165" s="65">
        <f>基础状态预估!Q165*I$10/3</f>
        <v>37.509915545341649</v>
      </c>
      <c r="T165" s="65">
        <f t="shared" si="50"/>
        <v>54.359618024084774</v>
      </c>
      <c r="U165" s="65">
        <f>基础状态预估!L165*D$15</f>
        <v>0</v>
      </c>
      <c r="V165" s="65">
        <f>基础状态预估!M165*E$15</f>
        <v>0</v>
      </c>
      <c r="W165" s="65">
        <f>基础状态预估!N165*F$15</f>
        <v>0</v>
      </c>
      <c r="X165" s="65">
        <f>基础状态预估!O165*G$15</f>
        <v>0</v>
      </c>
      <c r="Y165" s="65">
        <f>基础状态预估!P165*H$15</f>
        <v>0.12637276859057345</v>
      </c>
      <c r="Z165" s="65">
        <f>基础状态预估!Q165*I$15</f>
        <v>0.45011898654409976</v>
      </c>
      <c r="AA165" s="65">
        <f t="shared" si="51"/>
        <v>0.57649175513467321</v>
      </c>
      <c r="AV165" s="51">
        <v>155</v>
      </c>
      <c r="AW165" s="51">
        <f t="shared" si="40"/>
        <v>66.414040885422409</v>
      </c>
      <c r="AX165" s="51">
        <f t="shared" si="41"/>
        <v>66.640343166379438</v>
      </c>
      <c r="AY165" s="51">
        <f t="shared" si="42"/>
        <v>66.666666666666671</v>
      </c>
      <c r="AZ165" s="51">
        <f t="shared" si="43"/>
        <v>66.666666666666671</v>
      </c>
      <c r="BA165" s="51">
        <f t="shared" si="44"/>
        <v>66.666666666666671</v>
      </c>
      <c r="BB165" s="51">
        <f t="shared" si="45"/>
        <v>0.7969684906250688</v>
      </c>
      <c r="BC165" s="51">
        <f t="shared" si="46"/>
        <v>0.79968411799655337</v>
      </c>
      <c r="BD165" s="51">
        <f t="shared" si="47"/>
        <v>0.8</v>
      </c>
      <c r="BE165" s="51">
        <f t="shared" si="48"/>
        <v>0.8</v>
      </c>
      <c r="BF165" s="51">
        <f t="shared" si="49"/>
        <v>0.8</v>
      </c>
    </row>
    <row r="166" spans="12:58" x14ac:dyDescent="0.15">
      <c r="L166" s="29">
        <f>基础状态预估!C166</f>
        <v>900</v>
      </c>
      <c r="M166" s="29">
        <f>基础状态预估!D166</f>
        <v>108.47075735973553</v>
      </c>
      <c r="N166" s="65">
        <f>基础状态预估!L166*D$10/3</f>
        <v>0</v>
      </c>
      <c r="O166" s="65">
        <f>基础状态预估!M166*E$10/3</f>
        <v>0</v>
      </c>
      <c r="P166" s="65">
        <f>基础状态预估!N166*F$10/3</f>
        <v>0</v>
      </c>
      <c r="Q166" s="65">
        <f>基础状态预估!O166*G$10/3</f>
        <v>0</v>
      </c>
      <c r="R166" s="65">
        <f>基础状态预估!P166*H$10/3</f>
        <v>14.738100223889958</v>
      </c>
      <c r="S166" s="65">
        <f>基础状态预估!Q166*I$10/3</f>
        <v>40.727795475546181</v>
      </c>
      <c r="T166" s="65">
        <f t="shared" si="50"/>
        <v>55.465895699436139</v>
      </c>
      <c r="U166" s="65">
        <f>基础状态预估!L166*D$15</f>
        <v>0</v>
      </c>
      <c r="V166" s="65">
        <f>基础状态预估!M166*E$15</f>
        <v>0</v>
      </c>
      <c r="W166" s="65">
        <f>基础状态预估!N166*F$15</f>
        <v>0</v>
      </c>
      <c r="X166" s="65">
        <f>基础状态预估!O166*G$15</f>
        <v>0</v>
      </c>
      <c r="Y166" s="65">
        <f>基础状态预估!P166*H$15</f>
        <v>0.11053575167917469</v>
      </c>
      <c r="Z166" s="65">
        <f>基础状态预估!Q166*I$15</f>
        <v>0.48873354570655414</v>
      </c>
      <c r="AA166" s="65">
        <f t="shared" si="51"/>
        <v>0.59926929738572887</v>
      </c>
      <c r="AV166" s="51">
        <v>156</v>
      </c>
      <c r="AW166" s="51">
        <f t="shared" si="40"/>
        <v>66.464566041671262</v>
      </c>
      <c r="AX166" s="51">
        <f t="shared" si="41"/>
        <v>66.64560786643689</v>
      </c>
      <c r="AY166" s="51">
        <f t="shared" si="42"/>
        <v>66.666666666666671</v>
      </c>
      <c r="AZ166" s="51">
        <f t="shared" si="43"/>
        <v>66.666666666666671</v>
      </c>
      <c r="BA166" s="51">
        <f t="shared" si="44"/>
        <v>66.666666666666671</v>
      </c>
      <c r="BB166" s="51">
        <f t="shared" si="45"/>
        <v>0.79757479250005514</v>
      </c>
      <c r="BC166" s="51">
        <f t="shared" si="46"/>
        <v>0.79974729439724268</v>
      </c>
      <c r="BD166" s="51">
        <f t="shared" si="47"/>
        <v>0.8</v>
      </c>
      <c r="BE166" s="51">
        <f t="shared" si="48"/>
        <v>0.8</v>
      </c>
      <c r="BF166" s="51">
        <f t="shared" si="49"/>
        <v>0.8</v>
      </c>
    </row>
    <row r="167" spans="12:58" x14ac:dyDescent="0.15">
      <c r="L167" s="29">
        <f>基础状态预估!C167</f>
        <v>1020</v>
      </c>
      <c r="M167" s="29">
        <f>基础状态预估!D167</f>
        <v>110.24744313604209</v>
      </c>
      <c r="N167" s="65">
        <f>基础状态预估!L167*D$10/3</f>
        <v>0</v>
      </c>
      <c r="O167" s="65">
        <f>基础状态预估!M167*E$10/3</f>
        <v>0</v>
      </c>
      <c r="P167" s="65">
        <f>基础状态预估!N167*F$10/3</f>
        <v>0</v>
      </c>
      <c r="Q167" s="65">
        <f>基础状态预估!O167*G$10/3</f>
        <v>0</v>
      </c>
      <c r="R167" s="65">
        <f>基础状态预估!P167*H$10/3</f>
        <v>11.126019378158404</v>
      </c>
      <c r="S167" s="65">
        <f>基础状态预估!Q167*I$10/3</f>
        <v>46.219369693221012</v>
      </c>
      <c r="T167" s="65">
        <f t="shared" si="50"/>
        <v>57.345389071379415</v>
      </c>
      <c r="U167" s="65">
        <f>基础状态预估!L167*D$15</f>
        <v>0</v>
      </c>
      <c r="V167" s="65">
        <f>基础状态预估!M167*E$15</f>
        <v>0</v>
      </c>
      <c r="W167" s="65">
        <f>基础状态预估!N167*F$15</f>
        <v>0</v>
      </c>
      <c r="X167" s="65">
        <f>基础状态预估!O167*G$15</f>
        <v>0</v>
      </c>
      <c r="Y167" s="65">
        <f>基础状态预估!P167*H$15</f>
        <v>8.3445145336188034E-2</v>
      </c>
      <c r="Z167" s="65">
        <f>基础状态预估!Q167*I$15</f>
        <v>0.55463243631865222</v>
      </c>
      <c r="AA167" s="65">
        <f t="shared" si="51"/>
        <v>0.6380775816548403</v>
      </c>
      <c r="AV167" s="51">
        <v>157</v>
      </c>
      <c r="AW167" s="51">
        <f t="shared" si="40"/>
        <v>66.515091197920114</v>
      </c>
      <c r="AX167" s="51">
        <f t="shared" si="41"/>
        <v>66.650872566494328</v>
      </c>
      <c r="AY167" s="51">
        <f t="shared" si="42"/>
        <v>66.666666666666671</v>
      </c>
      <c r="AZ167" s="51">
        <f t="shared" si="43"/>
        <v>66.666666666666671</v>
      </c>
      <c r="BA167" s="51">
        <f t="shared" si="44"/>
        <v>66.666666666666671</v>
      </c>
      <c r="BB167" s="51">
        <f t="shared" si="45"/>
        <v>0.79818109437504137</v>
      </c>
      <c r="BC167" s="51">
        <f t="shared" si="46"/>
        <v>0.79981047079793199</v>
      </c>
      <c r="BD167" s="51">
        <f t="shared" si="47"/>
        <v>0.8</v>
      </c>
      <c r="BE167" s="51">
        <f t="shared" si="48"/>
        <v>0.8</v>
      </c>
      <c r="BF167" s="51">
        <f t="shared" si="49"/>
        <v>0.8</v>
      </c>
    </row>
    <row r="168" spans="12:58" x14ac:dyDescent="0.15">
      <c r="L168" s="29">
        <f>基础状态预估!C168</f>
        <v>1140</v>
      </c>
      <c r="M168" s="29">
        <f>基础状态预估!D168</f>
        <v>111.80552112822316</v>
      </c>
      <c r="N168" s="65">
        <f>基础状态预估!L168*D$10/3</f>
        <v>0</v>
      </c>
      <c r="O168" s="65">
        <f>基础状态预估!M168*E$10/3</f>
        <v>0</v>
      </c>
      <c r="P168" s="65">
        <f>基础状态预估!N168*F$10/3</f>
        <v>0</v>
      </c>
      <c r="Q168" s="65">
        <f>基础状态预估!O168*G$10/3</f>
        <v>0</v>
      </c>
      <c r="R168" s="65">
        <f>基础状态预估!P168*H$10/3</f>
        <v>7.9125289178278519</v>
      </c>
      <c r="S168" s="65">
        <f>基础状态预估!Q168*I$10/3</f>
        <v>51.035247123598857</v>
      </c>
      <c r="T168" s="65">
        <f t="shared" si="50"/>
        <v>58.947776041426707</v>
      </c>
      <c r="U168" s="65">
        <f>基础状态预估!L168*D$15</f>
        <v>0</v>
      </c>
      <c r="V168" s="65">
        <f>基础状态预估!M168*E$15</f>
        <v>0</v>
      </c>
      <c r="W168" s="65">
        <f>基础状态预估!N168*F$15</f>
        <v>0</v>
      </c>
      <c r="X168" s="65">
        <f>基础状态预估!O168*G$15</f>
        <v>0</v>
      </c>
      <c r="Y168" s="65">
        <f>基础状态预估!P168*H$15</f>
        <v>5.9343966883708889E-2</v>
      </c>
      <c r="Z168" s="65">
        <f>基础状态预估!Q168*I$15</f>
        <v>0.61242296548318631</v>
      </c>
      <c r="AA168" s="65">
        <f t="shared" si="51"/>
        <v>0.67176693236689522</v>
      </c>
      <c r="AV168" s="51">
        <v>158</v>
      </c>
      <c r="AW168" s="51">
        <f t="shared" si="40"/>
        <v>66.565616354168966</v>
      </c>
      <c r="AX168" s="51">
        <f t="shared" si="41"/>
        <v>66.656137266551781</v>
      </c>
      <c r="AY168" s="51">
        <f t="shared" si="42"/>
        <v>66.666666666666671</v>
      </c>
      <c r="AZ168" s="51">
        <f t="shared" si="43"/>
        <v>66.666666666666671</v>
      </c>
      <c r="BA168" s="51">
        <f t="shared" si="44"/>
        <v>66.666666666666671</v>
      </c>
      <c r="BB168" s="51">
        <f t="shared" si="45"/>
        <v>0.79878739625002759</v>
      </c>
      <c r="BC168" s="51">
        <f t="shared" si="46"/>
        <v>0.79987364719862131</v>
      </c>
      <c r="BD168" s="51">
        <f t="shared" si="47"/>
        <v>0.8</v>
      </c>
      <c r="BE168" s="51">
        <f t="shared" si="48"/>
        <v>0.8</v>
      </c>
      <c r="BF168" s="51">
        <f t="shared" si="49"/>
        <v>0.8</v>
      </c>
    </row>
    <row r="169" spans="12:58" x14ac:dyDescent="0.15">
      <c r="L169" s="29">
        <f>基础状态预估!C169</f>
        <v>1260</v>
      </c>
      <c r="M169" s="29">
        <f>基础状态预估!D169</f>
        <v>113.29015465152274</v>
      </c>
      <c r="N169" s="65">
        <f>基础状态预估!L169*D$10/3</f>
        <v>0</v>
      </c>
      <c r="O169" s="65">
        <f>基础状态预估!M169*E$10/3</f>
        <v>0</v>
      </c>
      <c r="P169" s="65">
        <f>基础状态预估!N169*F$10/3</f>
        <v>0</v>
      </c>
      <c r="Q169" s="65">
        <f>基础状态预估!O169*G$10/3</f>
        <v>0</v>
      </c>
      <c r="R169" s="65">
        <f>基础状态预估!P169*H$10/3</f>
        <v>4.8505155345750097</v>
      </c>
      <c r="S169" s="65">
        <f>基础状态预估!Q169*I$10/3</f>
        <v>55.624114377433926</v>
      </c>
      <c r="T169" s="65">
        <f t="shared" si="50"/>
        <v>60.474629912008936</v>
      </c>
      <c r="U169" s="65">
        <f>基础状态预估!L169*D$15</f>
        <v>0</v>
      </c>
      <c r="V169" s="65">
        <f>基础状态预估!M169*E$15</f>
        <v>0</v>
      </c>
      <c r="W169" s="65">
        <f>基础状态预估!N169*F$15</f>
        <v>0</v>
      </c>
      <c r="X169" s="65">
        <f>基础状态预估!O169*G$15</f>
        <v>0</v>
      </c>
      <c r="Y169" s="65">
        <f>基础状态预估!P169*H$15</f>
        <v>3.6378866509312574E-2</v>
      </c>
      <c r="Z169" s="65">
        <f>基础状态预估!Q169*I$15</f>
        <v>0.66748937252920715</v>
      </c>
      <c r="AA169" s="65">
        <f t="shared" si="51"/>
        <v>0.70386823903851969</v>
      </c>
      <c r="AV169" s="51">
        <v>159</v>
      </c>
      <c r="AW169" s="51">
        <f t="shared" si="40"/>
        <v>66.616141510417819</v>
      </c>
      <c r="AX169" s="51">
        <f t="shared" si="41"/>
        <v>66.661401966609219</v>
      </c>
      <c r="AY169" s="51">
        <f t="shared" si="42"/>
        <v>66.666666666666671</v>
      </c>
      <c r="AZ169" s="51">
        <f t="shared" si="43"/>
        <v>66.666666666666671</v>
      </c>
      <c r="BA169" s="51">
        <f t="shared" si="44"/>
        <v>66.666666666666671</v>
      </c>
      <c r="BB169" s="51">
        <f t="shared" si="45"/>
        <v>0.79939369812501382</v>
      </c>
      <c r="BC169" s="51">
        <f t="shared" si="46"/>
        <v>0.79993682359931073</v>
      </c>
      <c r="BD169" s="51">
        <f t="shared" si="47"/>
        <v>0.8</v>
      </c>
      <c r="BE169" s="51">
        <f t="shared" si="48"/>
        <v>0.8</v>
      </c>
      <c r="BF169" s="51">
        <f t="shared" si="49"/>
        <v>0.8</v>
      </c>
    </row>
    <row r="170" spans="12:58" x14ac:dyDescent="0.15">
      <c r="L170" s="29">
        <f>基础状态预估!C170</f>
        <v>1380</v>
      </c>
      <c r="M170" s="29">
        <f>基础状态预估!D170</f>
        <v>114.69104152791324</v>
      </c>
      <c r="N170" s="65">
        <f>基础状态预估!L170*D$10/3</f>
        <v>0</v>
      </c>
      <c r="O170" s="65">
        <f>基础状态预估!M170*E$10/3</f>
        <v>0</v>
      </c>
      <c r="P170" s="65">
        <f>基础状态预估!N170*F$10/3</f>
        <v>0</v>
      </c>
      <c r="Q170" s="65">
        <f>基础状态预估!O170*G$10/3</f>
        <v>0</v>
      </c>
      <c r="R170" s="65">
        <f>基础状态预估!P170*H$10/3</f>
        <v>1.9612271704017796</v>
      </c>
      <c r="S170" s="65">
        <f>基础状态预估!Q170*I$10/3</f>
        <v>59.954128359004564</v>
      </c>
      <c r="T170" s="65">
        <f t="shared" si="50"/>
        <v>61.915355529406341</v>
      </c>
      <c r="U170" s="65">
        <f>基础状态预估!L170*D$15</f>
        <v>0</v>
      </c>
      <c r="V170" s="65">
        <f>基础状态预估!M170*E$15</f>
        <v>0</v>
      </c>
      <c r="W170" s="65">
        <f>基础状态预估!N170*F$15</f>
        <v>0</v>
      </c>
      <c r="X170" s="65">
        <f>基础状态预估!O170*G$15</f>
        <v>0</v>
      </c>
      <c r="Y170" s="65">
        <f>基础状态预估!P170*H$15</f>
        <v>1.4709203778013347E-2</v>
      </c>
      <c r="Z170" s="65">
        <f>基础状态预估!Q170*I$15</f>
        <v>0.71944954030805475</v>
      </c>
      <c r="AA170" s="65">
        <f t="shared" si="51"/>
        <v>0.73415874408606807</v>
      </c>
      <c r="AV170" s="51">
        <v>160</v>
      </c>
      <c r="AW170" s="51">
        <f t="shared" si="40"/>
        <v>66.666666666666671</v>
      </c>
      <c r="AX170" s="51">
        <f t="shared" si="41"/>
        <v>66.666666666666671</v>
      </c>
      <c r="AY170" s="51">
        <f t="shared" si="42"/>
        <v>66.666666666666671</v>
      </c>
      <c r="AZ170" s="51">
        <f t="shared" si="43"/>
        <v>66.666666666666671</v>
      </c>
      <c r="BA170" s="51">
        <f t="shared" si="44"/>
        <v>66.666666666666671</v>
      </c>
      <c r="BB170" s="51">
        <f t="shared" si="45"/>
        <v>0.8</v>
      </c>
      <c r="BC170" s="51">
        <f t="shared" si="46"/>
        <v>0.8</v>
      </c>
      <c r="BD170" s="51">
        <f t="shared" si="47"/>
        <v>0.8</v>
      </c>
      <c r="BE170" s="51">
        <f t="shared" si="48"/>
        <v>0.8</v>
      </c>
      <c r="BF170" s="51">
        <f t="shared" si="49"/>
        <v>0.8</v>
      </c>
    </row>
    <row r="171" spans="12:58" x14ac:dyDescent="0.15">
      <c r="L171" s="29">
        <f>基础状态预估!C171</f>
        <v>1500</v>
      </c>
      <c r="M171" s="29">
        <f>基础状态预估!D171</f>
        <v>115.91094430884056</v>
      </c>
      <c r="N171" s="65">
        <f>基础状态预估!L171*D$10/3</f>
        <v>0</v>
      </c>
      <c r="O171" s="65">
        <f>基础状态预估!M171*E$10/3</f>
        <v>0</v>
      </c>
      <c r="P171" s="65">
        <f>基础状态预估!N171*F$10/3</f>
        <v>0</v>
      </c>
      <c r="Q171" s="65">
        <f>基础状态预估!O171*G$10/3</f>
        <v>0</v>
      </c>
      <c r="R171" s="65">
        <f>基础状态预估!P171*H$10/3</f>
        <v>0</v>
      </c>
      <c r="S171" s="65">
        <f>基础状态预估!Q171*I$10/3</f>
        <v>63.031253491713102</v>
      </c>
      <c r="T171" s="65">
        <f t="shared" si="50"/>
        <v>63.031253491713102</v>
      </c>
      <c r="U171" s="65">
        <f>基础状态预估!L171*D$15</f>
        <v>0</v>
      </c>
      <c r="V171" s="65">
        <f>基础状态预估!M171*E$15</f>
        <v>0</v>
      </c>
      <c r="W171" s="65">
        <f>基础状态预估!N171*F$15</f>
        <v>0</v>
      </c>
      <c r="X171" s="65">
        <f>基础状态预估!O171*G$15</f>
        <v>0</v>
      </c>
      <c r="Y171" s="65">
        <f>基础状态预估!P171*H$15</f>
        <v>0</v>
      </c>
      <c r="Z171" s="65">
        <f>基础状态预估!Q171*I$15</f>
        <v>0.75637504190055727</v>
      </c>
      <c r="AA171" s="65">
        <f t="shared" si="51"/>
        <v>0.75637504190055727</v>
      </c>
    </row>
    <row r="172" spans="12:58" x14ac:dyDescent="0.15">
      <c r="L172" s="29">
        <f>基础状态预估!C172</f>
        <v>1800</v>
      </c>
      <c r="M172" s="29">
        <f>基础状态预估!D172</f>
        <v>118.49671008494479</v>
      </c>
      <c r="N172" s="65">
        <f>基础状态预估!L172*D$10/3</f>
        <v>0</v>
      </c>
      <c r="O172" s="65">
        <f>基础状态预估!M172*E$10/3</f>
        <v>0</v>
      </c>
      <c r="P172" s="65">
        <f>基础状态预估!N172*F$10/3</f>
        <v>0</v>
      </c>
      <c r="Q172" s="65">
        <f>基础状态预估!O172*G$10/3</f>
        <v>0</v>
      </c>
      <c r="R172" s="65">
        <f>基础状态预估!P172*H$10/3</f>
        <v>0</v>
      </c>
      <c r="S172" s="65">
        <f>基础状态预估!Q172*I$10/3</f>
        <v>64.357287223048615</v>
      </c>
      <c r="T172" s="65">
        <f t="shared" si="50"/>
        <v>64.357287223048615</v>
      </c>
      <c r="U172" s="65">
        <f>基础状态预估!L172*D$15</f>
        <v>0</v>
      </c>
      <c r="V172" s="65">
        <f>基础状态预估!M172*E$15</f>
        <v>0</v>
      </c>
      <c r="W172" s="65">
        <f>基础状态预估!N172*F$15</f>
        <v>0</v>
      </c>
      <c r="X172" s="65">
        <f>基础状态预估!O172*G$15</f>
        <v>0</v>
      </c>
      <c r="Y172" s="65">
        <f>基础状态预估!P172*H$15</f>
        <v>0</v>
      </c>
      <c r="Z172" s="65">
        <f>基础状态预估!Q172*I$15</f>
        <v>0.77228744667658333</v>
      </c>
      <c r="AA172" s="65">
        <f t="shared" si="51"/>
        <v>0.77228744667658333</v>
      </c>
    </row>
    <row r="173" spans="12:58" x14ac:dyDescent="0.15">
      <c r="L173" s="29">
        <f>基础状态预估!C173</f>
        <v>2100</v>
      </c>
      <c r="M173" s="29">
        <f>基础状态预估!D173</f>
        <v>120.83470485393194</v>
      </c>
      <c r="N173" s="65">
        <f>基础状态预估!L173*D$10/3</f>
        <v>0</v>
      </c>
      <c r="O173" s="65">
        <f>基础状态预估!M173*E$10/3</f>
        <v>0</v>
      </c>
      <c r="P173" s="65">
        <f>基础状态预估!N173*F$10/3</f>
        <v>0</v>
      </c>
      <c r="Q173" s="65">
        <f>基础状态预估!O173*G$10/3</f>
        <v>0</v>
      </c>
      <c r="R173" s="65">
        <f>基础状态预估!P173*H$10/3</f>
        <v>0</v>
      </c>
      <c r="S173" s="65">
        <f>基础状态预估!Q173*I$10/3</f>
        <v>65.556258899452274</v>
      </c>
      <c r="T173" s="65">
        <f t="shared" si="50"/>
        <v>65.556258899452274</v>
      </c>
      <c r="U173" s="65">
        <f>基础状态预估!L173*D$15</f>
        <v>0</v>
      </c>
      <c r="V173" s="65">
        <f>基础状态预估!M173*E$15</f>
        <v>0</v>
      </c>
      <c r="W173" s="65">
        <f>基础状态预估!N173*F$15</f>
        <v>0</v>
      </c>
      <c r="X173" s="65">
        <f>基础状态预估!O173*G$15</f>
        <v>0</v>
      </c>
      <c r="Y173" s="65">
        <f>基础状态预估!P173*H$15</f>
        <v>0</v>
      </c>
      <c r="Z173" s="65">
        <f>基础状态预估!Q173*I$15</f>
        <v>0.78667510679342723</v>
      </c>
      <c r="AA173" s="65">
        <f t="shared" si="51"/>
        <v>0.78667510679342723</v>
      </c>
    </row>
    <row r="174" spans="12:58" x14ac:dyDescent="0.15">
      <c r="L174" s="29">
        <f>基础状态预估!C174</f>
        <v>2400</v>
      </c>
      <c r="M174" s="29">
        <f>基础状态预估!D174</f>
        <v>122.7509711734089</v>
      </c>
      <c r="N174" s="65">
        <f>基础状态预估!L174*D$10/3</f>
        <v>0</v>
      </c>
      <c r="O174" s="65">
        <f>基础状态预估!M174*E$10/3</f>
        <v>0</v>
      </c>
      <c r="P174" s="65">
        <f>基础状态预估!N174*F$10/3</f>
        <v>0</v>
      </c>
      <c r="Q174" s="65">
        <f>基础状态预估!O174*G$10/3</f>
        <v>0</v>
      </c>
      <c r="R174" s="65">
        <f>基础状态预估!P174*H$10/3</f>
        <v>0</v>
      </c>
      <c r="S174" s="65">
        <f>基础状态预估!Q174*I$10/3</f>
        <v>66.538959576107118</v>
      </c>
      <c r="T174" s="65">
        <f t="shared" si="50"/>
        <v>66.538959576107118</v>
      </c>
      <c r="U174" s="65">
        <f>基础状态预估!L174*D$15</f>
        <v>0</v>
      </c>
      <c r="V174" s="65">
        <f>基础状态预估!M174*E$15</f>
        <v>0</v>
      </c>
      <c r="W174" s="65">
        <f>基础状态预估!N174*F$15</f>
        <v>0</v>
      </c>
      <c r="X174" s="65">
        <f>基础状态预估!O174*G$15</f>
        <v>0</v>
      </c>
      <c r="Y174" s="65">
        <f>基础状态预估!P174*H$15</f>
        <v>0</v>
      </c>
      <c r="Z174" s="65">
        <f>基础状态预估!Q174*I$15</f>
        <v>0.79846751491328549</v>
      </c>
      <c r="AA174" s="65">
        <f t="shared" si="51"/>
        <v>0.79846751491328549</v>
      </c>
    </row>
    <row r="175" spans="12:58" x14ac:dyDescent="0.15">
      <c r="L175" s="29">
        <f>基础状态预估!C175</f>
        <v>2700</v>
      </c>
      <c r="M175" s="29">
        <f>基础状态预估!D175</f>
        <v>124.39475643772953</v>
      </c>
      <c r="N175" s="65">
        <f>基础状态预估!L175*D$10/3</f>
        <v>0</v>
      </c>
      <c r="O175" s="65">
        <f>基础状态预估!M175*E$10/3</f>
        <v>0</v>
      </c>
      <c r="P175" s="65">
        <f>基础状态预估!N175*F$10/3</f>
        <v>0</v>
      </c>
      <c r="Q175" s="65">
        <f>基础状态预估!O175*G$10/3</f>
        <v>0</v>
      </c>
      <c r="R175" s="65">
        <f>基础状态预估!P175*H$10/3</f>
        <v>0</v>
      </c>
      <c r="S175" s="65">
        <f>基础状态预估!Q175*I$10/3</f>
        <v>66.666666666666671</v>
      </c>
      <c r="T175" s="65">
        <f t="shared" si="50"/>
        <v>66.666666666666671</v>
      </c>
      <c r="U175" s="65">
        <f>基础状态预估!L175*D$15</f>
        <v>0</v>
      </c>
      <c r="V175" s="65">
        <f>基础状态预估!M175*E$15</f>
        <v>0</v>
      </c>
      <c r="W175" s="65">
        <f>基础状态预估!N175*F$15</f>
        <v>0</v>
      </c>
      <c r="X175" s="65">
        <f>基础状态预估!O175*G$15</f>
        <v>0</v>
      </c>
      <c r="Y175" s="65">
        <f>基础状态预估!P175*H$15</f>
        <v>0</v>
      </c>
      <c r="Z175" s="65">
        <f>基础状态预估!Q175*I$15</f>
        <v>0.8</v>
      </c>
      <c r="AA175" s="65">
        <f t="shared" si="51"/>
        <v>0.8</v>
      </c>
    </row>
    <row r="176" spans="12:58" x14ac:dyDescent="0.15">
      <c r="L176" s="29">
        <f>基础状态预估!C176</f>
        <v>3000</v>
      </c>
      <c r="M176" s="29">
        <f>基础状态预估!D176</f>
        <v>125.96400788227379</v>
      </c>
      <c r="N176" s="65">
        <f>基础状态预估!L176*D$10/3</f>
        <v>0</v>
      </c>
      <c r="O176" s="65">
        <f>基础状态预估!M176*E$10/3</f>
        <v>0</v>
      </c>
      <c r="P176" s="65">
        <f>基础状态预估!N176*F$10/3</f>
        <v>0</v>
      </c>
      <c r="Q176" s="65">
        <f>基础状态预估!O176*G$10/3</f>
        <v>0</v>
      </c>
      <c r="R176" s="65">
        <f>基础状态预估!P176*H$10/3</f>
        <v>0</v>
      </c>
      <c r="S176" s="65">
        <f>基础状态预估!Q176*I$10/3</f>
        <v>66.666666666666671</v>
      </c>
      <c r="T176" s="65">
        <f t="shared" si="50"/>
        <v>66.666666666666671</v>
      </c>
      <c r="U176" s="65">
        <f>基础状态预估!L176*D$15</f>
        <v>0</v>
      </c>
      <c r="V176" s="65">
        <f>基础状态预估!M176*E$15</f>
        <v>0</v>
      </c>
      <c r="W176" s="65">
        <f>基础状态预估!N176*F$15</f>
        <v>0</v>
      </c>
      <c r="X176" s="65">
        <f>基础状态预估!O176*G$15</f>
        <v>0</v>
      </c>
      <c r="Y176" s="65">
        <f>基础状态预估!P176*H$15</f>
        <v>0</v>
      </c>
      <c r="Z176" s="65">
        <f>基础状态预估!Q176*I$15</f>
        <v>0.8</v>
      </c>
      <c r="AA176" s="65">
        <f t="shared" si="51"/>
        <v>0.8</v>
      </c>
    </row>
    <row r="177" spans="12:40" x14ac:dyDescent="0.15">
      <c r="L177" s="29">
        <f>基础状态预估!C177</f>
        <v>3300</v>
      </c>
      <c r="M177" s="29">
        <f>基础状态预估!D177</f>
        <v>127.44783171112725</v>
      </c>
      <c r="N177" s="65">
        <f>基础状态预估!L177*D$10/3</f>
        <v>0</v>
      </c>
      <c r="O177" s="65">
        <f>基础状态预估!M177*E$10/3</f>
        <v>0</v>
      </c>
      <c r="P177" s="65">
        <f>基础状态预估!N177*F$10/3</f>
        <v>0</v>
      </c>
      <c r="Q177" s="65">
        <f>基础状态预估!O177*G$10/3</f>
        <v>0</v>
      </c>
      <c r="R177" s="65">
        <f>基础状态预估!P177*H$10/3</f>
        <v>0</v>
      </c>
      <c r="S177" s="65">
        <f>基础状态预估!Q177*I$10/3</f>
        <v>66.666666666666671</v>
      </c>
      <c r="T177" s="65">
        <f t="shared" si="50"/>
        <v>66.666666666666671</v>
      </c>
      <c r="U177" s="65">
        <f>基础状态预估!L177*D$15</f>
        <v>0</v>
      </c>
      <c r="V177" s="65">
        <f>基础状态预估!M177*E$15</f>
        <v>0</v>
      </c>
      <c r="W177" s="65">
        <f>基础状态预估!N177*F$15</f>
        <v>0</v>
      </c>
      <c r="X177" s="65">
        <f>基础状态预估!O177*G$15</f>
        <v>0</v>
      </c>
      <c r="Y177" s="65">
        <f>基础状态预估!P177*H$15</f>
        <v>0</v>
      </c>
      <c r="Z177" s="65">
        <f>基础状态预估!Q177*I$15</f>
        <v>0.8</v>
      </c>
      <c r="AA177" s="65">
        <f t="shared" si="51"/>
        <v>0.8</v>
      </c>
    </row>
    <row r="178" spans="12:40" x14ac:dyDescent="0.15">
      <c r="L178" s="29">
        <f>基础状态预估!C178</f>
        <v>3600</v>
      </c>
      <c r="M178" s="29">
        <f>基础状态预估!D178</f>
        <v>128.7020848688999</v>
      </c>
      <c r="N178" s="65">
        <f>基础状态预估!L178*D$10/3</f>
        <v>0</v>
      </c>
      <c r="O178" s="65">
        <f>基础状态预估!M178*E$10/3</f>
        <v>0</v>
      </c>
      <c r="P178" s="65">
        <f>基础状态预估!N178*F$10/3</f>
        <v>0</v>
      </c>
      <c r="Q178" s="65">
        <f>基础状态预估!O178*G$10/3</f>
        <v>0</v>
      </c>
      <c r="R178" s="65">
        <f>基础状态预估!P178*H$10/3</f>
        <v>0</v>
      </c>
      <c r="S178" s="65">
        <f>基础状态预估!Q178*I$10/3</f>
        <v>66.666666666666671</v>
      </c>
      <c r="T178" s="65">
        <f t="shared" si="50"/>
        <v>66.666666666666671</v>
      </c>
      <c r="U178" s="65">
        <f>基础状态预估!L178*D$15</f>
        <v>0</v>
      </c>
      <c r="V178" s="65">
        <f>基础状态预估!M178*E$15</f>
        <v>0</v>
      </c>
      <c r="W178" s="65">
        <f>基础状态预估!N178*F$15</f>
        <v>0</v>
      </c>
      <c r="X178" s="65">
        <f>基础状态预估!O178*G$15</f>
        <v>0</v>
      </c>
      <c r="Y178" s="65">
        <f>基础状态预估!P178*H$15</f>
        <v>0</v>
      </c>
      <c r="Z178" s="65">
        <f>基础状态预估!Q178*I$15</f>
        <v>0.8</v>
      </c>
      <c r="AA178" s="65">
        <f t="shared" si="51"/>
        <v>0.8</v>
      </c>
    </row>
    <row r="179" spans="12:40" x14ac:dyDescent="0.15">
      <c r="L179" s="29">
        <f>基础状态预估!C179</f>
        <v>3900</v>
      </c>
      <c r="M179" s="29">
        <f>基础状态预估!D179</f>
        <v>129.81302713753013</v>
      </c>
      <c r="N179" s="65">
        <f>基础状态预估!L179*D$10/3</f>
        <v>0</v>
      </c>
      <c r="O179" s="65">
        <f>基础状态预估!M179*E$10/3</f>
        <v>0</v>
      </c>
      <c r="P179" s="65">
        <f>基础状态预估!N179*F$10/3</f>
        <v>0</v>
      </c>
      <c r="Q179" s="65">
        <f>基础状态预估!O179*G$10/3</f>
        <v>0</v>
      </c>
      <c r="R179" s="65">
        <f>基础状态预估!P179*H$10/3</f>
        <v>0</v>
      </c>
      <c r="S179" s="65">
        <f>基础状态预估!Q179*I$10/3</f>
        <v>66.666666666666671</v>
      </c>
      <c r="T179" s="65">
        <f t="shared" si="50"/>
        <v>66.666666666666671</v>
      </c>
      <c r="U179" s="65">
        <f>基础状态预估!L179*D$15</f>
        <v>0</v>
      </c>
      <c r="V179" s="65">
        <f>基础状态预估!M179*E$15</f>
        <v>0</v>
      </c>
      <c r="W179" s="65">
        <f>基础状态预估!N179*F$15</f>
        <v>0</v>
      </c>
      <c r="X179" s="65">
        <f>基础状态预估!O179*G$15</f>
        <v>0</v>
      </c>
      <c r="Y179" s="65">
        <f>基础状态预估!P179*H$15</f>
        <v>0</v>
      </c>
      <c r="Z179" s="65">
        <f>基础状态预估!Q179*I$15</f>
        <v>0.8</v>
      </c>
      <c r="AA179" s="65">
        <f t="shared" si="51"/>
        <v>0.8</v>
      </c>
    </row>
    <row r="180" spans="12:40" x14ac:dyDescent="0.15">
      <c r="L180" s="29">
        <f>基础状态预估!C180</f>
        <v>4200</v>
      </c>
      <c r="M180" s="29">
        <f>基础状态预估!D180</f>
        <v>130.84782736484456</v>
      </c>
      <c r="N180" s="65">
        <f>基础状态预估!L180*D$10/3</f>
        <v>0</v>
      </c>
      <c r="O180" s="65">
        <f>基础状态预估!M180*E$10/3</f>
        <v>0</v>
      </c>
      <c r="P180" s="65">
        <f>基础状态预估!N180*F$10/3</f>
        <v>0</v>
      </c>
      <c r="Q180" s="65">
        <f>基础状态预估!O180*G$10/3</f>
        <v>0</v>
      </c>
      <c r="R180" s="65">
        <f>基础状态预估!P180*H$10/3</f>
        <v>0</v>
      </c>
      <c r="S180" s="65">
        <f>基础状态预估!Q180*I$10/3</f>
        <v>66.666666666666671</v>
      </c>
      <c r="T180" s="65">
        <f t="shared" si="50"/>
        <v>66.666666666666671</v>
      </c>
      <c r="U180" s="65">
        <f>基础状态预估!L180*D$15</f>
        <v>0</v>
      </c>
      <c r="V180" s="65">
        <f>基础状态预估!M180*E$15</f>
        <v>0</v>
      </c>
      <c r="W180" s="65">
        <f>基础状态预估!N180*F$15</f>
        <v>0</v>
      </c>
      <c r="X180" s="65">
        <f>基础状态预估!O180*G$15</f>
        <v>0</v>
      </c>
      <c r="Y180" s="65">
        <f>基础状态预估!P180*H$15</f>
        <v>0</v>
      </c>
      <c r="Z180" s="65">
        <f>基础状态预估!Q180*I$15</f>
        <v>0.8</v>
      </c>
      <c r="AA180" s="65">
        <f t="shared" si="51"/>
        <v>0.8</v>
      </c>
    </row>
    <row r="181" spans="12:40" x14ac:dyDescent="0.15">
      <c r="L181" s="29">
        <f>基础状态预估!C181</f>
        <v>4500</v>
      </c>
      <c r="M181" s="29">
        <f>基础状态预估!D181</f>
        <v>131.85128063254527</v>
      </c>
      <c r="N181" s="65">
        <f>基础状态预估!L181*D$10/3</f>
        <v>0</v>
      </c>
      <c r="O181" s="65">
        <f>基础状态预估!M181*E$10/3</f>
        <v>0</v>
      </c>
      <c r="P181" s="65">
        <f>基础状态预估!N181*F$10/3</f>
        <v>0</v>
      </c>
      <c r="Q181" s="65">
        <f>基础状态预估!O181*G$10/3</f>
        <v>0</v>
      </c>
      <c r="R181" s="65">
        <f>基础状态预估!P181*H$10/3</f>
        <v>0</v>
      </c>
      <c r="S181" s="65">
        <f>基础状态预估!Q181*I$10/3</f>
        <v>66.666666666666671</v>
      </c>
      <c r="T181" s="65">
        <f t="shared" si="50"/>
        <v>66.666666666666671</v>
      </c>
      <c r="U181" s="65">
        <f>基础状态预估!L181*D$15</f>
        <v>0</v>
      </c>
      <c r="V181" s="65">
        <f>基础状态预估!M181*E$15</f>
        <v>0</v>
      </c>
      <c r="W181" s="65">
        <f>基础状态预估!N181*F$15</f>
        <v>0</v>
      </c>
      <c r="X181" s="65">
        <f>基础状态预估!O181*G$15</f>
        <v>0</v>
      </c>
      <c r="Y181" s="65">
        <f>基础状态预估!P181*H$15</f>
        <v>0</v>
      </c>
      <c r="Z181" s="65">
        <f>基础状态预估!Q181*I$15</f>
        <v>0.8</v>
      </c>
      <c r="AA181" s="65">
        <f t="shared" si="51"/>
        <v>0.8</v>
      </c>
    </row>
    <row r="182" spans="12:40" x14ac:dyDescent="0.15">
      <c r="L182" s="29">
        <f>基础状态预估!C182</f>
        <v>4800</v>
      </c>
      <c r="M182" s="29">
        <f>基础状态预估!D182</f>
        <v>132.84279736701905</v>
      </c>
      <c r="N182" s="65">
        <f>基础状态预估!L182*D$10/3</f>
        <v>0</v>
      </c>
      <c r="O182" s="65">
        <f>基础状态预估!M182*E$10/3</f>
        <v>0</v>
      </c>
      <c r="P182" s="65">
        <f>基础状态预估!N182*F$10/3</f>
        <v>0</v>
      </c>
      <c r="Q182" s="65">
        <f>基础状态预估!O182*G$10/3</f>
        <v>0</v>
      </c>
      <c r="R182" s="65">
        <f>基础状态预估!P182*H$10/3</f>
        <v>0</v>
      </c>
      <c r="S182" s="65">
        <f>基础状态预估!Q182*I$10/3</f>
        <v>66.666666666666671</v>
      </c>
      <c r="T182" s="65">
        <f t="shared" si="50"/>
        <v>66.666666666666671</v>
      </c>
      <c r="U182" s="65">
        <f>基础状态预估!L182*D$15</f>
        <v>0</v>
      </c>
      <c r="V182" s="65">
        <f>基础状态预估!M182*E$15</f>
        <v>0</v>
      </c>
      <c r="W182" s="65">
        <f>基础状态预估!N182*F$15</f>
        <v>0</v>
      </c>
      <c r="X182" s="65">
        <f>基础状态预估!O182*G$15</f>
        <v>0</v>
      </c>
      <c r="Y182" s="65">
        <f>基础状态预估!P182*H$15</f>
        <v>0</v>
      </c>
      <c r="Z182" s="65">
        <f>基础状态预估!Q182*I$15</f>
        <v>0.8</v>
      </c>
      <c r="AA182" s="65">
        <f t="shared" si="51"/>
        <v>0.8</v>
      </c>
    </row>
    <row r="183" spans="12:40" x14ac:dyDescent="0.15">
      <c r="L183" s="29">
        <f>基础状态预估!C183</f>
        <v>65535</v>
      </c>
      <c r="M183" s="29">
        <f>基础状态预估!D183</f>
        <v>160</v>
      </c>
      <c r="N183" s="65">
        <f>基础状态预估!L183*D$10/3</f>
        <v>0</v>
      </c>
      <c r="O183" s="65">
        <f>基础状态预估!M183*E$10/3</f>
        <v>0</v>
      </c>
      <c r="P183" s="65">
        <f>基础状态预估!N183*F$10/3</f>
        <v>0</v>
      </c>
      <c r="Q183" s="65">
        <f>基础状态预估!O183*G$10/3</f>
        <v>0</v>
      </c>
      <c r="R183" s="65">
        <f>基础状态预估!P183*H$10/3</f>
        <v>0</v>
      </c>
      <c r="S183" s="65">
        <f>基础状态预估!Q183*I$10/3</f>
        <v>66.666666666666671</v>
      </c>
      <c r="T183" s="65">
        <f t="shared" ref="T183" si="54">SUM(N183:S183)</f>
        <v>66.666666666666671</v>
      </c>
      <c r="U183" s="65">
        <f>基础状态预估!L183*D$15</f>
        <v>0</v>
      </c>
      <c r="V183" s="65">
        <f>基础状态预估!M183*E$15</f>
        <v>0</v>
      </c>
      <c r="W183" s="65">
        <f>基础状态预估!N183*F$15</f>
        <v>0</v>
      </c>
      <c r="X183" s="65">
        <f>基础状态预估!O183*G$15</f>
        <v>0</v>
      </c>
      <c r="Y183" s="65">
        <f>基础状态预估!P183*H$15</f>
        <v>0</v>
      </c>
      <c r="Z183" s="65">
        <f>基础状态预估!Q183*I$15</f>
        <v>0.8</v>
      </c>
      <c r="AA183" s="65">
        <f t="shared" ref="AA183" si="55">SUM(U183:Z183)</f>
        <v>0.8</v>
      </c>
    </row>
    <row r="185" spans="12:40" x14ac:dyDescent="0.15">
      <c r="L185" s="25" t="s">
        <v>21</v>
      </c>
      <c r="M185" s="26"/>
      <c r="N185" s="88" t="s">
        <v>91</v>
      </c>
      <c r="O185" s="89"/>
      <c r="P185" s="89"/>
      <c r="Q185" s="89"/>
      <c r="R185" s="89"/>
      <c r="S185" s="90"/>
      <c r="T185" s="62"/>
      <c r="U185" s="88" t="s">
        <v>92</v>
      </c>
      <c r="V185" s="89"/>
      <c r="W185" s="89"/>
      <c r="X185" s="89"/>
      <c r="Y185" s="89"/>
      <c r="Z185" s="90"/>
      <c r="AA185" s="63"/>
    </row>
    <row r="186" spans="12:40" x14ac:dyDescent="0.15">
      <c r="L186" s="27" t="s">
        <v>31</v>
      </c>
      <c r="M186" s="27" t="s">
        <v>25</v>
      </c>
      <c r="N186" s="64" t="s">
        <v>26</v>
      </c>
      <c r="O186" s="64" t="s">
        <v>38</v>
      </c>
      <c r="P186" s="64" t="s">
        <v>27</v>
      </c>
      <c r="Q186" s="64" t="s">
        <v>29</v>
      </c>
      <c r="R186" s="64" t="s">
        <v>28</v>
      </c>
      <c r="S186" s="64" t="s">
        <v>43</v>
      </c>
      <c r="T186" s="64" t="s">
        <v>95</v>
      </c>
      <c r="U186" s="64" t="s">
        <v>26</v>
      </c>
      <c r="V186" s="64" t="s">
        <v>38</v>
      </c>
      <c r="W186" s="64" t="s">
        <v>27</v>
      </c>
      <c r="X186" s="64" t="s">
        <v>29</v>
      </c>
      <c r="Y186" s="64" t="s">
        <v>28</v>
      </c>
      <c r="Z186" s="64" t="s">
        <v>43</v>
      </c>
      <c r="AA186" s="64" t="s">
        <v>95</v>
      </c>
    </row>
    <row r="187" spans="12:40" x14ac:dyDescent="0.15">
      <c r="L187" s="29">
        <f>基础状态预估!C187</f>
        <v>15</v>
      </c>
      <c r="M187" s="29">
        <f>基础状态预估!D187</f>
        <v>57.176846218996921</v>
      </c>
      <c r="N187" s="65">
        <f>基础状态预估!L187*D$10/3</f>
        <v>0.62229448563903367</v>
      </c>
      <c r="O187" s="65">
        <f>基础状态预估!M187*E$10/3</f>
        <v>2.8707384875987683</v>
      </c>
      <c r="P187" s="65">
        <f>基础状态预估!N187*F$10/3</f>
        <v>1.3061077313981528</v>
      </c>
      <c r="Q187" s="65">
        <f>基础状态预估!O187*G$10/3</f>
        <v>0</v>
      </c>
      <c r="R187" s="65">
        <f>基础状态预估!P187*H$10/3</f>
        <v>0</v>
      </c>
      <c r="S187" s="65">
        <f>基础状态预估!Q187*I$10/3</f>
        <v>0</v>
      </c>
      <c r="T187" s="65">
        <f>SUM(N187:S187)</f>
        <v>4.7991407046359544</v>
      </c>
      <c r="U187" s="65">
        <f>基础状态预估!L187*D$15</f>
        <v>9.3344172845855056E-3</v>
      </c>
      <c r="V187" s="65">
        <f>基础状态预估!M187*E$15</f>
        <v>4.3061077313981524E-2</v>
      </c>
      <c r="W187" s="65">
        <f>基础状态预估!N187*F$15</f>
        <v>1.3061077313981529E-2</v>
      </c>
      <c r="X187" s="65">
        <f>基础状态预估!O187*G$15</f>
        <v>0</v>
      </c>
      <c r="Y187" s="65">
        <f>基础状态预估!P187*H$15</f>
        <v>0</v>
      </c>
      <c r="Z187" s="65">
        <f>基础状态预估!Q187*I$15</f>
        <v>0</v>
      </c>
      <c r="AA187" s="65">
        <f>SUM(U187:Z187)</f>
        <v>6.5456571912548556E-2</v>
      </c>
    </row>
    <row r="188" spans="12:40" x14ac:dyDescent="0.15">
      <c r="L188" s="29">
        <f>基础状态预估!C188</f>
        <v>30</v>
      </c>
      <c r="M188" s="29">
        <f>基础状态预估!D188</f>
        <v>67.097551508592701</v>
      </c>
      <c r="N188" s="65">
        <f>基础状态预估!L188*D$10/3</f>
        <v>0</v>
      </c>
      <c r="O188" s="65">
        <f>基础状态预估!M188*E$10/3</f>
        <v>0</v>
      </c>
      <c r="P188" s="65">
        <f>基础状态预估!N188*F$10/3</f>
        <v>8.7631472078649804</v>
      </c>
      <c r="Q188" s="65">
        <f>基础状态预估!O188*G$10/3</f>
        <v>2.5170618103112417</v>
      </c>
      <c r="R188" s="65">
        <f>基础状态预估!P188*H$10/3</f>
        <v>0</v>
      </c>
      <c r="S188" s="65">
        <f>基础状态预估!Q188*I$10/3</f>
        <v>0</v>
      </c>
      <c r="T188" s="65">
        <f t="shared" ref="T188:T226" si="56">SUM(N188:S188)</f>
        <v>11.280209018176222</v>
      </c>
      <c r="U188" s="65">
        <f>基础状态预估!L188*D$15</f>
        <v>0</v>
      </c>
      <c r="V188" s="65">
        <f>基础状态预估!M188*E$15</f>
        <v>0</v>
      </c>
      <c r="W188" s="65">
        <f>基础状态预估!N188*F$15</f>
        <v>8.7631472078649811E-2</v>
      </c>
      <c r="X188" s="65">
        <f>基础状态预估!O188*G$15</f>
        <v>2.5170618103112417E-2</v>
      </c>
      <c r="Y188" s="65">
        <f>基础状态预估!P188*H$15</f>
        <v>0</v>
      </c>
      <c r="Z188" s="65">
        <f>基础状态预估!Q188*I$15</f>
        <v>0</v>
      </c>
      <c r="AA188" s="65">
        <f t="shared" ref="AA188:AA226" si="57">SUM(U188:Z188)</f>
        <v>0.11280209018176222</v>
      </c>
    </row>
    <row r="189" spans="12:40" x14ac:dyDescent="0.15">
      <c r="L189" s="29">
        <f>基础状态预估!C189</f>
        <v>45</v>
      </c>
      <c r="M189" s="29">
        <f>基础状态预估!D189</f>
        <v>73.037155126421851</v>
      </c>
      <c r="N189" s="65">
        <f>基础状态预估!L189*D$10/3</f>
        <v>0</v>
      </c>
      <c r="O189" s="65">
        <f>基础状态预估!M189*E$10/3</f>
        <v>0</v>
      </c>
      <c r="P189" s="65">
        <f>基础状态预估!N189*F$10/3</f>
        <v>6.5192969522406337</v>
      </c>
      <c r="Q189" s="65">
        <f>基础状态预估!O189*G$10/3</f>
        <v>9.6445861517062212</v>
      </c>
      <c r="R189" s="65">
        <f>基础状态预估!P189*H$10/3</f>
        <v>0</v>
      </c>
      <c r="S189" s="65">
        <f>基础状态预估!Q189*I$10/3</f>
        <v>0</v>
      </c>
      <c r="T189" s="65">
        <f t="shared" si="56"/>
        <v>16.163883103946855</v>
      </c>
      <c r="U189" s="65">
        <f>基础状态预估!L189*D$15</f>
        <v>0</v>
      </c>
      <c r="V189" s="65">
        <f>基础状态预估!M189*E$15</f>
        <v>0</v>
      </c>
      <c r="W189" s="65">
        <f>基础状态预估!N189*F$15</f>
        <v>6.5192969522406344E-2</v>
      </c>
      <c r="X189" s="65">
        <f>基础状态预估!O189*G$15</f>
        <v>9.644586151706222E-2</v>
      </c>
      <c r="Y189" s="65">
        <f>基础状态预估!P189*H$15</f>
        <v>0</v>
      </c>
      <c r="Z189" s="65">
        <f>基础状态预估!Q189*I$15</f>
        <v>0</v>
      </c>
      <c r="AA189" s="65">
        <f t="shared" si="57"/>
        <v>0.16163883103946858</v>
      </c>
      <c r="AI189" s="18" t="s">
        <v>4</v>
      </c>
      <c r="AJ189" s="93" t="s">
        <v>93</v>
      </c>
      <c r="AK189" s="94"/>
      <c r="AL189" s="93" t="s">
        <v>98</v>
      </c>
      <c r="AM189" s="94"/>
    </row>
    <row r="190" spans="12:40" x14ac:dyDescent="0.15">
      <c r="L190" s="29">
        <f>基础状态预估!C190</f>
        <v>60</v>
      </c>
      <c r="M190" s="29">
        <f>基础状态预估!D190</f>
        <v>77.112805903056142</v>
      </c>
      <c r="N190" s="65">
        <f>基础状态预估!L190*D$10/3</f>
        <v>0</v>
      </c>
      <c r="O190" s="65">
        <f>基础状态预估!M190*E$10/3</f>
        <v>0</v>
      </c>
      <c r="P190" s="65">
        <f>基础状态预估!N190*F$10/3</f>
        <v>0.51798524235964472</v>
      </c>
      <c r="Q190" s="65">
        <f>基础状态预估!O190*G$10/3</f>
        <v>20.873784792835796</v>
      </c>
      <c r="R190" s="65">
        <f>基础状态预估!P190*H$10/3</f>
        <v>3.3804894448898266</v>
      </c>
      <c r="S190" s="65">
        <f>基础状态预估!Q190*I$10/3</f>
        <v>0</v>
      </c>
      <c r="T190" s="65">
        <f t="shared" si="56"/>
        <v>24.772259480085268</v>
      </c>
      <c r="U190" s="65">
        <f>基础状态预估!L190*D$15</f>
        <v>0</v>
      </c>
      <c r="V190" s="65">
        <f>基础状态预估!M190*E$15</f>
        <v>0</v>
      </c>
      <c r="W190" s="65">
        <f>基础状态预估!N190*F$15</f>
        <v>5.1798524235964474E-3</v>
      </c>
      <c r="X190" s="65">
        <f>基础状态预估!O190*G$15</f>
        <v>0.20873784792835795</v>
      </c>
      <c r="Y190" s="65">
        <f>基础状态预估!P190*H$15</f>
        <v>2.5353670836673697E-2</v>
      </c>
      <c r="Z190" s="65">
        <f>基础状态预估!Q190*I$15</f>
        <v>0</v>
      </c>
      <c r="AA190" s="65">
        <f t="shared" si="57"/>
        <v>0.2392713711886281</v>
      </c>
      <c r="AI190" s="18" t="s">
        <v>25</v>
      </c>
      <c r="AJ190" s="18" t="s">
        <v>96</v>
      </c>
      <c r="AK190" s="18" t="s">
        <v>94</v>
      </c>
      <c r="AL190" s="18" t="s">
        <v>96</v>
      </c>
      <c r="AM190" s="18" t="s">
        <v>94</v>
      </c>
      <c r="AN190" s="15" t="s">
        <v>99</v>
      </c>
    </row>
    <row r="191" spans="12:40" x14ac:dyDescent="0.15">
      <c r="L191" s="29">
        <f>基础状态预估!C191</f>
        <v>75</v>
      </c>
      <c r="M191" s="29">
        <f>基础状态预估!D191</f>
        <v>80.437605572866573</v>
      </c>
      <c r="N191" s="65">
        <f>基础状态预估!L191*D$10/3</f>
        <v>0</v>
      </c>
      <c r="O191" s="65">
        <f>基础状态预估!M191*E$10/3</f>
        <v>0</v>
      </c>
      <c r="P191" s="65">
        <f>基础状态预估!N191*F$10/3</f>
        <v>0</v>
      </c>
      <c r="Q191" s="65">
        <f>基础状态预估!O191*G$10/3</f>
        <v>19.249915541706741</v>
      </c>
      <c r="R191" s="65">
        <f>基础状态预估!P191*H$10/3</f>
        <v>8.7001689165865166</v>
      </c>
      <c r="S191" s="65">
        <f>基础状态预估!Q191*I$10/3</f>
        <v>0</v>
      </c>
      <c r="T191" s="65">
        <f t="shared" si="56"/>
        <v>27.950084458293258</v>
      </c>
      <c r="U191" s="65">
        <f>基础状态预估!L191*D$15</f>
        <v>0</v>
      </c>
      <c r="V191" s="65">
        <f>基础状态预估!M191*E$15</f>
        <v>0</v>
      </c>
      <c r="W191" s="65">
        <f>基础状态预估!N191*F$15</f>
        <v>0</v>
      </c>
      <c r="X191" s="65">
        <f>基础状态预估!O191*G$15</f>
        <v>0.19249915541706741</v>
      </c>
      <c r="Y191" s="65">
        <f>基础状态预估!P191*H$15</f>
        <v>6.5251266874398875E-2</v>
      </c>
      <c r="Z191" s="65">
        <f>基础状态预估!Q191*I$15</f>
        <v>0</v>
      </c>
      <c r="AA191" s="65">
        <f t="shared" si="57"/>
        <v>0.25775042229146627</v>
      </c>
      <c r="AI191" s="18">
        <v>10</v>
      </c>
      <c r="AJ191" s="18">
        <f>IFERROR(求节点($M$187:$M$227,$T$187:$T$227,$AI191),0)</f>
        <v>0</v>
      </c>
      <c r="AK191" s="18">
        <f>IFERROR(求节点($M$187:$M$227,$AA$187:$AA$227,$AI191),0)</f>
        <v>0</v>
      </c>
      <c r="AL191" s="41">
        <f>AJ191*(INDEX([3]超r将兵属性验证!$V$7:$V$166,$AI191,1)+INDEX([3]超r将兵属性验证!$AP$7:$AP$166,$AI191,1))</f>
        <v>0</v>
      </c>
      <c r="AM191" s="11">
        <f>AK191*(INDEX([3]超r将兵属性验证!$AC$7:$AC$166,$AI191,1)*0.5+INDEX([3]超r将兵属性验证!$AX$7:$AX$166,$AI191,1)*0.5)</f>
        <v>0</v>
      </c>
      <c r="AN191" s="50">
        <f>IFERROR(求节点(付费投放!$T$187:$T$227,付费投放!$Z$187:$Z$227,AI191),0)</f>
        <v>0</v>
      </c>
    </row>
    <row r="192" spans="12:40" x14ac:dyDescent="0.15">
      <c r="L192" s="29">
        <f>基础状态预估!C192</f>
        <v>90</v>
      </c>
      <c r="M192" s="29">
        <f>基础状态预估!D192</f>
        <v>83.124894550960335</v>
      </c>
      <c r="N192" s="65">
        <f>基础状态预估!L192*D$10/3</f>
        <v>0</v>
      </c>
      <c r="O192" s="65">
        <f>基础状态预估!M192*E$10/3</f>
        <v>0</v>
      </c>
      <c r="P192" s="65">
        <f>基础状态预估!N192*F$10/3</f>
        <v>0</v>
      </c>
      <c r="Q192" s="65">
        <f>基础状态预估!O192*G$10/3</f>
        <v>17.100084359231733</v>
      </c>
      <c r="R192" s="65">
        <f>基础状态预估!P192*H$10/3</f>
        <v>12.999831281536535</v>
      </c>
      <c r="S192" s="65">
        <f>基础状态预估!Q192*I$10/3</f>
        <v>0</v>
      </c>
      <c r="T192" s="65">
        <f t="shared" si="56"/>
        <v>30.099915640768266</v>
      </c>
      <c r="U192" s="65">
        <f>基础状态预估!L192*D$15</f>
        <v>0</v>
      </c>
      <c r="V192" s="65">
        <f>基础状态预估!M192*E$15</f>
        <v>0</v>
      </c>
      <c r="W192" s="65">
        <f>基础状态预估!N192*F$15</f>
        <v>0</v>
      </c>
      <c r="X192" s="65">
        <f>基础状态预估!O192*G$15</f>
        <v>0.17100084359231735</v>
      </c>
      <c r="Y192" s="65">
        <f>基础状态预估!P192*H$15</f>
        <v>9.7498734611524016E-2</v>
      </c>
      <c r="Z192" s="65">
        <f>基础状态预估!Q192*I$15</f>
        <v>0</v>
      </c>
      <c r="AA192" s="65">
        <f t="shared" si="57"/>
        <v>0.26849957820384135</v>
      </c>
      <c r="AI192" s="18">
        <v>20</v>
      </c>
      <c r="AJ192" s="18">
        <f t="shared" ref="AJ192:AJ206" si="58">IFERROR(求节点($M$187:$M$227,$T$187:$T$227,$AI192),0)</f>
        <v>0</v>
      </c>
      <c r="AK192" s="18">
        <f t="shared" ref="AK192:AK206" si="59">IFERROR(求节点($M$187:$M$227,$AA$187:$AA$227,$AI192),0)</f>
        <v>0</v>
      </c>
      <c r="AL192" s="28">
        <f>(AJ192-AJ191)*(INDEX([3]超r将兵属性验证!$V$7:$V$166,$AI192,1)+INDEX([3]超r将兵属性验证!$AP$7:$AP$166,$AI192,1))+AL191</f>
        <v>0</v>
      </c>
      <c r="AM192" s="5">
        <f>(AK192-AK191)*(INDEX([3]超r将兵属性验证!$AC$7:$AC$166,$AI192,1)*0.5+INDEX([3]超r将兵属性验证!$AX$7:$AX$166,$AI192,1)*0.5)+AM191</f>
        <v>0</v>
      </c>
      <c r="AN192" s="50">
        <f>IFERROR(求节点(付费投放!$T$187:$T$227,付费投放!$Z$187:$Z$227,AI192),0)</f>
        <v>0</v>
      </c>
    </row>
    <row r="193" spans="12:40" x14ac:dyDescent="0.15">
      <c r="L193" s="29">
        <f>基础状态预估!C193</f>
        <v>105</v>
      </c>
      <c r="M193" s="29">
        <f>基础状态预估!D193</f>
        <v>85.384431166588271</v>
      </c>
      <c r="N193" s="65">
        <f>基础状态预估!L193*D$10/3</f>
        <v>0</v>
      </c>
      <c r="O193" s="65">
        <f>基础状态预估!M193*E$10/3</f>
        <v>0</v>
      </c>
      <c r="P193" s="65">
        <f>基础状态预估!N193*F$10/3</f>
        <v>0</v>
      </c>
      <c r="Q193" s="65">
        <f>基础状态预估!O193*G$10/3</f>
        <v>11.371257167529016</v>
      </c>
      <c r="R193" s="65">
        <f>基础状态预估!P193*H$10/3</f>
        <v>21.535808798871106</v>
      </c>
      <c r="S193" s="65">
        <f>基础状态预估!Q193*I$10/3</f>
        <v>0.38443116658827137</v>
      </c>
      <c r="T193" s="65">
        <f t="shared" si="56"/>
        <v>33.291497132988397</v>
      </c>
      <c r="U193" s="65">
        <f>基础状态预估!L193*D$15</f>
        <v>0</v>
      </c>
      <c r="V193" s="65">
        <f>基础状态预估!M193*E$15</f>
        <v>0</v>
      </c>
      <c r="W193" s="65">
        <f>基础状态预估!N193*F$15</f>
        <v>0</v>
      </c>
      <c r="X193" s="65">
        <f>基础状态预估!O193*G$15</f>
        <v>0.11371257167529017</v>
      </c>
      <c r="Y193" s="65">
        <f>基础状态预估!P193*H$15</f>
        <v>0.1615185659915333</v>
      </c>
      <c r="Z193" s="65">
        <f>基础状态预估!Q193*I$15</f>
        <v>4.6131739990592563E-3</v>
      </c>
      <c r="AA193" s="65">
        <f t="shared" si="57"/>
        <v>0.27984431166588275</v>
      </c>
      <c r="AI193" s="18">
        <v>30</v>
      </c>
      <c r="AJ193" s="18">
        <f t="shared" si="58"/>
        <v>0</v>
      </c>
      <c r="AK193" s="18">
        <f t="shared" si="59"/>
        <v>0</v>
      </c>
      <c r="AL193" s="28">
        <f>(AJ193-AJ192)*(INDEX([3]超r将兵属性验证!$V$7:$V$166,$AI193,1)+INDEX([3]超r将兵属性验证!$AP$7:$AP$166,$AI193,1))+AL192</f>
        <v>0</v>
      </c>
      <c r="AM193" s="5">
        <f>(AK193-AK192)*(INDEX([3]超r将兵属性验证!$AC$7:$AC$166,$AI193,1)*0.5+INDEX([3]超r将兵属性验证!$AX$7:$AX$166,$AI193,1)*0.5)+AM192</f>
        <v>0</v>
      </c>
      <c r="AN193" s="50">
        <f>IFERROR(求节点(付费投放!$T$187:$T$227,付费投放!$Z$187:$Z$227,AI193),0)</f>
        <v>0</v>
      </c>
    </row>
    <row r="194" spans="12:40" x14ac:dyDescent="0.15">
      <c r="L194" s="29">
        <f>基础状态预估!C194</f>
        <v>120</v>
      </c>
      <c r="M194" s="29">
        <f>基础状态预估!D194</f>
        <v>87.571414295961461</v>
      </c>
      <c r="N194" s="65">
        <f>基础状态预估!L194*D$10/3</f>
        <v>0</v>
      </c>
      <c r="O194" s="65">
        <f>基础状态预估!M194*E$10/3</f>
        <v>0</v>
      </c>
      <c r="P194" s="65">
        <f>基础状态预估!N194*F$10/3</f>
        <v>0</v>
      </c>
      <c r="Q194" s="65">
        <f>基础状态预估!O194*G$10/3</f>
        <v>0</v>
      </c>
      <c r="R194" s="65">
        <f>基础状态预估!P194*H$10/3</f>
        <v>36.038099737030329</v>
      </c>
      <c r="S194" s="65">
        <f>基础状态预估!Q194*I$10/3</f>
        <v>2.5714142959614605</v>
      </c>
      <c r="T194" s="65">
        <f t="shared" si="56"/>
        <v>38.60951403299179</v>
      </c>
      <c r="U194" s="65">
        <f>基础状态预估!L194*D$15</f>
        <v>0</v>
      </c>
      <c r="V194" s="65">
        <f>基础状态预估!M194*E$15</f>
        <v>0</v>
      </c>
      <c r="W194" s="65">
        <f>基础状态预估!N194*F$15</f>
        <v>0</v>
      </c>
      <c r="X194" s="65">
        <f>基础状态预估!O194*G$15</f>
        <v>0</v>
      </c>
      <c r="Y194" s="65">
        <f>基础状态预估!P194*H$15</f>
        <v>0.27028574802772748</v>
      </c>
      <c r="Z194" s="65">
        <f>基础状态预估!Q194*I$15</f>
        <v>3.0856971551537528E-2</v>
      </c>
      <c r="AA194" s="65">
        <f t="shared" si="57"/>
        <v>0.30114271957926503</v>
      </c>
      <c r="AI194" s="18">
        <v>40</v>
      </c>
      <c r="AJ194" s="18">
        <f t="shared" si="58"/>
        <v>0</v>
      </c>
      <c r="AK194" s="18">
        <f t="shared" si="59"/>
        <v>0</v>
      </c>
      <c r="AL194" s="28">
        <f>(AJ194-AJ193)*(INDEX([3]超r将兵属性验证!$V$7:$V$166,$AI194,1)+INDEX([3]超r将兵属性验证!$AP$7:$AP$166,$AI194,1))+AL193</f>
        <v>0</v>
      </c>
      <c r="AM194" s="5">
        <f>(AK194-AK193)*(INDEX([3]超r将兵属性验证!$AC$7:$AC$166,$AI194,1)*0.5+INDEX([3]超r将兵属性验证!$AX$7:$AX$166,$AI194,1)*0.5)+AM193</f>
        <v>0</v>
      </c>
      <c r="AN194" s="50">
        <f>IFERROR(求节点(付费投放!$T$187:$T$227,付费投放!$Z$187:$Z$227,AI194),0)</f>
        <v>0</v>
      </c>
    </row>
    <row r="195" spans="12:40" x14ac:dyDescent="0.15">
      <c r="L195" s="29">
        <f>基础状态预估!C195</f>
        <v>150</v>
      </c>
      <c r="M195" s="29">
        <f>基础状态预估!D195</f>
        <v>91.216133577135096</v>
      </c>
      <c r="N195" s="65">
        <f>基础状态预估!L195*D$10/3</f>
        <v>0</v>
      </c>
      <c r="O195" s="65">
        <f>基础状态预估!M195*E$10/3</f>
        <v>0</v>
      </c>
      <c r="P195" s="65">
        <f>基础状态预估!N195*F$10/3</f>
        <v>0</v>
      </c>
      <c r="Q195" s="65">
        <f>基础状态预估!O195*G$10/3</f>
        <v>0</v>
      </c>
      <c r="R195" s="65">
        <f>基础状态预估!P195*H$10/3</f>
        <v>34.889460933266513</v>
      </c>
      <c r="S195" s="65">
        <f>基础状态预估!Q195*I$10/3</f>
        <v>6.2161335771350963</v>
      </c>
      <c r="T195" s="65">
        <f t="shared" si="56"/>
        <v>41.105594510401609</v>
      </c>
      <c r="U195" s="65">
        <f>基础状态预估!L195*D$15</f>
        <v>0</v>
      </c>
      <c r="V195" s="65">
        <f>基础状态预估!M195*E$15</f>
        <v>0</v>
      </c>
      <c r="W195" s="65">
        <f>基础状态预估!N195*F$15</f>
        <v>0</v>
      </c>
      <c r="X195" s="65">
        <f>基础状态预估!O195*G$15</f>
        <v>0</v>
      </c>
      <c r="Y195" s="65">
        <f>基础状态预估!P195*H$15</f>
        <v>0.26167095699949888</v>
      </c>
      <c r="Z195" s="65">
        <f>基础状态预估!Q195*I$15</f>
        <v>7.4593602925621158E-2</v>
      </c>
      <c r="AA195" s="65">
        <f t="shared" si="57"/>
        <v>0.33626455992512005</v>
      </c>
      <c r="AI195" s="18">
        <v>50</v>
      </c>
      <c r="AJ195" s="18">
        <f t="shared" si="58"/>
        <v>0</v>
      </c>
      <c r="AK195" s="18">
        <f t="shared" si="59"/>
        <v>0</v>
      </c>
      <c r="AL195" s="28">
        <f>(AJ195-AJ194)*(INDEX([3]超r将兵属性验证!$V$7:$V$166,$AI195,1)+INDEX([3]超r将兵属性验证!$AP$7:$AP$166,$AI195,1))+AL194</f>
        <v>0</v>
      </c>
      <c r="AM195" s="5">
        <f>(AK195-AK194)*(INDEX([3]超r将兵属性验证!$AC$7:$AC$166,$AI195,1)*0.5+INDEX([3]超r将兵属性验证!$AX$7:$AX$166,$AI195,1)*0.5)+AM194</f>
        <v>0</v>
      </c>
      <c r="AN195" s="50">
        <f>IFERROR(求节点(付费投放!$T$187:$T$227,付费投放!$Z$187:$Z$227,AI195),0)</f>
        <v>0</v>
      </c>
    </row>
    <row r="196" spans="12:40" x14ac:dyDescent="0.15">
      <c r="L196" s="29">
        <f>基础状态预估!C196</f>
        <v>180</v>
      </c>
      <c r="M196" s="29">
        <f>基础状态预估!D196</f>
        <v>94.027056817114342</v>
      </c>
      <c r="N196" s="65">
        <f>基础状态预估!L196*D$10/3</f>
        <v>0</v>
      </c>
      <c r="O196" s="65">
        <f>基础状态预估!M196*E$10/3</f>
        <v>0</v>
      </c>
      <c r="P196" s="65">
        <f>基础状态预估!N196*F$10/3</f>
        <v>0</v>
      </c>
      <c r="Q196" s="65">
        <f>基础状态预估!O196*G$10/3</f>
        <v>0</v>
      </c>
      <c r="R196" s="65">
        <f>基础状态预估!P196*H$10/3</f>
        <v>34.003594215212452</v>
      </c>
      <c r="S196" s="65">
        <f>基础状态预估!Q196*I$10/3</f>
        <v>9.0270568171143424</v>
      </c>
      <c r="T196" s="65">
        <f t="shared" si="56"/>
        <v>43.030651032326794</v>
      </c>
      <c r="U196" s="65">
        <f>基础状态预估!L196*D$15</f>
        <v>0</v>
      </c>
      <c r="V196" s="65">
        <f>基础状态预估!M196*E$15</f>
        <v>0</v>
      </c>
      <c r="W196" s="65">
        <f>基础状态预估!N196*F$15</f>
        <v>0</v>
      </c>
      <c r="X196" s="65">
        <f>基础状态预估!O196*G$15</f>
        <v>0</v>
      </c>
      <c r="Y196" s="65">
        <f>基础状态预估!P196*H$15</f>
        <v>0.25502695661409336</v>
      </c>
      <c r="Z196" s="65">
        <f>基础状态预估!Q196*I$15</f>
        <v>0.10832468180537211</v>
      </c>
      <c r="AA196" s="65">
        <f t="shared" si="57"/>
        <v>0.36335163841946549</v>
      </c>
      <c r="AI196" s="18">
        <v>60</v>
      </c>
      <c r="AJ196" s="18">
        <f t="shared" si="58"/>
        <v>6.6434705158943608</v>
      </c>
      <c r="AK196" s="18">
        <f t="shared" si="59"/>
        <v>7.8929775179201286E-2</v>
      </c>
      <c r="AL196" s="28">
        <f>(AJ196-AJ195)*(INDEX([3]超r将兵属性验证!$V$7:$V$166,$AI196,1)+INDEX([3]超r将兵属性验证!$AP$7:$AP$166,$AI196,1))+AL195</f>
        <v>405645862.26812232</v>
      </c>
      <c r="AM196" s="5">
        <f>(AK196-AK195)*(INDEX([3]超r将兵属性验证!$AC$7:$AC$166,$AI196,1)*0.5+INDEX([3]超r将兵属性验证!$AX$7:$AX$166,$AI196,1)*0.5)+AM195</f>
        <v>493989732.15540487</v>
      </c>
      <c r="AN196" s="50">
        <f>IFERROR(求节点(付费投放!$T$187:$T$227,付费投放!$Z$187:$Z$227,AI196),0)</f>
        <v>1986.3117405642031</v>
      </c>
    </row>
    <row r="197" spans="12:40" x14ac:dyDescent="0.15">
      <c r="L197" s="29">
        <f>基础状态预估!C197</f>
        <v>210</v>
      </c>
      <c r="M197" s="29">
        <f>基础状态预估!D197</f>
        <v>96.190942965578103</v>
      </c>
      <c r="N197" s="65">
        <f>基础状态预估!L197*D$10/3</f>
        <v>0</v>
      </c>
      <c r="O197" s="65">
        <f>基础状态预估!M197*E$10/3</f>
        <v>0</v>
      </c>
      <c r="P197" s="65">
        <f>基础状态预估!N197*F$10/3</f>
        <v>0</v>
      </c>
      <c r="Q197" s="65">
        <f>基础状态预估!O197*G$10/3</f>
        <v>0</v>
      </c>
      <c r="R197" s="65">
        <f>基础状态预估!P197*H$10/3</f>
        <v>32.368887844446242</v>
      </c>
      <c r="S197" s="65">
        <f>基础状态预估!Q197*I$10/3</f>
        <v>12.381885931156205</v>
      </c>
      <c r="T197" s="65">
        <f t="shared" si="56"/>
        <v>44.750773775602447</v>
      </c>
      <c r="U197" s="65">
        <f>基础状态预估!L197*D$15</f>
        <v>0</v>
      </c>
      <c r="V197" s="65">
        <f>基础状态预估!M197*E$15</f>
        <v>0</v>
      </c>
      <c r="W197" s="65">
        <f>基础状态预估!N197*F$15</f>
        <v>0</v>
      </c>
      <c r="X197" s="65">
        <f>基础状态预估!O197*G$15</f>
        <v>0</v>
      </c>
      <c r="Y197" s="65">
        <f>基础状态预估!P197*H$15</f>
        <v>0.2427666588333468</v>
      </c>
      <c r="Z197" s="65">
        <f>基础状态预估!Q197*I$15</f>
        <v>0.14858263117387446</v>
      </c>
      <c r="AA197" s="65">
        <f t="shared" si="57"/>
        <v>0.3913492900072213</v>
      </c>
      <c r="AI197" s="18">
        <v>70</v>
      </c>
      <c r="AJ197" s="18">
        <f t="shared" si="58"/>
        <v>13.666666666666668</v>
      </c>
      <c r="AK197" s="18">
        <f t="shared" si="59"/>
        <v>0.13666666666666669</v>
      </c>
      <c r="AL197" s="28">
        <f>(AJ197-AJ196)*(INDEX([3]超r将兵属性验证!$V$7:$V$166,$AI197,1)+INDEX([3]超r将兵属性验证!$AP$7:$AP$166,$AI197,1))+AL196</f>
        <v>1624949674.4493351</v>
      </c>
      <c r="AM197" s="5">
        <f>(AK197-AK196)*(INDEX([3]超r将兵属性验证!$AC$7:$AC$166,$AI197,1)*0.5+INDEX([3]超r将兵属性验证!$AX$7:$AX$166,$AI197,1)*0.5)+AM196</f>
        <v>1416249208.4003727</v>
      </c>
      <c r="AN197" s="50">
        <f>IFERROR(求节点(付费投放!$T$187:$T$227,付费投放!$Z$187:$Z$227,AI197),0)</f>
        <v>10390.848900625357</v>
      </c>
    </row>
    <row r="198" spans="12:40" x14ac:dyDescent="0.15">
      <c r="L198" s="29">
        <f>基础状态预估!C198</f>
        <v>240</v>
      </c>
      <c r="M198" s="29">
        <f>基础状态预估!D198</f>
        <v>97.955584586719908</v>
      </c>
      <c r="N198" s="65">
        <f>基础状态预估!L198*D$10/3</f>
        <v>0</v>
      </c>
      <c r="O198" s="65">
        <f>基础状态预估!M198*E$10/3</f>
        <v>0</v>
      </c>
      <c r="P198" s="65">
        <f>基础状态预估!N198*F$10/3</f>
        <v>0</v>
      </c>
      <c r="Q198" s="65">
        <f>基础状态预估!O198*G$10/3</f>
        <v>0</v>
      </c>
      <c r="R198" s="65">
        <f>基础状态预估!P198*H$10/3</f>
        <v>30.362435588679215</v>
      </c>
      <c r="S198" s="65">
        <f>基础状态预估!Q198*I$10/3</f>
        <v>15.911169173439816</v>
      </c>
      <c r="T198" s="65">
        <f t="shared" si="56"/>
        <v>46.273604762119035</v>
      </c>
      <c r="U198" s="65">
        <f>基础状态预估!L198*D$15</f>
        <v>0</v>
      </c>
      <c r="V198" s="65">
        <f>基础状态预估!M198*E$15</f>
        <v>0</v>
      </c>
      <c r="W198" s="65">
        <f>基础状态预估!N198*F$15</f>
        <v>0</v>
      </c>
      <c r="X198" s="65">
        <f>基础状态预估!O198*G$15</f>
        <v>0</v>
      </c>
      <c r="Y198" s="65">
        <f>基础状态预估!P198*H$15</f>
        <v>0.22771826691509411</v>
      </c>
      <c r="Z198" s="65">
        <f>基础状态预估!Q198*I$15</f>
        <v>0.19093403008127779</v>
      </c>
      <c r="AA198" s="65">
        <f t="shared" si="57"/>
        <v>0.41865229699637191</v>
      </c>
      <c r="AI198" s="18">
        <v>80</v>
      </c>
      <c r="AJ198" s="18">
        <f t="shared" si="58"/>
        <v>27.531823492772379</v>
      </c>
      <c r="AK198" s="18">
        <f t="shared" si="59"/>
        <v>0.25531823492772376</v>
      </c>
      <c r="AL198" s="28">
        <f>(AJ198-AJ197)*(INDEX([3]超r将兵属性验证!$V$7:$V$166,$AI198,1)+INDEX([3]超r将兵属性验证!$AP$7:$AP$166,$AI198,1))+AL197</f>
        <v>8724462801.0174332</v>
      </c>
      <c r="AM198" s="5">
        <f>(AK198-AK197)*(INDEX([3]超r将兵属性验证!$AC$7:$AC$166,$AI198,1)*0.5+INDEX([3]超r将兵属性验证!$AX$7:$AX$166,$AI198,1)*0.5)+AM197</f>
        <v>6597420761.1926241</v>
      </c>
      <c r="AN198" s="50">
        <f>IFERROR(求节点(付费投放!$T$187:$T$227,付费投放!$Z$187:$Z$227,AI198),0)</f>
        <v>27001.301972463552</v>
      </c>
    </row>
    <row r="199" spans="12:40" x14ac:dyDescent="0.15">
      <c r="L199" s="29">
        <f>基础状态预估!C199</f>
        <v>270</v>
      </c>
      <c r="M199" s="29">
        <f>基础状态预估!D199</f>
        <v>99.721869727346999</v>
      </c>
      <c r="N199" s="65">
        <f>基础状态预估!L199*D$10/3</f>
        <v>0</v>
      </c>
      <c r="O199" s="65">
        <f>基础状态预估!M199*E$10/3</f>
        <v>0</v>
      </c>
      <c r="P199" s="65">
        <f>基础状态预估!N199*F$10/3</f>
        <v>0</v>
      </c>
      <c r="Q199" s="65">
        <f>基础状态预估!O199*G$10/3</f>
        <v>0</v>
      </c>
      <c r="R199" s="65">
        <f>基础状态预估!P199*H$10/3</f>
        <v>28.321394981732357</v>
      </c>
      <c r="S199" s="65">
        <f>基础状态预估!Q199*I$10/3</f>
        <v>19.443739454693997</v>
      </c>
      <c r="T199" s="65">
        <f t="shared" si="56"/>
        <v>47.765134436426351</v>
      </c>
      <c r="U199" s="65">
        <f>基础状态预估!L199*D$15</f>
        <v>0</v>
      </c>
      <c r="V199" s="65">
        <f>基础状态预估!M199*E$15</f>
        <v>0</v>
      </c>
      <c r="W199" s="65">
        <f>基础状态预估!N199*F$15</f>
        <v>0</v>
      </c>
      <c r="X199" s="65">
        <f>基础状态预估!O199*G$15</f>
        <v>0</v>
      </c>
      <c r="Y199" s="65">
        <f>基础状态预估!P199*H$15</f>
        <v>0.21241046236299269</v>
      </c>
      <c r="Z199" s="65">
        <f>基础状态预估!Q199*I$15</f>
        <v>0.23332487345632796</v>
      </c>
      <c r="AA199" s="65">
        <f t="shared" si="57"/>
        <v>0.44573533581932068</v>
      </c>
      <c r="AI199" s="18">
        <v>90</v>
      </c>
      <c r="AJ199" s="18">
        <f t="shared" si="58"/>
        <v>40.272727272727273</v>
      </c>
      <c r="AK199" s="18">
        <f t="shared" si="59"/>
        <v>0.32454545454545458</v>
      </c>
      <c r="AL199" s="28">
        <f>(AJ199-AJ198)*(INDEX([3]超r将兵属性验证!$V$7:$V$166,$AI199,1)+INDEX([3]超r将兵属性验证!$AP$7:$AP$166,$AI199,1))+AL198</f>
        <v>26682596106.598698</v>
      </c>
      <c r="AM199" s="5">
        <f>(AK199-AK198)*(INDEX([3]超r将兵属性验证!$AC$7:$AC$166,$AI199,1)*0.5+INDEX([3]超r将兵属性验证!$AX$7:$AX$166,$AI199,1)*0.5)+AM198</f>
        <v>13784896784.612371</v>
      </c>
      <c r="AN199" s="50">
        <f>IFERROR(求节点(付费投放!$T$187:$T$227,付费投放!$Z$187:$Z$227,AI199),0)</f>
        <v>142648.8354256092</v>
      </c>
    </row>
    <row r="200" spans="12:40" x14ac:dyDescent="0.15">
      <c r="L200" s="29">
        <f>基础状态预估!C200</f>
        <v>300</v>
      </c>
      <c r="M200" s="29">
        <f>基础状态预估!D200</f>
        <v>101.32661435104789</v>
      </c>
      <c r="N200" s="65">
        <f>基础状态预估!L200*D$10/3</f>
        <v>0</v>
      </c>
      <c r="O200" s="65">
        <f>基础状态预估!M200*E$10/3</f>
        <v>0</v>
      </c>
      <c r="P200" s="65">
        <f>基础状态预估!N200*F$10/3</f>
        <v>0</v>
      </c>
      <c r="Q200" s="65">
        <f>基础状态预估!O200*G$10/3</f>
        <v>0</v>
      </c>
      <c r="R200" s="65">
        <f>基础状态预估!P200*H$10/3</f>
        <v>26.467023416566878</v>
      </c>
      <c r="S200" s="65">
        <f>基础状态预估!Q200*I$10/3</f>
        <v>22.653228702095788</v>
      </c>
      <c r="T200" s="65">
        <f t="shared" si="56"/>
        <v>49.120252118662663</v>
      </c>
      <c r="U200" s="65">
        <f>基础状态预估!L200*D$15</f>
        <v>0</v>
      </c>
      <c r="V200" s="65">
        <f>基础状态预估!M200*E$15</f>
        <v>0</v>
      </c>
      <c r="W200" s="65">
        <f>基础状态预估!N200*F$15</f>
        <v>0</v>
      </c>
      <c r="X200" s="65">
        <f>基础状态预估!O200*G$15</f>
        <v>0</v>
      </c>
      <c r="Y200" s="65">
        <f>基础状态预估!P200*H$15</f>
        <v>0.19850267562425161</v>
      </c>
      <c r="Z200" s="65">
        <f>基础状态预估!Q200*I$15</f>
        <v>0.27183874442514944</v>
      </c>
      <c r="AA200" s="65">
        <f t="shared" si="57"/>
        <v>0.47034142004940105</v>
      </c>
      <c r="AI200" s="18">
        <v>100</v>
      </c>
      <c r="AJ200" s="18">
        <f t="shared" si="58"/>
        <v>48</v>
      </c>
      <c r="AK200" s="18">
        <f t="shared" si="59"/>
        <v>0.45</v>
      </c>
      <c r="AL200" s="28">
        <f>(AJ200-AJ199)*(INDEX([3]超r将兵属性验证!$V$7:$V$166,$AI200,1)+INDEX([3]超r将兵属性验证!$AP$7:$AP$166,$AI200,1))+AL199</f>
        <v>49632721175.517319</v>
      </c>
      <c r="AM200" s="5">
        <f>(AK200-AK199)*(INDEX([3]超r将兵属性验证!$AC$7:$AC$166,$AI200,1)*0.5+INDEX([3]超r将兵属性验证!$AX$7:$AX$166,$AI200,1)*0.5)+AM199</f>
        <v>37409060676.782005</v>
      </c>
      <c r="AN200" s="50">
        <f>IFERROR(求节点(付费投放!$T$187:$T$227,付费投放!$Z$187:$Z$227,AI200),0)</f>
        <v>381338.89302893117</v>
      </c>
    </row>
    <row r="201" spans="12:40" x14ac:dyDescent="0.15">
      <c r="L201" s="29">
        <f>基础状态预估!C201</f>
        <v>360</v>
      </c>
      <c r="M201" s="29">
        <f>基础状态预估!D201</f>
        <v>103.97984772466795</v>
      </c>
      <c r="N201" s="65">
        <f>基础状态预估!L201*D$10/3</f>
        <v>0</v>
      </c>
      <c r="O201" s="65">
        <f>基础状态预估!M201*E$10/3</f>
        <v>0</v>
      </c>
      <c r="P201" s="65">
        <f>基础状态预估!N201*F$10/3</f>
        <v>0</v>
      </c>
      <c r="Q201" s="65">
        <f>基础状态预估!O201*G$10/3</f>
        <v>0</v>
      </c>
      <c r="R201" s="65">
        <f>基础状态预估!P201*H$10/3</f>
        <v>23.401064851494812</v>
      </c>
      <c r="S201" s="65">
        <f>基础状态预估!Q201*I$10/3</f>
        <v>27.959695449335896</v>
      </c>
      <c r="T201" s="65">
        <f t="shared" si="56"/>
        <v>51.360760300830705</v>
      </c>
      <c r="U201" s="65">
        <f>基础状态预估!L201*D$15</f>
        <v>0</v>
      </c>
      <c r="V201" s="65">
        <f>基础状态预估!M201*E$15</f>
        <v>0</v>
      </c>
      <c r="W201" s="65">
        <f>基础状态预估!N201*F$15</f>
        <v>0</v>
      </c>
      <c r="X201" s="65">
        <f>基础状态预估!O201*G$15</f>
        <v>0</v>
      </c>
      <c r="Y201" s="65">
        <f>基础状态预估!P201*H$15</f>
        <v>0.1755079863862111</v>
      </c>
      <c r="Z201" s="65">
        <f>基础状态预估!Q201*I$15</f>
        <v>0.33551634539203079</v>
      </c>
      <c r="AA201" s="65">
        <f t="shared" si="57"/>
        <v>0.51102433177824191</v>
      </c>
      <c r="AI201" s="18">
        <v>110</v>
      </c>
      <c r="AJ201" s="18">
        <f t="shared" si="58"/>
        <v>57.501165501165495</v>
      </c>
      <c r="AK201" s="18">
        <f t="shared" si="59"/>
        <v>0.63580419580419578</v>
      </c>
      <c r="AL201" s="28">
        <f>(AJ201-AJ200)*(INDEX([3]超r将兵属性验证!$V$7:$V$166,$AI201,1)+INDEX([3]超r将兵属性验证!$AP$7:$AP$166,$AI201,1))+AL200</f>
        <v>91566250812.776337</v>
      </c>
      <c r="AM201" s="5">
        <f>(AK201-AK200)*(INDEX([3]超r将兵属性验证!$AC$7:$AC$166,$AI201,1)*0.5+INDEX([3]超r将兵属性验证!$AX$7:$AX$166,$AI201,1)*0.5)+AM200</f>
        <v>89482598065.315552</v>
      </c>
      <c r="AN201" s="50">
        <f>IFERROR(求节点(付费投放!$T$187:$T$227,付费投放!$Z$187:$Z$227,AI201),0)</f>
        <v>852719.50414951658</v>
      </c>
    </row>
    <row r="202" spans="12:40" x14ac:dyDescent="0.15">
      <c r="L202" s="29">
        <f>基础状态预估!C202</f>
        <v>420</v>
      </c>
      <c r="M202" s="29">
        <f>基础状态预估!D202</f>
        <v>106.26808301554426</v>
      </c>
      <c r="N202" s="65">
        <f>基础状态预估!L202*D$10/3</f>
        <v>0</v>
      </c>
      <c r="O202" s="65">
        <f>基础状态预估!M202*E$10/3</f>
        <v>0</v>
      </c>
      <c r="P202" s="65">
        <f>基础状态预估!N202*F$10/3</f>
        <v>0</v>
      </c>
      <c r="Q202" s="65">
        <f>基础状态预估!O202*G$10/3</f>
        <v>0</v>
      </c>
      <c r="R202" s="65">
        <f>基础状态预估!P202*H$10/3</f>
        <v>19.650191216956689</v>
      </c>
      <c r="S202" s="65">
        <f>基础状态预估!Q202*I$10/3</f>
        <v>33.919529320773172</v>
      </c>
      <c r="T202" s="65">
        <f t="shared" si="56"/>
        <v>53.569720537729864</v>
      </c>
      <c r="U202" s="65">
        <f>基础状态预估!L202*D$15</f>
        <v>0</v>
      </c>
      <c r="V202" s="65">
        <f>基础状态预估!M202*E$15</f>
        <v>0</v>
      </c>
      <c r="W202" s="65">
        <f>基础状态预估!N202*F$15</f>
        <v>0</v>
      </c>
      <c r="X202" s="65">
        <f>基础状态预估!O202*G$15</f>
        <v>0</v>
      </c>
      <c r="Y202" s="65">
        <f>基础状态预估!P202*H$15</f>
        <v>0.14737643412717519</v>
      </c>
      <c r="Z202" s="65">
        <f>基础状态预估!Q202*I$15</f>
        <v>0.40703435184927811</v>
      </c>
      <c r="AA202" s="65">
        <f t="shared" si="57"/>
        <v>0.55441078597645332</v>
      </c>
      <c r="AI202" s="18">
        <v>120</v>
      </c>
      <c r="AJ202" s="18">
        <f t="shared" si="58"/>
        <v>65.641025641025635</v>
      </c>
      <c r="AK202" s="18">
        <f t="shared" si="59"/>
        <v>0.78769230769230769</v>
      </c>
      <c r="AL202" s="28">
        <f>(AJ202-AJ201)*(INDEX([3]超r将兵属性验证!$V$7:$V$166,$AI202,1)+INDEX([3]超r将兵属性验证!$AP$7:$AP$166,$AI202,1))+AL201</f>
        <v>143463078983.50061</v>
      </c>
      <c r="AM202" s="5">
        <f>(AK202-AK201)*(INDEX([3]超r将兵属性验证!$AC$7:$AC$166,$AI202,1)*0.5+INDEX([3]超r将兵属性验证!$AX$7:$AX$166,$AI202,1)*0.5)+AM201</f>
        <v>153040286324.71338</v>
      </c>
      <c r="AN202" s="50">
        <f>IFERROR(求节点(付费投放!$T$187:$T$227,付费投放!$Z$187:$Z$227,AI202),0)</f>
        <v>1786340.2357380076</v>
      </c>
    </row>
    <row r="203" spans="12:40" x14ac:dyDescent="0.15">
      <c r="L203" s="29">
        <f>基础状态预估!C203</f>
        <v>480</v>
      </c>
      <c r="M203" s="29">
        <f>基础状态预估!D203</f>
        <v>108.26512634376826</v>
      </c>
      <c r="N203" s="65">
        <f>基础状态预估!L203*D$10/3</f>
        <v>0</v>
      </c>
      <c r="O203" s="65">
        <f>基础状态预估!M203*E$10/3</f>
        <v>0</v>
      </c>
      <c r="P203" s="65">
        <f>基础状态预估!N203*F$10/3</f>
        <v>0</v>
      </c>
      <c r="Q203" s="65">
        <f>基础状态预估!O203*G$10/3</f>
        <v>0</v>
      </c>
      <c r="R203" s="65">
        <f>基础状态预估!P203*H$10/3</f>
        <v>15.599622526983174</v>
      </c>
      <c r="S203" s="65">
        <f>基础状态预估!Q203*I$10/3</f>
        <v>40.092208698920068</v>
      </c>
      <c r="T203" s="65">
        <f t="shared" si="56"/>
        <v>55.691831225903243</v>
      </c>
      <c r="U203" s="65">
        <f>基础状态预估!L203*D$15</f>
        <v>0</v>
      </c>
      <c r="V203" s="65">
        <f>基础状态预估!M203*E$15</f>
        <v>0</v>
      </c>
      <c r="W203" s="65">
        <f>基础状态预估!N203*F$15</f>
        <v>0</v>
      </c>
      <c r="X203" s="65">
        <f>基础状态预估!O203*G$15</f>
        <v>0</v>
      </c>
      <c r="Y203" s="65">
        <f>基础状态预估!P203*H$15</f>
        <v>0.1169971689523738</v>
      </c>
      <c r="Z203" s="65">
        <f>基础状态预估!Q203*I$15</f>
        <v>0.48110650438704083</v>
      </c>
      <c r="AA203" s="65">
        <f t="shared" si="57"/>
        <v>0.59810367333941461</v>
      </c>
      <c r="AI203" s="18">
        <v>130</v>
      </c>
      <c r="AJ203" s="18">
        <f t="shared" si="58"/>
        <v>66.666666666666671</v>
      </c>
      <c r="AK203" s="18">
        <f t="shared" si="59"/>
        <v>0.8</v>
      </c>
      <c r="AL203" s="28">
        <f>(AJ203-AJ202)*(INDEX([3]超r将兵属性验证!$V$7:$V$166,$AI203,1)+INDEX([3]超r将兵属性验证!$AP$7:$AP$166,$AI203,1))+AL202</f>
        <v>152592843113.94501</v>
      </c>
      <c r="AM203" s="5">
        <f>(AK203-AK202)*(INDEX([3]超r将兵属性验证!$AC$7:$AC$166,$AI203,1)*0.5+INDEX([3]超r将兵属性验证!$AX$7:$AX$166,$AI203,1)*0.5)+AM202</f>
        <v>160570931510.03223</v>
      </c>
      <c r="AN203" s="50">
        <f>IFERROR(求节点(付费投放!$T$187:$T$227,付费投放!$Z$187:$Z$227,AI203),0)</f>
        <v>3647428.6416740716</v>
      </c>
    </row>
    <row r="204" spans="12:40" x14ac:dyDescent="0.15">
      <c r="L204" s="29">
        <f>基础状态预估!C204</f>
        <v>540</v>
      </c>
      <c r="M204" s="29">
        <f>基础状态预估!D204</f>
        <v>109.94539652344133</v>
      </c>
      <c r="N204" s="65">
        <f>基础状态预估!L204*D$10/3</f>
        <v>0</v>
      </c>
      <c r="O204" s="65">
        <f>基础状态预估!M204*E$10/3</f>
        <v>0</v>
      </c>
      <c r="P204" s="65">
        <f>基础状态预估!N204*F$10/3</f>
        <v>0</v>
      </c>
      <c r="Q204" s="65">
        <f>基础状态预估!O204*G$10/3</f>
        <v>0</v>
      </c>
      <c r="R204" s="65">
        <f>基础状态预估!P204*H$10/3</f>
        <v>12.159238126011909</v>
      </c>
      <c r="S204" s="65">
        <f>基础状态预估!Q204*I$10/3</f>
        <v>45.28577107245502</v>
      </c>
      <c r="T204" s="65">
        <f t="shared" si="56"/>
        <v>57.445009198466927</v>
      </c>
      <c r="U204" s="65">
        <f>基础状态预估!L204*D$15</f>
        <v>0</v>
      </c>
      <c r="V204" s="65">
        <f>基础状态预估!M204*E$15</f>
        <v>0</v>
      </c>
      <c r="W204" s="65">
        <f>基础状态预估!N204*F$15</f>
        <v>0</v>
      </c>
      <c r="X204" s="65">
        <f>基础状态预估!O204*G$15</f>
        <v>0</v>
      </c>
      <c r="Y204" s="65">
        <f>基础状态预估!P204*H$15</f>
        <v>9.1194285945089326E-2</v>
      </c>
      <c r="Z204" s="65">
        <f>基础状态预估!Q204*I$15</f>
        <v>0.54342925286946031</v>
      </c>
      <c r="AA204" s="65">
        <f t="shared" si="57"/>
        <v>0.63462353881454958</v>
      </c>
      <c r="AI204" s="18">
        <v>140</v>
      </c>
      <c r="AJ204" s="18">
        <f t="shared" si="58"/>
        <v>66.666666666666671</v>
      </c>
      <c r="AK204" s="18">
        <f t="shared" si="59"/>
        <v>0.8</v>
      </c>
      <c r="AL204" s="28">
        <f>(AJ204-AJ203)*(INDEX([3]超r将兵属性验证!$V$7:$V$166,$AI204,1)+INDEX([3]超r将兵属性验证!$AP$7:$AP$166,$AI204,1))+AL203</f>
        <v>152592843113.94501</v>
      </c>
      <c r="AM204" s="5">
        <f>(AK204-AK203)*(INDEX([3]超r将兵属性验证!$AC$7:$AC$166,$AI204,1)*0.5+INDEX([3]超r将兵属性验证!$AX$7:$AX$166,$AI204,1)*0.5)+AM203</f>
        <v>160570931510.03223</v>
      </c>
      <c r="AN204" s="50">
        <f>IFERROR(求节点(付费投放!$T$187:$T$227,付费投放!$Z$187:$Z$227,AI204),0)</f>
        <v>7297730.7149158986</v>
      </c>
    </row>
    <row r="205" spans="12:40" x14ac:dyDescent="0.15">
      <c r="L205" s="29">
        <f>基础状态预估!C205</f>
        <v>600</v>
      </c>
      <c r="M205" s="29">
        <f>基础状态预估!D205</f>
        <v>111.42099139883071</v>
      </c>
      <c r="N205" s="65">
        <f>基础状态预估!L205*D$10/3</f>
        <v>0</v>
      </c>
      <c r="O205" s="65">
        <f>基础状态预估!M205*E$10/3</f>
        <v>0</v>
      </c>
      <c r="P205" s="65">
        <f>基础状态预估!N205*F$10/3</f>
        <v>0</v>
      </c>
      <c r="Q205" s="65">
        <f>基础状态预估!O205*G$10/3</f>
        <v>0</v>
      </c>
      <c r="R205" s="65">
        <f>基础状态预估!P205*H$10/3</f>
        <v>9.1158666907100017</v>
      </c>
      <c r="S205" s="65">
        <f>基础状态预估!Q205*I$10/3</f>
        <v>49.846700687294913</v>
      </c>
      <c r="T205" s="65">
        <f t="shared" si="56"/>
        <v>58.962567378004913</v>
      </c>
      <c r="U205" s="65">
        <f>基础状态预估!L205*D$15</f>
        <v>0</v>
      </c>
      <c r="V205" s="65">
        <f>基础状态预估!M205*E$15</f>
        <v>0</v>
      </c>
      <c r="W205" s="65">
        <f>基础状态预估!N205*F$15</f>
        <v>0</v>
      </c>
      <c r="X205" s="65">
        <f>基础状态预估!O205*G$15</f>
        <v>0</v>
      </c>
      <c r="Y205" s="65">
        <f>基础状态预估!P205*H$15</f>
        <v>6.8369000180325018E-2</v>
      </c>
      <c r="Z205" s="65">
        <f>基础状态预估!Q205*I$15</f>
        <v>0.59816040824753902</v>
      </c>
      <c r="AA205" s="65">
        <f t="shared" si="57"/>
        <v>0.66652940842786401</v>
      </c>
      <c r="AI205" s="18">
        <v>150</v>
      </c>
      <c r="AJ205" s="18">
        <f t="shared" si="58"/>
        <v>66.666666666666671</v>
      </c>
      <c r="AK205" s="18">
        <f t="shared" si="59"/>
        <v>0.8</v>
      </c>
      <c r="AL205" s="28">
        <f>(AJ205-AJ204)*(INDEX([3]超r将兵属性验证!$V$7:$V$166,$AI205,1)+INDEX([3]超r将兵属性验证!$AP$7:$AP$166,$AI205,1))+AL204</f>
        <v>152592843113.94501</v>
      </c>
      <c r="AM205" s="5">
        <f>(AK205-AK204)*(INDEX([3]超r将兵属性验证!$AC$7:$AC$166,$AI205,1)*0.5+INDEX([3]超r将兵属性验证!$AX$7:$AX$166,$AI205,1)*0.5)+AM204</f>
        <v>160570931510.03223</v>
      </c>
      <c r="AN205" s="50">
        <f>IFERROR(求节点(付费投放!$T$187:$T$227,付费投放!$Z$187:$Z$227,AI205),0)</f>
        <v>56252398.750304319</v>
      </c>
    </row>
    <row r="206" spans="12:40" x14ac:dyDescent="0.15">
      <c r="L206" s="29">
        <f>基础状态预估!C206</f>
        <v>660</v>
      </c>
      <c r="M206" s="29">
        <f>基础状态预估!D206</f>
        <v>112.86737811324367</v>
      </c>
      <c r="N206" s="65">
        <f>基础状态预估!L206*D$10/3</f>
        <v>0</v>
      </c>
      <c r="O206" s="65">
        <f>基础状态预估!M206*E$10/3</f>
        <v>0</v>
      </c>
      <c r="P206" s="65">
        <f>基础状态预估!N206*F$10/3</f>
        <v>0</v>
      </c>
      <c r="Q206" s="65">
        <f>基础状态预估!O206*G$10/3</f>
        <v>0</v>
      </c>
      <c r="R206" s="65">
        <f>基础状态预估!P206*H$10/3</f>
        <v>6.132736236368288</v>
      </c>
      <c r="S206" s="65">
        <f>基础状态预估!Q206*I$10/3</f>
        <v>54.317350531844092</v>
      </c>
      <c r="T206" s="65">
        <f t="shared" si="56"/>
        <v>60.45008676821238</v>
      </c>
      <c r="U206" s="65">
        <f>基础状态预估!L206*D$15</f>
        <v>0</v>
      </c>
      <c r="V206" s="65">
        <f>基础状态预估!M206*E$15</f>
        <v>0</v>
      </c>
      <c r="W206" s="65">
        <f>基础状态预估!N206*F$15</f>
        <v>0</v>
      </c>
      <c r="X206" s="65">
        <f>基础状态预估!O206*G$15</f>
        <v>0</v>
      </c>
      <c r="Y206" s="65">
        <f>基础状态预估!P206*H$15</f>
        <v>4.5995521772762164E-2</v>
      </c>
      <c r="Z206" s="65">
        <f>基础状态预估!Q206*I$15</f>
        <v>0.65180820638212911</v>
      </c>
      <c r="AA206" s="65">
        <f t="shared" si="57"/>
        <v>0.69780372815489122</v>
      </c>
      <c r="AI206" s="18">
        <v>160</v>
      </c>
      <c r="AJ206" s="18">
        <f t="shared" si="58"/>
        <v>66.666666666666671</v>
      </c>
      <c r="AK206" s="18">
        <f t="shared" si="59"/>
        <v>0.8</v>
      </c>
      <c r="AL206" s="28">
        <f>(AJ206-AJ205)*(INDEX([3]超r将兵属性验证!$V$7:$V$166,$AI206,1)+INDEX([3]超r将兵属性验证!$AP$7:$AP$166,$AI206,1))+AL205</f>
        <v>152592843113.94501</v>
      </c>
      <c r="AM206" s="5">
        <f>(AK206-AK205)*(INDEX([3]超r将兵属性验证!$AC$7:$AC$166,$AI206,1)*0.5+INDEX([3]超r将兵属性验证!$AX$7:$AX$166,$AI206,1)*0.5)+AM205</f>
        <v>160570931510.03223</v>
      </c>
      <c r="AN206" s="50">
        <f>IFERROR(求节点(付费投放!$T$187:$T$227,付费投放!$Z$187:$Z$227,AI206),0)</f>
        <v>115586640</v>
      </c>
    </row>
    <row r="207" spans="12:40" x14ac:dyDescent="0.15">
      <c r="L207" s="29">
        <f>基础状态预估!C207</f>
        <v>720</v>
      </c>
      <c r="M207" s="29">
        <f>基础状态预估!D207</f>
        <v>114.18811572794328</v>
      </c>
      <c r="N207" s="65">
        <f>基础状态预估!L207*D$10/3</f>
        <v>0</v>
      </c>
      <c r="O207" s="65">
        <f>基础状态预估!M207*E$10/3</f>
        <v>0</v>
      </c>
      <c r="P207" s="65">
        <f>基础状态预估!N207*F$10/3</f>
        <v>0</v>
      </c>
      <c r="Q207" s="65">
        <f>基础状态预估!O207*G$10/3</f>
        <v>0</v>
      </c>
      <c r="R207" s="65">
        <f>基础状态预估!P207*H$10/3</f>
        <v>3.4087533890810753</v>
      </c>
      <c r="S207" s="65">
        <f>基础状态预估!Q207*I$10/3</f>
        <v>58.399630431824697</v>
      </c>
      <c r="T207" s="65">
        <f t="shared" si="56"/>
        <v>61.808383820905775</v>
      </c>
      <c r="U207" s="65">
        <f>基础状态预估!L207*D$15</f>
        <v>0</v>
      </c>
      <c r="V207" s="65">
        <f>基础状态预估!M207*E$15</f>
        <v>0</v>
      </c>
      <c r="W207" s="65">
        <f>基础状态预估!N207*F$15</f>
        <v>0</v>
      </c>
      <c r="X207" s="65">
        <f>基础状态预估!O207*G$15</f>
        <v>0</v>
      </c>
      <c r="Y207" s="65">
        <f>基础状态预估!P207*H$15</f>
        <v>2.5565650418108064E-2</v>
      </c>
      <c r="Z207" s="65">
        <f>基础状态预估!Q207*I$15</f>
        <v>0.70079556518189634</v>
      </c>
      <c r="AA207" s="65">
        <f t="shared" si="57"/>
        <v>0.72636121560000444</v>
      </c>
    </row>
    <row r="208" spans="12:40" x14ac:dyDescent="0.15">
      <c r="L208" s="29">
        <f>基础状态预估!C208</f>
        <v>780</v>
      </c>
      <c r="M208" s="29">
        <f>基础状态预估!D208</f>
        <v>115.38798688586955</v>
      </c>
      <c r="N208" s="65">
        <f>基础状态预估!L208*D$10/3</f>
        <v>0</v>
      </c>
      <c r="O208" s="65">
        <f>基础状态预估!M208*E$10/3</f>
        <v>0</v>
      </c>
      <c r="P208" s="65">
        <f>基础状态预估!N208*F$10/3</f>
        <v>0</v>
      </c>
      <c r="Q208" s="65">
        <f>基础状态预估!O208*G$10/3</f>
        <v>0</v>
      </c>
      <c r="R208" s="65">
        <f>基础状态预估!P208*H$10/3</f>
        <v>0.93405408713897486</v>
      </c>
      <c r="S208" s="65">
        <f>基础状态预估!Q208*I$10/3</f>
        <v>62.108323101778616</v>
      </c>
      <c r="T208" s="65">
        <f t="shared" si="56"/>
        <v>63.042377188917591</v>
      </c>
      <c r="U208" s="65">
        <f>基础状态预估!L208*D$15</f>
        <v>0</v>
      </c>
      <c r="V208" s="65">
        <f>基础状态预估!M208*E$15</f>
        <v>0</v>
      </c>
      <c r="W208" s="65">
        <f>基础状态预估!N208*F$15</f>
        <v>0</v>
      </c>
      <c r="X208" s="65">
        <f>基础状态预估!O208*G$15</f>
        <v>0</v>
      </c>
      <c r="Y208" s="65">
        <f>基础状态预估!P208*H$15</f>
        <v>7.0054056535423116E-3</v>
      </c>
      <c r="Z208" s="65">
        <f>基础状态预估!Q208*I$15</f>
        <v>0.74529987722134339</v>
      </c>
      <c r="AA208" s="65">
        <f t="shared" si="57"/>
        <v>0.75230528287488574</v>
      </c>
    </row>
    <row r="209" spans="12:27" x14ac:dyDescent="0.15">
      <c r="L209" s="29">
        <f>基础状态预估!C209</f>
        <v>840</v>
      </c>
      <c r="M209" s="29">
        <f>基础状态预估!D209</f>
        <v>116.44628179968991</v>
      </c>
      <c r="N209" s="65">
        <f>基础状态预估!L209*D$10/3</f>
        <v>0</v>
      </c>
      <c r="O209" s="65">
        <f>基础状态预估!M209*E$10/3</f>
        <v>0</v>
      </c>
      <c r="P209" s="65">
        <f>基础状态预估!N209*F$10/3</f>
        <v>0</v>
      </c>
      <c r="Q209" s="65">
        <f>基础状态预估!O209*G$10/3</f>
        <v>0</v>
      </c>
      <c r="R209" s="65">
        <f>基础状态预估!P209*H$10/3</f>
        <v>0</v>
      </c>
      <c r="S209" s="65">
        <f>基础状态预估!Q209*I$10/3</f>
        <v>63.818606051123034</v>
      </c>
      <c r="T209" s="65">
        <f t="shared" si="56"/>
        <v>63.818606051123034</v>
      </c>
      <c r="U209" s="65">
        <f>基础状态预估!L209*D$15</f>
        <v>0</v>
      </c>
      <c r="V209" s="65">
        <f>基础状态预估!M209*E$15</f>
        <v>0</v>
      </c>
      <c r="W209" s="65">
        <f>基础状态预估!N209*F$15</f>
        <v>0</v>
      </c>
      <c r="X209" s="65">
        <f>基础状态预估!O209*G$15</f>
        <v>0</v>
      </c>
      <c r="Y209" s="65">
        <f>基础状态预估!P209*H$15</f>
        <v>0</v>
      </c>
      <c r="Z209" s="65">
        <f>基础状态预估!Q209*I$15</f>
        <v>0.76582327261347649</v>
      </c>
      <c r="AA209" s="65">
        <f t="shared" si="57"/>
        <v>0.76582327261347649</v>
      </c>
    </row>
    <row r="210" spans="12:27" x14ac:dyDescent="0.15">
      <c r="L210" s="29">
        <f>基础状态预估!C210</f>
        <v>900</v>
      </c>
      <c r="M210" s="29">
        <f>基础状态预估!D210</f>
        <v>117.4271778717454</v>
      </c>
      <c r="N210" s="65">
        <f>基础状态预估!L210*D$10/3</f>
        <v>0</v>
      </c>
      <c r="O210" s="65">
        <f>基础状态预估!M210*E$10/3</f>
        <v>0</v>
      </c>
      <c r="P210" s="65">
        <f>基础状态预估!N210*F$10/3</f>
        <v>0</v>
      </c>
      <c r="Q210" s="65">
        <f>基础状态预估!O210*G$10/3</f>
        <v>0</v>
      </c>
      <c r="R210" s="65">
        <f>基础状态预估!P210*H$10/3</f>
        <v>0</v>
      </c>
      <c r="S210" s="65">
        <f>基础状态预估!Q210*I$10/3</f>
        <v>64.321629677818152</v>
      </c>
      <c r="T210" s="65">
        <f t="shared" si="56"/>
        <v>64.321629677818152</v>
      </c>
      <c r="U210" s="65">
        <f>基础状态预估!L210*D$15</f>
        <v>0</v>
      </c>
      <c r="V210" s="65">
        <f>基础状态预估!M210*E$15</f>
        <v>0</v>
      </c>
      <c r="W210" s="65">
        <f>基础状态预估!N210*F$15</f>
        <v>0</v>
      </c>
      <c r="X210" s="65">
        <f>基础状态预估!O210*G$15</f>
        <v>0</v>
      </c>
      <c r="Y210" s="65">
        <f>基础状态预估!P210*H$15</f>
        <v>0</v>
      </c>
      <c r="Z210" s="65">
        <f>基础状态预估!Q210*I$15</f>
        <v>0.77185955613381785</v>
      </c>
      <c r="AA210" s="65">
        <f t="shared" si="57"/>
        <v>0.77185955613381785</v>
      </c>
    </row>
    <row r="211" spans="12:27" x14ac:dyDescent="0.15">
      <c r="L211" s="29">
        <f>基础状态预估!C211</f>
        <v>1020</v>
      </c>
      <c r="M211" s="29">
        <f>基础状态预估!D211</f>
        <v>119.29151076707612</v>
      </c>
      <c r="N211" s="65">
        <f>基础状态预估!L211*D$10/3</f>
        <v>0</v>
      </c>
      <c r="O211" s="65">
        <f>基础状态预估!M211*E$10/3</f>
        <v>0</v>
      </c>
      <c r="P211" s="65">
        <f>基础状态预估!N211*F$10/3</f>
        <v>0</v>
      </c>
      <c r="Q211" s="65">
        <f>基础状态预估!O211*G$10/3</f>
        <v>0</v>
      </c>
      <c r="R211" s="65">
        <f>基础状态预估!P211*H$10/3</f>
        <v>0</v>
      </c>
      <c r="S211" s="65">
        <f>基础状态预估!Q211*I$10/3</f>
        <v>65.277697829269798</v>
      </c>
      <c r="T211" s="65">
        <f t="shared" si="56"/>
        <v>65.277697829269798</v>
      </c>
      <c r="U211" s="65">
        <f>基础状态预估!L211*D$15</f>
        <v>0</v>
      </c>
      <c r="V211" s="65">
        <f>基础状态预估!M211*E$15</f>
        <v>0</v>
      </c>
      <c r="W211" s="65">
        <f>基础状态预估!N211*F$15</f>
        <v>0</v>
      </c>
      <c r="X211" s="65">
        <f>基础状态预估!O211*G$15</f>
        <v>0</v>
      </c>
      <c r="Y211" s="65">
        <f>基础状态预估!P211*H$15</f>
        <v>0</v>
      </c>
      <c r="Z211" s="65">
        <f>基础状态预估!Q211*I$15</f>
        <v>0.78333237395123767</v>
      </c>
      <c r="AA211" s="65">
        <f t="shared" si="57"/>
        <v>0.78333237395123767</v>
      </c>
    </row>
    <row r="212" spans="12:27" x14ac:dyDescent="0.15">
      <c r="L212" s="29">
        <f>基础状态预估!C212</f>
        <v>1140</v>
      </c>
      <c r="M212" s="29">
        <f>基础状态预估!D212</f>
        <v>120.95580403349236</v>
      </c>
      <c r="N212" s="65">
        <f>基础状态预估!L212*D$10/3</f>
        <v>0</v>
      </c>
      <c r="O212" s="65">
        <f>基础状态预估!M212*E$10/3</f>
        <v>0</v>
      </c>
      <c r="P212" s="65">
        <f>基础状态预估!N212*F$10/3</f>
        <v>0</v>
      </c>
      <c r="Q212" s="65">
        <f>基础状态预估!O212*G$10/3</f>
        <v>0</v>
      </c>
      <c r="R212" s="65">
        <f>基础状态预估!P212*H$10/3</f>
        <v>0</v>
      </c>
      <c r="S212" s="65">
        <f>基础状态预估!Q212*I$10/3</f>
        <v>66.131181555637099</v>
      </c>
      <c r="T212" s="65">
        <f t="shared" si="56"/>
        <v>66.131181555637099</v>
      </c>
      <c r="U212" s="65">
        <f>基础状态预估!L212*D$15</f>
        <v>0</v>
      </c>
      <c r="V212" s="65">
        <f>基础状态预估!M212*E$15</f>
        <v>0</v>
      </c>
      <c r="W212" s="65">
        <f>基础状态预估!N212*F$15</f>
        <v>0</v>
      </c>
      <c r="X212" s="65">
        <f>基础状态预估!O212*G$15</f>
        <v>0</v>
      </c>
      <c r="Y212" s="65">
        <f>基础状态预估!P212*H$15</f>
        <v>0</v>
      </c>
      <c r="Z212" s="65">
        <f>基础状态预估!Q212*I$15</f>
        <v>0.79357417866764524</v>
      </c>
      <c r="AA212" s="65">
        <f t="shared" si="57"/>
        <v>0.79357417866764524</v>
      </c>
    </row>
    <row r="213" spans="12:27" x14ac:dyDescent="0.15">
      <c r="L213" s="29">
        <f>基础状态预估!C213</f>
        <v>1260</v>
      </c>
      <c r="M213" s="29">
        <f>基础状态预估!D213</f>
        <v>122.38959636199006</v>
      </c>
      <c r="N213" s="65">
        <f>基础状态预估!L213*D$10/3</f>
        <v>0</v>
      </c>
      <c r="O213" s="65">
        <f>基础状态预估!M213*E$10/3</f>
        <v>0</v>
      </c>
      <c r="P213" s="65">
        <f>基础状态预估!N213*F$10/3</f>
        <v>0</v>
      </c>
      <c r="Q213" s="65">
        <f>基础状态预估!O213*G$10/3</f>
        <v>0</v>
      </c>
      <c r="R213" s="65">
        <f>基础状态预估!P213*H$10/3</f>
        <v>0</v>
      </c>
      <c r="S213" s="65">
        <f>基础状态预估!Q213*I$10/3</f>
        <v>66.666666666666671</v>
      </c>
      <c r="T213" s="65">
        <f t="shared" si="56"/>
        <v>66.666666666666671</v>
      </c>
      <c r="U213" s="65">
        <f>基础状态预估!L213*D$15</f>
        <v>0</v>
      </c>
      <c r="V213" s="65">
        <f>基础状态预估!M213*E$15</f>
        <v>0</v>
      </c>
      <c r="W213" s="65">
        <f>基础状态预估!N213*F$15</f>
        <v>0</v>
      </c>
      <c r="X213" s="65">
        <f>基础状态预估!O213*G$15</f>
        <v>0</v>
      </c>
      <c r="Y213" s="65">
        <f>基础状态预估!P213*H$15</f>
        <v>0</v>
      </c>
      <c r="Z213" s="65">
        <f>基础状态预估!Q213*I$15</f>
        <v>0.8</v>
      </c>
      <c r="AA213" s="65">
        <f t="shared" si="57"/>
        <v>0.8</v>
      </c>
    </row>
    <row r="214" spans="12:27" x14ac:dyDescent="0.15">
      <c r="L214" s="29">
        <f>基础状态预估!C214</f>
        <v>1380</v>
      </c>
      <c r="M214" s="29">
        <f>基础状态预估!D214</f>
        <v>123.64000871786199</v>
      </c>
      <c r="N214" s="65">
        <f>基础状态预估!L214*D$10/3</f>
        <v>0</v>
      </c>
      <c r="O214" s="65">
        <f>基础状态预估!M214*E$10/3</f>
        <v>0</v>
      </c>
      <c r="P214" s="65">
        <f>基础状态预估!N214*F$10/3</f>
        <v>0</v>
      </c>
      <c r="Q214" s="65">
        <f>基础状态预估!O214*G$10/3</f>
        <v>0</v>
      </c>
      <c r="R214" s="65">
        <f>基础状态预估!P214*H$10/3</f>
        <v>0</v>
      </c>
      <c r="S214" s="65">
        <f>基础状态预估!Q214*I$10/3</f>
        <v>66.666666666666671</v>
      </c>
      <c r="T214" s="65">
        <f t="shared" si="56"/>
        <v>66.666666666666671</v>
      </c>
      <c r="U214" s="65">
        <f>基础状态预估!L214*D$15</f>
        <v>0</v>
      </c>
      <c r="V214" s="65">
        <f>基础状态预估!M214*E$15</f>
        <v>0</v>
      </c>
      <c r="W214" s="65">
        <f>基础状态预估!N214*F$15</f>
        <v>0</v>
      </c>
      <c r="X214" s="65">
        <f>基础状态预估!O214*G$15</f>
        <v>0</v>
      </c>
      <c r="Y214" s="65">
        <f>基础状态预估!P214*H$15</f>
        <v>0</v>
      </c>
      <c r="Z214" s="65">
        <f>基础状态预估!Q214*I$15</f>
        <v>0.8</v>
      </c>
      <c r="AA214" s="65">
        <f t="shared" si="57"/>
        <v>0.8</v>
      </c>
    </row>
    <row r="215" spans="12:27" x14ac:dyDescent="0.15">
      <c r="L215" s="29">
        <f>基础状态预估!C215</f>
        <v>1500</v>
      </c>
      <c r="M215" s="29">
        <f>基础状态预估!D215</f>
        <v>124.89506332611212</v>
      </c>
      <c r="N215" s="65">
        <f>基础状态预估!L215*D$10/3</f>
        <v>0</v>
      </c>
      <c r="O215" s="65">
        <f>基础状态预估!M215*E$10/3</f>
        <v>0</v>
      </c>
      <c r="P215" s="65">
        <f>基础状态预估!N215*F$10/3</f>
        <v>0</v>
      </c>
      <c r="Q215" s="65">
        <f>基础状态预估!O215*G$10/3</f>
        <v>0</v>
      </c>
      <c r="R215" s="65">
        <f>基础状态预估!P215*H$10/3</f>
        <v>0</v>
      </c>
      <c r="S215" s="65">
        <f>基础状态预估!Q215*I$10/3</f>
        <v>66.666666666666671</v>
      </c>
      <c r="T215" s="65">
        <f t="shared" si="56"/>
        <v>66.666666666666671</v>
      </c>
      <c r="U215" s="65">
        <f>基础状态预估!L215*D$15</f>
        <v>0</v>
      </c>
      <c r="V215" s="65">
        <f>基础状态预估!M215*E$15</f>
        <v>0</v>
      </c>
      <c r="W215" s="65">
        <f>基础状态预估!N215*F$15</f>
        <v>0</v>
      </c>
      <c r="X215" s="65">
        <f>基础状态预估!O215*G$15</f>
        <v>0</v>
      </c>
      <c r="Y215" s="65">
        <f>基础状态预估!P215*H$15</f>
        <v>0</v>
      </c>
      <c r="Z215" s="65">
        <f>基础状态预估!Q215*I$15</f>
        <v>0.8</v>
      </c>
      <c r="AA215" s="65">
        <f t="shared" si="57"/>
        <v>0.8</v>
      </c>
    </row>
    <row r="216" spans="12:27" x14ac:dyDescent="0.15">
      <c r="L216" s="29">
        <f>基础状态预估!C216</f>
        <v>1800</v>
      </c>
      <c r="M216" s="29">
        <f>基础状态预估!D216</f>
        <v>127.67301312853458</v>
      </c>
      <c r="N216" s="65">
        <f>基础状态预估!L216*D$10/3</f>
        <v>0</v>
      </c>
      <c r="O216" s="65">
        <f>基础状态预估!M216*E$10/3</f>
        <v>0</v>
      </c>
      <c r="P216" s="65">
        <f>基础状态预估!N216*F$10/3</f>
        <v>0</v>
      </c>
      <c r="Q216" s="65">
        <f>基础状态预估!O216*G$10/3</f>
        <v>0</v>
      </c>
      <c r="R216" s="65">
        <f>基础状态预估!P216*H$10/3</f>
        <v>0</v>
      </c>
      <c r="S216" s="65">
        <f>基础状态预估!Q216*I$10/3</f>
        <v>66.666666666666671</v>
      </c>
      <c r="T216" s="65">
        <f t="shared" si="56"/>
        <v>66.666666666666671</v>
      </c>
      <c r="U216" s="65">
        <f>基础状态预估!L216*D$15</f>
        <v>0</v>
      </c>
      <c r="V216" s="65">
        <f>基础状态预估!M216*E$15</f>
        <v>0</v>
      </c>
      <c r="W216" s="65">
        <f>基础状态预估!N216*F$15</f>
        <v>0</v>
      </c>
      <c r="X216" s="65">
        <f>基础状态预估!O216*G$15</f>
        <v>0</v>
      </c>
      <c r="Y216" s="65">
        <f>基础状态预估!P216*H$15</f>
        <v>0</v>
      </c>
      <c r="Z216" s="65">
        <f>基础状态预估!Q216*I$15</f>
        <v>0.8</v>
      </c>
      <c r="AA216" s="65">
        <f t="shared" si="57"/>
        <v>0.8</v>
      </c>
    </row>
    <row r="217" spans="12:27" x14ac:dyDescent="0.15">
      <c r="L217" s="29">
        <f>基础状态预估!C217</f>
        <v>2100</v>
      </c>
      <c r="M217" s="29">
        <f>基础状态预估!D217</f>
        <v>129.83412763547076</v>
      </c>
      <c r="N217" s="65">
        <f>基础状态预估!L217*D$10/3</f>
        <v>0</v>
      </c>
      <c r="O217" s="65">
        <f>基础状态预估!M217*E$10/3</f>
        <v>0</v>
      </c>
      <c r="P217" s="65">
        <f>基础状态预估!N217*F$10/3</f>
        <v>0</v>
      </c>
      <c r="Q217" s="65">
        <f>基础状态预估!O217*G$10/3</f>
        <v>0</v>
      </c>
      <c r="R217" s="65">
        <f>基础状态预估!P217*H$10/3</f>
        <v>0</v>
      </c>
      <c r="S217" s="65">
        <f>基础状态预估!Q217*I$10/3</f>
        <v>66.666666666666671</v>
      </c>
      <c r="T217" s="65">
        <f t="shared" si="56"/>
        <v>66.666666666666671</v>
      </c>
      <c r="U217" s="65">
        <f>基础状态预估!L217*D$15</f>
        <v>0</v>
      </c>
      <c r="V217" s="65">
        <f>基础状态预估!M217*E$15</f>
        <v>0</v>
      </c>
      <c r="W217" s="65">
        <f>基础状态预估!N217*F$15</f>
        <v>0</v>
      </c>
      <c r="X217" s="65">
        <f>基础状态预估!O217*G$15</f>
        <v>0</v>
      </c>
      <c r="Y217" s="65">
        <f>基础状态预估!P217*H$15</f>
        <v>0</v>
      </c>
      <c r="Z217" s="65">
        <f>基础状态预估!Q217*I$15</f>
        <v>0.8</v>
      </c>
      <c r="AA217" s="65">
        <f t="shared" si="57"/>
        <v>0.8</v>
      </c>
    </row>
    <row r="218" spans="12:27" x14ac:dyDescent="0.15">
      <c r="L218" s="29">
        <f>基础状态预估!C218</f>
        <v>2400</v>
      </c>
      <c r="M218" s="29">
        <f>基础状态预估!D218</f>
        <v>131.79898277231624</v>
      </c>
      <c r="N218" s="65">
        <f>基础状态预估!L218*D$10/3</f>
        <v>0</v>
      </c>
      <c r="O218" s="65">
        <f>基础状态预估!M218*E$10/3</f>
        <v>0</v>
      </c>
      <c r="P218" s="65">
        <f>基础状态预估!N218*F$10/3</f>
        <v>0</v>
      </c>
      <c r="Q218" s="65">
        <f>基础状态预估!O218*G$10/3</f>
        <v>0</v>
      </c>
      <c r="R218" s="65">
        <f>基础状态预估!P218*H$10/3</f>
        <v>0</v>
      </c>
      <c r="S218" s="65">
        <f>基础状态预估!Q218*I$10/3</f>
        <v>66.666666666666671</v>
      </c>
      <c r="T218" s="65">
        <f t="shared" si="56"/>
        <v>66.666666666666671</v>
      </c>
      <c r="U218" s="65">
        <f>基础状态预估!L218*D$15</f>
        <v>0</v>
      </c>
      <c r="V218" s="65">
        <f>基础状态预估!M218*E$15</f>
        <v>0</v>
      </c>
      <c r="W218" s="65">
        <f>基础状态预估!N218*F$15</f>
        <v>0</v>
      </c>
      <c r="X218" s="65">
        <f>基础状态预估!O218*G$15</f>
        <v>0</v>
      </c>
      <c r="Y218" s="65">
        <f>基础状态预估!P218*H$15</f>
        <v>0</v>
      </c>
      <c r="Z218" s="65">
        <f>基础状态预估!Q218*I$15</f>
        <v>0.8</v>
      </c>
      <c r="AA218" s="65">
        <f t="shared" si="57"/>
        <v>0.8</v>
      </c>
    </row>
    <row r="219" spans="12:27" x14ac:dyDescent="0.15">
      <c r="L219" s="29">
        <f>基础状态预估!C219</f>
        <v>2700</v>
      </c>
      <c r="M219" s="29">
        <f>基础状态预估!D219</f>
        <v>133.57962992379356</v>
      </c>
      <c r="N219" s="65">
        <f>基础状态预估!L219*D$10/3</f>
        <v>0</v>
      </c>
      <c r="O219" s="65">
        <f>基础状态预估!M219*E$10/3</f>
        <v>0</v>
      </c>
      <c r="P219" s="65">
        <f>基础状态预估!N219*F$10/3</f>
        <v>0</v>
      </c>
      <c r="Q219" s="65">
        <f>基础状态预估!O219*G$10/3</f>
        <v>0</v>
      </c>
      <c r="R219" s="65">
        <f>基础状态预估!P219*H$10/3</f>
        <v>0</v>
      </c>
      <c r="S219" s="65">
        <f>基础状态预估!Q219*I$10/3</f>
        <v>66.666666666666671</v>
      </c>
      <c r="T219" s="65">
        <f t="shared" si="56"/>
        <v>66.666666666666671</v>
      </c>
      <c r="U219" s="65">
        <f>基础状态预估!L219*D$15</f>
        <v>0</v>
      </c>
      <c r="V219" s="65">
        <f>基础状态预估!M219*E$15</f>
        <v>0</v>
      </c>
      <c r="W219" s="65">
        <f>基础状态预估!N219*F$15</f>
        <v>0</v>
      </c>
      <c r="X219" s="65">
        <f>基础状态预估!O219*G$15</f>
        <v>0</v>
      </c>
      <c r="Y219" s="65">
        <f>基础状态预估!P219*H$15</f>
        <v>0</v>
      </c>
      <c r="Z219" s="65">
        <f>基础状态预估!Q219*I$15</f>
        <v>0.8</v>
      </c>
      <c r="AA219" s="65">
        <f t="shared" si="57"/>
        <v>0.8</v>
      </c>
    </row>
    <row r="220" spans="12:27" x14ac:dyDescent="0.15">
      <c r="L220" s="29">
        <f>基础状态预估!C220</f>
        <v>3000</v>
      </c>
      <c r="M220" s="29">
        <f>基础状态预估!D220</f>
        <v>135.09124682527644</v>
      </c>
      <c r="N220" s="65">
        <f>基础状态预估!L220*D$10/3</f>
        <v>0</v>
      </c>
      <c r="O220" s="65">
        <f>基础状态预估!M220*E$10/3</f>
        <v>0</v>
      </c>
      <c r="P220" s="65">
        <f>基础状态预估!N220*F$10/3</f>
        <v>0</v>
      </c>
      <c r="Q220" s="65">
        <f>基础状态预估!O220*G$10/3</f>
        <v>0</v>
      </c>
      <c r="R220" s="65">
        <f>基础状态预估!P220*H$10/3</f>
        <v>0</v>
      </c>
      <c r="S220" s="65">
        <f>基础状态预估!Q220*I$10/3</f>
        <v>66.666666666666671</v>
      </c>
      <c r="T220" s="65">
        <f t="shared" si="56"/>
        <v>66.666666666666671</v>
      </c>
      <c r="U220" s="65">
        <f>基础状态预估!L220*D$15</f>
        <v>0</v>
      </c>
      <c r="V220" s="65">
        <f>基础状态预估!M220*E$15</f>
        <v>0</v>
      </c>
      <c r="W220" s="65">
        <f>基础状态预估!N220*F$15</f>
        <v>0</v>
      </c>
      <c r="X220" s="65">
        <f>基础状态预估!O220*G$15</f>
        <v>0</v>
      </c>
      <c r="Y220" s="65">
        <f>基础状态预估!P220*H$15</f>
        <v>0</v>
      </c>
      <c r="Z220" s="65">
        <f>基础状态预估!Q220*I$15</f>
        <v>0.8</v>
      </c>
      <c r="AA220" s="65">
        <f t="shared" si="57"/>
        <v>0.8</v>
      </c>
    </row>
    <row r="221" spans="12:27" x14ac:dyDescent="0.15">
      <c r="L221" s="29">
        <f>基础状态预估!C221</f>
        <v>3300</v>
      </c>
      <c r="M221" s="29">
        <f>基础状态预估!D221</f>
        <v>136.4080820895465</v>
      </c>
      <c r="N221" s="65">
        <f>基础状态预估!L221*D$10/3</f>
        <v>0</v>
      </c>
      <c r="O221" s="65">
        <f>基础状态预估!M221*E$10/3</f>
        <v>0</v>
      </c>
      <c r="P221" s="65">
        <f>基础状态预估!N221*F$10/3</f>
        <v>0</v>
      </c>
      <c r="Q221" s="65">
        <f>基础状态预估!O221*G$10/3</f>
        <v>0</v>
      </c>
      <c r="R221" s="65">
        <f>基础状态预估!P221*H$10/3</f>
        <v>0</v>
      </c>
      <c r="S221" s="65">
        <f>基础状态预估!Q221*I$10/3</f>
        <v>66.666666666666671</v>
      </c>
      <c r="T221" s="65">
        <f t="shared" si="56"/>
        <v>66.666666666666671</v>
      </c>
      <c r="U221" s="65">
        <f>基础状态预估!L221*D$15</f>
        <v>0</v>
      </c>
      <c r="V221" s="65">
        <f>基础状态预估!M221*E$15</f>
        <v>0</v>
      </c>
      <c r="W221" s="65">
        <f>基础状态预估!N221*F$15</f>
        <v>0</v>
      </c>
      <c r="X221" s="65">
        <f>基础状态预估!O221*G$15</f>
        <v>0</v>
      </c>
      <c r="Y221" s="65">
        <f>基础状态预估!P221*H$15</f>
        <v>0</v>
      </c>
      <c r="Z221" s="65">
        <f>基础状态预估!Q221*I$15</f>
        <v>0.8</v>
      </c>
      <c r="AA221" s="65">
        <f t="shared" si="57"/>
        <v>0.8</v>
      </c>
    </row>
    <row r="222" spans="12:27" x14ac:dyDescent="0.15">
      <c r="L222" s="29">
        <f>基础状态预估!C222</f>
        <v>3600</v>
      </c>
      <c r="M222" s="29">
        <f>基础状态预估!D222</f>
        <v>137.69441197975056</v>
      </c>
      <c r="N222" s="65">
        <f>基础状态预估!L222*D$10/3</f>
        <v>0</v>
      </c>
      <c r="O222" s="65">
        <f>基础状态预估!M222*E$10/3</f>
        <v>0</v>
      </c>
      <c r="P222" s="65">
        <f>基础状态预估!N222*F$10/3</f>
        <v>0</v>
      </c>
      <c r="Q222" s="65">
        <f>基础状态预估!O222*G$10/3</f>
        <v>0</v>
      </c>
      <c r="R222" s="65">
        <f>基础状态预估!P222*H$10/3</f>
        <v>0</v>
      </c>
      <c r="S222" s="65">
        <f>基础状态预估!Q222*I$10/3</f>
        <v>66.666666666666671</v>
      </c>
      <c r="T222" s="65">
        <f t="shared" si="56"/>
        <v>66.666666666666671</v>
      </c>
      <c r="U222" s="65">
        <f>基础状态预估!L222*D$15</f>
        <v>0</v>
      </c>
      <c r="V222" s="65">
        <f>基础状态预估!M222*E$15</f>
        <v>0</v>
      </c>
      <c r="W222" s="65">
        <f>基础状态预估!N222*F$15</f>
        <v>0</v>
      </c>
      <c r="X222" s="65">
        <f>基础状态预估!O222*G$15</f>
        <v>0</v>
      </c>
      <c r="Y222" s="65">
        <f>基础状态预估!P222*H$15</f>
        <v>0</v>
      </c>
      <c r="Z222" s="65">
        <f>基础状态预估!Q222*I$15</f>
        <v>0.8</v>
      </c>
      <c r="AA222" s="65">
        <f t="shared" si="57"/>
        <v>0.8</v>
      </c>
    </row>
    <row r="223" spans="12:27" x14ac:dyDescent="0.15">
      <c r="L223" s="29">
        <f>基础状态预估!C223</f>
        <v>3900</v>
      </c>
      <c r="M223" s="29">
        <f>基础状态预估!D223</f>
        <v>138.91667176742632</v>
      </c>
      <c r="N223" s="65">
        <f>基础状态预估!L223*D$10/3</f>
        <v>0</v>
      </c>
      <c r="O223" s="65">
        <f>基础状态预估!M223*E$10/3</f>
        <v>0</v>
      </c>
      <c r="P223" s="65">
        <f>基础状态预估!N223*F$10/3</f>
        <v>0</v>
      </c>
      <c r="Q223" s="65">
        <f>基础状态预估!O223*G$10/3</f>
        <v>0</v>
      </c>
      <c r="R223" s="65">
        <f>基础状态预估!P223*H$10/3</f>
        <v>0</v>
      </c>
      <c r="S223" s="65">
        <f>基础状态预估!Q223*I$10/3</f>
        <v>66.666666666666671</v>
      </c>
      <c r="T223" s="65">
        <f t="shared" si="56"/>
        <v>66.666666666666671</v>
      </c>
      <c r="U223" s="65">
        <f>基础状态预估!L223*D$15</f>
        <v>0</v>
      </c>
      <c r="V223" s="65">
        <f>基础状态预估!M223*E$15</f>
        <v>0</v>
      </c>
      <c r="W223" s="65">
        <f>基础状态预估!N223*F$15</f>
        <v>0</v>
      </c>
      <c r="X223" s="65">
        <f>基础状态预估!O223*G$15</f>
        <v>0</v>
      </c>
      <c r="Y223" s="65">
        <f>基础状态预估!P223*H$15</f>
        <v>0</v>
      </c>
      <c r="Z223" s="65">
        <f>基础状态预估!Q223*I$15</f>
        <v>0.8</v>
      </c>
      <c r="AA223" s="65">
        <f t="shared" si="57"/>
        <v>0.8</v>
      </c>
    </row>
    <row r="224" spans="12:27" x14ac:dyDescent="0.15">
      <c r="L224" s="29">
        <f>基础状态预估!C224</f>
        <v>4200</v>
      </c>
      <c r="M224" s="29">
        <f>基础状态预估!D224</f>
        <v>140.02552130500166</v>
      </c>
      <c r="N224" s="65">
        <f>基础状态预估!L224*D$10/3</f>
        <v>0</v>
      </c>
      <c r="O224" s="65">
        <f>基础状态预估!M224*E$10/3</f>
        <v>0</v>
      </c>
      <c r="P224" s="65">
        <f>基础状态预估!N224*F$10/3</f>
        <v>0</v>
      </c>
      <c r="Q224" s="65">
        <f>基础状态预估!O224*G$10/3</f>
        <v>0</v>
      </c>
      <c r="R224" s="65">
        <f>基础状态预估!P224*H$10/3</f>
        <v>0</v>
      </c>
      <c r="S224" s="65">
        <f>基础状态预估!Q224*I$10/3</f>
        <v>66.666666666666671</v>
      </c>
      <c r="T224" s="65">
        <f t="shared" si="56"/>
        <v>66.666666666666671</v>
      </c>
      <c r="U224" s="65">
        <f>基础状态预估!L224*D$15</f>
        <v>0</v>
      </c>
      <c r="V224" s="65">
        <f>基础状态预估!M224*E$15</f>
        <v>0</v>
      </c>
      <c r="W224" s="65">
        <f>基础状态预估!N224*F$15</f>
        <v>0</v>
      </c>
      <c r="X224" s="65">
        <f>基础状态预估!O224*G$15</f>
        <v>0</v>
      </c>
      <c r="Y224" s="65">
        <f>基础状态预估!P224*H$15</f>
        <v>0</v>
      </c>
      <c r="Z224" s="65">
        <f>基础状态预估!Q224*I$15</f>
        <v>0.8</v>
      </c>
      <c r="AA224" s="65">
        <f t="shared" si="57"/>
        <v>0.8</v>
      </c>
    </row>
    <row r="225" spans="12:27" x14ac:dyDescent="0.15">
      <c r="L225" s="29">
        <f>基础状态预估!C225</f>
        <v>4500</v>
      </c>
      <c r="M225" s="29">
        <f>基础状态预估!D225</f>
        <v>141.0305191407117</v>
      </c>
      <c r="N225" s="65">
        <f>基础状态预估!L225*D$10/3</f>
        <v>0</v>
      </c>
      <c r="O225" s="65">
        <f>基础状态预估!M225*E$10/3</f>
        <v>0</v>
      </c>
      <c r="P225" s="65">
        <f>基础状态预估!N225*F$10/3</f>
        <v>0</v>
      </c>
      <c r="Q225" s="65">
        <f>基础状态预估!O225*G$10/3</f>
        <v>0</v>
      </c>
      <c r="R225" s="65">
        <f>基础状态预估!P225*H$10/3</f>
        <v>0</v>
      </c>
      <c r="S225" s="65">
        <f>基础状态预估!Q225*I$10/3</f>
        <v>66.666666666666671</v>
      </c>
      <c r="T225" s="65">
        <f t="shared" si="56"/>
        <v>66.666666666666671</v>
      </c>
      <c r="U225" s="65">
        <f>基础状态预估!L225*D$15</f>
        <v>0</v>
      </c>
      <c r="V225" s="65">
        <f>基础状态预估!M225*E$15</f>
        <v>0</v>
      </c>
      <c r="W225" s="65">
        <f>基础状态预估!N225*F$15</f>
        <v>0</v>
      </c>
      <c r="X225" s="65">
        <f>基础状态预估!O225*G$15</f>
        <v>0</v>
      </c>
      <c r="Y225" s="65">
        <f>基础状态预估!P225*H$15</f>
        <v>0</v>
      </c>
      <c r="Z225" s="65">
        <f>基础状态预估!Q225*I$15</f>
        <v>0.8</v>
      </c>
      <c r="AA225" s="65">
        <f t="shared" si="57"/>
        <v>0.8</v>
      </c>
    </row>
    <row r="226" spans="12:27" x14ac:dyDescent="0.15">
      <c r="L226" s="29">
        <f>基础状态预估!C226</f>
        <v>4800</v>
      </c>
      <c r="M226" s="29">
        <f>基础状态预估!D226</f>
        <v>141.92990796852064</v>
      </c>
      <c r="N226" s="65">
        <f>基础状态预估!L226*D$10/3</f>
        <v>0</v>
      </c>
      <c r="O226" s="65">
        <f>基础状态预估!M226*E$10/3</f>
        <v>0</v>
      </c>
      <c r="P226" s="65">
        <f>基础状态预估!N226*F$10/3</f>
        <v>0</v>
      </c>
      <c r="Q226" s="65">
        <f>基础状态预估!O226*G$10/3</f>
        <v>0</v>
      </c>
      <c r="R226" s="65">
        <f>基础状态预估!P226*H$10/3</f>
        <v>0</v>
      </c>
      <c r="S226" s="65">
        <f>基础状态预估!Q226*I$10/3</f>
        <v>66.666666666666671</v>
      </c>
      <c r="T226" s="65">
        <f t="shared" si="56"/>
        <v>66.666666666666671</v>
      </c>
      <c r="U226" s="65">
        <f>基础状态预估!L226*D$15</f>
        <v>0</v>
      </c>
      <c r="V226" s="65">
        <f>基础状态预估!M226*E$15</f>
        <v>0</v>
      </c>
      <c r="W226" s="65">
        <f>基础状态预估!N226*F$15</f>
        <v>0</v>
      </c>
      <c r="X226" s="65">
        <f>基础状态预估!O226*G$15</f>
        <v>0</v>
      </c>
      <c r="Y226" s="65">
        <f>基础状态预估!P226*H$15</f>
        <v>0</v>
      </c>
      <c r="Z226" s="65">
        <f>基础状态预估!Q226*I$15</f>
        <v>0.8</v>
      </c>
      <c r="AA226" s="65">
        <f t="shared" si="57"/>
        <v>0.8</v>
      </c>
    </row>
    <row r="227" spans="12:27" x14ac:dyDescent="0.15">
      <c r="L227" s="29">
        <f>基础状态预估!C227</f>
        <v>65535</v>
      </c>
      <c r="M227" s="29">
        <f>基础状态预估!D227</f>
        <v>160</v>
      </c>
      <c r="N227" s="65">
        <f>基础状态预估!L227*D$10/3</f>
        <v>0</v>
      </c>
      <c r="O227" s="65">
        <f>基础状态预估!M227*E$10/3</f>
        <v>0</v>
      </c>
      <c r="P227" s="65">
        <f>基础状态预估!N227*F$10/3</f>
        <v>0</v>
      </c>
      <c r="Q227" s="65">
        <f>基础状态预估!O227*G$10/3</f>
        <v>0</v>
      </c>
      <c r="R227" s="65">
        <f>基础状态预估!P227*H$10/3</f>
        <v>0</v>
      </c>
      <c r="S227" s="65">
        <f>基础状态预估!Q227*I$10/3</f>
        <v>66.666666666666671</v>
      </c>
      <c r="T227" s="65">
        <f t="shared" ref="T227" si="60">SUM(N227:S227)</f>
        <v>66.666666666666671</v>
      </c>
      <c r="U227" s="65">
        <f>基础状态预估!L227*D$15</f>
        <v>0</v>
      </c>
      <c r="V227" s="65">
        <f>基础状态预估!M227*E$15</f>
        <v>0</v>
      </c>
      <c r="W227" s="65">
        <f>基础状态预估!N227*F$15</f>
        <v>0</v>
      </c>
      <c r="X227" s="65">
        <f>基础状态预估!O227*G$15</f>
        <v>0</v>
      </c>
      <c r="Y227" s="65">
        <f>基础状态预估!P227*H$15</f>
        <v>0</v>
      </c>
      <c r="Z227" s="65">
        <f>基础状态预估!Q227*I$15</f>
        <v>0.8</v>
      </c>
      <c r="AA227" s="65">
        <f t="shared" ref="AA227" si="61">SUM(U227:Z227)</f>
        <v>0.8</v>
      </c>
    </row>
  </sheetData>
  <mergeCells count="22">
    <mergeCell ref="AW9:BA9"/>
    <mergeCell ref="BB9:BF9"/>
    <mergeCell ref="AJ189:AK189"/>
    <mergeCell ref="AL9:AM9"/>
    <mergeCell ref="AL54:AM54"/>
    <mergeCell ref="AL99:AM99"/>
    <mergeCell ref="AL144:AM144"/>
    <mergeCell ref="AL189:AM189"/>
    <mergeCell ref="U185:Z185"/>
    <mergeCell ref="AJ9:AK9"/>
    <mergeCell ref="AJ54:AK54"/>
    <mergeCell ref="AJ99:AK99"/>
    <mergeCell ref="AJ144:AK144"/>
    <mergeCell ref="U9:Z9"/>
    <mergeCell ref="U53:Z53"/>
    <mergeCell ref="U97:Z97"/>
    <mergeCell ref="U141:Z141"/>
    <mergeCell ref="N9:S9"/>
    <mergeCell ref="N53:S53"/>
    <mergeCell ref="N97:S97"/>
    <mergeCell ref="N141:S141"/>
    <mergeCell ref="N185:S185"/>
  </mergeCells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591A0-D722-4F3C-8FD2-1B3AE43BF869}">
  <dimension ref="A1:AR227"/>
  <sheetViews>
    <sheetView workbookViewId="0">
      <selection activeCell="O1" sqref="O1:S1048576"/>
    </sheetView>
  </sheetViews>
  <sheetFormatPr defaultColWidth="9" defaultRowHeight="11.25" x14ac:dyDescent="0.15"/>
  <cols>
    <col min="1" max="1" width="9" style="21"/>
    <col min="2" max="2" width="9" style="16"/>
    <col min="3" max="3" width="13.875" style="16" bestFit="1" customWidth="1"/>
    <col min="4" max="4" width="10.375" style="16" bestFit="1" customWidth="1"/>
    <col min="5" max="9" width="9" style="16"/>
    <col min="10" max="12" width="10.375" style="16" bestFit="1" customWidth="1"/>
    <col min="13" max="13" width="6" style="16" bestFit="1" customWidth="1"/>
    <col min="14" max="14" width="4.375" style="16" bestFit="1" customWidth="1"/>
    <col min="15" max="17" width="10.375" style="16" bestFit="1" customWidth="1"/>
    <col min="18" max="18" width="6" style="16" bestFit="1" customWidth="1"/>
    <col min="19" max="19" width="4.375" style="16" bestFit="1" customWidth="1"/>
    <col min="20" max="21" width="9" style="16"/>
    <col min="22" max="22" width="7.25" style="31" customWidth="1"/>
    <col min="23" max="23" width="7.25" style="47" customWidth="1"/>
    <col min="24" max="26" width="10.375" style="16" bestFit="1" customWidth="1"/>
    <col min="27" max="27" width="6" style="16" bestFit="1" customWidth="1"/>
    <col min="28" max="28" width="6.75" style="16" bestFit="1" customWidth="1"/>
    <col min="29" max="16384" width="9" style="16"/>
  </cols>
  <sheetData>
    <row r="1" spans="1:44" x14ac:dyDescent="0.15">
      <c r="A1" s="21" t="s">
        <v>101</v>
      </c>
      <c r="E1" s="16">
        <v>15</v>
      </c>
      <c r="F1" s="16" t="s">
        <v>102</v>
      </c>
      <c r="V1" s="30"/>
      <c r="W1" s="43"/>
    </row>
    <row r="2" spans="1:44" x14ac:dyDescent="0.15">
      <c r="A2" s="21" t="s">
        <v>103</v>
      </c>
      <c r="V2" s="30"/>
      <c r="W2" s="43"/>
    </row>
    <row r="3" spans="1:44" x14ac:dyDescent="0.15">
      <c r="A3" s="21" t="s">
        <v>134</v>
      </c>
      <c r="V3" s="30"/>
      <c r="W3" s="43"/>
      <c r="AJ3" s="51"/>
      <c r="AK3" s="51"/>
      <c r="AL3" s="51"/>
      <c r="AM3" s="51"/>
      <c r="AN3" s="51"/>
      <c r="AO3" s="51"/>
      <c r="AP3" s="51"/>
      <c r="AQ3" s="51"/>
      <c r="AR3" s="51"/>
    </row>
    <row r="4" spans="1:44" x14ac:dyDescent="0.15">
      <c r="V4" s="30"/>
      <c r="W4" s="43"/>
      <c r="AJ4" s="51"/>
      <c r="AK4" s="51"/>
      <c r="AL4" s="51"/>
      <c r="AM4" s="51"/>
      <c r="AN4" s="51"/>
      <c r="AO4" s="51"/>
      <c r="AP4" s="51"/>
      <c r="AQ4" s="51"/>
      <c r="AR4" s="51"/>
    </row>
    <row r="5" spans="1:44" x14ac:dyDescent="0.15">
      <c r="E5" s="92" t="s">
        <v>106</v>
      </c>
      <c r="F5" s="92"/>
      <c r="G5" s="92"/>
      <c r="H5" s="92"/>
      <c r="I5" s="92"/>
      <c r="J5" s="92" t="s">
        <v>107</v>
      </c>
      <c r="K5" s="92"/>
      <c r="L5" s="92"/>
      <c r="M5" s="92"/>
      <c r="N5" s="92"/>
      <c r="O5" s="92" t="s">
        <v>118</v>
      </c>
      <c r="P5" s="92"/>
      <c r="Q5" s="92"/>
      <c r="R5" s="92"/>
      <c r="S5" s="92"/>
      <c r="V5" s="30"/>
      <c r="W5" s="43"/>
      <c r="AJ5" s="51"/>
      <c r="AK5" s="51"/>
      <c r="AL5" s="51"/>
      <c r="AM5" s="51"/>
      <c r="AN5" s="51"/>
      <c r="AO5" s="51"/>
      <c r="AP5" s="51"/>
      <c r="AQ5" s="51"/>
      <c r="AR5" s="51"/>
    </row>
    <row r="6" spans="1:44" x14ac:dyDescent="0.15">
      <c r="C6" s="16" t="s">
        <v>104</v>
      </c>
      <c r="D6" s="16" t="s">
        <v>105</v>
      </c>
      <c r="E6" s="16" t="s">
        <v>17</v>
      </c>
      <c r="F6" s="16" t="s">
        <v>18</v>
      </c>
      <c r="G6" s="16" t="s">
        <v>19</v>
      </c>
      <c r="H6" s="16" t="s">
        <v>20</v>
      </c>
      <c r="I6" s="16" t="s">
        <v>21</v>
      </c>
      <c r="J6" s="16" t="s">
        <v>109</v>
      </c>
      <c r="K6" s="16" t="s">
        <v>111</v>
      </c>
      <c r="L6" s="16" t="s">
        <v>113</v>
      </c>
      <c r="M6" s="16" t="s">
        <v>115</v>
      </c>
      <c r="N6" s="16" t="s">
        <v>117</v>
      </c>
      <c r="O6" s="16" t="s">
        <v>109</v>
      </c>
      <c r="P6" s="16" t="s">
        <v>111</v>
      </c>
      <c r="Q6" s="16" t="s">
        <v>113</v>
      </c>
      <c r="R6" s="16" t="s">
        <v>115</v>
      </c>
      <c r="S6" s="16" t="s">
        <v>117</v>
      </c>
      <c r="V6" s="30"/>
      <c r="W6" s="43"/>
      <c r="AJ6" s="51"/>
      <c r="AK6" s="51"/>
      <c r="AL6" s="51"/>
      <c r="AM6" s="51"/>
      <c r="AN6" s="51"/>
      <c r="AO6" s="51"/>
      <c r="AP6" s="51"/>
      <c r="AQ6" s="51"/>
      <c r="AR6" s="51"/>
    </row>
    <row r="7" spans="1:44" x14ac:dyDescent="0.15">
      <c r="C7" s="16">
        <v>1</v>
      </c>
      <c r="D7" s="16">
        <v>45</v>
      </c>
      <c r="E7" s="16">
        <f>求节点(其他调用!D$4:D$163,其他调用!$C$4:$C$163,求节点(其他调用!$C$4:$C$163,其他调用!$D$4:$D$163,$D7))</f>
        <v>45</v>
      </c>
      <c r="F7" s="16">
        <f>求节点(其他调用!E$4:E$163,其他调用!$C$4:$C$163,求节点(其他调用!$C$4:$C$163,其他调用!$D$4:$D$163,$D7))</f>
        <v>44.14183525203979</v>
      </c>
      <c r="G7" s="16">
        <f>求节点(其他调用!F$4:F$163,其他调用!$C$4:$C$163,求节点(其他调用!$C$4:$C$163,其他调用!$D$4:$D$163,$D7))</f>
        <v>42.403899400092293</v>
      </c>
      <c r="H7" s="16">
        <f>求节点(其他调用!G$4:G$163,其他调用!$C$4:$C$163,求节点(其他调用!$C$4:$C$163,其他调用!$D$4:$D$163,$D7))</f>
        <v>39.335628666156595</v>
      </c>
      <c r="I7" s="16">
        <f>求节点(其他调用!H$4:H$163,其他调用!$C$4:$C$163,求节点(其他调用!$C$4:$C$163,其他调用!$D$4:$D$163,$D7))</f>
        <v>37.884214126902684</v>
      </c>
      <c r="J7" s="16">
        <v>1</v>
      </c>
      <c r="M7" s="16">
        <v>100</v>
      </c>
      <c r="N7" s="16">
        <v>50</v>
      </c>
      <c r="O7" s="16">
        <f>SUM(J$7:J7)</f>
        <v>1</v>
      </c>
      <c r="P7" s="16">
        <f>SUM(K$7:K7)</f>
        <v>0</v>
      </c>
      <c r="Q7" s="16">
        <f>SUM(L$7:L7)</f>
        <v>0</v>
      </c>
      <c r="R7" s="16">
        <f>SUM(M$7:M7)</f>
        <v>100</v>
      </c>
      <c r="S7" s="16">
        <f>SUM(N$7:N7)</f>
        <v>50</v>
      </c>
      <c r="V7" s="30"/>
      <c r="W7" s="43"/>
    </row>
    <row r="8" spans="1:44" x14ac:dyDescent="0.15">
      <c r="C8" s="16">
        <v>2</v>
      </c>
      <c r="D8" s="16">
        <v>50</v>
      </c>
      <c r="E8" s="16">
        <f>求节点(其他调用!D$4:D$163,其他调用!$C$4:$C$163,求节点(其他调用!$C$4:$C$163,其他调用!$D$4:$D$163,$D8))</f>
        <v>50</v>
      </c>
      <c r="F8" s="16">
        <f>求节点(其他调用!E$4:E$163,其他调用!$C$4:$C$163,求节点(其他调用!$C$4:$C$163,其他调用!$D$4:$D$163,$D8))</f>
        <v>49.064355980509333</v>
      </c>
      <c r="G8" s="16">
        <f>求节点(其他调用!F$4:F$163,其他调用!$C$4:$C$163,求节点(其他调用!$C$4:$C$163,其他调用!$D$4:$D$163,$D8))</f>
        <v>47.071951106583946</v>
      </c>
      <c r="H8" s="16">
        <f>求节点(其他调用!G$4:G$163,其他调用!$C$4:$C$163,求节点(其他调用!$C$4:$C$163,其他调用!$D$4:$D$163,$D8))</f>
        <v>43.487328143117445</v>
      </c>
      <c r="I8" s="16">
        <f>求节点(其他调用!H$4:H$163,其他调用!$C$4:$C$163,求节点(其他调用!$C$4:$C$163,其他调用!$D$4:$D$163,$D8))</f>
        <v>41.701847187237618</v>
      </c>
      <c r="J8" s="16">
        <v>1</v>
      </c>
      <c r="M8" s="16">
        <v>100</v>
      </c>
      <c r="N8" s="16">
        <v>50</v>
      </c>
      <c r="O8" s="16">
        <f>SUM(J$7:J8)</f>
        <v>2</v>
      </c>
      <c r="P8" s="16">
        <f>SUM(K$7:K8)</f>
        <v>0</v>
      </c>
      <c r="Q8" s="16">
        <f>SUM(L$7:L8)</f>
        <v>0</v>
      </c>
      <c r="R8" s="16">
        <f>SUM(M$7:M8)</f>
        <v>200</v>
      </c>
      <c r="S8" s="16">
        <f>SUM(N$7:N8)</f>
        <v>100</v>
      </c>
      <c r="V8" s="30"/>
      <c r="W8" s="43"/>
    </row>
    <row r="9" spans="1:44" x14ac:dyDescent="0.15">
      <c r="C9" s="16">
        <v>3</v>
      </c>
      <c r="D9" s="16">
        <v>55</v>
      </c>
      <c r="E9" s="16">
        <f>求节点(其他调用!D$4:D$163,其他调用!$C$4:$C$163,求节点(其他调用!$C$4:$C$163,其他调用!$D$4:$D$163,$D9))</f>
        <v>55</v>
      </c>
      <c r="F9" s="16">
        <f>求节点(其他调用!E$4:E$163,其他调用!$C$4:$C$163,求节点(其他调用!$C$4:$C$163,其他调用!$D$4:$D$163,$D9))</f>
        <v>54.084442518417632</v>
      </c>
      <c r="G9" s="16">
        <f>求节点(其他调用!F$4:F$163,其他调用!$C$4:$C$163,求节点(其他调用!$C$4:$C$163,其他调用!$D$4:$D$163,$D9))</f>
        <v>51.25147614799711</v>
      </c>
      <c r="H9" s="16">
        <f>求节点(其他调用!G$4:G$163,其他调用!$C$4:$C$163,求节点(其他调用!$C$4:$C$163,其他调用!$D$4:$D$163,$D9))</f>
        <v>48.705002578648788</v>
      </c>
      <c r="I9" s="16">
        <f>求节点(其他调用!H$4:H$163,其他调用!$C$4:$C$163,求节点(其他调用!$C$4:$C$163,其他调用!$D$4:$D$163,$D9))</f>
        <v>46.960131675201168</v>
      </c>
      <c r="J9" s="16">
        <v>1</v>
      </c>
      <c r="M9" s="16">
        <v>100</v>
      </c>
      <c r="N9" s="16">
        <v>100</v>
      </c>
      <c r="O9" s="16">
        <f>SUM(J$7:J9)</f>
        <v>3</v>
      </c>
      <c r="P9" s="16">
        <f>SUM(K$7:K9)</f>
        <v>0</v>
      </c>
      <c r="Q9" s="16">
        <f>SUM(L$7:L9)</f>
        <v>0</v>
      </c>
      <c r="R9" s="16">
        <f>SUM(M$7:M9)</f>
        <v>300</v>
      </c>
      <c r="S9" s="16">
        <f>SUM(N$7:N9)</f>
        <v>200</v>
      </c>
      <c r="V9" s="32" t="s">
        <v>17</v>
      </c>
      <c r="W9" s="44"/>
      <c r="X9" s="85" t="s">
        <v>120</v>
      </c>
      <c r="Y9" s="95"/>
      <c r="Z9" s="95"/>
      <c r="AA9" s="95"/>
      <c r="AB9" s="86"/>
      <c r="AC9" s="84" t="s">
        <v>121</v>
      </c>
      <c r="AD9" s="84"/>
      <c r="AE9" s="84"/>
      <c r="AF9" s="84"/>
      <c r="AG9" s="84"/>
      <c r="AH9" s="84"/>
      <c r="AM9" s="92" t="s">
        <v>204</v>
      </c>
      <c r="AN9" s="92"/>
      <c r="AO9" s="92"/>
      <c r="AP9" s="92"/>
      <c r="AQ9" s="92"/>
    </row>
    <row r="10" spans="1:44" x14ac:dyDescent="0.15">
      <c r="C10" s="16">
        <v>4</v>
      </c>
      <c r="D10" s="16">
        <v>60</v>
      </c>
      <c r="E10" s="16">
        <f>求节点(其他调用!D$4:D$163,其他调用!$C$4:$C$163,求节点(其他调用!$C$4:$C$163,其他调用!$D$4:$D$163,$D10))</f>
        <v>60</v>
      </c>
      <c r="F10" s="16">
        <f>求节点(其他调用!E$4:E$163,其他调用!$C$4:$C$163,求节点(其他调用!$C$4:$C$163,其他调用!$D$4:$D$163,$D10))</f>
        <v>59.125739312719922</v>
      </c>
      <c r="G10" s="16">
        <f>求节点(其他调用!F$4:F$163,其他调用!$C$4:$C$163,求节点(其他调用!$C$4:$C$163,其他调用!$D$4:$D$163,$D10))</f>
        <v>56.459951085295017</v>
      </c>
      <c r="H10" s="16">
        <f>求节点(其他调用!G$4:G$163,其他调用!$C$4:$C$163,求节点(其他调用!$C$4:$C$163,其他调用!$D$4:$D$163,$D10))</f>
        <v>53.638700696055686</v>
      </c>
      <c r="I10" s="16">
        <f>求节点(其他调用!H$4:H$163,其他调用!$C$4:$C$163,求节点(其他调用!$C$4:$C$163,其他调用!$D$4:$D$163,$D10))</f>
        <v>52.148399793824098</v>
      </c>
      <c r="K10" s="16">
        <v>1</v>
      </c>
      <c r="M10" s="16">
        <v>100</v>
      </c>
      <c r="N10" s="16">
        <v>50</v>
      </c>
      <c r="O10" s="16">
        <f>SUM(J$7:J10)</f>
        <v>3</v>
      </c>
      <c r="P10" s="16">
        <f>SUM(K$7:K10)</f>
        <v>1</v>
      </c>
      <c r="Q10" s="16">
        <f>SUM(L$7:L10)</f>
        <v>0</v>
      </c>
      <c r="R10" s="16">
        <f>SUM(M$7:M10)</f>
        <v>400</v>
      </c>
      <c r="S10" s="16">
        <f>SUM(N$7:N10)</f>
        <v>250</v>
      </c>
      <c r="V10" s="27" t="s">
        <v>31</v>
      </c>
      <c r="W10" s="45" t="s">
        <v>25</v>
      </c>
      <c r="X10" s="15" t="s">
        <v>108</v>
      </c>
      <c r="Y10" s="15" t="s">
        <v>110</v>
      </c>
      <c r="Z10" s="15" t="s">
        <v>112</v>
      </c>
      <c r="AA10" s="15" t="s">
        <v>114</v>
      </c>
      <c r="AB10" s="15" t="s">
        <v>116</v>
      </c>
      <c r="AC10" s="15" t="s">
        <v>26</v>
      </c>
      <c r="AD10" s="15" t="s">
        <v>38</v>
      </c>
      <c r="AE10" s="15" t="s">
        <v>27</v>
      </c>
      <c r="AF10" s="15" t="s">
        <v>29</v>
      </c>
      <c r="AG10" s="15" t="s">
        <v>28</v>
      </c>
      <c r="AH10" s="15" t="s">
        <v>43</v>
      </c>
      <c r="AL10" s="16" t="s">
        <v>203</v>
      </c>
      <c r="AM10" s="16" t="s">
        <v>17</v>
      </c>
      <c r="AN10" s="16" t="s">
        <v>18</v>
      </c>
      <c r="AO10" s="16" t="s">
        <v>19</v>
      </c>
      <c r="AP10" s="16" t="s">
        <v>20</v>
      </c>
      <c r="AQ10" s="16" t="s">
        <v>21</v>
      </c>
    </row>
    <row r="11" spans="1:44" x14ac:dyDescent="0.15">
      <c r="C11" s="16">
        <v>5</v>
      </c>
      <c r="D11" s="16">
        <v>65</v>
      </c>
      <c r="E11" s="16">
        <f>求节点(其他调用!D$4:D$163,其他调用!$C$4:$C$163,求节点(其他调用!$C$4:$C$163,其他调用!$D$4:$D$163,$D11))</f>
        <v>65</v>
      </c>
      <c r="F11" s="16">
        <f>求节点(其他调用!E$4:E$163,其他调用!$C$4:$C$163,求节点(其他调用!$C$4:$C$163,其他调用!$D$4:$D$163,$D11))</f>
        <v>63.39206828700496</v>
      </c>
      <c r="G11" s="16">
        <f>求节点(其他调用!F$4:F$163,其他调用!$C$4:$C$163,求节点(其他调用!$C$4:$C$163,其他调用!$D$4:$D$163,$D11))</f>
        <v>62.00900539320206</v>
      </c>
      <c r="H11" s="16">
        <f>求节点(其他调用!G$4:G$163,其他调用!$C$4:$C$163,求节点(其他调用!$C$4:$C$163,其他调用!$D$4:$D$163,$D11))</f>
        <v>59.269655495277171</v>
      </c>
      <c r="I11" s="16">
        <f>求节点(其他调用!H$4:H$163,其他调用!$C$4:$C$163,求节点(其他调用!$C$4:$C$163,其他调用!$D$4:$D$163,$D11))</f>
        <v>57.670920512440027</v>
      </c>
      <c r="K11" s="16">
        <v>1</v>
      </c>
      <c r="M11" s="16">
        <v>100</v>
      </c>
      <c r="N11" s="16">
        <v>50</v>
      </c>
      <c r="O11" s="16">
        <f>SUM(J$7:J11)</f>
        <v>3</v>
      </c>
      <c r="P11" s="16">
        <f>SUM(K$7:K11)</f>
        <v>2</v>
      </c>
      <c r="Q11" s="16">
        <f>SUM(L$7:L11)</f>
        <v>0</v>
      </c>
      <c r="R11" s="16">
        <f>SUM(M$7:M11)</f>
        <v>500</v>
      </c>
      <c r="S11" s="16">
        <f>SUM(N$7:N11)</f>
        <v>300</v>
      </c>
      <c r="V11" s="29">
        <f>基础状态预估!C11</f>
        <v>15</v>
      </c>
      <c r="W11" s="46">
        <f>基础状态预估!D11</f>
        <v>40</v>
      </c>
      <c r="X11" s="11">
        <f>IFERROR(INDEX(O$7:O$27,MATCH($W11,$E$7:$E$27,1)),0)*$V11/$E$1</f>
        <v>0</v>
      </c>
      <c r="Y11" s="11">
        <f t="shared" ref="Y11:AB11" si="0">IFERROR(INDEX(P$7:P$27,MATCH($W11,$E$7:$E$27,1)),0)*$V11/$E$1</f>
        <v>0</v>
      </c>
      <c r="Z11" s="11">
        <f t="shared" si="0"/>
        <v>0</v>
      </c>
      <c r="AA11" s="11">
        <f t="shared" si="0"/>
        <v>0</v>
      </c>
      <c r="AB11" s="11">
        <f t="shared" si="0"/>
        <v>0</v>
      </c>
      <c r="AC11" s="15">
        <f>$X11*D$32+$Y11*D$33+$Z11*D$34</f>
        <v>0</v>
      </c>
      <c r="AD11" s="15">
        <f t="shared" ref="AD11:AH11" si="1">$X11*E$32+$Y11*E$33+$Z11*E$34</f>
        <v>0</v>
      </c>
      <c r="AE11" s="15">
        <f t="shared" si="1"/>
        <v>0</v>
      </c>
      <c r="AF11" s="15">
        <f t="shared" si="1"/>
        <v>0</v>
      </c>
      <c r="AG11" s="15">
        <f t="shared" si="1"/>
        <v>0</v>
      </c>
      <c r="AH11" s="15">
        <f t="shared" si="1"/>
        <v>0</v>
      </c>
      <c r="AL11" s="16">
        <v>1</v>
      </c>
      <c r="AM11" s="16">
        <f>IFERROR(求节点($W$11:$W$51,$AB$11:$AB$51,$AL11),0)</f>
        <v>0</v>
      </c>
      <c r="AN11" s="51">
        <f>IFERROR(求节点($W$55:$W$95,$AB$55:$AB$95,$AL11),0)</f>
        <v>0</v>
      </c>
      <c r="AO11" s="51">
        <f>IFERROR(求节点($W$99:$W$139,$AB$99:$AB$139,$AL11),0)</f>
        <v>0</v>
      </c>
      <c r="AP11" s="51">
        <f>IFERROR(求节点($W$143:$W$183,$AB$143:$AB$183,$AL11),0)</f>
        <v>0</v>
      </c>
      <c r="AQ11" s="51">
        <f>IFERROR(求节点($W$187:$W$227,$AB$187:$AB$227,$AL11),0)</f>
        <v>0</v>
      </c>
    </row>
    <row r="12" spans="1:44" x14ac:dyDescent="0.15">
      <c r="C12" s="16">
        <v>6</v>
      </c>
      <c r="D12" s="16">
        <v>70</v>
      </c>
      <c r="E12" s="16">
        <f>求节点(其他调用!D$4:D$163,其他调用!$C$4:$C$163,求节点(其他调用!$C$4:$C$163,其他调用!$D$4:$D$163,$D12))</f>
        <v>70</v>
      </c>
      <c r="F12" s="16">
        <f>求节点(其他调用!E$4:E$163,其他调用!$C$4:$C$163,求节点(其他调用!$C$4:$C$163,其他调用!$D$4:$D$163,$D12))</f>
        <v>67.440538465230119</v>
      </c>
      <c r="G12" s="16">
        <f>求节点(其他调用!F$4:F$163,其他调用!$C$4:$C$163,求节点(其他调用!$C$4:$C$163,其他调用!$D$4:$D$163,$D12))</f>
        <v>65.685998944312487</v>
      </c>
      <c r="H12" s="16">
        <f>求节点(其他调用!G$4:G$163,其他调用!$C$4:$C$163,求节点(其他调用!$C$4:$C$163,其他调用!$D$4:$D$163,$D12))</f>
        <v>62.911102172164121</v>
      </c>
      <c r="I12" s="16">
        <f>求节点(其他调用!H$4:H$163,其他调用!$C$4:$C$163,求节点(其他调用!$C$4:$C$163,其他调用!$D$4:$D$163,$D12))</f>
        <v>61.737546843154874</v>
      </c>
      <c r="K12" s="16">
        <v>1</v>
      </c>
      <c r="M12" s="16">
        <v>100</v>
      </c>
      <c r="N12" s="16">
        <v>100</v>
      </c>
      <c r="O12" s="16">
        <f>SUM(J$7:J12)</f>
        <v>3</v>
      </c>
      <c r="P12" s="16">
        <f>SUM(K$7:K12)</f>
        <v>3</v>
      </c>
      <c r="Q12" s="16">
        <f>SUM(L$7:L12)</f>
        <v>0</v>
      </c>
      <c r="R12" s="16">
        <f>SUM(M$7:M12)</f>
        <v>600</v>
      </c>
      <c r="S12" s="16">
        <f>SUM(N$7:N12)</f>
        <v>400</v>
      </c>
      <c r="V12" s="29">
        <f>基础状态预估!C12</f>
        <v>30</v>
      </c>
      <c r="W12" s="46">
        <f>基础状态预估!D12</f>
        <v>49.533352307096472</v>
      </c>
      <c r="X12" s="5">
        <f>IFERROR(INDEX(O$7:O$27,MATCH($W12,$E$7:$E$27,1)),0)*($V12-$V11)/$E$1+X11</f>
        <v>1</v>
      </c>
      <c r="Y12" s="5">
        <f t="shared" ref="Y12:AB12" si="2">IFERROR(INDEX(P$7:P$27,MATCH($W12,$E$7:$E$27,1)),0)*($V12-$V11)/$E$1+Y11</f>
        <v>0</v>
      </c>
      <c r="Z12" s="5">
        <f t="shared" si="2"/>
        <v>0</v>
      </c>
      <c r="AA12" s="5">
        <f t="shared" si="2"/>
        <v>100</v>
      </c>
      <c r="AB12" s="5">
        <f t="shared" si="2"/>
        <v>50</v>
      </c>
      <c r="AC12" s="15">
        <f t="shared" ref="AC12:AC51" si="3">$X12*D$32+$Y12*D$33+$Z12*D$34</f>
        <v>0.5</v>
      </c>
      <c r="AD12" s="15">
        <f t="shared" ref="AD12:AD51" si="4">$X12*E$32+$Y12*E$33+$Z12*E$34</f>
        <v>0.5</v>
      </c>
      <c r="AE12" s="15">
        <f t="shared" ref="AE12:AE51" si="5">$X12*F$32+$Y12*F$33+$Z12*F$34</f>
        <v>0</v>
      </c>
      <c r="AF12" s="15">
        <f t="shared" ref="AF12:AF51" si="6">$X12*G$32+$Y12*G$33+$Z12*G$34</f>
        <v>0</v>
      </c>
      <c r="AG12" s="15">
        <f t="shared" ref="AG12:AG51" si="7">$X12*H$32+$Y12*H$33+$Z12*H$34</f>
        <v>0</v>
      </c>
      <c r="AH12" s="15">
        <f t="shared" ref="AH12:AH51" si="8">$X12*I$32+$Y12*I$33+$Z12*I$34</f>
        <v>0</v>
      </c>
      <c r="AL12" s="16">
        <v>2</v>
      </c>
      <c r="AM12" s="51">
        <f t="shared" ref="AM12:AM75" si="9">IFERROR(求节点($W$11:$W$51,$AB$11:$AB$51,$AL12),0)</f>
        <v>0</v>
      </c>
      <c r="AN12" s="51">
        <f t="shared" ref="AN12:AN75" si="10">IFERROR(求节点($W$55:$W$95,$AB$55:$AB$95,$AL12),0)</f>
        <v>0</v>
      </c>
      <c r="AO12" s="51">
        <f t="shared" ref="AO12:AO75" si="11">IFERROR(求节点($W$99:$W$139,$AB$99:$AB$139,$AL12),0)</f>
        <v>0</v>
      </c>
      <c r="AP12" s="51">
        <f t="shared" ref="AP12:AP75" si="12">IFERROR(求节点($W$143:$W$183,$AB$143:$AB$183,$AL12),0)</f>
        <v>0</v>
      </c>
      <c r="AQ12" s="51">
        <f t="shared" ref="AQ12:AQ75" si="13">IFERROR(求节点($W$187:$W$227,$AB$187:$AB$227,$AL12),0)</f>
        <v>0</v>
      </c>
    </row>
    <row r="13" spans="1:44" x14ac:dyDescent="0.15">
      <c r="C13" s="16">
        <v>7</v>
      </c>
      <c r="D13" s="16">
        <v>74</v>
      </c>
      <c r="E13" s="16">
        <f>求节点(其他调用!D$4:D$163,其他调用!$C$4:$C$163,求节点(其他调用!$C$4:$C$163,其他调用!$D$4:$D$163,$D13))</f>
        <v>74</v>
      </c>
      <c r="F13" s="16">
        <f>求节点(其他调用!E$4:E$163,其他调用!$C$4:$C$163,求节点(其他调用!$C$4:$C$163,其他调用!$D$4:$D$163,$D13))</f>
        <v>71.391865694789075</v>
      </c>
      <c r="G13" s="16">
        <f>求节点(其他调用!F$4:F$163,其他调用!$C$4:$C$163,求节点(其他调用!$C$4:$C$163,其他调用!$D$4:$D$163,$D13))</f>
        <v>69.339374302577269</v>
      </c>
      <c r="H13" s="16">
        <f>求节点(其他调用!G$4:G$163,其他调用!$C$4:$C$163,求节点(其他调用!$C$4:$C$163,其他调用!$D$4:$D$163,$D13))</f>
        <v>66.603635258589577</v>
      </c>
      <c r="I13" s="16">
        <f>求节点(其他调用!H$4:H$163,其他调用!$C$4:$C$163,求节点(其他调用!$C$4:$C$163,其他调用!$D$4:$D$163,$D13))</f>
        <v>65.519536183077577</v>
      </c>
      <c r="K13" s="16">
        <v>1</v>
      </c>
      <c r="M13" s="16">
        <v>100</v>
      </c>
      <c r="N13" s="16">
        <v>50</v>
      </c>
      <c r="O13" s="16">
        <f>SUM(J$7:J13)</f>
        <v>3</v>
      </c>
      <c r="P13" s="16">
        <f>SUM(K$7:K13)</f>
        <v>4</v>
      </c>
      <c r="Q13" s="16">
        <f>SUM(L$7:L13)</f>
        <v>0</v>
      </c>
      <c r="R13" s="16">
        <f>SUM(M$7:M13)</f>
        <v>700</v>
      </c>
      <c r="S13" s="16">
        <f>SUM(N$7:N13)</f>
        <v>450</v>
      </c>
      <c r="V13" s="29">
        <f>基础状态预估!C13</f>
        <v>45</v>
      </c>
      <c r="W13" s="46">
        <f>基础状态预估!D13</f>
        <v>55.229416240679981</v>
      </c>
      <c r="X13" s="5">
        <f t="shared" ref="X13:X51" si="14">IFERROR(INDEX(O$7:O$27,MATCH($W13,$E$7:$E$27,1)),0)*($V13-$V12)/$E$1+X12</f>
        <v>4</v>
      </c>
      <c r="Y13" s="5">
        <f t="shared" ref="Y13:Y51" si="15">IFERROR(INDEX(P$7:P$27,MATCH($W13,$E$7:$E$27,1)),0)*($V13-$V12)/$E$1+Y12</f>
        <v>0</v>
      </c>
      <c r="Z13" s="5">
        <f t="shared" ref="Z13:Z51" si="16">IFERROR(INDEX(Q$7:Q$27,MATCH($W13,$E$7:$E$27,1)),0)*($V13-$V12)/$E$1+Z12</f>
        <v>0</v>
      </c>
      <c r="AA13" s="5">
        <f t="shared" ref="AA13:AA51" si="17">IFERROR(INDEX(R$7:R$27,MATCH($W13,$E$7:$E$27,1)),0)*($V13-$V12)/$E$1+AA12</f>
        <v>400</v>
      </c>
      <c r="AB13" s="5">
        <f t="shared" ref="AB13:AB51" si="18">IFERROR(INDEX(S$7:S$27,MATCH($W13,$E$7:$E$27,1)),0)*($V13-$V12)/$E$1+AB12</f>
        <v>250</v>
      </c>
      <c r="AC13" s="15">
        <f t="shared" si="3"/>
        <v>2</v>
      </c>
      <c r="AD13" s="15">
        <f t="shared" si="4"/>
        <v>2</v>
      </c>
      <c r="AE13" s="15">
        <f t="shared" si="5"/>
        <v>0</v>
      </c>
      <c r="AF13" s="15">
        <f t="shared" si="6"/>
        <v>0</v>
      </c>
      <c r="AG13" s="15">
        <f t="shared" si="7"/>
        <v>0</v>
      </c>
      <c r="AH13" s="15">
        <f t="shared" si="8"/>
        <v>0</v>
      </c>
      <c r="AL13" s="51">
        <v>3</v>
      </c>
      <c r="AM13" s="51">
        <f t="shared" si="9"/>
        <v>0</v>
      </c>
      <c r="AN13" s="51">
        <f t="shared" si="10"/>
        <v>0</v>
      </c>
      <c r="AO13" s="51">
        <f t="shared" si="11"/>
        <v>0</v>
      </c>
      <c r="AP13" s="51">
        <f t="shared" si="12"/>
        <v>0</v>
      </c>
      <c r="AQ13" s="51">
        <f t="shared" si="13"/>
        <v>0</v>
      </c>
    </row>
    <row r="14" spans="1:44" x14ac:dyDescent="0.15">
      <c r="C14" s="16">
        <v>8</v>
      </c>
      <c r="D14" s="16">
        <v>78</v>
      </c>
      <c r="E14" s="16">
        <f>求节点(其他调用!D$4:D$163,其他调用!$C$4:$C$163,求节点(其他调用!$C$4:$C$163,其他调用!$D$4:$D$163,$D14))</f>
        <v>78</v>
      </c>
      <c r="F14" s="16">
        <f>求节点(其他调用!E$4:E$163,其他调用!$C$4:$C$163,求节点(其他调用!$C$4:$C$163,其他调用!$D$4:$D$163,$D14))</f>
        <v>75.643833174904941</v>
      </c>
      <c r="G14" s="16">
        <f>求节点(其他调用!F$4:F$163,其他调用!$C$4:$C$163,求节点(其他调用!$C$4:$C$163,其他调用!$D$4:$D$163,$D14))</f>
        <v>73.511855752353597</v>
      </c>
      <c r="H14" s="16">
        <f>求节点(其他调用!G$4:G$163,其他调用!$C$4:$C$163,求节点(其他调用!$C$4:$C$163,其他调用!$D$4:$D$163,$D14))</f>
        <v>70.180149778106511</v>
      </c>
      <c r="I14" s="16">
        <f>求节点(其他调用!H$4:H$163,其他调用!$C$4:$C$163,求节点(其他调用!$C$4:$C$163,其他调用!$D$4:$D$163,$D14))</f>
        <v>69.491446785468156</v>
      </c>
      <c r="K14" s="16">
        <v>1</v>
      </c>
      <c r="M14" s="16">
        <v>100</v>
      </c>
      <c r="N14" s="16">
        <v>50</v>
      </c>
      <c r="O14" s="16">
        <f>SUM(J$7:J14)</f>
        <v>3</v>
      </c>
      <c r="P14" s="16">
        <f>SUM(K$7:K14)</f>
        <v>5</v>
      </c>
      <c r="Q14" s="16">
        <f>SUM(L$7:L14)</f>
        <v>0</v>
      </c>
      <c r="R14" s="16">
        <f>SUM(M$7:M14)</f>
        <v>800</v>
      </c>
      <c r="S14" s="16">
        <f>SUM(N$7:N14)</f>
        <v>500</v>
      </c>
      <c r="V14" s="29">
        <f>基础状态预估!C14</f>
        <v>60</v>
      </c>
      <c r="W14" s="46">
        <f>基础状态预估!D14</f>
        <v>59.300028460644697</v>
      </c>
      <c r="X14" s="5">
        <f t="shared" si="14"/>
        <v>7</v>
      </c>
      <c r="Y14" s="5">
        <f t="shared" si="15"/>
        <v>0</v>
      </c>
      <c r="Z14" s="5">
        <f t="shared" si="16"/>
        <v>0</v>
      </c>
      <c r="AA14" s="5">
        <f t="shared" si="17"/>
        <v>700</v>
      </c>
      <c r="AB14" s="5">
        <f t="shared" si="18"/>
        <v>450</v>
      </c>
      <c r="AC14" s="15">
        <f t="shared" si="3"/>
        <v>3.5</v>
      </c>
      <c r="AD14" s="15">
        <f t="shared" si="4"/>
        <v>3.5</v>
      </c>
      <c r="AE14" s="15">
        <f t="shared" si="5"/>
        <v>0</v>
      </c>
      <c r="AF14" s="15">
        <f t="shared" si="6"/>
        <v>0</v>
      </c>
      <c r="AG14" s="15">
        <f t="shared" si="7"/>
        <v>0</v>
      </c>
      <c r="AH14" s="15">
        <f t="shared" si="8"/>
        <v>0</v>
      </c>
      <c r="AL14" s="51">
        <v>4</v>
      </c>
      <c r="AM14" s="51">
        <f t="shared" si="9"/>
        <v>0</v>
      </c>
      <c r="AN14" s="51">
        <f t="shared" si="10"/>
        <v>0</v>
      </c>
      <c r="AO14" s="51">
        <f t="shared" si="11"/>
        <v>0</v>
      </c>
      <c r="AP14" s="51">
        <f t="shared" si="12"/>
        <v>0</v>
      </c>
      <c r="AQ14" s="51">
        <f t="shared" si="13"/>
        <v>0</v>
      </c>
    </row>
    <row r="15" spans="1:44" x14ac:dyDescent="0.15">
      <c r="C15" s="16">
        <v>9</v>
      </c>
      <c r="D15" s="16">
        <v>82</v>
      </c>
      <c r="E15" s="16">
        <f>求节点(其他调用!D$4:D$163,其他调用!$C$4:$C$163,求节点(其他调用!$C$4:$C$163,其他调用!$D$4:$D$163,$D15))</f>
        <v>82</v>
      </c>
      <c r="F15" s="16">
        <f>求节点(其他调用!E$4:E$163,其他调用!$C$4:$C$163,求节点(其他调用!$C$4:$C$163,其他调用!$D$4:$D$163,$D15))</f>
        <v>79.374031167303741</v>
      </c>
      <c r="G15" s="16">
        <f>求节点(其他调用!F$4:F$163,其他调用!$C$4:$C$163,求节点(其他调用!$C$4:$C$163,其他调用!$D$4:$D$163,$D15))</f>
        <v>77.221274913197661</v>
      </c>
      <c r="H15" s="16">
        <f>求节点(其他调用!G$4:G$163,其他调用!$C$4:$C$163,求节点(其他调用!$C$4:$C$163,其他调用!$D$4:$D$163,$D15))</f>
        <v>73.732505267827435</v>
      </c>
      <c r="I15" s="16">
        <f>求节点(其他调用!H$4:H$163,其他调用!$C$4:$C$163,求节点(其他调用!$C$4:$C$163,其他调用!$D$4:$D$163,$D15))</f>
        <v>72.935982913709708</v>
      </c>
      <c r="L15" s="16">
        <v>1</v>
      </c>
      <c r="M15" s="16">
        <v>100</v>
      </c>
      <c r="N15" s="16">
        <v>100</v>
      </c>
      <c r="O15" s="16">
        <f>SUM(J$7:J15)</f>
        <v>3</v>
      </c>
      <c r="P15" s="16">
        <f>SUM(K$7:K15)</f>
        <v>5</v>
      </c>
      <c r="Q15" s="16">
        <f>SUM(L$7:L15)</f>
        <v>1</v>
      </c>
      <c r="R15" s="16">
        <f>SUM(M$7:M15)</f>
        <v>900</v>
      </c>
      <c r="S15" s="16">
        <f>SUM(N$7:N15)</f>
        <v>600</v>
      </c>
      <c r="V15" s="29">
        <f>基础状态预估!C15</f>
        <v>75</v>
      </c>
      <c r="W15" s="46">
        <f>基础状态预估!D15</f>
        <v>62.470630686057078</v>
      </c>
      <c r="X15" s="5">
        <f t="shared" si="14"/>
        <v>10</v>
      </c>
      <c r="Y15" s="5">
        <f t="shared" si="15"/>
        <v>1</v>
      </c>
      <c r="Z15" s="5">
        <f t="shared" si="16"/>
        <v>0</v>
      </c>
      <c r="AA15" s="5">
        <f t="shared" si="17"/>
        <v>1100</v>
      </c>
      <c r="AB15" s="5">
        <f t="shared" si="18"/>
        <v>700</v>
      </c>
      <c r="AC15" s="15">
        <f t="shared" si="3"/>
        <v>5</v>
      </c>
      <c r="AD15" s="15">
        <f t="shared" si="4"/>
        <v>5</v>
      </c>
      <c r="AE15" s="15">
        <f t="shared" si="5"/>
        <v>0.7</v>
      </c>
      <c r="AF15" s="15">
        <f t="shared" si="6"/>
        <v>0.3</v>
      </c>
      <c r="AG15" s="15">
        <f t="shared" si="7"/>
        <v>0</v>
      </c>
      <c r="AH15" s="15">
        <f t="shared" si="8"/>
        <v>0</v>
      </c>
      <c r="AL15" s="51">
        <v>5</v>
      </c>
      <c r="AM15" s="51">
        <f t="shared" si="9"/>
        <v>0</v>
      </c>
      <c r="AN15" s="51">
        <f t="shared" si="10"/>
        <v>0</v>
      </c>
      <c r="AO15" s="51">
        <f t="shared" si="11"/>
        <v>0</v>
      </c>
      <c r="AP15" s="51">
        <f t="shared" si="12"/>
        <v>0</v>
      </c>
      <c r="AQ15" s="51">
        <f t="shared" si="13"/>
        <v>0</v>
      </c>
    </row>
    <row r="16" spans="1:44" x14ac:dyDescent="0.15">
      <c r="C16" s="16">
        <v>10</v>
      </c>
      <c r="D16" s="16">
        <v>86</v>
      </c>
      <c r="E16" s="16">
        <f>求节点(其他调用!D$4:D$163,其他调用!$C$4:$C$163,求节点(其他调用!$C$4:$C$163,其他调用!$D$4:$D$163,$D16))</f>
        <v>86</v>
      </c>
      <c r="F16" s="16">
        <f>求节点(其他调用!E$4:E$163,其他调用!$C$4:$C$163,求节点(其他调用!$C$4:$C$163,其他调用!$D$4:$D$163,$D16))</f>
        <v>83.021621017782252</v>
      </c>
      <c r="G16" s="16">
        <f>求节点(其他调用!F$4:F$163,其他调用!$C$4:$C$163,求节点(其他调用!$C$4:$C$163,其他调用!$D$4:$D$163,$D16))</f>
        <v>81.086730825313509</v>
      </c>
      <c r="H16" s="16">
        <f>求节点(其他调用!G$4:G$163,其他调用!$C$4:$C$163,求节点(其他调用!$C$4:$C$163,其他调用!$D$4:$D$163,$D16))</f>
        <v>77.119180014193446</v>
      </c>
      <c r="I16" s="16">
        <f>求节点(其他调用!H$4:H$163,其他调用!$C$4:$C$163,求节点(其他调用!$C$4:$C$163,其他调用!$D$4:$D$163,$D16))</f>
        <v>76.074177037170287</v>
      </c>
      <c r="L16" s="16">
        <v>1</v>
      </c>
      <c r="M16" s="16">
        <v>100</v>
      </c>
      <c r="N16" s="16">
        <v>50</v>
      </c>
      <c r="O16" s="16">
        <f>SUM(J$7:J16)</f>
        <v>3</v>
      </c>
      <c r="P16" s="16">
        <f>SUM(K$7:K16)</f>
        <v>5</v>
      </c>
      <c r="Q16" s="16">
        <f>SUM(L$7:L16)</f>
        <v>2</v>
      </c>
      <c r="R16" s="16">
        <f>SUM(M$7:M16)</f>
        <v>1000</v>
      </c>
      <c r="S16" s="16">
        <f>SUM(N$7:N16)</f>
        <v>650</v>
      </c>
      <c r="V16" s="29">
        <f>基础状态预估!C16</f>
        <v>90</v>
      </c>
      <c r="W16" s="46">
        <f>基础状态预估!D16</f>
        <v>65.075479910097457</v>
      </c>
      <c r="X16" s="5">
        <f t="shared" si="14"/>
        <v>13</v>
      </c>
      <c r="Y16" s="5">
        <f t="shared" si="15"/>
        <v>3</v>
      </c>
      <c r="Z16" s="5">
        <f t="shared" si="16"/>
        <v>0</v>
      </c>
      <c r="AA16" s="5">
        <f t="shared" si="17"/>
        <v>1600</v>
      </c>
      <c r="AB16" s="5">
        <f t="shared" si="18"/>
        <v>1000</v>
      </c>
      <c r="AC16" s="15">
        <f t="shared" si="3"/>
        <v>6.5</v>
      </c>
      <c r="AD16" s="15">
        <f t="shared" si="4"/>
        <v>6.5</v>
      </c>
      <c r="AE16" s="15">
        <f t="shared" si="5"/>
        <v>2.0999999999999996</v>
      </c>
      <c r="AF16" s="15">
        <f t="shared" si="6"/>
        <v>0.89999999999999991</v>
      </c>
      <c r="AG16" s="15">
        <f t="shared" si="7"/>
        <v>0</v>
      </c>
      <c r="AH16" s="15">
        <f t="shared" si="8"/>
        <v>0</v>
      </c>
      <c r="AL16" s="51">
        <v>6</v>
      </c>
      <c r="AM16" s="51">
        <f t="shared" si="9"/>
        <v>0</v>
      </c>
      <c r="AN16" s="51">
        <f t="shared" si="10"/>
        <v>0</v>
      </c>
      <c r="AO16" s="51">
        <f t="shared" si="11"/>
        <v>0</v>
      </c>
      <c r="AP16" s="51">
        <f t="shared" si="12"/>
        <v>0</v>
      </c>
      <c r="AQ16" s="51">
        <f t="shared" si="13"/>
        <v>0</v>
      </c>
    </row>
    <row r="17" spans="3:43" x14ac:dyDescent="0.15">
      <c r="C17" s="16">
        <v>11</v>
      </c>
      <c r="D17" s="16">
        <v>90</v>
      </c>
      <c r="E17" s="16">
        <f>求节点(其他调用!D$4:D$163,其他调用!$C$4:$C$163,求节点(其他调用!$C$4:$C$163,其他调用!$D$4:$D$163,$D17))</f>
        <v>90</v>
      </c>
      <c r="F17" s="16">
        <f>求节点(其他调用!E$4:E$163,其他调用!$C$4:$C$163,求节点(其他调用!$C$4:$C$163,其他调用!$D$4:$D$163,$D17))</f>
        <v>86.166575100786957</v>
      </c>
      <c r="G17" s="16">
        <f>求节点(其他调用!F$4:F$163,其他调用!$C$4:$C$163,求节点(其他调用!$C$4:$C$163,其他调用!$D$4:$D$163,$D17))</f>
        <v>84.146521332734721</v>
      </c>
      <c r="H17" s="16">
        <f>求节点(其他调用!G$4:G$163,其他调用!$C$4:$C$163,求节点(其他调用!$C$4:$C$163,其他调用!$D$4:$D$163,$D17))</f>
        <v>80.091573061692117</v>
      </c>
      <c r="I17" s="16">
        <f>求节点(其他调用!H$4:H$163,其他调用!$C$4:$C$163,求节点(其他调用!$C$4:$C$163,其他调用!$D$4:$D$163,$D17))</f>
        <v>78.952539158978283</v>
      </c>
      <c r="L17" s="16">
        <v>1</v>
      </c>
      <c r="M17" s="16">
        <v>100</v>
      </c>
      <c r="N17" s="16">
        <v>50</v>
      </c>
      <c r="O17" s="16">
        <f>SUM(J$7:J17)</f>
        <v>3</v>
      </c>
      <c r="P17" s="16">
        <f>SUM(K$7:K17)</f>
        <v>5</v>
      </c>
      <c r="Q17" s="16">
        <f>SUM(L$7:L17)</f>
        <v>3</v>
      </c>
      <c r="R17" s="16">
        <f>SUM(M$7:M17)</f>
        <v>1100</v>
      </c>
      <c r="S17" s="16">
        <f>SUM(N$7:N17)</f>
        <v>700</v>
      </c>
      <c r="V17" s="29">
        <f>基础状态预估!C17</f>
        <v>105</v>
      </c>
      <c r="W17" s="46">
        <f>基础状态预估!D17</f>
        <v>67.272265912925377</v>
      </c>
      <c r="X17" s="5">
        <f t="shared" si="14"/>
        <v>16</v>
      </c>
      <c r="Y17" s="5">
        <f t="shared" si="15"/>
        <v>5</v>
      </c>
      <c r="Z17" s="5">
        <f t="shared" si="16"/>
        <v>0</v>
      </c>
      <c r="AA17" s="5">
        <f t="shared" si="17"/>
        <v>2100</v>
      </c>
      <c r="AB17" s="5">
        <f t="shared" si="18"/>
        <v>1300</v>
      </c>
      <c r="AC17" s="15">
        <f t="shared" si="3"/>
        <v>8</v>
      </c>
      <c r="AD17" s="15">
        <f t="shared" si="4"/>
        <v>8</v>
      </c>
      <c r="AE17" s="15">
        <f t="shared" si="5"/>
        <v>3.5</v>
      </c>
      <c r="AF17" s="15">
        <f t="shared" si="6"/>
        <v>1.5</v>
      </c>
      <c r="AG17" s="15">
        <f t="shared" si="7"/>
        <v>0</v>
      </c>
      <c r="AH17" s="15">
        <f t="shared" si="8"/>
        <v>0</v>
      </c>
      <c r="AL17" s="51">
        <v>7</v>
      </c>
      <c r="AM17" s="51">
        <f t="shared" si="9"/>
        <v>0</v>
      </c>
      <c r="AN17" s="51">
        <f t="shared" si="10"/>
        <v>0</v>
      </c>
      <c r="AO17" s="51">
        <f t="shared" si="11"/>
        <v>0</v>
      </c>
      <c r="AP17" s="51">
        <f t="shared" si="12"/>
        <v>0</v>
      </c>
      <c r="AQ17" s="51">
        <f t="shared" si="13"/>
        <v>0</v>
      </c>
    </row>
    <row r="18" spans="3:43" x14ac:dyDescent="0.15">
      <c r="C18" s="16">
        <v>12</v>
      </c>
      <c r="D18" s="16">
        <v>93</v>
      </c>
      <c r="E18" s="16">
        <f>求节点(其他调用!D$4:D$163,其他调用!$C$4:$C$163,求节点(其他调用!$C$4:$C$163,其他调用!$D$4:$D$163,$D18))</f>
        <v>93</v>
      </c>
      <c r="F18" s="16">
        <f>求节点(其他调用!E$4:E$163,其他调用!$C$4:$C$163,求节点(其他调用!$C$4:$C$163,其他调用!$D$4:$D$163,$D18))</f>
        <v>88.181152634021998</v>
      </c>
      <c r="G18" s="16">
        <f>求节点(其他调用!F$4:F$163,其他调用!$C$4:$C$163,求节点(其他调用!$C$4:$C$163,其他调用!$D$4:$D$163,$D18))</f>
        <v>86.013169754976502</v>
      </c>
      <c r="H18" s="16">
        <f>求节点(其他调用!G$4:G$163,其他调用!$C$4:$C$163,求节点(其他调用!$C$4:$C$163,其他调用!$D$4:$D$163,$D18))</f>
        <v>81.686070310267823</v>
      </c>
      <c r="I18" s="16">
        <f>求节点(其他调用!H$4:H$163,其他调用!$C$4:$C$163,求节点(其他调用!$C$4:$C$163,其他调用!$D$4:$D$163,$D18))</f>
        <v>80.708359768828799</v>
      </c>
      <c r="L18" s="16">
        <v>1</v>
      </c>
      <c r="M18" s="16">
        <v>100</v>
      </c>
      <c r="N18" s="16">
        <v>100</v>
      </c>
      <c r="O18" s="16">
        <f>SUM(J$7:J18)</f>
        <v>3</v>
      </c>
      <c r="P18" s="16">
        <f>SUM(K$7:K18)</f>
        <v>5</v>
      </c>
      <c r="Q18" s="16">
        <f>SUM(L$7:L18)</f>
        <v>4</v>
      </c>
      <c r="R18" s="16">
        <f>SUM(M$7:M18)</f>
        <v>1200</v>
      </c>
      <c r="S18" s="16">
        <f>SUM(N$7:N18)</f>
        <v>800</v>
      </c>
      <c r="V18" s="29">
        <f>基础状态预估!C18</f>
        <v>120</v>
      </c>
      <c r="W18" s="46">
        <f>基础状态预估!D18</f>
        <v>69.18336653741882</v>
      </c>
      <c r="X18" s="5">
        <f t="shared" si="14"/>
        <v>19</v>
      </c>
      <c r="Y18" s="5">
        <f t="shared" si="15"/>
        <v>7</v>
      </c>
      <c r="Z18" s="5">
        <f t="shared" si="16"/>
        <v>0</v>
      </c>
      <c r="AA18" s="5">
        <f t="shared" si="17"/>
        <v>2600</v>
      </c>
      <c r="AB18" s="5">
        <f t="shared" si="18"/>
        <v>1600</v>
      </c>
      <c r="AC18" s="15">
        <f t="shared" si="3"/>
        <v>9.5</v>
      </c>
      <c r="AD18" s="15">
        <f t="shared" si="4"/>
        <v>9.5</v>
      </c>
      <c r="AE18" s="15">
        <f t="shared" si="5"/>
        <v>4.8999999999999995</v>
      </c>
      <c r="AF18" s="15">
        <f t="shared" si="6"/>
        <v>2.1</v>
      </c>
      <c r="AG18" s="15">
        <f t="shared" si="7"/>
        <v>0</v>
      </c>
      <c r="AH18" s="15">
        <f t="shared" si="8"/>
        <v>0</v>
      </c>
      <c r="AL18" s="51">
        <v>8</v>
      </c>
      <c r="AM18" s="51">
        <f t="shared" si="9"/>
        <v>0</v>
      </c>
      <c r="AN18" s="51">
        <f t="shared" si="10"/>
        <v>0</v>
      </c>
      <c r="AO18" s="51">
        <f t="shared" si="11"/>
        <v>0</v>
      </c>
      <c r="AP18" s="51">
        <f t="shared" si="12"/>
        <v>0</v>
      </c>
      <c r="AQ18" s="51">
        <f t="shared" si="13"/>
        <v>0</v>
      </c>
    </row>
    <row r="19" spans="3:43" x14ac:dyDescent="0.15">
      <c r="C19" s="16">
        <v>13</v>
      </c>
      <c r="D19" s="16">
        <v>96</v>
      </c>
      <c r="E19" s="16">
        <f>求节点(其他调用!D$4:D$163,其他调用!$C$4:$C$163,求节点(其他调用!$C$4:$C$163,其他调用!$D$4:$D$163,$D19))</f>
        <v>96</v>
      </c>
      <c r="F19" s="16">
        <f>求节点(其他调用!E$4:E$163,其他调用!$C$4:$C$163,求节点(其他调用!$C$4:$C$163,其他调用!$D$4:$D$163,$D19))</f>
        <v>90.478424275153429</v>
      </c>
      <c r="G19" s="16">
        <f>求节点(其他调用!F$4:F$163,其他调用!$C$4:$C$163,求节点(其他调用!$C$4:$C$163,其他调用!$D$4:$D$163,$D19))</f>
        <v>87.901006106201535</v>
      </c>
      <c r="H19" s="16">
        <f>求节点(其他调用!G$4:G$163,其他调用!$C$4:$C$163,求节点(其他调用!$C$4:$C$163,其他调用!$D$4:$D$163,$D19))</f>
        <v>83.289870553884754</v>
      </c>
      <c r="I19" s="16">
        <f>求节点(其他调用!H$4:H$163,其他调用!$C$4:$C$163,求节点(其他调用!$C$4:$C$163,其他调用!$D$4:$D$163,$D19))</f>
        <v>82.344193018144253</v>
      </c>
      <c r="L19" s="16">
        <v>1</v>
      </c>
      <c r="M19" s="16">
        <v>100</v>
      </c>
      <c r="N19" s="16">
        <v>50</v>
      </c>
      <c r="O19" s="16">
        <f>SUM(J$7:J19)</f>
        <v>3</v>
      </c>
      <c r="P19" s="16">
        <f>SUM(K$7:K19)</f>
        <v>5</v>
      </c>
      <c r="Q19" s="16">
        <f>SUM(L$7:L19)</f>
        <v>5</v>
      </c>
      <c r="R19" s="16">
        <f>SUM(M$7:M19)</f>
        <v>1300</v>
      </c>
      <c r="S19" s="16">
        <f>SUM(N$7:N19)</f>
        <v>850</v>
      </c>
      <c r="V19" s="29">
        <f>基础状态预估!C19</f>
        <v>150</v>
      </c>
      <c r="W19" s="46">
        <f>基础状态预估!D19</f>
        <v>72.375871759353331</v>
      </c>
      <c r="X19" s="5">
        <f t="shared" si="14"/>
        <v>25</v>
      </c>
      <c r="Y19" s="5">
        <f t="shared" si="15"/>
        <v>13</v>
      </c>
      <c r="Z19" s="5">
        <f t="shared" si="16"/>
        <v>0</v>
      </c>
      <c r="AA19" s="5">
        <f t="shared" si="17"/>
        <v>3800</v>
      </c>
      <c r="AB19" s="5">
        <f t="shared" si="18"/>
        <v>2400</v>
      </c>
      <c r="AC19" s="15">
        <f t="shared" si="3"/>
        <v>12.5</v>
      </c>
      <c r="AD19" s="15">
        <f t="shared" si="4"/>
        <v>12.5</v>
      </c>
      <c r="AE19" s="15">
        <f t="shared" si="5"/>
        <v>9.1</v>
      </c>
      <c r="AF19" s="15">
        <f t="shared" si="6"/>
        <v>3.9</v>
      </c>
      <c r="AG19" s="15">
        <f t="shared" si="7"/>
        <v>0</v>
      </c>
      <c r="AH19" s="15">
        <f t="shared" si="8"/>
        <v>0</v>
      </c>
      <c r="AL19" s="51">
        <v>9</v>
      </c>
      <c r="AM19" s="51">
        <f t="shared" si="9"/>
        <v>0</v>
      </c>
      <c r="AN19" s="51">
        <f t="shared" si="10"/>
        <v>0</v>
      </c>
      <c r="AO19" s="51">
        <f t="shared" si="11"/>
        <v>0</v>
      </c>
      <c r="AP19" s="51">
        <f t="shared" si="12"/>
        <v>0</v>
      </c>
      <c r="AQ19" s="51">
        <f t="shared" si="13"/>
        <v>0</v>
      </c>
    </row>
    <row r="20" spans="3:43" x14ac:dyDescent="0.15">
      <c r="C20" s="16">
        <v>14</v>
      </c>
      <c r="D20" s="16">
        <v>99</v>
      </c>
      <c r="E20" s="16">
        <f>求节点(其他调用!D$4:D$163,其他调用!$C$4:$C$163,求节点(其他调用!$C$4:$C$163,其他调用!$D$4:$D$163,$D20))</f>
        <v>99</v>
      </c>
      <c r="F20" s="16">
        <f>求节点(其他调用!E$4:E$163,其他调用!$C$4:$C$163,求节点(其他调用!$C$4:$C$163,其他调用!$D$4:$D$163,$D20))</f>
        <v>92.841092570694457</v>
      </c>
      <c r="G20" s="16">
        <f>求节点(其他调用!F$4:F$163,其他调用!$C$4:$C$163,求节点(其他调用!$C$4:$C$163,其他调用!$D$4:$D$163,$D20))</f>
        <v>89.828780730072012</v>
      </c>
      <c r="H20" s="16">
        <f>求节点(其他调用!G$4:G$163,其他调用!$C$4:$C$163,求节点(其他调用!$C$4:$C$163,其他调用!$D$4:$D$163,$D20))</f>
        <v>85.160407840884616</v>
      </c>
      <c r="I20" s="16">
        <f>求节点(其他调用!H$4:H$163,其他调用!$C$4:$C$163,求节点(其他调用!$C$4:$C$163,其他调用!$D$4:$D$163,$D20))</f>
        <v>84.210623711535447</v>
      </c>
      <c r="L20" s="16">
        <v>1</v>
      </c>
      <c r="M20" s="16">
        <v>100</v>
      </c>
      <c r="N20" s="16">
        <v>50</v>
      </c>
      <c r="O20" s="16">
        <f>SUM(J$7:J20)</f>
        <v>3</v>
      </c>
      <c r="P20" s="16">
        <f>SUM(K$7:K20)</f>
        <v>5</v>
      </c>
      <c r="Q20" s="16">
        <f>SUM(L$7:L20)</f>
        <v>6</v>
      </c>
      <c r="R20" s="16">
        <f>SUM(M$7:M20)</f>
        <v>1400</v>
      </c>
      <c r="S20" s="16">
        <f>SUM(N$7:N20)</f>
        <v>900</v>
      </c>
      <c r="V20" s="29">
        <f>基础状态预估!C20</f>
        <v>180</v>
      </c>
      <c r="W20" s="46">
        <f>基础状态预估!D20</f>
        <v>74.998404927577795</v>
      </c>
      <c r="X20" s="5">
        <f t="shared" si="14"/>
        <v>31</v>
      </c>
      <c r="Y20" s="5">
        <f t="shared" si="15"/>
        <v>21</v>
      </c>
      <c r="Z20" s="5">
        <f t="shared" si="16"/>
        <v>0</v>
      </c>
      <c r="AA20" s="5">
        <f t="shared" si="17"/>
        <v>5200</v>
      </c>
      <c r="AB20" s="5">
        <f t="shared" si="18"/>
        <v>3300</v>
      </c>
      <c r="AC20" s="15">
        <f t="shared" si="3"/>
        <v>15.5</v>
      </c>
      <c r="AD20" s="15">
        <f t="shared" si="4"/>
        <v>15.5</v>
      </c>
      <c r="AE20" s="15">
        <f t="shared" si="5"/>
        <v>14.7</v>
      </c>
      <c r="AF20" s="15">
        <f t="shared" si="6"/>
        <v>6.3</v>
      </c>
      <c r="AG20" s="15">
        <f t="shared" si="7"/>
        <v>0</v>
      </c>
      <c r="AH20" s="15">
        <f t="shared" si="8"/>
        <v>0</v>
      </c>
      <c r="AL20" s="51">
        <v>10</v>
      </c>
      <c r="AM20" s="51">
        <f t="shared" si="9"/>
        <v>0</v>
      </c>
      <c r="AN20" s="51">
        <f t="shared" si="10"/>
        <v>0</v>
      </c>
      <c r="AO20" s="51">
        <f t="shared" si="11"/>
        <v>0</v>
      </c>
      <c r="AP20" s="51">
        <f t="shared" si="12"/>
        <v>0</v>
      </c>
      <c r="AQ20" s="51">
        <f t="shared" si="13"/>
        <v>0</v>
      </c>
    </row>
    <row r="21" spans="3:43" x14ac:dyDescent="0.15">
      <c r="C21" s="16">
        <v>15</v>
      </c>
      <c r="D21" s="16">
        <v>102</v>
      </c>
      <c r="E21" s="16">
        <f>求节点(其他调用!D$4:D$163,其他调用!$C$4:$C$163,求节点(其他调用!$C$4:$C$163,其他调用!$D$4:$D$163,$D21))</f>
        <v>102</v>
      </c>
      <c r="F21" s="16">
        <f>求节点(其他调用!E$4:E$163,其他调用!$C$4:$C$163,求节点(其他调用!$C$4:$C$163,其他调用!$D$4:$D$163,$D21))</f>
        <v>95.496108193474797</v>
      </c>
      <c r="G21" s="16">
        <f>求节点(其他调用!F$4:F$163,其他调用!$C$4:$C$163,求节点(其他调用!$C$4:$C$163,其他调用!$D$4:$D$163,$D21))</f>
        <v>92.315669613677798</v>
      </c>
      <c r="H21" s="16">
        <f>求节点(其他调用!G$4:G$163,其他调用!$C$4:$C$163,求节点(其他调用!$C$4:$C$163,其他调用!$D$4:$D$163,$D21))</f>
        <v>87.30778944138595</v>
      </c>
      <c r="I21" s="16">
        <f>求节点(其他调用!H$4:H$163,其他调用!$C$4:$C$163,求节点(其他调用!$C$4:$C$163,其他调用!$D$4:$D$163,$D21))</f>
        <v>86.314790230668009</v>
      </c>
      <c r="L21" s="16">
        <v>1</v>
      </c>
      <c r="M21" s="16">
        <v>100</v>
      </c>
      <c r="N21" s="16">
        <v>100</v>
      </c>
      <c r="O21" s="16">
        <f>SUM(J$7:J21)</f>
        <v>3</v>
      </c>
      <c r="P21" s="16">
        <f>SUM(K$7:K21)</f>
        <v>5</v>
      </c>
      <c r="Q21" s="16">
        <f>SUM(L$7:L21)</f>
        <v>7</v>
      </c>
      <c r="R21" s="16">
        <f>SUM(M$7:M21)</f>
        <v>1500</v>
      </c>
      <c r="S21" s="16">
        <f>SUM(N$7:N21)</f>
        <v>1000</v>
      </c>
      <c r="V21" s="29">
        <f>基础状态预估!C21</f>
        <v>210</v>
      </c>
      <c r="W21" s="46">
        <f>基础状态预估!D21</f>
        <v>77.205261233275195</v>
      </c>
      <c r="X21" s="5">
        <f t="shared" si="14"/>
        <v>37</v>
      </c>
      <c r="Y21" s="5">
        <f t="shared" si="15"/>
        <v>29</v>
      </c>
      <c r="Z21" s="5">
        <f t="shared" si="16"/>
        <v>0</v>
      </c>
      <c r="AA21" s="5">
        <f t="shared" si="17"/>
        <v>6600</v>
      </c>
      <c r="AB21" s="5">
        <f t="shared" si="18"/>
        <v>4200</v>
      </c>
      <c r="AC21" s="15">
        <f t="shared" si="3"/>
        <v>18.5</v>
      </c>
      <c r="AD21" s="15">
        <f t="shared" si="4"/>
        <v>18.5</v>
      </c>
      <c r="AE21" s="15">
        <f t="shared" si="5"/>
        <v>20.299999999999997</v>
      </c>
      <c r="AF21" s="15">
        <f t="shared" si="6"/>
        <v>8.6999999999999993</v>
      </c>
      <c r="AG21" s="15">
        <f t="shared" si="7"/>
        <v>0</v>
      </c>
      <c r="AH21" s="15">
        <f t="shared" si="8"/>
        <v>0</v>
      </c>
      <c r="AL21" s="51">
        <v>11</v>
      </c>
      <c r="AM21" s="51">
        <f t="shared" si="9"/>
        <v>0</v>
      </c>
      <c r="AN21" s="51">
        <f t="shared" si="10"/>
        <v>0</v>
      </c>
      <c r="AO21" s="51">
        <f t="shared" si="11"/>
        <v>0</v>
      </c>
      <c r="AP21" s="51">
        <f t="shared" si="12"/>
        <v>0</v>
      </c>
      <c r="AQ21" s="51">
        <f t="shared" si="13"/>
        <v>0</v>
      </c>
    </row>
    <row r="22" spans="3:43" x14ac:dyDescent="0.15">
      <c r="C22" s="16">
        <v>16</v>
      </c>
      <c r="D22" s="16">
        <v>105</v>
      </c>
      <c r="E22" s="16">
        <f>求节点(其他调用!D$4:D$163,其他调用!$C$4:$C$163,求节点(其他调用!$C$4:$C$163,其他调用!$D$4:$D$163,$D22))</f>
        <v>105</v>
      </c>
      <c r="F22" s="16">
        <f>求节点(其他调用!E$4:E$163,其他调用!$C$4:$C$163,求节点(其他调用!$C$4:$C$163,其他调用!$D$4:$D$163,$D22))</f>
        <v>98.475611352997021</v>
      </c>
      <c r="G22" s="16">
        <f>求节点(其他调用!F$4:F$163,其他调用!$C$4:$C$163,求节点(其他调用!$C$4:$C$163,其他调用!$D$4:$D$163,$D22))</f>
        <v>94.810841855881378</v>
      </c>
      <c r="H22" s="16">
        <f>求节点(其他调用!G$4:G$163,其他调用!$C$4:$C$163,求节点(其他调用!$C$4:$C$163,其他调用!$D$4:$D$163,$D22))</f>
        <v>89.513264389791715</v>
      </c>
      <c r="I22" s="16">
        <f>求节点(其他调用!H$4:H$163,其他调用!$C$4:$C$163,求节点(其他调用!$C$4:$C$163,其他调用!$D$4:$D$163,$D22))</f>
        <v>88.571669095228188</v>
      </c>
      <c r="L22" s="16">
        <v>1</v>
      </c>
      <c r="M22" s="16">
        <v>100</v>
      </c>
      <c r="N22" s="16">
        <v>50</v>
      </c>
      <c r="O22" s="16">
        <f>SUM(J$7:J22)</f>
        <v>3</v>
      </c>
      <c r="P22" s="16">
        <f>SUM(K$7:K22)</f>
        <v>5</v>
      </c>
      <c r="Q22" s="16">
        <f>SUM(L$7:L22)</f>
        <v>8</v>
      </c>
      <c r="R22" s="16">
        <f>SUM(M$7:M22)</f>
        <v>1600</v>
      </c>
      <c r="S22" s="16">
        <f>SUM(N$7:N22)</f>
        <v>1050</v>
      </c>
      <c r="V22" s="29">
        <f>基础状态预估!C22</f>
        <v>240</v>
      </c>
      <c r="W22" s="46">
        <f>基础状态预估!D22</f>
        <v>79.125035575805882</v>
      </c>
      <c r="X22" s="5">
        <f t="shared" si="14"/>
        <v>43</v>
      </c>
      <c r="Y22" s="5">
        <f t="shared" si="15"/>
        <v>39</v>
      </c>
      <c r="Z22" s="5">
        <f t="shared" si="16"/>
        <v>0</v>
      </c>
      <c r="AA22" s="5">
        <f t="shared" si="17"/>
        <v>8200</v>
      </c>
      <c r="AB22" s="5">
        <f t="shared" si="18"/>
        <v>5200</v>
      </c>
      <c r="AC22" s="15">
        <f t="shared" si="3"/>
        <v>21.5</v>
      </c>
      <c r="AD22" s="15">
        <f t="shared" si="4"/>
        <v>21.5</v>
      </c>
      <c r="AE22" s="15">
        <f t="shared" si="5"/>
        <v>27.299999999999997</v>
      </c>
      <c r="AF22" s="15">
        <f t="shared" si="6"/>
        <v>11.7</v>
      </c>
      <c r="AG22" s="15">
        <f t="shared" si="7"/>
        <v>0</v>
      </c>
      <c r="AH22" s="15">
        <f t="shared" si="8"/>
        <v>0</v>
      </c>
      <c r="AL22" s="51">
        <v>12</v>
      </c>
      <c r="AM22" s="51">
        <f t="shared" si="9"/>
        <v>0</v>
      </c>
      <c r="AN22" s="51">
        <f t="shared" si="10"/>
        <v>0</v>
      </c>
      <c r="AO22" s="51">
        <f t="shared" si="11"/>
        <v>0</v>
      </c>
      <c r="AP22" s="51">
        <f t="shared" si="12"/>
        <v>0</v>
      </c>
      <c r="AQ22" s="51">
        <f t="shared" si="13"/>
        <v>0</v>
      </c>
    </row>
    <row r="23" spans="3:43" x14ac:dyDescent="0.15">
      <c r="C23" s="16">
        <v>17</v>
      </c>
      <c r="D23" s="16">
        <v>108</v>
      </c>
      <c r="E23" s="16">
        <f>求节点(其他调用!D$4:D$163,其他调用!$C$4:$C$163,求节点(其他调用!$C$4:$C$163,其他调用!$D$4:$D$163,$D23))</f>
        <v>108</v>
      </c>
      <c r="F23" s="16">
        <f>求节点(其他调用!E$4:E$163,其他调用!$C$4:$C$163,求节点(其他调用!$C$4:$C$163,其他调用!$D$4:$D$163,$D23))</f>
        <v>101.41375328757456</v>
      </c>
      <c r="G23" s="16">
        <f>求节点(其他调用!F$4:F$163,其他调用!$C$4:$C$163,求节点(其他调用!$C$4:$C$163,其他调用!$D$4:$D$163,$D23))</f>
        <v>97.335362584954368</v>
      </c>
      <c r="H23" s="16">
        <f>求节点(其他调用!G$4:G$163,其他调用!$C$4:$C$163,求节点(其他调用!$C$4:$C$163,其他调用!$D$4:$D$163,$D23))</f>
        <v>91.788956610321662</v>
      </c>
      <c r="I23" s="16">
        <f>求节点(其他调用!H$4:H$163,其他调用!$C$4:$C$163,求节点(其他调用!$C$4:$C$163,其他调用!$D$4:$D$163,$D23))</f>
        <v>90.780763977618193</v>
      </c>
      <c r="L23" s="16">
        <v>1</v>
      </c>
      <c r="M23" s="16">
        <v>100</v>
      </c>
      <c r="N23" s="16">
        <v>50</v>
      </c>
      <c r="O23" s="16">
        <f>SUM(J$7:J23)</f>
        <v>3</v>
      </c>
      <c r="P23" s="16">
        <f>SUM(K$7:K23)</f>
        <v>5</v>
      </c>
      <c r="Q23" s="16">
        <f>SUM(L$7:L23)</f>
        <v>9</v>
      </c>
      <c r="R23" s="16">
        <f>SUM(M$7:M23)</f>
        <v>1700</v>
      </c>
      <c r="S23" s="16">
        <f>SUM(N$7:N23)</f>
        <v>1100</v>
      </c>
      <c r="V23" s="29">
        <f>基础状态预估!C23</f>
        <v>270</v>
      </c>
      <c r="W23" s="46">
        <f>基础状态预估!D23</f>
        <v>80.816370674194118</v>
      </c>
      <c r="X23" s="5">
        <f t="shared" si="14"/>
        <v>49</v>
      </c>
      <c r="Y23" s="5">
        <f t="shared" si="15"/>
        <v>49</v>
      </c>
      <c r="Z23" s="5">
        <f t="shared" si="16"/>
        <v>0</v>
      </c>
      <c r="AA23" s="5">
        <f t="shared" si="17"/>
        <v>9800</v>
      </c>
      <c r="AB23" s="5">
        <f t="shared" si="18"/>
        <v>6200</v>
      </c>
      <c r="AC23" s="15">
        <f t="shared" si="3"/>
        <v>24.5</v>
      </c>
      <c r="AD23" s="15">
        <f t="shared" si="4"/>
        <v>24.5</v>
      </c>
      <c r="AE23" s="15">
        <f t="shared" si="5"/>
        <v>34.299999999999997</v>
      </c>
      <c r="AF23" s="15">
        <f t="shared" si="6"/>
        <v>14.7</v>
      </c>
      <c r="AG23" s="15">
        <f t="shared" si="7"/>
        <v>0</v>
      </c>
      <c r="AH23" s="15">
        <f t="shared" si="8"/>
        <v>0</v>
      </c>
      <c r="AL23" s="51">
        <v>13</v>
      </c>
      <c r="AM23" s="51">
        <f t="shared" si="9"/>
        <v>0</v>
      </c>
      <c r="AN23" s="51">
        <f t="shared" si="10"/>
        <v>0</v>
      </c>
      <c r="AO23" s="51">
        <f t="shared" si="11"/>
        <v>0</v>
      </c>
      <c r="AP23" s="51">
        <f t="shared" si="12"/>
        <v>0</v>
      </c>
      <c r="AQ23" s="51">
        <f t="shared" si="13"/>
        <v>0</v>
      </c>
    </row>
    <row r="24" spans="3:43" x14ac:dyDescent="0.15">
      <c r="C24" s="16">
        <v>18</v>
      </c>
      <c r="D24" s="16">
        <v>111</v>
      </c>
      <c r="E24" s="16">
        <f>求节点(其他调用!D$4:D$163,其他调用!$C$4:$C$163,求节点(其他调用!$C$4:$C$163,其他调用!$D$4:$D$163,$D24))</f>
        <v>111</v>
      </c>
      <c r="F24" s="16">
        <f>求节点(其他调用!E$4:E$163,其他调用!$C$4:$C$163,求节点(其他调用!$C$4:$C$163,其他调用!$D$4:$D$163,$D24))</f>
        <v>104.17737554625623</v>
      </c>
      <c r="G24" s="16">
        <f>求节点(其他调用!F$4:F$163,其他调用!$C$4:$C$163,求节点(其他调用!$C$4:$C$163,其他调用!$D$4:$D$163,$D24))</f>
        <v>99.672886617187132</v>
      </c>
      <c r="H24" s="16">
        <f>求节点(其他调用!G$4:G$163,其他调用!$C$4:$C$163,求节点(其他调用!$C$4:$C$163,其他调用!$D$4:$D$163,$D24))</f>
        <v>93.934246218615044</v>
      </c>
      <c r="I24" s="16">
        <f>求节点(其他调用!H$4:H$163,其他调用!$C$4:$C$163,求节点(其他调用!$C$4:$C$163,其他调用!$D$4:$D$163,$D24))</f>
        <v>93.012393437124416</v>
      </c>
      <c r="L24" s="16">
        <v>1</v>
      </c>
      <c r="M24" s="16">
        <v>100</v>
      </c>
      <c r="N24" s="16">
        <v>100</v>
      </c>
      <c r="O24" s="16">
        <f>SUM(J$7:J24)</f>
        <v>3</v>
      </c>
      <c r="P24" s="16">
        <f>SUM(K$7:K24)</f>
        <v>5</v>
      </c>
      <c r="Q24" s="16">
        <f>SUM(L$7:L24)</f>
        <v>10</v>
      </c>
      <c r="R24" s="16">
        <f>SUM(M$7:M24)</f>
        <v>1800</v>
      </c>
      <c r="S24" s="16">
        <f>SUM(N$7:N24)</f>
        <v>1200</v>
      </c>
      <c r="V24" s="29">
        <f>基础状态预估!C24</f>
        <v>300</v>
      </c>
      <c r="W24" s="46">
        <f>基础状态预估!D24</f>
        <v>82.328492296001457</v>
      </c>
      <c r="X24" s="5">
        <f t="shared" si="14"/>
        <v>55</v>
      </c>
      <c r="Y24" s="5">
        <f t="shared" si="15"/>
        <v>59</v>
      </c>
      <c r="Z24" s="5">
        <f t="shared" si="16"/>
        <v>2</v>
      </c>
      <c r="AA24" s="5">
        <f t="shared" si="17"/>
        <v>11600</v>
      </c>
      <c r="AB24" s="5">
        <f t="shared" si="18"/>
        <v>7400</v>
      </c>
      <c r="AC24" s="15">
        <f t="shared" si="3"/>
        <v>27.5</v>
      </c>
      <c r="AD24" s="15">
        <f t="shared" si="4"/>
        <v>27.5</v>
      </c>
      <c r="AE24" s="15">
        <f t="shared" si="5"/>
        <v>41.3</v>
      </c>
      <c r="AF24" s="15">
        <f t="shared" si="6"/>
        <v>17.7</v>
      </c>
      <c r="AG24" s="15">
        <f t="shared" si="7"/>
        <v>1.8</v>
      </c>
      <c r="AH24" s="15">
        <f t="shared" si="8"/>
        <v>0.2</v>
      </c>
      <c r="AL24" s="51">
        <v>14</v>
      </c>
      <c r="AM24" s="51">
        <f t="shared" si="9"/>
        <v>0</v>
      </c>
      <c r="AN24" s="51">
        <f t="shared" si="10"/>
        <v>0</v>
      </c>
      <c r="AO24" s="51">
        <f t="shared" si="11"/>
        <v>0</v>
      </c>
      <c r="AP24" s="51">
        <f t="shared" si="12"/>
        <v>0</v>
      </c>
      <c r="AQ24" s="51">
        <f t="shared" si="13"/>
        <v>0</v>
      </c>
    </row>
    <row r="25" spans="3:43" x14ac:dyDescent="0.15">
      <c r="C25" s="16">
        <v>19</v>
      </c>
      <c r="D25" s="16">
        <v>114</v>
      </c>
      <c r="E25" s="16">
        <f>求节点(其他调用!D$4:D$163,其他调用!$C$4:$C$163,求节点(其他调用!$C$4:$C$163,其他调用!$D$4:$D$163,$D25))</f>
        <v>114</v>
      </c>
      <c r="F25" s="16">
        <f>求节点(其他调用!E$4:E$163,其他调用!$C$4:$C$163,求节点(其他调用!$C$4:$C$163,其他调用!$D$4:$D$163,$D25))</f>
        <v>107.31472971416136</v>
      </c>
      <c r="G25" s="16">
        <f>求节点(其他调用!F$4:F$163,其他调用!$C$4:$C$163,求节点(其他调用!$C$4:$C$163,其他调用!$D$4:$D$163,$D25))</f>
        <v>102.58674661504008</v>
      </c>
      <c r="H25" s="16">
        <f>求节点(其他调用!G$4:G$163,其他调用!$C$4:$C$163,求节点(其他调用!$C$4:$C$163,其他调用!$D$4:$D$163,$D25))</f>
        <v>96.581022284639232</v>
      </c>
      <c r="I25" s="16">
        <f>求节点(其他调用!H$4:H$163,其他调用!$C$4:$C$163,求节点(其他调用!$C$4:$C$163,其他调用!$D$4:$D$163,$D25))</f>
        <v>95.522912833339319</v>
      </c>
      <c r="L25" s="16">
        <v>1</v>
      </c>
      <c r="M25" s="16">
        <v>100</v>
      </c>
      <c r="N25" s="16">
        <v>50</v>
      </c>
      <c r="O25" s="16">
        <f>SUM(J$7:J25)</f>
        <v>3</v>
      </c>
      <c r="P25" s="16">
        <f>SUM(K$7:K25)</f>
        <v>5</v>
      </c>
      <c r="Q25" s="16">
        <f>SUM(L$7:L25)</f>
        <v>11</v>
      </c>
      <c r="R25" s="16">
        <f>SUM(M$7:M25)</f>
        <v>1900</v>
      </c>
      <c r="S25" s="16">
        <f>SUM(N$7:N25)</f>
        <v>1250</v>
      </c>
      <c r="V25" s="29">
        <f>基础状态预估!C25</f>
        <v>360</v>
      </c>
      <c r="W25" s="46">
        <f>基础状态预估!D25</f>
        <v>84.957158709068153</v>
      </c>
      <c r="X25" s="5">
        <f t="shared" si="14"/>
        <v>67</v>
      </c>
      <c r="Y25" s="5">
        <f t="shared" si="15"/>
        <v>79</v>
      </c>
      <c r="Z25" s="5">
        <f t="shared" si="16"/>
        <v>6</v>
      </c>
      <c r="AA25" s="5">
        <f t="shared" si="17"/>
        <v>15200</v>
      </c>
      <c r="AB25" s="5">
        <f t="shared" si="18"/>
        <v>9800</v>
      </c>
      <c r="AC25" s="15">
        <f t="shared" si="3"/>
        <v>33.5</v>
      </c>
      <c r="AD25" s="15">
        <f t="shared" si="4"/>
        <v>33.5</v>
      </c>
      <c r="AE25" s="15">
        <f t="shared" si="5"/>
        <v>55.3</v>
      </c>
      <c r="AF25" s="15">
        <f t="shared" si="6"/>
        <v>23.7</v>
      </c>
      <c r="AG25" s="15">
        <f t="shared" si="7"/>
        <v>5.4</v>
      </c>
      <c r="AH25" s="15">
        <f t="shared" si="8"/>
        <v>0.60000000000000009</v>
      </c>
      <c r="AL25" s="51">
        <v>15</v>
      </c>
      <c r="AM25" s="51">
        <f t="shared" si="9"/>
        <v>0</v>
      </c>
      <c r="AN25" s="51">
        <f t="shared" si="10"/>
        <v>0</v>
      </c>
      <c r="AO25" s="51">
        <f t="shared" si="11"/>
        <v>0</v>
      </c>
      <c r="AP25" s="51">
        <f t="shared" si="12"/>
        <v>0</v>
      </c>
      <c r="AQ25" s="51">
        <f t="shared" si="13"/>
        <v>0</v>
      </c>
    </row>
    <row r="26" spans="3:43" x14ac:dyDescent="0.15">
      <c r="C26" s="16">
        <v>20</v>
      </c>
      <c r="D26" s="16">
        <v>117</v>
      </c>
      <c r="E26" s="16">
        <f>求节点(其他调用!D$4:D$163,其他调用!$C$4:$C$163,求节点(其他调用!$C$4:$C$163,其他调用!$D$4:$D$163,$D26))</f>
        <v>117</v>
      </c>
      <c r="F26" s="16">
        <f>求节点(其他调用!E$4:E$163,其他调用!$C$4:$C$163,求节点(其他调用!$C$4:$C$163,其他调用!$D$4:$D$163,$D26))</f>
        <v>110.51810309329039</v>
      </c>
      <c r="G26" s="16">
        <f>求节点(其他调用!F$4:F$163,其他调用!$C$4:$C$163,求节点(其他调用!$C$4:$C$163,其他调用!$D$4:$D$163,$D26))</f>
        <v>105.54743192149199</v>
      </c>
      <c r="H26" s="16">
        <f>求节点(其他调用!G$4:G$163,其他调用!$C$4:$C$163,求节点(其他调用!$C$4:$C$163,其他调用!$D$4:$D$163,$D26))</f>
        <v>99.237265620228428</v>
      </c>
      <c r="I26" s="16">
        <f>求节点(其他调用!H$4:H$163,其他调用!$C$4:$C$163,求节点(其他调用!$C$4:$C$163,其他调用!$D$4:$D$163,$D26))</f>
        <v>97.997704967680264</v>
      </c>
      <c r="L26" s="16">
        <v>1</v>
      </c>
      <c r="M26" s="16">
        <v>100</v>
      </c>
      <c r="N26" s="16">
        <v>50</v>
      </c>
      <c r="O26" s="16">
        <f>SUM(J$7:J26)</f>
        <v>3</v>
      </c>
      <c r="P26" s="16">
        <f>SUM(K$7:K26)</f>
        <v>5</v>
      </c>
      <c r="Q26" s="16">
        <f>SUM(L$7:L26)</f>
        <v>12</v>
      </c>
      <c r="R26" s="16">
        <f>SUM(M$7:M26)</f>
        <v>2000</v>
      </c>
      <c r="S26" s="16">
        <f>SUM(N$7:N26)</f>
        <v>1300</v>
      </c>
      <c r="V26" s="29">
        <f>基础状态预估!C26</f>
        <v>420</v>
      </c>
      <c r="W26" s="46">
        <f>基础状态预估!D26</f>
        <v>87.171758893450118</v>
      </c>
      <c r="X26" s="5">
        <f t="shared" si="14"/>
        <v>79</v>
      </c>
      <c r="Y26" s="5">
        <f t="shared" si="15"/>
        <v>99</v>
      </c>
      <c r="Z26" s="5">
        <f t="shared" si="16"/>
        <v>14</v>
      </c>
      <c r="AA26" s="5">
        <f t="shared" si="17"/>
        <v>19200</v>
      </c>
      <c r="AB26" s="5">
        <f t="shared" si="18"/>
        <v>12400</v>
      </c>
      <c r="AC26" s="15">
        <f t="shared" si="3"/>
        <v>39.5</v>
      </c>
      <c r="AD26" s="15">
        <f t="shared" si="4"/>
        <v>39.5</v>
      </c>
      <c r="AE26" s="15">
        <f t="shared" si="5"/>
        <v>69.3</v>
      </c>
      <c r="AF26" s="15">
        <f t="shared" si="6"/>
        <v>29.7</v>
      </c>
      <c r="AG26" s="15">
        <f t="shared" si="7"/>
        <v>12.6</v>
      </c>
      <c r="AH26" s="15">
        <f t="shared" si="8"/>
        <v>1.4000000000000001</v>
      </c>
      <c r="AL26" s="51">
        <v>16</v>
      </c>
      <c r="AM26" s="51">
        <f t="shared" si="9"/>
        <v>0</v>
      </c>
      <c r="AN26" s="51">
        <f t="shared" si="10"/>
        <v>0</v>
      </c>
      <c r="AO26" s="51">
        <f t="shared" si="11"/>
        <v>0</v>
      </c>
      <c r="AP26" s="51">
        <f t="shared" si="12"/>
        <v>0</v>
      </c>
      <c r="AQ26" s="51">
        <f t="shared" si="13"/>
        <v>0</v>
      </c>
    </row>
    <row r="27" spans="3:43" x14ac:dyDescent="0.15">
      <c r="C27" s="16">
        <v>21</v>
      </c>
      <c r="D27" s="16">
        <v>120</v>
      </c>
      <c r="E27" s="16">
        <f>求节点(其他调用!D$4:D$163,其他调用!$C$4:$C$163,求节点(其他调用!$C$4:$C$163,其他调用!$D$4:$D$163,$D27))</f>
        <v>120</v>
      </c>
      <c r="F27" s="16">
        <f>求节点(其他调用!E$4:E$163,其他调用!$C$4:$C$163,求节点(其他调用!$C$4:$C$163,其他调用!$D$4:$D$163,$D27))</f>
        <v>113.6313956675247</v>
      </c>
      <c r="G27" s="16">
        <f>求节点(其他调用!F$4:F$163,其他调用!$C$4:$C$163,求节点(其他调用!$C$4:$C$163,其他调用!$D$4:$D$163,$D27))</f>
        <v>109.00944980839098</v>
      </c>
      <c r="H27" s="16">
        <f>求节点(其他调用!G$4:G$163,其他调用!$C$4:$C$163,求节点(其他调用!$C$4:$C$163,其他调用!$D$4:$D$163,$D27))</f>
        <v>102.70646517547191</v>
      </c>
      <c r="I27" s="16">
        <f>求节点(其他调用!H$4:H$163,其他调用!$C$4:$C$163,求节点(其他调用!$C$4:$C$163,其他调用!$D$4:$D$163,$D27))</f>
        <v>101.21289373522711</v>
      </c>
      <c r="L27" s="16">
        <v>1</v>
      </c>
      <c r="M27" s="16">
        <v>100</v>
      </c>
      <c r="N27" s="16">
        <v>100</v>
      </c>
      <c r="O27" s="16">
        <f>SUM(J$7:J27)</f>
        <v>3</v>
      </c>
      <c r="P27" s="16">
        <f>SUM(K$7:K27)</f>
        <v>5</v>
      </c>
      <c r="Q27" s="16">
        <f>SUM(L$7:L27)</f>
        <v>13</v>
      </c>
      <c r="R27" s="16">
        <f>SUM(M$7:M27)</f>
        <v>2100</v>
      </c>
      <c r="S27" s="16">
        <f>SUM(N$7:N27)</f>
        <v>1400</v>
      </c>
      <c r="V27" s="29">
        <f>基础状态预估!C27</f>
        <v>480</v>
      </c>
      <c r="W27" s="46">
        <f>基础状态预估!D27</f>
        <v>89.095870094999412</v>
      </c>
      <c r="X27" s="5">
        <f t="shared" si="14"/>
        <v>91</v>
      </c>
      <c r="Y27" s="5">
        <f t="shared" si="15"/>
        <v>119</v>
      </c>
      <c r="Z27" s="5">
        <f t="shared" si="16"/>
        <v>22</v>
      </c>
      <c r="AA27" s="5">
        <f t="shared" si="17"/>
        <v>23200</v>
      </c>
      <c r="AB27" s="5">
        <f t="shared" si="18"/>
        <v>15000</v>
      </c>
      <c r="AC27" s="15">
        <f t="shared" si="3"/>
        <v>45.5</v>
      </c>
      <c r="AD27" s="15">
        <f t="shared" si="4"/>
        <v>45.5</v>
      </c>
      <c r="AE27" s="15">
        <f t="shared" si="5"/>
        <v>83.3</v>
      </c>
      <c r="AF27" s="15">
        <f t="shared" si="6"/>
        <v>35.699999999999996</v>
      </c>
      <c r="AG27" s="15">
        <f t="shared" si="7"/>
        <v>19.8</v>
      </c>
      <c r="AH27" s="15">
        <f t="shared" si="8"/>
        <v>2.2000000000000002</v>
      </c>
      <c r="AL27" s="51">
        <v>17</v>
      </c>
      <c r="AM27" s="51">
        <f t="shared" si="9"/>
        <v>0</v>
      </c>
      <c r="AN27" s="51">
        <f t="shared" si="10"/>
        <v>0</v>
      </c>
      <c r="AO27" s="51">
        <f t="shared" si="11"/>
        <v>0</v>
      </c>
      <c r="AP27" s="51">
        <f t="shared" si="12"/>
        <v>0</v>
      </c>
      <c r="AQ27" s="51">
        <f t="shared" si="13"/>
        <v>0</v>
      </c>
    </row>
    <row r="28" spans="3:43" x14ac:dyDescent="0.15">
      <c r="V28" s="29">
        <f>基础状态预估!C28</f>
        <v>540</v>
      </c>
      <c r="W28" s="46">
        <f>基础状态预估!D28</f>
        <v>90.789158318387649</v>
      </c>
      <c r="X28" s="5">
        <f t="shared" si="14"/>
        <v>103</v>
      </c>
      <c r="Y28" s="5">
        <f t="shared" si="15"/>
        <v>139</v>
      </c>
      <c r="Z28" s="5">
        <f t="shared" si="16"/>
        <v>34</v>
      </c>
      <c r="AA28" s="5">
        <f t="shared" si="17"/>
        <v>27600</v>
      </c>
      <c r="AB28" s="5">
        <f t="shared" si="18"/>
        <v>17800</v>
      </c>
      <c r="AC28" s="15">
        <f t="shared" si="3"/>
        <v>51.5</v>
      </c>
      <c r="AD28" s="15">
        <f t="shared" si="4"/>
        <v>51.5</v>
      </c>
      <c r="AE28" s="15">
        <f t="shared" si="5"/>
        <v>97.3</v>
      </c>
      <c r="AF28" s="15">
        <f t="shared" si="6"/>
        <v>41.699999999999996</v>
      </c>
      <c r="AG28" s="15">
        <f t="shared" si="7"/>
        <v>30.6</v>
      </c>
      <c r="AH28" s="15">
        <f t="shared" si="8"/>
        <v>3.4000000000000004</v>
      </c>
      <c r="AL28" s="51">
        <v>18</v>
      </c>
      <c r="AM28" s="51">
        <f t="shared" si="9"/>
        <v>0</v>
      </c>
      <c r="AN28" s="51">
        <f t="shared" si="10"/>
        <v>0</v>
      </c>
      <c r="AO28" s="51">
        <f t="shared" si="11"/>
        <v>0</v>
      </c>
      <c r="AP28" s="51">
        <f t="shared" si="12"/>
        <v>0</v>
      </c>
      <c r="AQ28" s="51">
        <f t="shared" si="13"/>
        <v>0</v>
      </c>
    </row>
    <row r="29" spans="3:43" x14ac:dyDescent="0.15">
      <c r="V29" s="29">
        <f>基础状态预估!C29</f>
        <v>600</v>
      </c>
      <c r="W29" s="46">
        <f>基础状态预估!D29</f>
        <v>92.304802564325527</v>
      </c>
      <c r="X29" s="5">
        <f t="shared" si="14"/>
        <v>115</v>
      </c>
      <c r="Y29" s="5">
        <f t="shared" si="15"/>
        <v>159</v>
      </c>
      <c r="Z29" s="5">
        <f t="shared" si="16"/>
        <v>46</v>
      </c>
      <c r="AA29" s="5">
        <f t="shared" si="17"/>
        <v>32000</v>
      </c>
      <c r="AB29" s="5">
        <f t="shared" si="18"/>
        <v>20600</v>
      </c>
      <c r="AC29" s="15">
        <f t="shared" si="3"/>
        <v>57.5</v>
      </c>
      <c r="AD29" s="15">
        <f t="shared" si="4"/>
        <v>57.5</v>
      </c>
      <c r="AE29" s="15">
        <f t="shared" si="5"/>
        <v>111.3</v>
      </c>
      <c r="AF29" s="15">
        <f t="shared" si="6"/>
        <v>47.699999999999996</v>
      </c>
      <c r="AG29" s="15">
        <f t="shared" si="7"/>
        <v>41.4</v>
      </c>
      <c r="AH29" s="15">
        <f t="shared" si="8"/>
        <v>4.6000000000000005</v>
      </c>
      <c r="AL29" s="51">
        <v>19</v>
      </c>
      <c r="AM29" s="51">
        <f t="shared" si="9"/>
        <v>0</v>
      </c>
      <c r="AN29" s="51">
        <f t="shared" si="10"/>
        <v>0</v>
      </c>
      <c r="AO29" s="51">
        <f t="shared" si="11"/>
        <v>0</v>
      </c>
      <c r="AP29" s="51">
        <f t="shared" si="12"/>
        <v>0</v>
      </c>
      <c r="AQ29" s="51">
        <f t="shared" si="13"/>
        <v>0</v>
      </c>
    </row>
    <row r="30" spans="3:43" x14ac:dyDescent="0.15">
      <c r="D30" s="92" t="s">
        <v>119</v>
      </c>
      <c r="E30" s="92"/>
      <c r="F30" s="92"/>
      <c r="G30" s="92"/>
      <c r="H30" s="92"/>
      <c r="I30" s="92"/>
      <c r="V30" s="29">
        <f>基础状态预估!C30</f>
        <v>660</v>
      </c>
      <c r="W30" s="46">
        <f>基础状态预估!D30</f>
        <v>93.677555929742169</v>
      </c>
      <c r="X30" s="5">
        <f t="shared" si="14"/>
        <v>127</v>
      </c>
      <c r="Y30" s="5">
        <f t="shared" si="15"/>
        <v>179</v>
      </c>
      <c r="Z30" s="5">
        <f t="shared" si="16"/>
        <v>62</v>
      </c>
      <c r="AA30" s="5">
        <f t="shared" si="17"/>
        <v>36800</v>
      </c>
      <c r="AB30" s="5">
        <f t="shared" si="18"/>
        <v>23800</v>
      </c>
      <c r="AC30" s="15">
        <f t="shared" si="3"/>
        <v>63.5</v>
      </c>
      <c r="AD30" s="15">
        <f t="shared" si="4"/>
        <v>63.5</v>
      </c>
      <c r="AE30" s="15">
        <f t="shared" si="5"/>
        <v>125.3</v>
      </c>
      <c r="AF30" s="15">
        <f t="shared" si="6"/>
        <v>53.699999999999996</v>
      </c>
      <c r="AG30" s="15">
        <f t="shared" si="7"/>
        <v>55.800000000000004</v>
      </c>
      <c r="AH30" s="15">
        <f t="shared" si="8"/>
        <v>6.2</v>
      </c>
      <c r="AL30" s="51">
        <v>20</v>
      </c>
      <c r="AM30" s="51">
        <f t="shared" si="9"/>
        <v>0</v>
      </c>
      <c r="AN30" s="51">
        <f t="shared" si="10"/>
        <v>0</v>
      </c>
      <c r="AO30" s="51">
        <f t="shared" si="11"/>
        <v>0</v>
      </c>
      <c r="AP30" s="51">
        <f t="shared" si="12"/>
        <v>0</v>
      </c>
      <c r="AQ30" s="51">
        <f t="shared" si="13"/>
        <v>0</v>
      </c>
    </row>
    <row r="31" spans="3:43" x14ac:dyDescent="0.15">
      <c r="D31" s="16" t="s">
        <v>26</v>
      </c>
      <c r="E31" s="16" t="s">
        <v>38</v>
      </c>
      <c r="F31" s="16" t="s">
        <v>27</v>
      </c>
      <c r="G31" s="16" t="s">
        <v>29</v>
      </c>
      <c r="H31" s="16" t="s">
        <v>28</v>
      </c>
      <c r="I31" s="16" t="s">
        <v>43</v>
      </c>
      <c r="J31" s="16" t="s">
        <v>149</v>
      </c>
      <c r="V31" s="29">
        <f>基础状态预估!C31</f>
        <v>720</v>
      </c>
      <c r="W31" s="46">
        <f>基础状态预估!D31</f>
        <v>94.936535599813325</v>
      </c>
      <c r="X31" s="5">
        <f t="shared" si="14"/>
        <v>139</v>
      </c>
      <c r="Y31" s="5">
        <f t="shared" si="15"/>
        <v>199</v>
      </c>
      <c r="Z31" s="5">
        <f t="shared" si="16"/>
        <v>78</v>
      </c>
      <c r="AA31" s="5">
        <f t="shared" si="17"/>
        <v>41600</v>
      </c>
      <c r="AB31" s="5">
        <f t="shared" si="18"/>
        <v>27000</v>
      </c>
      <c r="AC31" s="15">
        <f t="shared" si="3"/>
        <v>69.5</v>
      </c>
      <c r="AD31" s="15">
        <f t="shared" si="4"/>
        <v>69.5</v>
      </c>
      <c r="AE31" s="15">
        <f t="shared" si="5"/>
        <v>139.29999999999998</v>
      </c>
      <c r="AF31" s="15">
        <f t="shared" si="6"/>
        <v>59.699999999999996</v>
      </c>
      <c r="AG31" s="15">
        <f t="shared" si="7"/>
        <v>70.2</v>
      </c>
      <c r="AH31" s="15">
        <f t="shared" si="8"/>
        <v>7.8000000000000007</v>
      </c>
      <c r="AL31" s="51">
        <v>21</v>
      </c>
      <c r="AM31" s="51">
        <f t="shared" si="9"/>
        <v>0</v>
      </c>
      <c r="AN31" s="51">
        <f t="shared" si="10"/>
        <v>0</v>
      </c>
      <c r="AO31" s="51">
        <f t="shared" si="11"/>
        <v>0</v>
      </c>
      <c r="AP31" s="51">
        <f t="shared" si="12"/>
        <v>0</v>
      </c>
      <c r="AQ31" s="51">
        <f t="shared" si="13"/>
        <v>0</v>
      </c>
    </row>
    <row r="32" spans="3:43" x14ac:dyDescent="0.15">
      <c r="C32" s="16" t="s">
        <v>109</v>
      </c>
      <c r="D32" s="16">
        <v>0.5</v>
      </c>
      <c r="E32" s="16">
        <v>0.5</v>
      </c>
      <c r="J32" s="16">
        <f>SUMPRODUCT(D32:I32,藏品属性!$D$19:$I$19)</f>
        <v>300</v>
      </c>
      <c r="V32" s="29">
        <f>基础状态预估!C32</f>
        <v>780</v>
      </c>
      <c r="W32" s="46">
        <f>基础状态预估!D32</f>
        <v>96.088925601853575</v>
      </c>
      <c r="X32" s="5">
        <f t="shared" si="14"/>
        <v>151</v>
      </c>
      <c r="Y32" s="5">
        <f t="shared" si="15"/>
        <v>219</v>
      </c>
      <c r="Z32" s="5">
        <f t="shared" si="16"/>
        <v>98</v>
      </c>
      <c r="AA32" s="5">
        <f t="shared" si="17"/>
        <v>46800</v>
      </c>
      <c r="AB32" s="5">
        <f t="shared" si="18"/>
        <v>30400</v>
      </c>
      <c r="AC32" s="15">
        <f t="shared" si="3"/>
        <v>75.5</v>
      </c>
      <c r="AD32" s="15">
        <f t="shared" si="4"/>
        <v>75.5</v>
      </c>
      <c r="AE32" s="15">
        <f t="shared" si="5"/>
        <v>153.29999999999998</v>
      </c>
      <c r="AF32" s="15">
        <f t="shared" si="6"/>
        <v>65.7</v>
      </c>
      <c r="AG32" s="15">
        <f t="shared" si="7"/>
        <v>88.2</v>
      </c>
      <c r="AH32" s="15">
        <f t="shared" si="8"/>
        <v>9.8000000000000007</v>
      </c>
      <c r="AL32" s="51">
        <v>22</v>
      </c>
      <c r="AM32" s="51">
        <f t="shared" si="9"/>
        <v>0</v>
      </c>
      <c r="AN32" s="51">
        <f t="shared" si="10"/>
        <v>0</v>
      </c>
      <c r="AO32" s="51">
        <f t="shared" si="11"/>
        <v>0</v>
      </c>
      <c r="AP32" s="51">
        <f t="shared" si="12"/>
        <v>0</v>
      </c>
      <c r="AQ32" s="51">
        <f t="shared" si="13"/>
        <v>0</v>
      </c>
    </row>
    <row r="33" spans="3:43" x14ac:dyDescent="0.15">
      <c r="C33" s="16" t="s">
        <v>111</v>
      </c>
      <c r="F33" s="16">
        <v>0.7</v>
      </c>
      <c r="G33" s="16">
        <v>0.3</v>
      </c>
      <c r="J33" s="19">
        <f>SUMPRODUCT(D33:I33,藏品属性!$D$19:$I$19)</f>
        <v>1300</v>
      </c>
      <c r="V33" s="29">
        <f>基础状态预估!C33</f>
        <v>840</v>
      </c>
      <c r="W33" s="46">
        <f>基础状态预估!D33</f>
        <v>97.155007723537565</v>
      </c>
      <c r="X33" s="5">
        <f t="shared" si="14"/>
        <v>163</v>
      </c>
      <c r="Y33" s="5">
        <f t="shared" si="15"/>
        <v>239</v>
      </c>
      <c r="Z33" s="5">
        <f t="shared" si="16"/>
        <v>118</v>
      </c>
      <c r="AA33" s="5">
        <f t="shared" si="17"/>
        <v>52000</v>
      </c>
      <c r="AB33" s="5">
        <f t="shared" si="18"/>
        <v>33800</v>
      </c>
      <c r="AC33" s="15">
        <f t="shared" si="3"/>
        <v>81.5</v>
      </c>
      <c r="AD33" s="15">
        <f t="shared" si="4"/>
        <v>81.5</v>
      </c>
      <c r="AE33" s="15">
        <f t="shared" si="5"/>
        <v>167.29999999999998</v>
      </c>
      <c r="AF33" s="15">
        <f t="shared" si="6"/>
        <v>71.7</v>
      </c>
      <c r="AG33" s="15">
        <f t="shared" si="7"/>
        <v>106.2</v>
      </c>
      <c r="AH33" s="15">
        <f t="shared" si="8"/>
        <v>11.8</v>
      </c>
      <c r="AL33" s="51">
        <v>23</v>
      </c>
      <c r="AM33" s="51">
        <f t="shared" si="9"/>
        <v>0</v>
      </c>
      <c r="AN33" s="51">
        <f t="shared" si="10"/>
        <v>0</v>
      </c>
      <c r="AO33" s="51">
        <f t="shared" si="11"/>
        <v>0</v>
      </c>
      <c r="AP33" s="51">
        <f t="shared" si="12"/>
        <v>0</v>
      </c>
      <c r="AQ33" s="51">
        <f t="shared" si="13"/>
        <v>0</v>
      </c>
    </row>
    <row r="34" spans="3:43" x14ac:dyDescent="0.15">
      <c r="C34" s="16" t="s">
        <v>113</v>
      </c>
      <c r="H34" s="16">
        <v>0.9</v>
      </c>
      <c r="I34" s="16">
        <v>0.1</v>
      </c>
      <c r="J34" s="19">
        <f>SUMPRODUCT(D34:I34,藏品属性!$D$19:$I$19)</f>
        <v>5500</v>
      </c>
      <c r="V34" s="29">
        <f>基础状态预估!C34</f>
        <v>900</v>
      </c>
      <c r="W34" s="46">
        <f>基础状态预估!D34</f>
        <v>98.149357978981357</v>
      </c>
      <c r="X34" s="5">
        <f t="shared" si="14"/>
        <v>175</v>
      </c>
      <c r="Y34" s="5">
        <f t="shared" si="15"/>
        <v>259</v>
      </c>
      <c r="Z34" s="5">
        <f t="shared" si="16"/>
        <v>138</v>
      </c>
      <c r="AA34" s="5">
        <f t="shared" si="17"/>
        <v>57200</v>
      </c>
      <c r="AB34" s="5">
        <f t="shared" si="18"/>
        <v>37200</v>
      </c>
      <c r="AC34" s="15">
        <f t="shared" si="3"/>
        <v>87.5</v>
      </c>
      <c r="AD34" s="15">
        <f t="shared" si="4"/>
        <v>87.5</v>
      </c>
      <c r="AE34" s="15">
        <f t="shared" si="5"/>
        <v>181.29999999999998</v>
      </c>
      <c r="AF34" s="15">
        <f t="shared" si="6"/>
        <v>77.7</v>
      </c>
      <c r="AG34" s="15">
        <f t="shared" si="7"/>
        <v>124.2</v>
      </c>
      <c r="AH34" s="15">
        <f t="shared" si="8"/>
        <v>13.8</v>
      </c>
      <c r="AL34" s="51">
        <v>24</v>
      </c>
      <c r="AM34" s="51">
        <f t="shared" si="9"/>
        <v>0</v>
      </c>
      <c r="AN34" s="51">
        <f t="shared" si="10"/>
        <v>0</v>
      </c>
      <c r="AO34" s="51">
        <f t="shared" si="11"/>
        <v>0</v>
      </c>
      <c r="AP34" s="51">
        <f t="shared" si="12"/>
        <v>0</v>
      </c>
      <c r="AQ34" s="51">
        <f t="shared" si="13"/>
        <v>0</v>
      </c>
    </row>
    <row r="35" spans="3:43" x14ac:dyDescent="0.15">
      <c r="V35" s="29">
        <f>基础状态预估!C35</f>
        <v>1020</v>
      </c>
      <c r="W35" s="46">
        <f>基础状态预估!D35</f>
        <v>99.956251778790289</v>
      </c>
      <c r="X35" s="5">
        <f t="shared" si="14"/>
        <v>199</v>
      </c>
      <c r="Y35" s="5">
        <f t="shared" si="15"/>
        <v>299</v>
      </c>
      <c r="Z35" s="5">
        <f t="shared" si="16"/>
        <v>186</v>
      </c>
      <c r="AA35" s="5">
        <f t="shared" si="17"/>
        <v>68400</v>
      </c>
      <c r="AB35" s="5">
        <f t="shared" si="18"/>
        <v>44400</v>
      </c>
      <c r="AC35" s="15">
        <f t="shared" si="3"/>
        <v>99.5</v>
      </c>
      <c r="AD35" s="15">
        <f t="shared" si="4"/>
        <v>99.5</v>
      </c>
      <c r="AE35" s="15">
        <f t="shared" si="5"/>
        <v>209.29999999999998</v>
      </c>
      <c r="AF35" s="15">
        <f t="shared" si="6"/>
        <v>89.7</v>
      </c>
      <c r="AG35" s="15">
        <f t="shared" si="7"/>
        <v>167.4</v>
      </c>
      <c r="AH35" s="15">
        <f t="shared" si="8"/>
        <v>18.600000000000001</v>
      </c>
      <c r="AL35" s="51">
        <v>25</v>
      </c>
      <c r="AM35" s="51">
        <f t="shared" si="9"/>
        <v>0</v>
      </c>
      <c r="AN35" s="51">
        <f t="shared" si="10"/>
        <v>0</v>
      </c>
      <c r="AO35" s="51">
        <f t="shared" si="11"/>
        <v>0</v>
      </c>
      <c r="AP35" s="51">
        <f t="shared" si="12"/>
        <v>0</v>
      </c>
      <c r="AQ35" s="51">
        <f t="shared" si="13"/>
        <v>0</v>
      </c>
    </row>
    <row r="36" spans="3:43" x14ac:dyDescent="0.15">
      <c r="C36" s="16" t="s">
        <v>150</v>
      </c>
      <c r="E36" s="16">
        <v>1</v>
      </c>
      <c r="J36" s="16">
        <f>SUMPRODUCT(D36:I36,藏品属性!$D$20:$I$20)</f>
        <v>1331.5873015873015</v>
      </c>
      <c r="V36" s="29">
        <f>基础状态预估!C36</f>
        <v>1140</v>
      </c>
      <c r="W36" s="46">
        <f>基础状态预估!D36</f>
        <v>101.55228351453842</v>
      </c>
      <c r="X36" s="5">
        <f t="shared" si="14"/>
        <v>223</v>
      </c>
      <c r="Y36" s="5">
        <f t="shared" si="15"/>
        <v>339</v>
      </c>
      <c r="Z36" s="5">
        <f t="shared" si="16"/>
        <v>234</v>
      </c>
      <c r="AA36" s="5">
        <f t="shared" si="17"/>
        <v>79600</v>
      </c>
      <c r="AB36" s="5">
        <f t="shared" si="18"/>
        <v>51600</v>
      </c>
      <c r="AC36" s="15">
        <f t="shared" si="3"/>
        <v>111.5</v>
      </c>
      <c r="AD36" s="15">
        <f t="shared" si="4"/>
        <v>111.5</v>
      </c>
      <c r="AE36" s="15">
        <f t="shared" si="5"/>
        <v>237.29999999999998</v>
      </c>
      <c r="AF36" s="15">
        <f t="shared" si="6"/>
        <v>101.7</v>
      </c>
      <c r="AG36" s="15">
        <f t="shared" si="7"/>
        <v>210.6</v>
      </c>
      <c r="AH36" s="15">
        <f t="shared" si="8"/>
        <v>23.400000000000002</v>
      </c>
      <c r="AL36" s="51">
        <v>26</v>
      </c>
      <c r="AM36" s="51">
        <f t="shared" si="9"/>
        <v>0</v>
      </c>
      <c r="AN36" s="51">
        <f t="shared" si="10"/>
        <v>0</v>
      </c>
      <c r="AO36" s="51">
        <f t="shared" si="11"/>
        <v>0</v>
      </c>
      <c r="AP36" s="51">
        <f t="shared" si="12"/>
        <v>0</v>
      </c>
      <c r="AQ36" s="51">
        <f t="shared" si="13"/>
        <v>0</v>
      </c>
    </row>
    <row r="37" spans="3:43" x14ac:dyDescent="0.15">
      <c r="C37" s="19" t="s">
        <v>143</v>
      </c>
      <c r="G37" s="16">
        <v>1</v>
      </c>
      <c r="J37" s="19">
        <f>SUMPRODUCT(D37:I37,藏品属性!$D$20:$I$20)</f>
        <v>13971.522510840274</v>
      </c>
      <c r="V37" s="29">
        <f>基础状态预估!C37</f>
        <v>1260</v>
      </c>
      <c r="W37" s="46">
        <f>基础状态预估!D37</f>
        <v>103.0034052427059</v>
      </c>
      <c r="X37" s="5">
        <f t="shared" si="14"/>
        <v>247</v>
      </c>
      <c r="Y37" s="5">
        <f t="shared" si="15"/>
        <v>379</v>
      </c>
      <c r="Z37" s="5">
        <f t="shared" si="16"/>
        <v>290</v>
      </c>
      <c r="AA37" s="5">
        <f t="shared" si="17"/>
        <v>91600</v>
      </c>
      <c r="AB37" s="5">
        <f t="shared" si="18"/>
        <v>59600</v>
      </c>
      <c r="AC37" s="15">
        <f t="shared" si="3"/>
        <v>123.5</v>
      </c>
      <c r="AD37" s="15">
        <f t="shared" si="4"/>
        <v>123.5</v>
      </c>
      <c r="AE37" s="15">
        <f t="shared" si="5"/>
        <v>265.3</v>
      </c>
      <c r="AF37" s="15">
        <f t="shared" si="6"/>
        <v>113.7</v>
      </c>
      <c r="AG37" s="15">
        <f t="shared" si="7"/>
        <v>261</v>
      </c>
      <c r="AH37" s="15">
        <f t="shared" si="8"/>
        <v>29</v>
      </c>
      <c r="AL37" s="51">
        <v>27</v>
      </c>
      <c r="AM37" s="51">
        <f t="shared" si="9"/>
        <v>0</v>
      </c>
      <c r="AN37" s="51">
        <f t="shared" si="10"/>
        <v>0</v>
      </c>
      <c r="AO37" s="51">
        <f t="shared" si="11"/>
        <v>0</v>
      </c>
      <c r="AP37" s="51">
        <f t="shared" si="12"/>
        <v>0</v>
      </c>
      <c r="AQ37" s="51">
        <f t="shared" si="13"/>
        <v>0</v>
      </c>
    </row>
    <row r="38" spans="3:43" x14ac:dyDescent="0.15">
      <c r="C38" s="19" t="s">
        <v>147</v>
      </c>
      <c r="I38" s="16">
        <v>1</v>
      </c>
      <c r="J38" s="19">
        <f>SUMPRODUCT(D38:I38,藏品属性!$D$20:$I$20)</f>
        <v>238993.52064758685</v>
      </c>
      <c r="V38" s="29">
        <f>基础状态预估!C38</f>
        <v>1380</v>
      </c>
      <c r="W38" s="46">
        <f>基础状态预估!D38</f>
        <v>104.30753076754127</v>
      </c>
      <c r="X38" s="5">
        <f t="shared" si="14"/>
        <v>271</v>
      </c>
      <c r="Y38" s="5">
        <f t="shared" si="15"/>
        <v>419</v>
      </c>
      <c r="Z38" s="5">
        <f t="shared" si="16"/>
        <v>346</v>
      </c>
      <c r="AA38" s="5">
        <f t="shared" si="17"/>
        <v>103600</v>
      </c>
      <c r="AB38" s="5">
        <f t="shared" si="18"/>
        <v>67600</v>
      </c>
      <c r="AC38" s="15">
        <f t="shared" si="3"/>
        <v>135.5</v>
      </c>
      <c r="AD38" s="15">
        <f t="shared" si="4"/>
        <v>135.5</v>
      </c>
      <c r="AE38" s="15">
        <f t="shared" si="5"/>
        <v>293.29999999999995</v>
      </c>
      <c r="AF38" s="15">
        <f t="shared" si="6"/>
        <v>125.69999999999999</v>
      </c>
      <c r="AG38" s="15">
        <f t="shared" si="7"/>
        <v>311.40000000000003</v>
      </c>
      <c r="AH38" s="15">
        <f t="shared" si="8"/>
        <v>34.6</v>
      </c>
      <c r="AL38" s="51">
        <v>28</v>
      </c>
      <c r="AM38" s="51">
        <f t="shared" si="9"/>
        <v>0</v>
      </c>
      <c r="AN38" s="51">
        <f t="shared" si="10"/>
        <v>0</v>
      </c>
      <c r="AO38" s="51">
        <f t="shared" si="11"/>
        <v>0</v>
      </c>
      <c r="AP38" s="51">
        <f t="shared" si="12"/>
        <v>0</v>
      </c>
      <c r="AQ38" s="51">
        <f t="shared" si="13"/>
        <v>0</v>
      </c>
    </row>
    <row r="39" spans="3:43" x14ac:dyDescent="0.15">
      <c r="V39" s="29">
        <f>基础状态预估!C39</f>
        <v>1500</v>
      </c>
      <c r="W39" s="46">
        <f>基础状态预估!D39</f>
        <v>105.50842583986083</v>
      </c>
      <c r="X39" s="5">
        <f t="shared" si="14"/>
        <v>295</v>
      </c>
      <c r="Y39" s="5">
        <f t="shared" si="15"/>
        <v>459</v>
      </c>
      <c r="Z39" s="5">
        <f t="shared" si="16"/>
        <v>410</v>
      </c>
      <c r="AA39" s="5">
        <f t="shared" si="17"/>
        <v>116400</v>
      </c>
      <c r="AB39" s="5">
        <f t="shared" si="18"/>
        <v>76000</v>
      </c>
      <c r="AC39" s="15">
        <f t="shared" si="3"/>
        <v>147.5</v>
      </c>
      <c r="AD39" s="15">
        <f t="shared" si="4"/>
        <v>147.5</v>
      </c>
      <c r="AE39" s="15">
        <f t="shared" si="5"/>
        <v>321.29999999999995</v>
      </c>
      <c r="AF39" s="15">
        <f t="shared" si="6"/>
        <v>137.69999999999999</v>
      </c>
      <c r="AG39" s="15">
        <f t="shared" si="7"/>
        <v>369</v>
      </c>
      <c r="AH39" s="15">
        <f t="shared" si="8"/>
        <v>41</v>
      </c>
      <c r="AL39" s="51">
        <v>29</v>
      </c>
      <c r="AM39" s="51">
        <f t="shared" si="9"/>
        <v>0</v>
      </c>
      <c r="AN39" s="51">
        <f t="shared" si="10"/>
        <v>0</v>
      </c>
      <c r="AO39" s="51">
        <f t="shared" si="11"/>
        <v>0</v>
      </c>
      <c r="AP39" s="51">
        <f t="shared" si="12"/>
        <v>0</v>
      </c>
      <c r="AQ39" s="51">
        <f t="shared" si="13"/>
        <v>0</v>
      </c>
    </row>
    <row r="40" spans="3:43" x14ac:dyDescent="0.15">
      <c r="V40" s="29">
        <f>基础状态预估!C40</f>
        <v>1800</v>
      </c>
      <c r="W40" s="46">
        <f>基础状态预估!D40</f>
        <v>108.14154328189373</v>
      </c>
      <c r="X40" s="5">
        <f t="shared" si="14"/>
        <v>355</v>
      </c>
      <c r="Y40" s="5">
        <f t="shared" si="15"/>
        <v>559</v>
      </c>
      <c r="Z40" s="5">
        <f t="shared" si="16"/>
        <v>590</v>
      </c>
      <c r="AA40" s="5">
        <f t="shared" si="17"/>
        <v>150400</v>
      </c>
      <c r="AB40" s="5">
        <f t="shared" si="18"/>
        <v>98000</v>
      </c>
      <c r="AC40" s="15">
        <f t="shared" si="3"/>
        <v>177.5</v>
      </c>
      <c r="AD40" s="15">
        <f t="shared" si="4"/>
        <v>177.5</v>
      </c>
      <c r="AE40" s="15">
        <f t="shared" si="5"/>
        <v>391.29999999999995</v>
      </c>
      <c r="AF40" s="15">
        <f t="shared" si="6"/>
        <v>167.7</v>
      </c>
      <c r="AG40" s="15">
        <f t="shared" si="7"/>
        <v>531</v>
      </c>
      <c r="AH40" s="15">
        <f t="shared" si="8"/>
        <v>59</v>
      </c>
      <c r="AL40" s="51">
        <v>30</v>
      </c>
      <c r="AM40" s="51">
        <f t="shared" si="9"/>
        <v>0</v>
      </c>
      <c r="AN40" s="51">
        <f t="shared" si="10"/>
        <v>0</v>
      </c>
      <c r="AO40" s="51">
        <f t="shared" si="11"/>
        <v>0</v>
      </c>
      <c r="AP40" s="51">
        <f t="shared" si="12"/>
        <v>0</v>
      </c>
      <c r="AQ40" s="51">
        <f t="shared" si="13"/>
        <v>0</v>
      </c>
    </row>
    <row r="41" spans="3:43" x14ac:dyDescent="0.15">
      <c r="V41" s="29">
        <f>基础状态预估!C41</f>
        <v>2100</v>
      </c>
      <c r="W41" s="46">
        <f>基础状态预估!D41</f>
        <v>110.36056371443574</v>
      </c>
      <c r="X41" s="5">
        <f t="shared" si="14"/>
        <v>415</v>
      </c>
      <c r="Y41" s="5">
        <f t="shared" si="15"/>
        <v>659</v>
      </c>
      <c r="Z41" s="5">
        <f t="shared" si="16"/>
        <v>770</v>
      </c>
      <c r="AA41" s="5">
        <f t="shared" si="17"/>
        <v>184400</v>
      </c>
      <c r="AB41" s="5">
        <f t="shared" si="18"/>
        <v>120000</v>
      </c>
      <c r="AC41" s="15">
        <f t="shared" si="3"/>
        <v>207.5</v>
      </c>
      <c r="AD41" s="15">
        <f t="shared" si="4"/>
        <v>207.5</v>
      </c>
      <c r="AE41" s="15">
        <f t="shared" si="5"/>
        <v>461.29999999999995</v>
      </c>
      <c r="AF41" s="15">
        <f t="shared" si="6"/>
        <v>197.7</v>
      </c>
      <c r="AG41" s="15">
        <f t="shared" si="7"/>
        <v>693</v>
      </c>
      <c r="AH41" s="15">
        <f t="shared" si="8"/>
        <v>77</v>
      </c>
      <c r="AL41" s="51">
        <v>31</v>
      </c>
      <c r="AM41" s="51">
        <f t="shared" si="9"/>
        <v>0</v>
      </c>
      <c r="AN41" s="51">
        <f t="shared" si="10"/>
        <v>0</v>
      </c>
      <c r="AO41" s="51">
        <f t="shared" si="11"/>
        <v>0</v>
      </c>
      <c r="AP41" s="51">
        <f t="shared" si="12"/>
        <v>0</v>
      </c>
      <c r="AQ41" s="51">
        <f t="shared" si="13"/>
        <v>0</v>
      </c>
    </row>
    <row r="42" spans="3:43" x14ac:dyDescent="0.15">
      <c r="V42" s="29">
        <f>基础状态预估!C42</f>
        <v>2400</v>
      </c>
      <c r="W42" s="46">
        <f>基础状态预估!D42</f>
        <v>112.28703526556856</v>
      </c>
      <c r="X42" s="5">
        <f t="shared" si="14"/>
        <v>475</v>
      </c>
      <c r="Y42" s="5">
        <f t="shared" si="15"/>
        <v>759</v>
      </c>
      <c r="Z42" s="5">
        <f t="shared" si="16"/>
        <v>970</v>
      </c>
      <c r="AA42" s="5">
        <f t="shared" si="17"/>
        <v>220400</v>
      </c>
      <c r="AB42" s="5">
        <f t="shared" si="18"/>
        <v>144000</v>
      </c>
      <c r="AC42" s="15">
        <f t="shared" si="3"/>
        <v>237.5</v>
      </c>
      <c r="AD42" s="15">
        <f t="shared" si="4"/>
        <v>237.5</v>
      </c>
      <c r="AE42" s="15">
        <f t="shared" si="5"/>
        <v>531.29999999999995</v>
      </c>
      <c r="AF42" s="15">
        <f t="shared" si="6"/>
        <v>227.7</v>
      </c>
      <c r="AG42" s="15">
        <f t="shared" si="7"/>
        <v>873</v>
      </c>
      <c r="AH42" s="15">
        <f t="shared" si="8"/>
        <v>97</v>
      </c>
      <c r="AL42" s="51">
        <v>32</v>
      </c>
      <c r="AM42" s="51">
        <f t="shared" si="9"/>
        <v>0</v>
      </c>
      <c r="AN42" s="51">
        <f t="shared" si="10"/>
        <v>0</v>
      </c>
      <c r="AO42" s="51">
        <f t="shared" si="11"/>
        <v>0</v>
      </c>
      <c r="AP42" s="51">
        <f t="shared" si="12"/>
        <v>0</v>
      </c>
      <c r="AQ42" s="51">
        <f t="shared" si="13"/>
        <v>0</v>
      </c>
    </row>
    <row r="43" spans="3:43" x14ac:dyDescent="0.15">
      <c r="V43" s="29">
        <f>基础状态预估!C43</f>
        <v>2700</v>
      </c>
      <c r="W43" s="46">
        <f>基础状态预估!D43</f>
        <v>113.99252797204601</v>
      </c>
      <c r="X43" s="5">
        <f t="shared" si="14"/>
        <v>535</v>
      </c>
      <c r="Y43" s="5">
        <f t="shared" si="15"/>
        <v>859</v>
      </c>
      <c r="Z43" s="5">
        <f t="shared" si="16"/>
        <v>1170</v>
      </c>
      <c r="AA43" s="5">
        <f t="shared" si="17"/>
        <v>256400</v>
      </c>
      <c r="AB43" s="5">
        <f t="shared" si="18"/>
        <v>168000</v>
      </c>
      <c r="AC43" s="15">
        <f t="shared" si="3"/>
        <v>267.5</v>
      </c>
      <c r="AD43" s="15">
        <f t="shared" si="4"/>
        <v>267.5</v>
      </c>
      <c r="AE43" s="15">
        <f t="shared" si="5"/>
        <v>601.29999999999995</v>
      </c>
      <c r="AF43" s="15">
        <f t="shared" si="6"/>
        <v>257.7</v>
      </c>
      <c r="AG43" s="15">
        <f t="shared" si="7"/>
        <v>1053</v>
      </c>
      <c r="AH43" s="15">
        <f t="shared" si="8"/>
        <v>117</v>
      </c>
      <c r="AL43" s="51">
        <v>33</v>
      </c>
      <c r="AM43" s="51">
        <f t="shared" si="9"/>
        <v>0</v>
      </c>
      <c r="AN43" s="51">
        <f t="shared" si="10"/>
        <v>0</v>
      </c>
      <c r="AO43" s="51">
        <f t="shared" si="11"/>
        <v>0</v>
      </c>
      <c r="AP43" s="51">
        <f t="shared" si="12"/>
        <v>0</v>
      </c>
      <c r="AQ43" s="51">
        <f t="shared" si="13"/>
        <v>0</v>
      </c>
    </row>
    <row r="44" spans="3:43" x14ac:dyDescent="0.15">
      <c r="V44" s="29">
        <f>基础状态预估!C44</f>
        <v>3000</v>
      </c>
      <c r="W44" s="46">
        <f>基础状态预估!D44</f>
        <v>115.50361532953012</v>
      </c>
      <c r="X44" s="5">
        <f t="shared" si="14"/>
        <v>595</v>
      </c>
      <c r="Y44" s="5">
        <f t="shared" si="15"/>
        <v>959</v>
      </c>
      <c r="Z44" s="5">
        <f t="shared" si="16"/>
        <v>1390</v>
      </c>
      <c r="AA44" s="5">
        <f t="shared" si="17"/>
        <v>294400</v>
      </c>
      <c r="AB44" s="5">
        <f t="shared" si="18"/>
        <v>193000</v>
      </c>
      <c r="AC44" s="15">
        <f t="shared" si="3"/>
        <v>297.5</v>
      </c>
      <c r="AD44" s="15">
        <f t="shared" si="4"/>
        <v>297.5</v>
      </c>
      <c r="AE44" s="15">
        <f t="shared" si="5"/>
        <v>671.3</v>
      </c>
      <c r="AF44" s="15">
        <f t="shared" si="6"/>
        <v>287.7</v>
      </c>
      <c r="AG44" s="15">
        <f t="shared" si="7"/>
        <v>1251</v>
      </c>
      <c r="AH44" s="15">
        <f t="shared" si="8"/>
        <v>139</v>
      </c>
      <c r="AL44" s="51">
        <v>34</v>
      </c>
      <c r="AM44" s="51">
        <f t="shared" si="9"/>
        <v>0</v>
      </c>
      <c r="AN44" s="51">
        <f t="shared" si="10"/>
        <v>0</v>
      </c>
      <c r="AO44" s="51">
        <f t="shared" si="11"/>
        <v>0</v>
      </c>
      <c r="AP44" s="51">
        <f t="shared" si="12"/>
        <v>0</v>
      </c>
      <c r="AQ44" s="51">
        <f t="shared" si="13"/>
        <v>0</v>
      </c>
    </row>
    <row r="45" spans="3:43" x14ac:dyDescent="0.15">
      <c r="V45" s="29">
        <f>基础状态预估!C45</f>
        <v>3300</v>
      </c>
      <c r="W45" s="46">
        <f>基础状态预估!D45</f>
        <v>116.88336617936118</v>
      </c>
      <c r="X45" s="5">
        <f t="shared" si="14"/>
        <v>655</v>
      </c>
      <c r="Y45" s="5">
        <f t="shared" si="15"/>
        <v>1059</v>
      </c>
      <c r="Z45" s="5">
        <f t="shared" si="16"/>
        <v>1610</v>
      </c>
      <c r="AA45" s="5">
        <f t="shared" si="17"/>
        <v>332400</v>
      </c>
      <c r="AB45" s="5">
        <f t="shared" si="18"/>
        <v>218000</v>
      </c>
      <c r="AC45" s="15">
        <f t="shared" si="3"/>
        <v>327.5</v>
      </c>
      <c r="AD45" s="15">
        <f t="shared" si="4"/>
        <v>327.5</v>
      </c>
      <c r="AE45" s="15">
        <f t="shared" si="5"/>
        <v>741.3</v>
      </c>
      <c r="AF45" s="15">
        <f t="shared" si="6"/>
        <v>317.7</v>
      </c>
      <c r="AG45" s="15">
        <f t="shared" si="7"/>
        <v>1449</v>
      </c>
      <c r="AH45" s="15">
        <f t="shared" si="8"/>
        <v>161</v>
      </c>
      <c r="AL45" s="51">
        <v>35</v>
      </c>
      <c r="AM45" s="51">
        <f t="shared" si="9"/>
        <v>0</v>
      </c>
      <c r="AN45" s="51">
        <f t="shared" si="10"/>
        <v>0</v>
      </c>
      <c r="AO45" s="51">
        <f t="shared" si="11"/>
        <v>0</v>
      </c>
      <c r="AP45" s="51">
        <f t="shared" si="12"/>
        <v>0</v>
      </c>
      <c r="AQ45" s="51">
        <f t="shared" si="13"/>
        <v>0</v>
      </c>
    </row>
    <row r="46" spans="3:43" x14ac:dyDescent="0.15">
      <c r="V46" s="29">
        <f>基础状态预估!C46</f>
        <v>3600</v>
      </c>
      <c r="W46" s="46">
        <f>基础状态预估!D46</f>
        <v>118.13763593334991</v>
      </c>
      <c r="X46" s="5">
        <f t="shared" si="14"/>
        <v>715</v>
      </c>
      <c r="Y46" s="5">
        <f t="shared" si="15"/>
        <v>1159</v>
      </c>
      <c r="Z46" s="5">
        <f t="shared" si="16"/>
        <v>1850</v>
      </c>
      <c r="AA46" s="5">
        <f t="shared" si="17"/>
        <v>372400</v>
      </c>
      <c r="AB46" s="5">
        <f t="shared" si="18"/>
        <v>244000</v>
      </c>
      <c r="AC46" s="15">
        <f t="shared" si="3"/>
        <v>357.5</v>
      </c>
      <c r="AD46" s="15">
        <f t="shared" si="4"/>
        <v>357.5</v>
      </c>
      <c r="AE46" s="15">
        <f t="shared" si="5"/>
        <v>811.3</v>
      </c>
      <c r="AF46" s="15">
        <f t="shared" si="6"/>
        <v>347.7</v>
      </c>
      <c r="AG46" s="15">
        <f t="shared" si="7"/>
        <v>1665</v>
      </c>
      <c r="AH46" s="15">
        <f t="shared" si="8"/>
        <v>185</v>
      </c>
      <c r="AL46" s="51">
        <v>36</v>
      </c>
      <c r="AM46" s="51">
        <f t="shared" si="9"/>
        <v>0</v>
      </c>
      <c r="AN46" s="51">
        <f t="shared" si="10"/>
        <v>0</v>
      </c>
      <c r="AO46" s="51">
        <f t="shared" si="11"/>
        <v>0</v>
      </c>
      <c r="AP46" s="51">
        <f t="shared" si="12"/>
        <v>0</v>
      </c>
      <c r="AQ46" s="51">
        <f t="shared" si="13"/>
        <v>0</v>
      </c>
    </row>
    <row r="47" spans="3:43" x14ac:dyDescent="0.15">
      <c r="V47" s="29">
        <f>基础状态预估!C47</f>
        <v>3900</v>
      </c>
      <c r="W47" s="46">
        <f>基础状态预估!D47</f>
        <v>119.28909140534228</v>
      </c>
      <c r="X47" s="5">
        <f t="shared" si="14"/>
        <v>775</v>
      </c>
      <c r="Y47" s="5">
        <f t="shared" si="15"/>
        <v>1259</v>
      </c>
      <c r="Z47" s="5">
        <f t="shared" si="16"/>
        <v>2090</v>
      </c>
      <c r="AA47" s="5">
        <f t="shared" si="17"/>
        <v>412400</v>
      </c>
      <c r="AB47" s="5">
        <f t="shared" si="18"/>
        <v>270000</v>
      </c>
      <c r="AC47" s="15">
        <f t="shared" si="3"/>
        <v>387.5</v>
      </c>
      <c r="AD47" s="15">
        <f t="shared" si="4"/>
        <v>387.5</v>
      </c>
      <c r="AE47" s="15">
        <f t="shared" si="5"/>
        <v>881.3</v>
      </c>
      <c r="AF47" s="15">
        <f t="shared" si="6"/>
        <v>377.7</v>
      </c>
      <c r="AG47" s="15">
        <f t="shared" si="7"/>
        <v>1881</v>
      </c>
      <c r="AH47" s="15">
        <f t="shared" si="8"/>
        <v>209</v>
      </c>
      <c r="AL47" s="51">
        <v>37</v>
      </c>
      <c r="AM47" s="51">
        <f t="shared" si="9"/>
        <v>0</v>
      </c>
      <c r="AN47" s="51">
        <f t="shared" si="10"/>
        <v>0</v>
      </c>
      <c r="AO47" s="51">
        <f t="shared" si="11"/>
        <v>0</v>
      </c>
      <c r="AP47" s="51">
        <f t="shared" si="12"/>
        <v>0</v>
      </c>
      <c r="AQ47" s="51">
        <f t="shared" si="13"/>
        <v>0</v>
      </c>
    </row>
    <row r="48" spans="3:43" x14ac:dyDescent="0.15">
      <c r="V48" s="29">
        <f>基础状态预估!C48</f>
        <v>4200</v>
      </c>
      <c r="W48" s="46">
        <f>基础状态预估!D48</f>
        <v>120.35716216995992</v>
      </c>
      <c r="X48" s="5">
        <f t="shared" si="14"/>
        <v>835</v>
      </c>
      <c r="Y48" s="5">
        <f t="shared" si="15"/>
        <v>1359</v>
      </c>
      <c r="Z48" s="5">
        <f t="shared" si="16"/>
        <v>2350</v>
      </c>
      <c r="AA48" s="5">
        <f t="shared" si="17"/>
        <v>454400</v>
      </c>
      <c r="AB48" s="5">
        <f t="shared" si="18"/>
        <v>298000</v>
      </c>
      <c r="AC48" s="15">
        <f t="shared" si="3"/>
        <v>417.5</v>
      </c>
      <c r="AD48" s="15">
        <f t="shared" si="4"/>
        <v>417.5</v>
      </c>
      <c r="AE48" s="15">
        <f t="shared" si="5"/>
        <v>951.3</v>
      </c>
      <c r="AF48" s="15">
        <f t="shared" si="6"/>
        <v>407.7</v>
      </c>
      <c r="AG48" s="15">
        <f t="shared" si="7"/>
        <v>2115</v>
      </c>
      <c r="AH48" s="15">
        <f t="shared" si="8"/>
        <v>235</v>
      </c>
      <c r="AL48" s="51">
        <v>38</v>
      </c>
      <c r="AM48" s="51">
        <f t="shared" si="9"/>
        <v>0</v>
      </c>
      <c r="AN48" s="51">
        <f t="shared" si="10"/>
        <v>0</v>
      </c>
      <c r="AO48" s="51">
        <f t="shared" si="11"/>
        <v>0</v>
      </c>
      <c r="AP48" s="51">
        <f t="shared" si="12"/>
        <v>0</v>
      </c>
      <c r="AQ48" s="51">
        <f t="shared" si="13"/>
        <v>0</v>
      </c>
    </row>
    <row r="49" spans="22:43" x14ac:dyDescent="0.15">
      <c r="V49" s="29">
        <f>基础状态预估!C49</f>
        <v>4500</v>
      </c>
      <c r="W49" s="46">
        <f>基础状态预估!D49</f>
        <v>121.35233706179751</v>
      </c>
      <c r="X49" s="5">
        <f t="shared" si="14"/>
        <v>895</v>
      </c>
      <c r="Y49" s="5">
        <f t="shared" si="15"/>
        <v>1459</v>
      </c>
      <c r="Z49" s="5">
        <f t="shared" si="16"/>
        <v>2610</v>
      </c>
      <c r="AA49" s="5">
        <f t="shared" si="17"/>
        <v>496400</v>
      </c>
      <c r="AB49" s="5">
        <f t="shared" si="18"/>
        <v>326000</v>
      </c>
      <c r="AC49" s="15">
        <f t="shared" si="3"/>
        <v>447.5</v>
      </c>
      <c r="AD49" s="15">
        <f t="shared" si="4"/>
        <v>447.5</v>
      </c>
      <c r="AE49" s="15">
        <f t="shared" si="5"/>
        <v>1021.3</v>
      </c>
      <c r="AF49" s="15">
        <f t="shared" si="6"/>
        <v>437.7</v>
      </c>
      <c r="AG49" s="15">
        <f t="shared" si="7"/>
        <v>2349</v>
      </c>
      <c r="AH49" s="15">
        <f t="shared" si="8"/>
        <v>261</v>
      </c>
      <c r="AL49" s="51">
        <v>39</v>
      </c>
      <c r="AM49" s="51">
        <f t="shared" si="9"/>
        <v>0</v>
      </c>
      <c r="AN49" s="51">
        <f t="shared" si="10"/>
        <v>0</v>
      </c>
      <c r="AO49" s="51">
        <f t="shared" si="11"/>
        <v>0</v>
      </c>
      <c r="AP49" s="51">
        <f t="shared" si="12"/>
        <v>0</v>
      </c>
      <c r="AQ49" s="51">
        <f t="shared" si="13"/>
        <v>0</v>
      </c>
    </row>
    <row r="50" spans="22:43" x14ac:dyDescent="0.15">
      <c r="V50" s="29">
        <f>基础状态预估!C50</f>
        <v>4800</v>
      </c>
      <c r="W50" s="46">
        <f>基础状态预估!D50</f>
        <v>122.28407404910907</v>
      </c>
      <c r="X50" s="5">
        <f t="shared" si="14"/>
        <v>955</v>
      </c>
      <c r="Y50" s="5">
        <f t="shared" si="15"/>
        <v>1559</v>
      </c>
      <c r="Z50" s="5">
        <f t="shared" si="16"/>
        <v>2870</v>
      </c>
      <c r="AA50" s="5">
        <f t="shared" si="17"/>
        <v>538400</v>
      </c>
      <c r="AB50" s="5">
        <f t="shared" si="18"/>
        <v>354000</v>
      </c>
      <c r="AC50" s="15">
        <f t="shared" si="3"/>
        <v>477.5</v>
      </c>
      <c r="AD50" s="15">
        <f t="shared" si="4"/>
        <v>477.5</v>
      </c>
      <c r="AE50" s="15">
        <f t="shared" si="5"/>
        <v>1091.3</v>
      </c>
      <c r="AF50" s="15">
        <f t="shared" si="6"/>
        <v>467.7</v>
      </c>
      <c r="AG50" s="15">
        <f t="shared" si="7"/>
        <v>2583</v>
      </c>
      <c r="AH50" s="15">
        <f t="shared" si="8"/>
        <v>287</v>
      </c>
      <c r="AL50" s="51">
        <v>40</v>
      </c>
      <c r="AM50" s="51">
        <f t="shared" si="9"/>
        <v>0</v>
      </c>
      <c r="AN50" s="51">
        <f t="shared" si="10"/>
        <v>0</v>
      </c>
      <c r="AO50" s="51">
        <f t="shared" si="11"/>
        <v>0</v>
      </c>
      <c r="AP50" s="51">
        <f t="shared" si="12"/>
        <v>0</v>
      </c>
      <c r="AQ50" s="51">
        <f t="shared" si="13"/>
        <v>0</v>
      </c>
    </row>
    <row r="51" spans="22:43" x14ac:dyDescent="0.15">
      <c r="V51" s="29">
        <f>基础状态预估!C51</f>
        <v>65535</v>
      </c>
      <c r="W51" s="46">
        <f>基础状态预估!D51</f>
        <v>160</v>
      </c>
      <c r="X51" s="5">
        <f t="shared" si="14"/>
        <v>13102</v>
      </c>
      <c r="Y51" s="5">
        <f t="shared" si="15"/>
        <v>21804</v>
      </c>
      <c r="Z51" s="5">
        <f t="shared" si="16"/>
        <v>55507</v>
      </c>
      <c r="AA51" s="5">
        <f t="shared" si="17"/>
        <v>9041300</v>
      </c>
      <c r="AB51" s="5">
        <f t="shared" si="18"/>
        <v>6022600</v>
      </c>
      <c r="AC51" s="15">
        <f t="shared" si="3"/>
        <v>6551</v>
      </c>
      <c r="AD51" s="15">
        <f t="shared" si="4"/>
        <v>6551</v>
      </c>
      <c r="AE51" s="15">
        <f t="shared" si="5"/>
        <v>15262.8</v>
      </c>
      <c r="AF51" s="15">
        <f t="shared" si="6"/>
        <v>6541.2</v>
      </c>
      <c r="AG51" s="15">
        <f t="shared" si="7"/>
        <v>49956.3</v>
      </c>
      <c r="AH51" s="15">
        <f t="shared" si="8"/>
        <v>5550.7000000000007</v>
      </c>
      <c r="AL51" s="51">
        <v>41</v>
      </c>
      <c r="AM51" s="51">
        <f t="shared" si="9"/>
        <v>5.2447448063763273</v>
      </c>
      <c r="AN51" s="51">
        <f t="shared" si="10"/>
        <v>0</v>
      </c>
      <c r="AO51" s="51">
        <f t="shared" si="11"/>
        <v>0</v>
      </c>
      <c r="AP51" s="51">
        <f t="shared" si="12"/>
        <v>0</v>
      </c>
      <c r="AQ51" s="51">
        <f t="shared" si="13"/>
        <v>0</v>
      </c>
    </row>
    <row r="52" spans="22:43" x14ac:dyDescent="0.15">
      <c r="AL52" s="51">
        <v>42</v>
      </c>
      <c r="AM52" s="51">
        <f t="shared" si="9"/>
        <v>10.489489612752655</v>
      </c>
      <c r="AN52" s="51">
        <f t="shared" si="10"/>
        <v>1.6903301493375715</v>
      </c>
      <c r="AO52" s="51">
        <f t="shared" si="11"/>
        <v>0</v>
      </c>
      <c r="AP52" s="51">
        <f t="shared" si="12"/>
        <v>0</v>
      </c>
      <c r="AQ52" s="51">
        <f t="shared" si="13"/>
        <v>0</v>
      </c>
    </row>
    <row r="53" spans="22:43" x14ac:dyDescent="0.15">
      <c r="V53" s="32" t="s">
        <v>18</v>
      </c>
      <c r="W53" s="48"/>
      <c r="X53" s="84" t="s">
        <v>120</v>
      </c>
      <c r="Y53" s="84"/>
      <c r="Z53" s="84"/>
      <c r="AA53" s="84"/>
      <c r="AB53" s="84"/>
      <c r="AC53" s="84" t="s">
        <v>121</v>
      </c>
      <c r="AD53" s="84"/>
      <c r="AE53" s="84"/>
      <c r="AF53" s="84"/>
      <c r="AG53" s="84"/>
      <c r="AH53" s="84"/>
      <c r="AL53" s="51">
        <v>43</v>
      </c>
      <c r="AM53" s="51">
        <f t="shared" si="9"/>
        <v>15.734234419128981</v>
      </c>
      <c r="AN53" s="51">
        <f t="shared" si="10"/>
        <v>12.041088085277124</v>
      </c>
      <c r="AO53" s="51">
        <f t="shared" si="11"/>
        <v>0</v>
      </c>
      <c r="AP53" s="51">
        <f t="shared" si="12"/>
        <v>0</v>
      </c>
      <c r="AQ53" s="51">
        <f t="shared" si="13"/>
        <v>0</v>
      </c>
    </row>
    <row r="54" spans="22:43" x14ac:dyDescent="0.15">
      <c r="V54" s="27" t="s">
        <v>31</v>
      </c>
      <c r="W54" s="45" t="s">
        <v>25</v>
      </c>
      <c r="X54" s="15" t="s">
        <v>108</v>
      </c>
      <c r="Y54" s="15" t="s">
        <v>110</v>
      </c>
      <c r="Z54" s="15" t="s">
        <v>112</v>
      </c>
      <c r="AA54" s="15" t="s">
        <v>114</v>
      </c>
      <c r="AB54" s="15" t="s">
        <v>116</v>
      </c>
      <c r="AC54" s="15" t="s">
        <v>26</v>
      </c>
      <c r="AD54" s="15" t="s">
        <v>38</v>
      </c>
      <c r="AE54" s="15" t="s">
        <v>27</v>
      </c>
      <c r="AF54" s="15" t="s">
        <v>29</v>
      </c>
      <c r="AG54" s="15" t="s">
        <v>28</v>
      </c>
      <c r="AH54" s="15" t="s">
        <v>43</v>
      </c>
      <c r="AL54" s="51">
        <v>44</v>
      </c>
      <c r="AM54" s="51">
        <f t="shared" si="9"/>
        <v>20.978979225505309</v>
      </c>
      <c r="AN54" s="51">
        <f t="shared" si="10"/>
        <v>22.391846021216679</v>
      </c>
      <c r="AO54" s="51">
        <f t="shared" si="11"/>
        <v>0</v>
      </c>
      <c r="AP54" s="51">
        <f t="shared" si="12"/>
        <v>0</v>
      </c>
      <c r="AQ54" s="51">
        <f t="shared" si="13"/>
        <v>0</v>
      </c>
    </row>
    <row r="55" spans="22:43" x14ac:dyDescent="0.15">
      <c r="V55" s="29">
        <f>基础状态预估!C55</f>
        <v>15</v>
      </c>
      <c r="W55" s="46">
        <f>基础状态预估!D55</f>
        <v>41.83669503626701</v>
      </c>
      <c r="X55" s="11">
        <f>IFERROR(INDEX(O$7:O$27,MATCH($W55,$F$7:$F$27,1)),0)*$V55/$E$1</f>
        <v>0</v>
      </c>
      <c r="Y55" s="11">
        <f t="shared" ref="Y55:AB55" si="19">IFERROR(INDEX(P$7:P$27,MATCH($W55,$F$7:$F$27,1)),0)*$V55/$E$1</f>
        <v>0</v>
      </c>
      <c r="Z55" s="11">
        <f t="shared" si="19"/>
        <v>0</v>
      </c>
      <c r="AA55" s="11">
        <f t="shared" si="19"/>
        <v>0</v>
      </c>
      <c r="AB55" s="11">
        <f t="shared" si="19"/>
        <v>0</v>
      </c>
      <c r="AC55" s="15">
        <f>$X55*D$32+$Y55*D$33+$Z55*D$34</f>
        <v>0</v>
      </c>
      <c r="AD55" s="15">
        <f t="shared" ref="AD55:AD95" si="20">$X55*E$32+$Y55*E$33+$Z55*E$34</f>
        <v>0</v>
      </c>
      <c r="AE55" s="15">
        <f t="shared" ref="AE55:AE95" si="21">$X55*F$32+$Y55*F$33+$Z55*F$34</f>
        <v>0</v>
      </c>
      <c r="AF55" s="15">
        <f t="shared" ref="AF55:AF95" si="22">$X55*G$32+$Y55*G$33+$Z55*G$34</f>
        <v>0</v>
      </c>
      <c r="AG55" s="15">
        <f t="shared" ref="AG55:AG95" si="23">$X55*H$32+$Y55*H$33+$Z55*H$34</f>
        <v>0</v>
      </c>
      <c r="AH55" s="15">
        <f t="shared" ref="AH55:AH95" si="24">$X55*I$32+$Y55*I$33+$Z55*I$34</f>
        <v>0</v>
      </c>
      <c r="AL55" s="51">
        <v>45</v>
      </c>
      <c r="AM55" s="51">
        <f t="shared" si="9"/>
        <v>26.223724031881638</v>
      </c>
      <c r="AN55" s="51">
        <f t="shared" si="10"/>
        <v>32.742603957156234</v>
      </c>
      <c r="AO55" s="51">
        <f t="shared" si="11"/>
        <v>61.416119000895051</v>
      </c>
      <c r="AP55" s="51">
        <f t="shared" si="12"/>
        <v>0</v>
      </c>
      <c r="AQ55" s="51">
        <f t="shared" si="13"/>
        <v>0</v>
      </c>
    </row>
    <row r="56" spans="22:43" x14ac:dyDescent="0.15">
      <c r="V56" s="29">
        <f>基础状态预估!C56</f>
        <v>30</v>
      </c>
      <c r="W56" s="46">
        <f>基础状态预估!D56</f>
        <v>51.497823295559343</v>
      </c>
      <c r="X56" s="5">
        <f>IFERROR(INDEX(O$7:O$27,MATCH($W56,$F$7:$F$27,1)),0)*($V56-$V55)/$E$1+X55</f>
        <v>2</v>
      </c>
      <c r="Y56" s="5">
        <f t="shared" ref="Y56:AB56" si="25">IFERROR(INDEX(P$7:P$27,MATCH($W56,$F$7:$F$27,1)),0)*($V56-$V55)/$E$1+Y55</f>
        <v>0</v>
      </c>
      <c r="Z56" s="5">
        <f t="shared" si="25"/>
        <v>0</v>
      </c>
      <c r="AA56" s="5">
        <f t="shared" si="25"/>
        <v>200</v>
      </c>
      <c r="AB56" s="5">
        <f t="shared" si="25"/>
        <v>100</v>
      </c>
      <c r="AC56" s="15">
        <f t="shared" ref="AC56:AC95" si="26">$X56*D$32+$Y56*D$33+$Z56*D$34</f>
        <v>1</v>
      </c>
      <c r="AD56" s="15">
        <f t="shared" si="20"/>
        <v>1</v>
      </c>
      <c r="AE56" s="15">
        <f t="shared" si="21"/>
        <v>0</v>
      </c>
      <c r="AF56" s="15">
        <f t="shared" si="22"/>
        <v>0</v>
      </c>
      <c r="AG56" s="15">
        <f t="shared" si="23"/>
        <v>0</v>
      </c>
      <c r="AH56" s="15">
        <f t="shared" si="24"/>
        <v>0</v>
      </c>
      <c r="AL56" s="51">
        <v>46</v>
      </c>
      <c r="AM56" s="51">
        <f t="shared" si="9"/>
        <v>31.468468838257962</v>
      </c>
      <c r="AN56" s="51">
        <f t="shared" si="10"/>
        <v>43.093361893095782</v>
      </c>
      <c r="AO56" s="51">
        <f t="shared" si="11"/>
        <v>81.883874901375847</v>
      </c>
      <c r="AP56" s="51">
        <f t="shared" si="12"/>
        <v>0</v>
      </c>
      <c r="AQ56" s="51">
        <f t="shared" si="13"/>
        <v>0</v>
      </c>
    </row>
    <row r="57" spans="22:43" x14ac:dyDescent="0.15">
      <c r="V57" s="29">
        <f>基础状态预估!C57</f>
        <v>45</v>
      </c>
      <c r="W57" s="46">
        <f>基础状态预估!D57</f>
        <v>57.218966664386244</v>
      </c>
      <c r="X57" s="5">
        <f t="shared" ref="X57:X95" si="27">IFERROR(INDEX(O$7:O$27,MATCH($W57,$F$7:$F$27,1)),0)*($V57-$V56)/$E$1+X56</f>
        <v>5</v>
      </c>
      <c r="Y57" s="5">
        <f t="shared" ref="Y57:Y95" si="28">IFERROR(INDEX(P$7:P$27,MATCH($W57,$F$7:$F$27,1)),0)*($V57-$V56)/$E$1+Y56</f>
        <v>0</v>
      </c>
      <c r="Z57" s="5">
        <f t="shared" ref="Z57:Z95" si="29">IFERROR(INDEX(Q$7:Q$27,MATCH($W57,$F$7:$F$27,1)),0)*($V57-$V56)/$E$1+Z56</f>
        <v>0</v>
      </c>
      <c r="AA57" s="5">
        <f t="shared" ref="AA57:AA95" si="30">IFERROR(INDEX(R$7:R$27,MATCH($W57,$F$7:$F$27,1)),0)*($V57-$V56)/$E$1+AA56</f>
        <v>500</v>
      </c>
      <c r="AB57" s="5">
        <f t="shared" ref="AB57:AB95" si="31">IFERROR(INDEX(S$7:S$27,MATCH($W57,$F$7:$F$27,1)),0)*($V57-$V56)/$E$1+AB56</f>
        <v>300</v>
      </c>
      <c r="AC57" s="15">
        <f t="shared" si="26"/>
        <v>2.5</v>
      </c>
      <c r="AD57" s="15">
        <f t="shared" si="20"/>
        <v>2.5</v>
      </c>
      <c r="AE57" s="15">
        <f t="shared" si="21"/>
        <v>0</v>
      </c>
      <c r="AF57" s="15">
        <f t="shared" si="22"/>
        <v>0</v>
      </c>
      <c r="AG57" s="15">
        <f t="shared" si="23"/>
        <v>0</v>
      </c>
      <c r="AH57" s="15">
        <f t="shared" si="24"/>
        <v>0</v>
      </c>
      <c r="AL57" s="51">
        <v>47</v>
      </c>
      <c r="AM57" s="51">
        <f t="shared" si="9"/>
        <v>36.713213644634294</v>
      </c>
      <c r="AN57" s="51">
        <f t="shared" si="10"/>
        <v>53.444119829035337</v>
      </c>
      <c r="AO57" s="51">
        <f t="shared" si="11"/>
        <v>102.35163080185666</v>
      </c>
      <c r="AP57" s="51">
        <f t="shared" si="12"/>
        <v>0</v>
      </c>
      <c r="AQ57" s="51">
        <f t="shared" si="13"/>
        <v>0</v>
      </c>
    </row>
    <row r="58" spans="22:43" x14ac:dyDescent="0.15">
      <c r="V58" s="29">
        <f>基础状态预估!C58</f>
        <v>60</v>
      </c>
      <c r="W58" s="46">
        <f>基础状态预估!D58</f>
        <v>61.330461663183208</v>
      </c>
      <c r="X58" s="5">
        <f t="shared" si="27"/>
        <v>8</v>
      </c>
      <c r="Y58" s="5">
        <f t="shared" si="28"/>
        <v>1</v>
      </c>
      <c r="Z58" s="5">
        <f t="shared" si="29"/>
        <v>0</v>
      </c>
      <c r="AA58" s="5">
        <f t="shared" si="30"/>
        <v>900</v>
      </c>
      <c r="AB58" s="5">
        <f t="shared" si="31"/>
        <v>550</v>
      </c>
      <c r="AC58" s="15">
        <f t="shared" si="26"/>
        <v>4</v>
      </c>
      <c r="AD58" s="15">
        <f t="shared" si="20"/>
        <v>4</v>
      </c>
      <c r="AE58" s="15">
        <f t="shared" si="21"/>
        <v>0.7</v>
      </c>
      <c r="AF58" s="15">
        <f t="shared" si="22"/>
        <v>0.3</v>
      </c>
      <c r="AG58" s="15">
        <f t="shared" si="23"/>
        <v>0</v>
      </c>
      <c r="AH58" s="15">
        <f t="shared" si="24"/>
        <v>0</v>
      </c>
      <c r="AL58" s="51">
        <v>48</v>
      </c>
      <c r="AM58" s="51">
        <f t="shared" si="9"/>
        <v>41.957958451010619</v>
      </c>
      <c r="AN58" s="51">
        <f t="shared" si="10"/>
        <v>63.794877764974892</v>
      </c>
      <c r="AO58" s="51">
        <f t="shared" si="11"/>
        <v>122.81938670233745</v>
      </c>
      <c r="AP58" s="51">
        <f t="shared" si="12"/>
        <v>0</v>
      </c>
      <c r="AQ58" s="51">
        <f t="shared" si="13"/>
        <v>0</v>
      </c>
    </row>
    <row r="59" spans="22:43" x14ac:dyDescent="0.15">
      <c r="V59" s="29">
        <f>基础状态预估!C59</f>
        <v>75</v>
      </c>
      <c r="W59" s="46">
        <f>基础状态预估!D59</f>
        <v>64.495279642868965</v>
      </c>
      <c r="X59" s="5">
        <f t="shared" si="27"/>
        <v>11</v>
      </c>
      <c r="Y59" s="5">
        <f t="shared" si="28"/>
        <v>3</v>
      </c>
      <c r="Z59" s="5">
        <f t="shared" si="29"/>
        <v>0</v>
      </c>
      <c r="AA59" s="5">
        <f t="shared" si="30"/>
        <v>1400</v>
      </c>
      <c r="AB59" s="5">
        <f t="shared" si="31"/>
        <v>850</v>
      </c>
      <c r="AC59" s="15">
        <f t="shared" si="26"/>
        <v>5.5</v>
      </c>
      <c r="AD59" s="15">
        <f t="shared" si="20"/>
        <v>5.5</v>
      </c>
      <c r="AE59" s="15">
        <f t="shared" si="21"/>
        <v>2.0999999999999996</v>
      </c>
      <c r="AF59" s="15">
        <f t="shared" si="22"/>
        <v>0.89999999999999991</v>
      </c>
      <c r="AG59" s="15">
        <f t="shared" si="23"/>
        <v>0</v>
      </c>
      <c r="AH59" s="15">
        <f t="shared" si="24"/>
        <v>0</v>
      </c>
      <c r="AL59" s="51">
        <v>49</v>
      </c>
      <c r="AM59" s="51">
        <f t="shared" si="9"/>
        <v>47.202703257386943</v>
      </c>
      <c r="AN59" s="51">
        <f t="shared" si="10"/>
        <v>74.14563570091444</v>
      </c>
      <c r="AO59" s="51">
        <f t="shared" si="11"/>
        <v>143.28714260281825</v>
      </c>
      <c r="AP59" s="51">
        <f t="shared" si="12"/>
        <v>206.7348388978109</v>
      </c>
      <c r="AQ59" s="51">
        <f t="shared" si="13"/>
        <v>0</v>
      </c>
    </row>
    <row r="60" spans="22:43" x14ac:dyDescent="0.15">
      <c r="V60" s="29">
        <f>基础状态预估!C60</f>
        <v>90</v>
      </c>
      <c r="W60" s="46">
        <f>基础状态预估!D60</f>
        <v>67.083433628014333</v>
      </c>
      <c r="X60" s="5">
        <f t="shared" si="27"/>
        <v>14</v>
      </c>
      <c r="Y60" s="5">
        <f t="shared" si="28"/>
        <v>5</v>
      </c>
      <c r="Z60" s="5">
        <f t="shared" si="29"/>
        <v>0</v>
      </c>
      <c r="AA60" s="5">
        <f t="shared" si="30"/>
        <v>1900</v>
      </c>
      <c r="AB60" s="5">
        <f t="shared" si="31"/>
        <v>1150</v>
      </c>
      <c r="AC60" s="15">
        <f t="shared" si="26"/>
        <v>7</v>
      </c>
      <c r="AD60" s="15">
        <f t="shared" si="20"/>
        <v>7</v>
      </c>
      <c r="AE60" s="15">
        <f t="shared" si="21"/>
        <v>3.5</v>
      </c>
      <c r="AF60" s="15">
        <f t="shared" si="22"/>
        <v>1.5</v>
      </c>
      <c r="AG60" s="15">
        <f t="shared" si="23"/>
        <v>0</v>
      </c>
      <c r="AH60" s="15">
        <f t="shared" si="24"/>
        <v>0</v>
      </c>
      <c r="AL60" s="51">
        <v>50</v>
      </c>
      <c r="AM60" s="51">
        <f t="shared" si="9"/>
        <v>66.384917667521705</v>
      </c>
      <c r="AN60" s="51">
        <f t="shared" si="10"/>
        <v>84.496393636853995</v>
      </c>
      <c r="AO60" s="51">
        <f t="shared" si="11"/>
        <v>163.75489850329905</v>
      </c>
      <c r="AP60" s="51">
        <f t="shared" si="12"/>
        <v>231.80998149485754</v>
      </c>
      <c r="AQ60" s="51">
        <f t="shared" si="13"/>
        <v>0</v>
      </c>
    </row>
    <row r="61" spans="22:43" x14ac:dyDescent="0.15">
      <c r="V61" s="29">
        <f>基础状态预估!C61</f>
        <v>105</v>
      </c>
      <c r="W61" s="46">
        <f>基础状态预估!D61</f>
        <v>69.333680194119751</v>
      </c>
      <c r="X61" s="5">
        <f t="shared" si="27"/>
        <v>17</v>
      </c>
      <c r="Y61" s="5">
        <f t="shared" si="28"/>
        <v>8</v>
      </c>
      <c r="Z61" s="5">
        <f t="shared" si="29"/>
        <v>0</v>
      </c>
      <c r="AA61" s="5">
        <f t="shared" si="30"/>
        <v>2500</v>
      </c>
      <c r="AB61" s="5">
        <f t="shared" si="31"/>
        <v>1550</v>
      </c>
      <c r="AC61" s="15">
        <f t="shared" si="26"/>
        <v>8.5</v>
      </c>
      <c r="AD61" s="15">
        <f t="shared" si="20"/>
        <v>8.5</v>
      </c>
      <c r="AE61" s="15">
        <f t="shared" si="21"/>
        <v>5.6</v>
      </c>
      <c r="AF61" s="15">
        <f t="shared" si="22"/>
        <v>2.4</v>
      </c>
      <c r="AG61" s="15">
        <f t="shared" si="23"/>
        <v>0</v>
      </c>
      <c r="AH61" s="15">
        <f t="shared" si="24"/>
        <v>0</v>
      </c>
      <c r="AL61" s="51">
        <v>51</v>
      </c>
      <c r="AM61" s="51">
        <f t="shared" si="9"/>
        <v>101.49688311103034</v>
      </c>
      <c r="AN61" s="51">
        <f t="shared" si="10"/>
        <v>94.84715157279355</v>
      </c>
      <c r="AO61" s="51">
        <f t="shared" si="11"/>
        <v>184.22265440377984</v>
      </c>
      <c r="AP61" s="51">
        <f t="shared" si="12"/>
        <v>256.88512409190417</v>
      </c>
      <c r="AQ61" s="51">
        <f t="shared" si="13"/>
        <v>0</v>
      </c>
    </row>
    <row r="62" spans="22:43" x14ac:dyDescent="0.15">
      <c r="V62" s="29">
        <f>基础状态预估!C62</f>
        <v>120</v>
      </c>
      <c r="W62" s="46">
        <f>基础状态预估!D62</f>
        <v>71.230067506391322</v>
      </c>
      <c r="X62" s="5">
        <f t="shared" si="27"/>
        <v>20</v>
      </c>
      <c r="Y62" s="5">
        <f t="shared" si="28"/>
        <v>11</v>
      </c>
      <c r="Z62" s="5">
        <f t="shared" si="29"/>
        <v>0</v>
      </c>
      <c r="AA62" s="5">
        <f t="shared" si="30"/>
        <v>3100</v>
      </c>
      <c r="AB62" s="5">
        <f t="shared" si="31"/>
        <v>1950</v>
      </c>
      <c r="AC62" s="15">
        <f t="shared" si="26"/>
        <v>10</v>
      </c>
      <c r="AD62" s="15">
        <f t="shared" si="20"/>
        <v>10</v>
      </c>
      <c r="AE62" s="15">
        <f t="shared" si="21"/>
        <v>7.6999999999999993</v>
      </c>
      <c r="AF62" s="15">
        <f t="shared" si="22"/>
        <v>3.3</v>
      </c>
      <c r="AG62" s="15">
        <f t="shared" si="23"/>
        <v>0</v>
      </c>
      <c r="AH62" s="15">
        <f t="shared" si="24"/>
        <v>0</v>
      </c>
      <c r="AL62" s="51">
        <v>52</v>
      </c>
      <c r="AM62" s="51">
        <f t="shared" si="9"/>
        <v>136.60884855453895</v>
      </c>
      <c r="AN62" s="51">
        <f t="shared" si="10"/>
        <v>117.55511694312344</v>
      </c>
      <c r="AO62" s="51">
        <f t="shared" si="11"/>
        <v>204.69041030426064</v>
      </c>
      <c r="AP62" s="51">
        <f t="shared" si="12"/>
        <v>281.96026668895075</v>
      </c>
      <c r="AQ62" s="51">
        <f t="shared" si="13"/>
        <v>0</v>
      </c>
    </row>
    <row r="63" spans="22:43" x14ac:dyDescent="0.15">
      <c r="V63" s="29">
        <f>基础状态预估!C63</f>
        <v>150</v>
      </c>
      <c r="W63" s="46">
        <f>基础状态预估!D63</f>
        <v>74.456724480300707</v>
      </c>
      <c r="X63" s="5">
        <f t="shared" si="27"/>
        <v>26</v>
      </c>
      <c r="Y63" s="5">
        <f t="shared" si="28"/>
        <v>19</v>
      </c>
      <c r="Z63" s="5">
        <f t="shared" si="29"/>
        <v>0</v>
      </c>
      <c r="AA63" s="5">
        <f t="shared" si="30"/>
        <v>4500</v>
      </c>
      <c r="AB63" s="5">
        <f t="shared" si="31"/>
        <v>2850</v>
      </c>
      <c r="AC63" s="15">
        <f t="shared" si="26"/>
        <v>13</v>
      </c>
      <c r="AD63" s="15">
        <f t="shared" si="20"/>
        <v>13</v>
      </c>
      <c r="AE63" s="15">
        <f t="shared" si="21"/>
        <v>13.299999999999999</v>
      </c>
      <c r="AF63" s="15">
        <f t="shared" si="22"/>
        <v>5.7</v>
      </c>
      <c r="AG63" s="15">
        <f t="shared" si="23"/>
        <v>0</v>
      </c>
      <c r="AH63" s="15">
        <f t="shared" si="24"/>
        <v>0</v>
      </c>
      <c r="AL63" s="51">
        <v>53</v>
      </c>
      <c r="AM63" s="51">
        <f t="shared" si="9"/>
        <v>171.72081399804756</v>
      </c>
      <c r="AN63" s="51">
        <f t="shared" si="10"/>
        <v>152.51316415615969</v>
      </c>
      <c r="AO63" s="51">
        <f t="shared" si="11"/>
        <v>225.15816620474143</v>
      </c>
      <c r="AP63" s="51">
        <f t="shared" si="12"/>
        <v>307.03540928599739</v>
      </c>
      <c r="AQ63" s="51">
        <f t="shared" si="13"/>
        <v>0</v>
      </c>
    </row>
    <row r="64" spans="22:43" x14ac:dyDescent="0.15">
      <c r="V64" s="29">
        <f>基础状态预估!C64</f>
        <v>180</v>
      </c>
      <c r="W64" s="46">
        <f>基础状态预估!D64</f>
        <v>77.06778397927944</v>
      </c>
      <c r="X64" s="5">
        <f t="shared" si="27"/>
        <v>32</v>
      </c>
      <c r="Y64" s="5">
        <f t="shared" si="28"/>
        <v>29</v>
      </c>
      <c r="Z64" s="5">
        <f t="shared" si="29"/>
        <v>0</v>
      </c>
      <c r="AA64" s="5">
        <f t="shared" si="30"/>
        <v>6100</v>
      </c>
      <c r="AB64" s="5">
        <f t="shared" si="31"/>
        <v>3850</v>
      </c>
      <c r="AC64" s="15">
        <f t="shared" si="26"/>
        <v>16</v>
      </c>
      <c r="AD64" s="15">
        <f t="shared" si="20"/>
        <v>16</v>
      </c>
      <c r="AE64" s="15">
        <f t="shared" si="21"/>
        <v>20.299999999999997</v>
      </c>
      <c r="AF64" s="15">
        <f t="shared" si="22"/>
        <v>8.6999999999999993</v>
      </c>
      <c r="AG64" s="15">
        <f t="shared" si="23"/>
        <v>0</v>
      </c>
      <c r="AH64" s="15">
        <f t="shared" si="24"/>
        <v>0</v>
      </c>
      <c r="AL64" s="51">
        <v>54</v>
      </c>
      <c r="AM64" s="51">
        <f t="shared" si="9"/>
        <v>206.8327794415562</v>
      </c>
      <c r="AN64" s="51">
        <f t="shared" si="10"/>
        <v>187.47121136919591</v>
      </c>
      <c r="AO64" s="51">
        <f t="shared" si="11"/>
        <v>245.62592210522226</v>
      </c>
      <c r="AP64" s="51">
        <f t="shared" si="12"/>
        <v>332.11055188304402</v>
      </c>
      <c r="AQ64" s="51">
        <f t="shared" si="13"/>
        <v>0</v>
      </c>
    </row>
    <row r="65" spans="22:43" x14ac:dyDescent="0.15">
      <c r="V65" s="29">
        <f>基础状态预估!C65</f>
        <v>210</v>
      </c>
      <c r="W65" s="46">
        <f>基础状态预估!D65</f>
        <v>79.261304112721092</v>
      </c>
      <c r="X65" s="5">
        <f t="shared" si="27"/>
        <v>38</v>
      </c>
      <c r="Y65" s="5">
        <f t="shared" si="28"/>
        <v>39</v>
      </c>
      <c r="Z65" s="5">
        <f t="shared" si="29"/>
        <v>0</v>
      </c>
      <c r="AA65" s="5">
        <f t="shared" si="30"/>
        <v>7700</v>
      </c>
      <c r="AB65" s="5">
        <f t="shared" si="31"/>
        <v>4850</v>
      </c>
      <c r="AC65" s="15">
        <f t="shared" si="26"/>
        <v>19</v>
      </c>
      <c r="AD65" s="15">
        <f t="shared" si="20"/>
        <v>19</v>
      </c>
      <c r="AE65" s="15">
        <f t="shared" si="21"/>
        <v>27.299999999999997</v>
      </c>
      <c r="AF65" s="15">
        <f t="shared" si="22"/>
        <v>11.7</v>
      </c>
      <c r="AG65" s="15">
        <f t="shared" si="23"/>
        <v>0</v>
      </c>
      <c r="AH65" s="15">
        <f t="shared" si="24"/>
        <v>0</v>
      </c>
      <c r="AL65" s="51">
        <v>55</v>
      </c>
      <c r="AM65" s="51">
        <f t="shared" si="9"/>
        <v>241.94474488506484</v>
      </c>
      <c r="AN65" s="51">
        <f t="shared" si="10"/>
        <v>222.42925858223214</v>
      </c>
      <c r="AO65" s="51">
        <f t="shared" si="11"/>
        <v>283.47089971279723</v>
      </c>
      <c r="AP65" s="51">
        <f t="shared" si="12"/>
        <v>357.18569448009066</v>
      </c>
      <c r="AQ65" s="51">
        <f t="shared" si="13"/>
        <v>0</v>
      </c>
    </row>
    <row r="66" spans="22:43" x14ac:dyDescent="0.15">
      <c r="V66" s="29">
        <f>基础状态预估!C66</f>
        <v>240</v>
      </c>
      <c r="W66" s="46">
        <f>基础状态预估!D66</f>
        <v>81.216820623674849</v>
      </c>
      <c r="X66" s="5">
        <f t="shared" si="27"/>
        <v>44</v>
      </c>
      <c r="Y66" s="5">
        <f t="shared" si="28"/>
        <v>49</v>
      </c>
      <c r="Z66" s="5">
        <f t="shared" si="29"/>
        <v>2</v>
      </c>
      <c r="AA66" s="5">
        <f t="shared" si="30"/>
        <v>9500</v>
      </c>
      <c r="AB66" s="5">
        <f t="shared" si="31"/>
        <v>6050</v>
      </c>
      <c r="AC66" s="15">
        <f t="shared" si="26"/>
        <v>22</v>
      </c>
      <c r="AD66" s="15">
        <f t="shared" si="20"/>
        <v>22</v>
      </c>
      <c r="AE66" s="15">
        <f t="shared" si="21"/>
        <v>34.299999999999997</v>
      </c>
      <c r="AF66" s="15">
        <f t="shared" si="22"/>
        <v>14.7</v>
      </c>
      <c r="AG66" s="15">
        <f t="shared" si="23"/>
        <v>1.8</v>
      </c>
      <c r="AH66" s="15">
        <f t="shared" si="24"/>
        <v>0.2</v>
      </c>
      <c r="AL66" s="51">
        <v>56</v>
      </c>
      <c r="AM66" s="51">
        <f t="shared" si="9"/>
        <v>287.86082867538278</v>
      </c>
      <c r="AN66" s="51">
        <f t="shared" si="10"/>
        <v>257.38730579526839</v>
      </c>
      <c r="AO66" s="51">
        <f t="shared" si="11"/>
        <v>326.03880773532887</v>
      </c>
      <c r="AP66" s="51">
        <f t="shared" si="12"/>
        <v>382.26083707713724</v>
      </c>
      <c r="AQ66" s="51">
        <f t="shared" si="13"/>
        <v>0</v>
      </c>
    </row>
    <row r="67" spans="22:43" x14ac:dyDescent="0.15">
      <c r="V67" s="29">
        <f>基础状态预估!C67</f>
        <v>270</v>
      </c>
      <c r="W67" s="46">
        <f>基础状态预估!D67</f>
        <v>82.916268958926821</v>
      </c>
      <c r="X67" s="5">
        <f t="shared" si="27"/>
        <v>50</v>
      </c>
      <c r="Y67" s="5">
        <f t="shared" si="28"/>
        <v>59</v>
      </c>
      <c r="Z67" s="5">
        <f t="shared" si="29"/>
        <v>4</v>
      </c>
      <c r="AA67" s="5">
        <f t="shared" si="30"/>
        <v>11300</v>
      </c>
      <c r="AB67" s="5">
        <f t="shared" si="31"/>
        <v>7250</v>
      </c>
      <c r="AC67" s="15">
        <f t="shared" si="26"/>
        <v>25</v>
      </c>
      <c r="AD67" s="15">
        <f t="shared" si="20"/>
        <v>25</v>
      </c>
      <c r="AE67" s="15">
        <f t="shared" si="21"/>
        <v>41.3</v>
      </c>
      <c r="AF67" s="15">
        <f t="shared" si="22"/>
        <v>17.7</v>
      </c>
      <c r="AG67" s="15">
        <f t="shared" si="23"/>
        <v>3.6</v>
      </c>
      <c r="AH67" s="15">
        <f t="shared" si="24"/>
        <v>0.4</v>
      </c>
      <c r="AL67" s="51">
        <v>57</v>
      </c>
      <c r="AM67" s="51">
        <f t="shared" si="9"/>
        <v>336.99348715340744</v>
      </c>
      <c r="AN67" s="51">
        <f t="shared" si="10"/>
        <v>292.34535300830464</v>
      </c>
      <c r="AO67" s="51">
        <f t="shared" si="11"/>
        <v>368.60671575786046</v>
      </c>
      <c r="AP67" s="51">
        <f t="shared" si="12"/>
        <v>407.33597967418387</v>
      </c>
      <c r="AQ67" s="51">
        <f t="shared" si="13"/>
        <v>0</v>
      </c>
    </row>
    <row r="68" spans="22:43" x14ac:dyDescent="0.15">
      <c r="V68" s="29">
        <f>基础状态预估!C68</f>
        <v>300</v>
      </c>
      <c r="W68" s="46">
        <f>基础状态预估!D68</f>
        <v>84.427173250438543</v>
      </c>
      <c r="X68" s="5">
        <f t="shared" si="27"/>
        <v>56</v>
      </c>
      <c r="Y68" s="5">
        <f t="shared" si="28"/>
        <v>69</v>
      </c>
      <c r="Z68" s="5">
        <f t="shared" si="29"/>
        <v>8</v>
      </c>
      <c r="AA68" s="5">
        <f t="shared" si="30"/>
        <v>13300</v>
      </c>
      <c r="AB68" s="5">
        <f t="shared" si="31"/>
        <v>8550</v>
      </c>
      <c r="AC68" s="15">
        <f t="shared" si="26"/>
        <v>28</v>
      </c>
      <c r="AD68" s="15">
        <f t="shared" si="20"/>
        <v>28</v>
      </c>
      <c r="AE68" s="15">
        <f t="shared" si="21"/>
        <v>48.3</v>
      </c>
      <c r="AF68" s="15">
        <f t="shared" si="22"/>
        <v>20.7</v>
      </c>
      <c r="AG68" s="15">
        <f t="shared" si="23"/>
        <v>7.2</v>
      </c>
      <c r="AH68" s="15">
        <f t="shared" si="24"/>
        <v>0.8</v>
      </c>
      <c r="AL68" s="51">
        <v>58</v>
      </c>
      <c r="AM68" s="51">
        <f t="shared" si="9"/>
        <v>386.12614563143205</v>
      </c>
      <c r="AN68" s="51">
        <f t="shared" si="10"/>
        <v>347.49083580560654</v>
      </c>
      <c r="AO68" s="51">
        <f t="shared" si="11"/>
        <v>411.1746237803921</v>
      </c>
      <c r="AP68" s="51">
        <f t="shared" si="12"/>
        <v>432.41112227123051</v>
      </c>
      <c r="AQ68" s="51">
        <f t="shared" si="13"/>
        <v>287.33799066079081</v>
      </c>
    </row>
    <row r="69" spans="22:43" x14ac:dyDescent="0.15">
      <c r="V69" s="29">
        <f>基础状态预估!C69</f>
        <v>360</v>
      </c>
      <c r="W69" s="46">
        <f>基础状态预估!D69</f>
        <v>87.064762367263285</v>
      </c>
      <c r="X69" s="5">
        <f t="shared" si="27"/>
        <v>68</v>
      </c>
      <c r="Y69" s="5">
        <f t="shared" si="28"/>
        <v>89</v>
      </c>
      <c r="Z69" s="5">
        <f t="shared" si="29"/>
        <v>20</v>
      </c>
      <c r="AA69" s="5">
        <f t="shared" si="30"/>
        <v>17700</v>
      </c>
      <c r="AB69" s="5">
        <f t="shared" si="31"/>
        <v>11350</v>
      </c>
      <c r="AC69" s="15">
        <f t="shared" si="26"/>
        <v>34</v>
      </c>
      <c r="AD69" s="15">
        <f t="shared" si="20"/>
        <v>34</v>
      </c>
      <c r="AE69" s="15">
        <f t="shared" si="21"/>
        <v>62.3</v>
      </c>
      <c r="AF69" s="15">
        <f t="shared" si="22"/>
        <v>26.7</v>
      </c>
      <c r="AG69" s="15">
        <f t="shared" si="23"/>
        <v>18</v>
      </c>
      <c r="AH69" s="15">
        <f t="shared" si="24"/>
        <v>2</v>
      </c>
      <c r="AL69" s="51">
        <v>59</v>
      </c>
      <c r="AM69" s="51">
        <f t="shared" si="9"/>
        <v>435.25880410945666</v>
      </c>
      <c r="AN69" s="51">
        <f t="shared" si="10"/>
        <v>408.29596874949937</v>
      </c>
      <c r="AO69" s="51">
        <f t="shared" si="11"/>
        <v>453.74253180292374</v>
      </c>
      <c r="AP69" s="51">
        <f t="shared" si="12"/>
        <v>470.96005522750301</v>
      </c>
      <c r="AQ69" s="51">
        <f t="shared" si="13"/>
        <v>332.69766891591769</v>
      </c>
    </row>
    <row r="70" spans="22:43" x14ac:dyDescent="0.15">
      <c r="V70" s="29">
        <f>基础状态预估!C70</f>
        <v>420</v>
      </c>
      <c r="W70" s="46">
        <f>基础状态预估!D70</f>
        <v>89.311817863093353</v>
      </c>
      <c r="X70" s="5">
        <f t="shared" si="27"/>
        <v>80</v>
      </c>
      <c r="Y70" s="5">
        <f t="shared" si="28"/>
        <v>109</v>
      </c>
      <c r="Z70" s="5">
        <f t="shared" si="29"/>
        <v>36</v>
      </c>
      <c r="AA70" s="5">
        <f t="shared" si="30"/>
        <v>22500</v>
      </c>
      <c r="AB70" s="5">
        <f t="shared" si="31"/>
        <v>14550</v>
      </c>
      <c r="AC70" s="15">
        <f t="shared" si="26"/>
        <v>40</v>
      </c>
      <c r="AD70" s="15">
        <f t="shared" si="20"/>
        <v>40</v>
      </c>
      <c r="AE70" s="15">
        <f t="shared" si="21"/>
        <v>76.3</v>
      </c>
      <c r="AF70" s="15">
        <f t="shared" si="22"/>
        <v>32.699999999999996</v>
      </c>
      <c r="AG70" s="15">
        <f t="shared" si="23"/>
        <v>32.4</v>
      </c>
      <c r="AH70" s="15">
        <f t="shared" si="24"/>
        <v>3.6</v>
      </c>
      <c r="AL70" s="51">
        <v>60</v>
      </c>
      <c r="AM70" s="51">
        <f t="shared" si="9"/>
        <v>505.1923175465713</v>
      </c>
      <c r="AN70" s="51">
        <f t="shared" si="10"/>
        <v>469.10110169339225</v>
      </c>
      <c r="AO70" s="51">
        <f t="shared" si="11"/>
        <v>496.31043982545532</v>
      </c>
      <c r="AP70" s="51">
        <f t="shared" si="12"/>
        <v>541.16547581029954</v>
      </c>
      <c r="AQ70" s="51">
        <f t="shared" si="13"/>
        <v>378.05734717104463</v>
      </c>
    </row>
    <row r="71" spans="22:43" x14ac:dyDescent="0.15">
      <c r="V71" s="29">
        <f>基础状态预估!C71</f>
        <v>480</v>
      </c>
      <c r="W71" s="46">
        <f>基础状态预估!D71</f>
        <v>91.317295791340641</v>
      </c>
      <c r="X71" s="5">
        <f t="shared" si="27"/>
        <v>92</v>
      </c>
      <c r="Y71" s="5">
        <f t="shared" si="28"/>
        <v>129</v>
      </c>
      <c r="Z71" s="5">
        <f t="shared" si="29"/>
        <v>56</v>
      </c>
      <c r="AA71" s="5">
        <f t="shared" si="30"/>
        <v>27700</v>
      </c>
      <c r="AB71" s="5">
        <f t="shared" si="31"/>
        <v>17950</v>
      </c>
      <c r="AC71" s="15">
        <f t="shared" si="26"/>
        <v>46</v>
      </c>
      <c r="AD71" s="15">
        <f t="shared" si="20"/>
        <v>46</v>
      </c>
      <c r="AE71" s="15">
        <f t="shared" si="21"/>
        <v>90.3</v>
      </c>
      <c r="AF71" s="15">
        <f t="shared" si="22"/>
        <v>38.699999999999996</v>
      </c>
      <c r="AG71" s="15">
        <f t="shared" si="23"/>
        <v>50.4</v>
      </c>
      <c r="AH71" s="15">
        <f t="shared" si="24"/>
        <v>5.6000000000000005</v>
      </c>
      <c r="AL71" s="51">
        <v>61</v>
      </c>
      <c r="AM71" s="51">
        <f t="shared" si="9"/>
        <v>584.04169133311871</v>
      </c>
      <c r="AN71" s="51">
        <f t="shared" si="10"/>
        <v>529.90623463728514</v>
      </c>
      <c r="AO71" s="51">
        <f t="shared" si="11"/>
        <v>567.54744298927903</v>
      </c>
      <c r="AP71" s="51">
        <f t="shared" si="12"/>
        <v>611.37089639309625</v>
      </c>
      <c r="AQ71" s="51">
        <f t="shared" si="13"/>
        <v>423.41702542617145</v>
      </c>
    </row>
    <row r="72" spans="22:43" x14ac:dyDescent="0.15">
      <c r="V72" s="29">
        <f>基础状态预估!C72</f>
        <v>540</v>
      </c>
      <c r="W72" s="46">
        <f>基础状态预估!D72</f>
        <v>93.043666179806593</v>
      </c>
      <c r="X72" s="5">
        <f t="shared" si="27"/>
        <v>104</v>
      </c>
      <c r="Y72" s="5">
        <f t="shared" si="28"/>
        <v>149</v>
      </c>
      <c r="Z72" s="5">
        <f t="shared" si="29"/>
        <v>80</v>
      </c>
      <c r="AA72" s="5">
        <f t="shared" si="30"/>
        <v>33300</v>
      </c>
      <c r="AB72" s="5">
        <f t="shared" si="31"/>
        <v>21550</v>
      </c>
      <c r="AC72" s="15">
        <f t="shared" si="26"/>
        <v>52</v>
      </c>
      <c r="AD72" s="15">
        <f t="shared" si="20"/>
        <v>52</v>
      </c>
      <c r="AE72" s="15">
        <f t="shared" si="21"/>
        <v>104.3</v>
      </c>
      <c r="AF72" s="15">
        <f t="shared" si="22"/>
        <v>44.699999999999996</v>
      </c>
      <c r="AG72" s="15">
        <f t="shared" si="23"/>
        <v>72</v>
      </c>
      <c r="AH72" s="15">
        <f t="shared" si="24"/>
        <v>8</v>
      </c>
      <c r="AL72" s="51">
        <v>62</v>
      </c>
      <c r="AM72" s="51">
        <f t="shared" si="9"/>
        <v>662.89106511966622</v>
      </c>
      <c r="AN72" s="51">
        <f t="shared" si="10"/>
        <v>613.4669994717932</v>
      </c>
      <c r="AO72" s="51">
        <f t="shared" si="11"/>
        <v>641.50514694232152</v>
      </c>
      <c r="AP72" s="51">
        <f t="shared" si="12"/>
        <v>681.57631697589272</v>
      </c>
      <c r="AQ72" s="51">
        <f t="shared" si="13"/>
        <v>468.77670368129839</v>
      </c>
    </row>
    <row r="73" spans="22:43" x14ac:dyDescent="0.15">
      <c r="V73" s="29">
        <f>基础状态预估!C73</f>
        <v>600</v>
      </c>
      <c r="W73" s="46">
        <f>基础状态预估!D73</f>
        <v>94.566182978175902</v>
      </c>
      <c r="X73" s="5">
        <f t="shared" si="27"/>
        <v>116</v>
      </c>
      <c r="Y73" s="5">
        <f t="shared" si="28"/>
        <v>169</v>
      </c>
      <c r="Z73" s="5">
        <f t="shared" si="29"/>
        <v>104</v>
      </c>
      <c r="AA73" s="5">
        <f t="shared" si="30"/>
        <v>38900</v>
      </c>
      <c r="AB73" s="5">
        <f t="shared" si="31"/>
        <v>25150</v>
      </c>
      <c r="AC73" s="15">
        <f t="shared" si="26"/>
        <v>58</v>
      </c>
      <c r="AD73" s="15">
        <f t="shared" si="20"/>
        <v>58</v>
      </c>
      <c r="AE73" s="15">
        <f t="shared" si="21"/>
        <v>118.3</v>
      </c>
      <c r="AF73" s="15">
        <f t="shared" si="22"/>
        <v>50.699999999999996</v>
      </c>
      <c r="AG73" s="15">
        <f t="shared" si="23"/>
        <v>93.600000000000009</v>
      </c>
      <c r="AH73" s="15">
        <f t="shared" si="24"/>
        <v>10.4</v>
      </c>
      <c r="AL73" s="51">
        <v>63</v>
      </c>
      <c r="AM73" s="51">
        <f t="shared" si="9"/>
        <v>760.96736529592499</v>
      </c>
      <c r="AN73" s="51">
        <f t="shared" si="10"/>
        <v>708.25918086283423</v>
      </c>
      <c r="AO73" s="51">
        <f t="shared" si="11"/>
        <v>715.462850895364</v>
      </c>
      <c r="AP73" s="51">
        <f t="shared" si="12"/>
        <v>751.78173755868943</v>
      </c>
      <c r="AQ73" s="51">
        <f t="shared" si="13"/>
        <v>514.13638193642532</v>
      </c>
    </row>
    <row r="74" spans="22:43" x14ac:dyDescent="0.15">
      <c r="V74" s="29">
        <f>基础状态预估!C74</f>
        <v>660</v>
      </c>
      <c r="W74" s="46">
        <f>基础状态预估!D74</f>
        <v>95.975804150655222</v>
      </c>
      <c r="X74" s="5">
        <f t="shared" si="27"/>
        <v>128</v>
      </c>
      <c r="Y74" s="5">
        <f t="shared" si="28"/>
        <v>189</v>
      </c>
      <c r="Z74" s="5">
        <f t="shared" si="29"/>
        <v>132</v>
      </c>
      <c r="AA74" s="5">
        <f t="shared" si="30"/>
        <v>44900</v>
      </c>
      <c r="AB74" s="5">
        <f t="shared" si="31"/>
        <v>29150</v>
      </c>
      <c r="AC74" s="15">
        <f t="shared" si="26"/>
        <v>64</v>
      </c>
      <c r="AD74" s="15">
        <f t="shared" si="20"/>
        <v>64</v>
      </c>
      <c r="AE74" s="15">
        <f t="shared" si="21"/>
        <v>132.29999999999998</v>
      </c>
      <c r="AF74" s="15">
        <f t="shared" si="22"/>
        <v>56.699999999999996</v>
      </c>
      <c r="AG74" s="15">
        <f t="shared" si="23"/>
        <v>118.8</v>
      </c>
      <c r="AH74" s="15">
        <f t="shared" si="24"/>
        <v>13.200000000000001</v>
      </c>
      <c r="AL74" s="51">
        <v>64</v>
      </c>
      <c r="AM74" s="51">
        <f t="shared" si="9"/>
        <v>876.13717905377098</v>
      </c>
      <c r="AN74" s="51">
        <f t="shared" si="10"/>
        <v>803.05136225387514</v>
      </c>
      <c r="AO74" s="51">
        <f t="shared" si="11"/>
        <v>789.42055484840648</v>
      </c>
      <c r="AP74" s="51">
        <f t="shared" si="12"/>
        <v>821.98715814148591</v>
      </c>
      <c r="AQ74" s="51">
        <f t="shared" si="13"/>
        <v>559.49606019155215</v>
      </c>
    </row>
    <row r="75" spans="22:43" x14ac:dyDescent="0.15">
      <c r="V75" s="29">
        <f>基础状态预估!C75</f>
        <v>720</v>
      </c>
      <c r="W75" s="46">
        <f>基础状态预估!D75</f>
        <v>97.233430615704805</v>
      </c>
      <c r="X75" s="5">
        <f t="shared" si="27"/>
        <v>140</v>
      </c>
      <c r="Y75" s="5">
        <f t="shared" si="28"/>
        <v>209</v>
      </c>
      <c r="Z75" s="5">
        <f t="shared" si="29"/>
        <v>160</v>
      </c>
      <c r="AA75" s="5">
        <f t="shared" si="30"/>
        <v>50900</v>
      </c>
      <c r="AB75" s="5">
        <f t="shared" si="31"/>
        <v>33150</v>
      </c>
      <c r="AC75" s="15">
        <f t="shared" si="26"/>
        <v>70</v>
      </c>
      <c r="AD75" s="15">
        <f t="shared" si="20"/>
        <v>70</v>
      </c>
      <c r="AE75" s="15">
        <f t="shared" si="21"/>
        <v>146.29999999999998</v>
      </c>
      <c r="AF75" s="15">
        <f t="shared" si="22"/>
        <v>62.699999999999996</v>
      </c>
      <c r="AG75" s="15">
        <f t="shared" si="23"/>
        <v>144</v>
      </c>
      <c r="AH75" s="15">
        <f t="shared" si="24"/>
        <v>16</v>
      </c>
      <c r="AL75" s="51">
        <v>65</v>
      </c>
      <c r="AM75" s="51">
        <f t="shared" si="9"/>
        <v>991.30699281161696</v>
      </c>
      <c r="AN75" s="51">
        <f t="shared" si="10"/>
        <v>908.50351563637969</v>
      </c>
      <c r="AO75" s="51">
        <f t="shared" si="11"/>
        <v>907.07681281762336</v>
      </c>
      <c r="AP75" s="51">
        <f t="shared" si="12"/>
        <v>913.9565062074073</v>
      </c>
      <c r="AQ75" s="51">
        <f t="shared" si="13"/>
        <v>604.85573844667897</v>
      </c>
    </row>
    <row r="76" spans="22:43" x14ac:dyDescent="0.15">
      <c r="V76" s="29">
        <f>基础状态预估!C76</f>
        <v>780</v>
      </c>
      <c r="W76" s="46">
        <f>基础状态预估!D76</f>
        <v>98.349886009806795</v>
      </c>
      <c r="X76" s="5">
        <f t="shared" si="27"/>
        <v>152</v>
      </c>
      <c r="Y76" s="5">
        <f t="shared" si="28"/>
        <v>229</v>
      </c>
      <c r="Z76" s="5">
        <f t="shared" si="29"/>
        <v>188</v>
      </c>
      <c r="AA76" s="5">
        <f t="shared" si="30"/>
        <v>56900</v>
      </c>
      <c r="AB76" s="5">
        <f t="shared" si="31"/>
        <v>37150</v>
      </c>
      <c r="AC76" s="15">
        <f t="shared" si="26"/>
        <v>76</v>
      </c>
      <c r="AD76" s="15">
        <f t="shared" si="20"/>
        <v>76</v>
      </c>
      <c r="AE76" s="15">
        <f t="shared" si="21"/>
        <v>160.29999999999998</v>
      </c>
      <c r="AF76" s="15">
        <f t="shared" si="22"/>
        <v>68.7</v>
      </c>
      <c r="AG76" s="15">
        <f t="shared" si="23"/>
        <v>169.20000000000002</v>
      </c>
      <c r="AH76" s="15">
        <f t="shared" si="24"/>
        <v>18.8</v>
      </c>
      <c r="AL76" s="51">
        <v>66</v>
      </c>
      <c r="AM76" s="51">
        <f t="shared" ref="AM76:AM139" si="32">IFERROR(求节点($W$11:$W$51,$AB$11:$AB$51,$AL76),0)</f>
        <v>1126.2553688041178</v>
      </c>
      <c r="AN76" s="51">
        <f t="shared" ref="AN76:AN139" si="33">IFERROR(求节点($W$55:$W$95,$AB$55:$AB$95,$AL76),0)</f>
        <v>1024.4162479242732</v>
      </c>
      <c r="AO76" s="51">
        <f t="shared" ref="AO76:AO139" si="34">IFERROR(求节点($W$99:$W$139,$AB$99:$AB$139,$AL76),0)</f>
        <v>1032.027472118792</v>
      </c>
      <c r="AP76" s="51">
        <f t="shared" ref="AP76:AP139" si="35">IFERROR(求节点($W$143:$W$183,$AB$143:$AB$183,$AL76),0)</f>
        <v>1020.3755389628799</v>
      </c>
      <c r="AQ76" s="51">
        <f t="shared" ref="AQ76:AQ139" si="36">IFERROR(求节点($W$187:$W$227,$AB$187:$AB$227,$AL76),0)</f>
        <v>650.21541670180591</v>
      </c>
    </row>
    <row r="77" spans="22:43" x14ac:dyDescent="0.15">
      <c r="V77" s="29">
        <f>基础状态预估!C77</f>
        <v>840</v>
      </c>
      <c r="W77" s="46">
        <f>基础状态预估!D77</f>
        <v>99.398994483715043</v>
      </c>
      <c r="X77" s="5">
        <f t="shared" si="27"/>
        <v>164</v>
      </c>
      <c r="Y77" s="5">
        <f t="shared" si="28"/>
        <v>249</v>
      </c>
      <c r="Z77" s="5">
        <f t="shared" si="29"/>
        <v>220</v>
      </c>
      <c r="AA77" s="5">
        <f t="shared" si="30"/>
        <v>63300</v>
      </c>
      <c r="AB77" s="5">
        <f t="shared" si="31"/>
        <v>41350</v>
      </c>
      <c r="AC77" s="15">
        <f t="shared" si="26"/>
        <v>82</v>
      </c>
      <c r="AD77" s="15">
        <f t="shared" si="20"/>
        <v>82</v>
      </c>
      <c r="AE77" s="15">
        <f t="shared" si="21"/>
        <v>174.29999999999998</v>
      </c>
      <c r="AF77" s="15">
        <f t="shared" si="22"/>
        <v>74.7</v>
      </c>
      <c r="AG77" s="15">
        <f t="shared" si="23"/>
        <v>198</v>
      </c>
      <c r="AH77" s="15">
        <f t="shared" si="24"/>
        <v>22</v>
      </c>
      <c r="AL77" s="51">
        <v>67</v>
      </c>
      <c r="AM77" s="51">
        <f t="shared" si="32"/>
        <v>1262.8185113286106</v>
      </c>
      <c r="AN77" s="51">
        <f t="shared" si="33"/>
        <v>1140.3289802121669</v>
      </c>
      <c r="AO77" s="51">
        <f t="shared" si="34"/>
        <v>1156.9781314199606</v>
      </c>
      <c r="AP77" s="51">
        <f t="shared" si="35"/>
        <v>1126.7945717183525</v>
      </c>
      <c r="AQ77" s="51">
        <f t="shared" si="36"/>
        <v>695.57509495693284</v>
      </c>
    </row>
    <row r="78" spans="22:43" x14ac:dyDescent="0.15">
      <c r="V78" s="29">
        <f>基础状态预估!C78</f>
        <v>900</v>
      </c>
      <c r="W78" s="46">
        <f>基础状态预估!D78</f>
        <v>100.38607135362956</v>
      </c>
      <c r="X78" s="5">
        <f t="shared" si="27"/>
        <v>176</v>
      </c>
      <c r="Y78" s="5">
        <f t="shared" si="28"/>
        <v>269</v>
      </c>
      <c r="Z78" s="5">
        <f t="shared" si="29"/>
        <v>252</v>
      </c>
      <c r="AA78" s="5">
        <f t="shared" si="30"/>
        <v>69700</v>
      </c>
      <c r="AB78" s="5">
        <f t="shared" si="31"/>
        <v>45550</v>
      </c>
      <c r="AC78" s="15">
        <f t="shared" si="26"/>
        <v>88</v>
      </c>
      <c r="AD78" s="15">
        <f t="shared" si="20"/>
        <v>88</v>
      </c>
      <c r="AE78" s="15">
        <f t="shared" si="21"/>
        <v>188.29999999999998</v>
      </c>
      <c r="AF78" s="15">
        <f t="shared" si="22"/>
        <v>80.7</v>
      </c>
      <c r="AG78" s="15">
        <f t="shared" si="23"/>
        <v>226.8</v>
      </c>
      <c r="AH78" s="15">
        <f t="shared" si="24"/>
        <v>25.200000000000003</v>
      </c>
      <c r="AL78" s="51">
        <v>68</v>
      </c>
      <c r="AM78" s="51">
        <f t="shared" si="32"/>
        <v>1414.2379544668167</v>
      </c>
      <c r="AN78" s="51">
        <f t="shared" si="33"/>
        <v>1312.9272784221155</v>
      </c>
      <c r="AO78" s="51">
        <f t="shared" si="34"/>
        <v>1311.8268368619558</v>
      </c>
      <c r="AP78" s="51">
        <f t="shared" si="35"/>
        <v>1233.2136044738249</v>
      </c>
      <c r="AQ78" s="51">
        <f t="shared" si="36"/>
        <v>791.16249663850112</v>
      </c>
    </row>
    <row r="79" spans="22:43" x14ac:dyDescent="0.15">
      <c r="V79" s="29">
        <f>基础状态预估!C79</f>
        <v>1020</v>
      </c>
      <c r="W79" s="46">
        <f>基础状态预估!D79</f>
        <v>102.22764429032095</v>
      </c>
      <c r="X79" s="5">
        <f t="shared" si="27"/>
        <v>200</v>
      </c>
      <c r="Y79" s="5">
        <f t="shared" si="28"/>
        <v>309</v>
      </c>
      <c r="Z79" s="5">
        <f t="shared" si="29"/>
        <v>324</v>
      </c>
      <c r="AA79" s="5">
        <f t="shared" si="30"/>
        <v>83300</v>
      </c>
      <c r="AB79" s="5">
        <f t="shared" si="31"/>
        <v>54350</v>
      </c>
      <c r="AC79" s="15">
        <f t="shared" si="26"/>
        <v>100</v>
      </c>
      <c r="AD79" s="15">
        <f t="shared" si="20"/>
        <v>100</v>
      </c>
      <c r="AE79" s="15">
        <f t="shared" si="21"/>
        <v>216.29999999999998</v>
      </c>
      <c r="AF79" s="15">
        <f t="shared" si="22"/>
        <v>92.7</v>
      </c>
      <c r="AG79" s="15">
        <f t="shared" si="23"/>
        <v>291.60000000000002</v>
      </c>
      <c r="AH79" s="15">
        <f t="shared" si="24"/>
        <v>32.4</v>
      </c>
      <c r="AL79" s="51">
        <v>69</v>
      </c>
      <c r="AM79" s="51">
        <f t="shared" si="32"/>
        <v>1571.215560017816</v>
      </c>
      <c r="AN79" s="51">
        <f t="shared" si="33"/>
        <v>1490.6855765682135</v>
      </c>
      <c r="AO79" s="51">
        <f t="shared" si="34"/>
        <v>1482.3753933642313</v>
      </c>
      <c r="AP79" s="51">
        <f t="shared" si="35"/>
        <v>1357.2175042218553</v>
      </c>
      <c r="AQ79" s="51">
        <f t="shared" si="36"/>
        <v>892.17933860400797</v>
      </c>
    </row>
    <row r="80" spans="22:43" x14ac:dyDescent="0.15">
      <c r="V80" s="29">
        <f>基础状态预估!C80</f>
        <v>1140</v>
      </c>
      <c r="W80" s="46">
        <f>基础状态预估!D80</f>
        <v>103.86099440914086</v>
      </c>
      <c r="X80" s="5">
        <f t="shared" si="27"/>
        <v>224</v>
      </c>
      <c r="Y80" s="5">
        <f t="shared" si="28"/>
        <v>349</v>
      </c>
      <c r="Z80" s="5">
        <f t="shared" si="29"/>
        <v>396</v>
      </c>
      <c r="AA80" s="5">
        <f t="shared" si="30"/>
        <v>96900</v>
      </c>
      <c r="AB80" s="5">
        <f t="shared" si="31"/>
        <v>63150</v>
      </c>
      <c r="AC80" s="15">
        <f t="shared" si="26"/>
        <v>112</v>
      </c>
      <c r="AD80" s="15">
        <f t="shared" si="20"/>
        <v>112</v>
      </c>
      <c r="AE80" s="15">
        <f t="shared" si="21"/>
        <v>244.29999999999998</v>
      </c>
      <c r="AF80" s="15">
        <f t="shared" si="22"/>
        <v>104.7</v>
      </c>
      <c r="AG80" s="15">
        <f t="shared" si="23"/>
        <v>356.40000000000003</v>
      </c>
      <c r="AH80" s="15">
        <f t="shared" si="24"/>
        <v>39.6</v>
      </c>
      <c r="AL80" s="51">
        <v>70</v>
      </c>
      <c r="AM80" s="51">
        <f t="shared" si="32"/>
        <v>1804.6376512014192</v>
      </c>
      <c r="AN80" s="51">
        <f t="shared" si="33"/>
        <v>1690.5450883516203</v>
      </c>
      <c r="AO80" s="51">
        <f t="shared" si="34"/>
        <v>1653.4309333907374</v>
      </c>
      <c r="AP80" s="51">
        <f t="shared" si="35"/>
        <v>1510.8543016104188</v>
      </c>
      <c r="AQ80" s="51">
        <f t="shared" si="36"/>
        <v>993.19618056951481</v>
      </c>
    </row>
    <row r="81" spans="22:43" x14ac:dyDescent="0.15">
      <c r="V81" s="29">
        <f>基础状态预估!C81</f>
        <v>1260</v>
      </c>
      <c r="W81" s="46">
        <f>基础状态预估!D81</f>
        <v>105.28054430059714</v>
      </c>
      <c r="X81" s="5">
        <f t="shared" si="27"/>
        <v>248</v>
      </c>
      <c r="Y81" s="5">
        <f t="shared" si="28"/>
        <v>389</v>
      </c>
      <c r="Z81" s="5">
        <f t="shared" si="29"/>
        <v>476</v>
      </c>
      <c r="AA81" s="5">
        <f t="shared" si="30"/>
        <v>111300</v>
      </c>
      <c r="AB81" s="5">
        <f t="shared" si="31"/>
        <v>72750</v>
      </c>
      <c r="AC81" s="15">
        <f t="shared" si="26"/>
        <v>124</v>
      </c>
      <c r="AD81" s="15">
        <f t="shared" si="20"/>
        <v>124</v>
      </c>
      <c r="AE81" s="15">
        <f t="shared" si="21"/>
        <v>272.29999999999995</v>
      </c>
      <c r="AF81" s="15">
        <f t="shared" si="22"/>
        <v>116.69999999999999</v>
      </c>
      <c r="AG81" s="15">
        <f t="shared" si="23"/>
        <v>428.40000000000003</v>
      </c>
      <c r="AH81" s="15">
        <f t="shared" si="24"/>
        <v>47.6</v>
      </c>
      <c r="AL81" s="51">
        <v>71</v>
      </c>
      <c r="AM81" s="51">
        <f t="shared" si="32"/>
        <v>2055.2245553366101</v>
      </c>
      <c r="AN81" s="51">
        <f t="shared" si="33"/>
        <v>1901.4724645324193</v>
      </c>
      <c r="AO81" s="51">
        <f t="shared" si="34"/>
        <v>1853.5508957568452</v>
      </c>
      <c r="AP81" s="51">
        <f t="shared" si="35"/>
        <v>1664.4910989989826</v>
      </c>
      <c r="AQ81" s="51">
        <f t="shared" si="36"/>
        <v>1094.2130225350218</v>
      </c>
    </row>
    <row r="82" spans="22:43" x14ac:dyDescent="0.15">
      <c r="V82" s="29">
        <f>基础状态预估!C82</f>
        <v>1380</v>
      </c>
      <c r="W82" s="46">
        <f>基础状态预估!D82</f>
        <v>106.5877808636499</v>
      </c>
      <c r="X82" s="5">
        <f t="shared" si="27"/>
        <v>272</v>
      </c>
      <c r="Y82" s="5">
        <f t="shared" si="28"/>
        <v>429</v>
      </c>
      <c r="Z82" s="5">
        <f t="shared" si="29"/>
        <v>556</v>
      </c>
      <c r="AA82" s="5">
        <f t="shared" si="30"/>
        <v>125700</v>
      </c>
      <c r="AB82" s="5">
        <f t="shared" si="31"/>
        <v>82350</v>
      </c>
      <c r="AC82" s="15">
        <f t="shared" si="26"/>
        <v>136</v>
      </c>
      <c r="AD82" s="15">
        <f t="shared" si="20"/>
        <v>136</v>
      </c>
      <c r="AE82" s="15">
        <f t="shared" si="21"/>
        <v>300.29999999999995</v>
      </c>
      <c r="AF82" s="15">
        <f t="shared" si="22"/>
        <v>128.69999999999999</v>
      </c>
      <c r="AG82" s="15">
        <f t="shared" si="23"/>
        <v>500.40000000000003</v>
      </c>
      <c r="AH82" s="15">
        <f t="shared" si="24"/>
        <v>55.6</v>
      </c>
      <c r="AL82" s="51">
        <v>72</v>
      </c>
      <c r="AM82" s="51">
        <f t="shared" si="32"/>
        <v>2305.8114594718013</v>
      </c>
      <c r="AN82" s="51">
        <f t="shared" si="33"/>
        <v>2164.7545431233902</v>
      </c>
      <c r="AO82" s="51">
        <f t="shared" si="34"/>
        <v>2053.6708581229532</v>
      </c>
      <c r="AP82" s="51">
        <f t="shared" si="35"/>
        <v>1827.1102661105724</v>
      </c>
      <c r="AQ82" s="51">
        <f t="shared" si="36"/>
        <v>1195.2298645005285</v>
      </c>
    </row>
    <row r="83" spans="22:43" x14ac:dyDescent="0.15">
      <c r="V83" s="29">
        <f>基础状态预估!C83</f>
        <v>1500</v>
      </c>
      <c r="W83" s="46">
        <f>基础状态预估!D83</f>
        <v>107.79548237561555</v>
      </c>
      <c r="X83" s="5">
        <f t="shared" si="27"/>
        <v>296</v>
      </c>
      <c r="Y83" s="5">
        <f t="shared" si="28"/>
        <v>469</v>
      </c>
      <c r="Z83" s="5">
        <f t="shared" si="29"/>
        <v>644</v>
      </c>
      <c r="AA83" s="5">
        <f t="shared" si="30"/>
        <v>140900</v>
      </c>
      <c r="AB83" s="5">
        <f t="shared" si="31"/>
        <v>92350</v>
      </c>
      <c r="AC83" s="15">
        <f t="shared" si="26"/>
        <v>148</v>
      </c>
      <c r="AD83" s="15">
        <f t="shared" si="20"/>
        <v>148</v>
      </c>
      <c r="AE83" s="15">
        <f t="shared" si="21"/>
        <v>328.29999999999995</v>
      </c>
      <c r="AF83" s="15">
        <f t="shared" si="22"/>
        <v>140.69999999999999</v>
      </c>
      <c r="AG83" s="15">
        <f t="shared" si="23"/>
        <v>579.6</v>
      </c>
      <c r="AH83" s="15">
        <f t="shared" si="24"/>
        <v>64.400000000000006</v>
      </c>
      <c r="AL83" s="51">
        <v>73</v>
      </c>
      <c r="AM83" s="51">
        <f t="shared" si="32"/>
        <v>2614.1881076616855</v>
      </c>
      <c r="AN83" s="51">
        <f t="shared" si="33"/>
        <v>2443.6810008402663</v>
      </c>
      <c r="AO83" s="51">
        <f t="shared" si="34"/>
        <v>2300.3453205601027</v>
      </c>
      <c r="AP83" s="51">
        <f t="shared" si="35"/>
        <v>2056.8740717136052</v>
      </c>
      <c r="AQ83" s="51">
        <f t="shared" si="36"/>
        <v>1296.2467064660354</v>
      </c>
    </row>
    <row r="84" spans="22:43" x14ac:dyDescent="0.15">
      <c r="V84" s="29">
        <f>基础状态预估!C84</f>
        <v>1800</v>
      </c>
      <c r="W84" s="46">
        <f>基础状态预估!D84</f>
        <v>110.45909768117225</v>
      </c>
      <c r="X84" s="5">
        <f t="shared" si="27"/>
        <v>356</v>
      </c>
      <c r="Y84" s="5">
        <f t="shared" si="28"/>
        <v>569</v>
      </c>
      <c r="Z84" s="5">
        <f t="shared" si="29"/>
        <v>864</v>
      </c>
      <c r="AA84" s="5">
        <f t="shared" si="30"/>
        <v>178900</v>
      </c>
      <c r="AB84" s="5">
        <f t="shared" si="31"/>
        <v>117350</v>
      </c>
      <c r="AC84" s="15">
        <f t="shared" si="26"/>
        <v>178</v>
      </c>
      <c r="AD84" s="15">
        <f t="shared" si="20"/>
        <v>178</v>
      </c>
      <c r="AE84" s="15">
        <f t="shared" si="21"/>
        <v>398.29999999999995</v>
      </c>
      <c r="AF84" s="15">
        <f t="shared" si="22"/>
        <v>170.7</v>
      </c>
      <c r="AG84" s="15">
        <f t="shared" si="23"/>
        <v>777.6</v>
      </c>
      <c r="AH84" s="15">
        <f t="shared" si="24"/>
        <v>86.4</v>
      </c>
      <c r="AL84" s="51">
        <v>74</v>
      </c>
      <c r="AM84" s="51">
        <f t="shared" si="32"/>
        <v>2957.3677520241354</v>
      </c>
      <c r="AN84" s="51">
        <f t="shared" si="33"/>
        <v>2722.6074585571428</v>
      </c>
      <c r="AO84" s="51">
        <f t="shared" si="34"/>
        <v>2561.0442223750215</v>
      </c>
      <c r="AP84" s="51">
        <f t="shared" si="35"/>
        <v>2286.6378773166375</v>
      </c>
      <c r="AQ84" s="51">
        <f t="shared" si="36"/>
        <v>1453.5580946762639</v>
      </c>
    </row>
    <row r="85" spans="22:43" x14ac:dyDescent="0.15">
      <c r="V85" s="29">
        <f>基础状态预估!C85</f>
        <v>2100</v>
      </c>
      <c r="W85" s="46">
        <f>基础状态预估!D85</f>
        <v>112.6575750662045</v>
      </c>
      <c r="X85" s="5">
        <f t="shared" si="27"/>
        <v>416</v>
      </c>
      <c r="Y85" s="5">
        <f t="shared" si="28"/>
        <v>669</v>
      </c>
      <c r="Z85" s="5">
        <f t="shared" si="29"/>
        <v>1104</v>
      </c>
      <c r="AA85" s="5">
        <f t="shared" si="30"/>
        <v>218900</v>
      </c>
      <c r="AB85" s="5">
        <f t="shared" si="31"/>
        <v>143350</v>
      </c>
      <c r="AC85" s="15">
        <f t="shared" si="26"/>
        <v>208</v>
      </c>
      <c r="AD85" s="15">
        <f t="shared" si="20"/>
        <v>208</v>
      </c>
      <c r="AE85" s="15">
        <f t="shared" si="21"/>
        <v>468.29999999999995</v>
      </c>
      <c r="AF85" s="15">
        <f t="shared" si="22"/>
        <v>200.7</v>
      </c>
      <c r="AG85" s="15">
        <f t="shared" si="23"/>
        <v>993.6</v>
      </c>
      <c r="AH85" s="15">
        <f t="shared" si="24"/>
        <v>110.4</v>
      </c>
      <c r="AL85" s="51">
        <v>75</v>
      </c>
      <c r="AM85" s="51">
        <f t="shared" si="32"/>
        <v>3300.6505023350537</v>
      </c>
      <c r="AN85" s="51">
        <f t="shared" si="33"/>
        <v>3058.0670777176028</v>
      </c>
      <c r="AO85" s="51">
        <f t="shared" si="34"/>
        <v>2921.5093831335776</v>
      </c>
      <c r="AP85" s="51">
        <f t="shared" si="35"/>
        <v>2539.5171914423158</v>
      </c>
      <c r="AQ85" s="51">
        <f t="shared" si="36"/>
        <v>1613.0418276119831</v>
      </c>
    </row>
    <row r="86" spans="22:43" x14ac:dyDescent="0.15">
      <c r="V86" s="29">
        <f>基础状态预估!C86</f>
        <v>2400</v>
      </c>
      <c r="W86" s="46">
        <f>基础状态预估!D86</f>
        <v>114.60231372852645</v>
      </c>
      <c r="X86" s="5">
        <f t="shared" si="27"/>
        <v>476</v>
      </c>
      <c r="Y86" s="5">
        <f t="shared" si="28"/>
        <v>769</v>
      </c>
      <c r="Z86" s="5">
        <f t="shared" si="29"/>
        <v>1364</v>
      </c>
      <c r="AA86" s="5">
        <f t="shared" si="30"/>
        <v>260900</v>
      </c>
      <c r="AB86" s="5">
        <f t="shared" si="31"/>
        <v>171350</v>
      </c>
      <c r="AC86" s="15">
        <f t="shared" si="26"/>
        <v>238</v>
      </c>
      <c r="AD86" s="15">
        <f t="shared" si="20"/>
        <v>238</v>
      </c>
      <c r="AE86" s="15">
        <f t="shared" si="21"/>
        <v>538.29999999999995</v>
      </c>
      <c r="AF86" s="15">
        <f t="shared" si="22"/>
        <v>230.7</v>
      </c>
      <c r="AG86" s="15">
        <f t="shared" si="23"/>
        <v>1227.6000000000001</v>
      </c>
      <c r="AH86" s="15">
        <f t="shared" si="24"/>
        <v>136.4</v>
      </c>
      <c r="AL86" s="51">
        <v>76</v>
      </c>
      <c r="AM86" s="51">
        <f t="shared" si="32"/>
        <v>3708.4704395355352</v>
      </c>
      <c r="AN86" s="51">
        <f t="shared" si="33"/>
        <v>3441.0533713624359</v>
      </c>
      <c r="AO86" s="51">
        <f t="shared" si="34"/>
        <v>3299.5014557730874</v>
      </c>
      <c r="AP86" s="51">
        <f t="shared" si="35"/>
        <v>2814.9084061462781</v>
      </c>
      <c r="AQ86" s="51">
        <f t="shared" si="36"/>
        <v>1772.5255605477023</v>
      </c>
    </row>
    <row r="87" spans="22:43" x14ac:dyDescent="0.15">
      <c r="V87" s="29">
        <f>基础状态预估!C87</f>
        <v>2700</v>
      </c>
      <c r="W87" s="46">
        <f>基础状态预估!D87</f>
        <v>116.33278549477166</v>
      </c>
      <c r="X87" s="5">
        <f t="shared" si="27"/>
        <v>536</v>
      </c>
      <c r="Y87" s="5">
        <f t="shared" si="28"/>
        <v>869</v>
      </c>
      <c r="Z87" s="5">
        <f t="shared" si="29"/>
        <v>1624</v>
      </c>
      <c r="AA87" s="5">
        <f t="shared" si="30"/>
        <v>302900</v>
      </c>
      <c r="AB87" s="5">
        <f t="shared" si="31"/>
        <v>199350</v>
      </c>
      <c r="AC87" s="15">
        <f t="shared" si="26"/>
        <v>268</v>
      </c>
      <c r="AD87" s="15">
        <f t="shared" si="20"/>
        <v>268</v>
      </c>
      <c r="AE87" s="15">
        <f t="shared" si="21"/>
        <v>608.29999999999995</v>
      </c>
      <c r="AF87" s="15">
        <f t="shared" si="22"/>
        <v>260.7</v>
      </c>
      <c r="AG87" s="15">
        <f t="shared" si="23"/>
        <v>1461.6000000000001</v>
      </c>
      <c r="AH87" s="15">
        <f t="shared" si="24"/>
        <v>162.4</v>
      </c>
      <c r="AL87" s="51">
        <v>77</v>
      </c>
      <c r="AM87" s="51">
        <f t="shared" si="32"/>
        <v>4116.2903767360167</v>
      </c>
      <c r="AN87" s="51">
        <f t="shared" si="33"/>
        <v>3824.0396650072689</v>
      </c>
      <c r="AO87" s="51">
        <f t="shared" si="34"/>
        <v>3677.4935284125977</v>
      </c>
      <c r="AP87" s="51">
        <f t="shared" si="35"/>
        <v>3110.0911570251806</v>
      </c>
      <c r="AQ87" s="51">
        <f t="shared" si="36"/>
        <v>1932.0092934834215</v>
      </c>
    </row>
    <row r="88" spans="22:43" x14ac:dyDescent="0.15">
      <c r="V88" s="29">
        <f>基础状态预估!C88</f>
        <v>3000</v>
      </c>
      <c r="W88" s="46">
        <f>基础状态预估!D88</f>
        <v>117.85065637558189</v>
      </c>
      <c r="X88" s="5">
        <f t="shared" si="27"/>
        <v>596</v>
      </c>
      <c r="Y88" s="5">
        <f t="shared" si="28"/>
        <v>969</v>
      </c>
      <c r="Z88" s="5">
        <f t="shared" si="29"/>
        <v>1884</v>
      </c>
      <c r="AA88" s="5">
        <f t="shared" si="30"/>
        <v>344900</v>
      </c>
      <c r="AB88" s="5">
        <f t="shared" si="31"/>
        <v>227350</v>
      </c>
      <c r="AC88" s="15">
        <f t="shared" si="26"/>
        <v>298</v>
      </c>
      <c r="AD88" s="15">
        <f t="shared" si="20"/>
        <v>298</v>
      </c>
      <c r="AE88" s="15">
        <f t="shared" si="21"/>
        <v>678.3</v>
      </c>
      <c r="AF88" s="15">
        <f t="shared" si="22"/>
        <v>290.7</v>
      </c>
      <c r="AG88" s="15">
        <f t="shared" si="23"/>
        <v>1695.6000000000001</v>
      </c>
      <c r="AH88" s="15">
        <f t="shared" si="24"/>
        <v>188.4</v>
      </c>
      <c r="AL88" s="51">
        <v>78</v>
      </c>
      <c r="AM88" s="51">
        <f t="shared" si="32"/>
        <v>4613.9750954672954</v>
      </c>
      <c r="AN88" s="51">
        <f t="shared" si="33"/>
        <v>4274.9863069448584</v>
      </c>
      <c r="AO88" s="51">
        <f t="shared" si="34"/>
        <v>4106.4228874242181</v>
      </c>
      <c r="AP88" s="51">
        <f t="shared" si="35"/>
        <v>3445.8415973466394</v>
      </c>
      <c r="AQ88" s="51">
        <f t="shared" si="36"/>
        <v>2136.7889585949429</v>
      </c>
    </row>
    <row r="89" spans="22:43" x14ac:dyDescent="0.15">
      <c r="V89" s="29">
        <f>基础状态预估!C89</f>
        <v>3300</v>
      </c>
      <c r="W89" s="46">
        <f>基础状态预估!D89</f>
        <v>119.21088872323202</v>
      </c>
      <c r="X89" s="5">
        <f t="shared" si="27"/>
        <v>656</v>
      </c>
      <c r="Y89" s="5">
        <f t="shared" si="28"/>
        <v>1069</v>
      </c>
      <c r="Z89" s="5">
        <f t="shared" si="29"/>
        <v>2144</v>
      </c>
      <c r="AA89" s="5">
        <f t="shared" si="30"/>
        <v>386900</v>
      </c>
      <c r="AB89" s="5">
        <f t="shared" si="31"/>
        <v>255350</v>
      </c>
      <c r="AC89" s="15">
        <f t="shared" si="26"/>
        <v>328</v>
      </c>
      <c r="AD89" s="15">
        <f t="shared" si="20"/>
        <v>328</v>
      </c>
      <c r="AE89" s="15">
        <f t="shared" si="21"/>
        <v>748.3</v>
      </c>
      <c r="AF89" s="15">
        <f t="shared" si="22"/>
        <v>320.7</v>
      </c>
      <c r="AG89" s="15">
        <f t="shared" si="23"/>
        <v>1929.6000000000001</v>
      </c>
      <c r="AH89" s="15">
        <f t="shared" si="24"/>
        <v>214.4</v>
      </c>
      <c r="AL89" s="51">
        <v>79</v>
      </c>
      <c r="AM89" s="51">
        <f t="shared" si="32"/>
        <v>5134.8696495021095</v>
      </c>
      <c r="AN89" s="51">
        <f t="shared" si="33"/>
        <v>4730.8745318826395</v>
      </c>
      <c r="AO89" s="51">
        <f t="shared" si="34"/>
        <v>4559.7768997234871</v>
      </c>
      <c r="AP89" s="51">
        <f t="shared" si="35"/>
        <v>3839.3894878200417</v>
      </c>
      <c r="AQ89" s="51">
        <f t="shared" si="36"/>
        <v>2347.3279592920621</v>
      </c>
    </row>
    <row r="90" spans="22:43" x14ac:dyDescent="0.15">
      <c r="V90" s="29">
        <f>基础状态预估!C90</f>
        <v>3600</v>
      </c>
      <c r="W90" s="46">
        <f>基础状态预估!D90</f>
        <v>120.46417102385924</v>
      </c>
      <c r="X90" s="5">
        <f t="shared" si="27"/>
        <v>716</v>
      </c>
      <c r="Y90" s="5">
        <f t="shared" si="28"/>
        <v>1169</v>
      </c>
      <c r="Z90" s="5">
        <f t="shared" si="29"/>
        <v>2404</v>
      </c>
      <c r="AA90" s="5">
        <f t="shared" si="30"/>
        <v>428900</v>
      </c>
      <c r="AB90" s="5">
        <f t="shared" si="31"/>
        <v>283350</v>
      </c>
      <c r="AC90" s="15">
        <f t="shared" si="26"/>
        <v>358</v>
      </c>
      <c r="AD90" s="15">
        <f t="shared" si="20"/>
        <v>358</v>
      </c>
      <c r="AE90" s="15">
        <f t="shared" si="21"/>
        <v>818.3</v>
      </c>
      <c r="AF90" s="15">
        <f t="shared" si="22"/>
        <v>350.7</v>
      </c>
      <c r="AG90" s="15">
        <f t="shared" si="23"/>
        <v>2163.6</v>
      </c>
      <c r="AH90" s="15">
        <f t="shared" si="24"/>
        <v>240.4</v>
      </c>
      <c r="AL90" s="51">
        <v>80</v>
      </c>
      <c r="AM90" s="51">
        <f t="shared" si="32"/>
        <v>5717.3217448321848</v>
      </c>
      <c r="AN90" s="51">
        <f t="shared" si="33"/>
        <v>5303.2997086802152</v>
      </c>
      <c r="AO90" s="51">
        <f t="shared" si="34"/>
        <v>5016.6045567954761</v>
      </c>
      <c r="AP90" s="51">
        <f t="shared" si="35"/>
        <v>4322.6072041397429</v>
      </c>
      <c r="AQ90" s="51">
        <f t="shared" si="36"/>
        <v>2557.8669599891814</v>
      </c>
    </row>
    <row r="91" spans="22:43" x14ac:dyDescent="0.15">
      <c r="V91" s="29">
        <f>基础状态预估!C91</f>
        <v>3900</v>
      </c>
      <c r="W91" s="46">
        <f>基础状态预估!D91</f>
        <v>121.65302977187105</v>
      </c>
      <c r="X91" s="5">
        <f t="shared" si="27"/>
        <v>776</v>
      </c>
      <c r="Y91" s="5">
        <f t="shared" si="28"/>
        <v>1269</v>
      </c>
      <c r="Z91" s="5">
        <f t="shared" si="29"/>
        <v>2664</v>
      </c>
      <c r="AA91" s="5">
        <f t="shared" si="30"/>
        <v>470900</v>
      </c>
      <c r="AB91" s="5">
        <f t="shared" si="31"/>
        <v>311350</v>
      </c>
      <c r="AC91" s="15">
        <f t="shared" si="26"/>
        <v>388</v>
      </c>
      <c r="AD91" s="15">
        <f t="shared" si="20"/>
        <v>388</v>
      </c>
      <c r="AE91" s="15">
        <f t="shared" si="21"/>
        <v>888.3</v>
      </c>
      <c r="AF91" s="15">
        <f t="shared" si="22"/>
        <v>380.7</v>
      </c>
      <c r="AG91" s="15">
        <f t="shared" si="23"/>
        <v>2397.6</v>
      </c>
      <c r="AH91" s="15">
        <f t="shared" si="24"/>
        <v>266.40000000000003</v>
      </c>
      <c r="AL91" s="51">
        <v>81</v>
      </c>
      <c r="AM91" s="51">
        <f t="shared" si="32"/>
        <v>6345.7258383116578</v>
      </c>
      <c r="AN91" s="51">
        <f t="shared" si="33"/>
        <v>5916.9483244184321</v>
      </c>
      <c r="AO91" s="51">
        <f t="shared" si="34"/>
        <v>5589.8886084009091</v>
      </c>
      <c r="AP91" s="51">
        <f t="shared" si="35"/>
        <v>4805.824920459444</v>
      </c>
      <c r="AQ91" s="51">
        <f t="shared" si="36"/>
        <v>2827.887553947588</v>
      </c>
    </row>
    <row r="92" spans="22:43" x14ac:dyDescent="0.15">
      <c r="V92" s="29">
        <f>基础状态预估!C92</f>
        <v>4200</v>
      </c>
      <c r="W92" s="46">
        <f>基础状态预估!D92</f>
        <v>122.73490799469288</v>
      </c>
      <c r="X92" s="5">
        <f t="shared" si="27"/>
        <v>836</v>
      </c>
      <c r="Y92" s="5">
        <f t="shared" si="28"/>
        <v>1369</v>
      </c>
      <c r="Z92" s="5">
        <f t="shared" si="29"/>
        <v>2924</v>
      </c>
      <c r="AA92" s="5">
        <f t="shared" si="30"/>
        <v>512900</v>
      </c>
      <c r="AB92" s="5">
        <f t="shared" si="31"/>
        <v>339350</v>
      </c>
      <c r="AC92" s="15">
        <f t="shared" si="26"/>
        <v>418</v>
      </c>
      <c r="AD92" s="15">
        <f t="shared" si="20"/>
        <v>418</v>
      </c>
      <c r="AE92" s="15">
        <f t="shared" si="21"/>
        <v>958.3</v>
      </c>
      <c r="AF92" s="15">
        <f t="shared" si="22"/>
        <v>410.7</v>
      </c>
      <c r="AG92" s="15">
        <f t="shared" si="23"/>
        <v>2631.6</v>
      </c>
      <c r="AH92" s="15">
        <f t="shared" si="24"/>
        <v>292.40000000000003</v>
      </c>
      <c r="AL92" s="51">
        <v>82</v>
      </c>
      <c r="AM92" s="51">
        <f t="shared" si="32"/>
        <v>7139.3127976501</v>
      </c>
      <c r="AN92" s="51">
        <f t="shared" si="33"/>
        <v>6603.0119581133586</v>
      </c>
      <c r="AO92" s="51">
        <f t="shared" si="34"/>
        <v>6163.1726600063421</v>
      </c>
      <c r="AP92" s="51">
        <f t="shared" si="35"/>
        <v>5302.0619856731009</v>
      </c>
      <c r="AQ92" s="51">
        <f t="shared" si="36"/>
        <v>3144.1914598278372</v>
      </c>
    </row>
    <row r="93" spans="22:43" x14ac:dyDescent="0.15">
      <c r="V93" s="29">
        <f>基础状态预估!C93</f>
        <v>4500</v>
      </c>
      <c r="W93" s="46">
        <f>基础状态预估!D93</f>
        <v>123.70999272209546</v>
      </c>
      <c r="X93" s="5">
        <f t="shared" si="27"/>
        <v>896</v>
      </c>
      <c r="Y93" s="5">
        <f t="shared" si="28"/>
        <v>1469</v>
      </c>
      <c r="Z93" s="5">
        <f t="shared" si="29"/>
        <v>3184</v>
      </c>
      <c r="AA93" s="5">
        <f t="shared" si="30"/>
        <v>554900</v>
      </c>
      <c r="AB93" s="5">
        <f t="shared" si="31"/>
        <v>367350</v>
      </c>
      <c r="AC93" s="15">
        <f t="shared" si="26"/>
        <v>448</v>
      </c>
      <c r="AD93" s="15">
        <f t="shared" si="20"/>
        <v>448</v>
      </c>
      <c r="AE93" s="15">
        <f t="shared" si="21"/>
        <v>1028.3</v>
      </c>
      <c r="AF93" s="15">
        <f t="shared" si="22"/>
        <v>440.7</v>
      </c>
      <c r="AG93" s="15">
        <f t="shared" si="23"/>
        <v>2865.6</v>
      </c>
      <c r="AH93" s="15">
        <f t="shared" si="24"/>
        <v>318.40000000000003</v>
      </c>
      <c r="AL93" s="51">
        <v>83</v>
      </c>
      <c r="AM93" s="51">
        <f t="shared" si="32"/>
        <v>8013.0935753526564</v>
      </c>
      <c r="AN93" s="51">
        <f t="shared" si="33"/>
        <v>7322.04318235553</v>
      </c>
      <c r="AO93" s="51">
        <f t="shared" si="34"/>
        <v>6853.6245801675168</v>
      </c>
      <c r="AP93" s="51">
        <f t="shared" si="35"/>
        <v>5946.4158485111484</v>
      </c>
      <c r="AQ93" s="51">
        <f t="shared" si="36"/>
        <v>3460.4953657080864</v>
      </c>
    </row>
    <row r="94" spans="22:43" x14ac:dyDescent="0.15">
      <c r="V94" s="29">
        <f>基础状态预估!C94</f>
        <v>4800</v>
      </c>
      <c r="W94" s="46">
        <f>基础状态预估!D94</f>
        <v>124.63695716337583</v>
      </c>
      <c r="X94" s="5">
        <f t="shared" si="27"/>
        <v>956</v>
      </c>
      <c r="Y94" s="5">
        <f t="shared" si="28"/>
        <v>1569</v>
      </c>
      <c r="Z94" s="5">
        <f t="shared" si="29"/>
        <v>3444</v>
      </c>
      <c r="AA94" s="5">
        <f t="shared" si="30"/>
        <v>596900</v>
      </c>
      <c r="AB94" s="5">
        <f t="shared" si="31"/>
        <v>395350</v>
      </c>
      <c r="AC94" s="15">
        <f t="shared" si="26"/>
        <v>478</v>
      </c>
      <c r="AD94" s="15">
        <f t="shared" si="20"/>
        <v>478</v>
      </c>
      <c r="AE94" s="15">
        <f t="shared" si="21"/>
        <v>1098.3</v>
      </c>
      <c r="AF94" s="15">
        <f t="shared" si="22"/>
        <v>470.7</v>
      </c>
      <c r="AG94" s="15">
        <f t="shared" si="23"/>
        <v>3099.6</v>
      </c>
      <c r="AH94" s="15">
        <f t="shared" si="24"/>
        <v>344.40000000000003</v>
      </c>
      <c r="AL94" s="51">
        <v>84</v>
      </c>
      <c r="AM94" s="51">
        <f t="shared" si="32"/>
        <v>8926.1040616090977</v>
      </c>
      <c r="AN94" s="51">
        <f t="shared" si="33"/>
        <v>8182.4550610585138</v>
      </c>
      <c r="AO94" s="51">
        <f t="shared" si="34"/>
        <v>7580.8081334109411</v>
      </c>
      <c r="AP94" s="51">
        <f t="shared" si="35"/>
        <v>6590.7697113491968</v>
      </c>
      <c r="AQ94" s="51">
        <f t="shared" si="36"/>
        <v>3848.5647892087036</v>
      </c>
    </row>
    <row r="95" spans="22:43" x14ac:dyDescent="0.15">
      <c r="V95" s="29">
        <f>基础状态预估!C95</f>
        <v>65535</v>
      </c>
      <c r="W95" s="46">
        <f>基础状态预估!D95</f>
        <v>160</v>
      </c>
      <c r="X95" s="5">
        <f t="shared" si="27"/>
        <v>13103</v>
      </c>
      <c r="Y95" s="5">
        <f t="shared" si="28"/>
        <v>21814</v>
      </c>
      <c r="Z95" s="5">
        <f t="shared" si="29"/>
        <v>56081</v>
      </c>
      <c r="AA95" s="5">
        <f t="shared" si="30"/>
        <v>9099800</v>
      </c>
      <c r="AB95" s="5">
        <f t="shared" si="31"/>
        <v>6063950</v>
      </c>
      <c r="AC95" s="15">
        <f t="shared" si="26"/>
        <v>6551.5</v>
      </c>
      <c r="AD95" s="15">
        <f t="shared" si="20"/>
        <v>6551.5</v>
      </c>
      <c r="AE95" s="15">
        <f t="shared" si="21"/>
        <v>15269.8</v>
      </c>
      <c r="AF95" s="15">
        <f t="shared" si="22"/>
        <v>6544.2</v>
      </c>
      <c r="AG95" s="15">
        <f t="shared" si="23"/>
        <v>50472.9</v>
      </c>
      <c r="AH95" s="15">
        <f t="shared" si="24"/>
        <v>5608.1</v>
      </c>
      <c r="AL95" s="51">
        <v>85</v>
      </c>
      <c r="AM95" s="51">
        <f t="shared" si="32"/>
        <v>9850.2968243244723</v>
      </c>
      <c r="AN95" s="51">
        <f t="shared" si="33"/>
        <v>9158.098846230816</v>
      </c>
      <c r="AO95" s="51">
        <f t="shared" si="34"/>
        <v>8382.841875639615</v>
      </c>
      <c r="AP95" s="51">
        <f t="shared" si="35"/>
        <v>7304.5063326880245</v>
      </c>
      <c r="AQ95" s="51">
        <f t="shared" si="36"/>
        <v>4246.8765464846019</v>
      </c>
    </row>
    <row r="96" spans="22:43" x14ac:dyDescent="0.15">
      <c r="AL96" s="51">
        <v>86</v>
      </c>
      <c r="AM96" s="51">
        <f t="shared" si="32"/>
        <v>11024.323638887205</v>
      </c>
      <c r="AN96" s="51">
        <f t="shared" si="33"/>
        <v>10219.67435173289</v>
      </c>
      <c r="AO96" s="51">
        <f t="shared" si="34"/>
        <v>9230.6769209316062</v>
      </c>
      <c r="AP96" s="51">
        <f t="shared" si="35"/>
        <v>8105.6590452240525</v>
      </c>
      <c r="AQ96" s="51">
        <f t="shared" si="36"/>
        <v>4681.469401909907</v>
      </c>
    </row>
    <row r="97" spans="22:43" x14ac:dyDescent="0.15">
      <c r="V97" s="32" t="s">
        <v>19</v>
      </c>
      <c r="W97" s="48"/>
      <c r="X97" s="84" t="s">
        <v>120</v>
      </c>
      <c r="Y97" s="84"/>
      <c r="Z97" s="84"/>
      <c r="AA97" s="84"/>
      <c r="AB97" s="84"/>
      <c r="AC97" s="84" t="s">
        <v>121</v>
      </c>
      <c r="AD97" s="84"/>
      <c r="AE97" s="84"/>
      <c r="AF97" s="84"/>
      <c r="AG97" s="84"/>
      <c r="AH97" s="84"/>
      <c r="AL97" s="51">
        <v>87</v>
      </c>
      <c r="AM97" s="51">
        <f t="shared" si="32"/>
        <v>12198.350453449937</v>
      </c>
      <c r="AN97" s="51">
        <f t="shared" si="33"/>
        <v>11281.249857234969</v>
      </c>
      <c r="AO97" s="51">
        <f t="shared" si="34"/>
        <v>10302.756014141347</v>
      </c>
      <c r="AP97" s="51">
        <f t="shared" si="35"/>
        <v>8930.0675449599566</v>
      </c>
      <c r="AQ97" s="51">
        <f t="shared" si="36"/>
        <v>5138.7202999937026</v>
      </c>
    </row>
    <row r="98" spans="22:43" x14ac:dyDescent="0.15">
      <c r="V98" s="27" t="s">
        <v>31</v>
      </c>
      <c r="W98" s="45" t="s">
        <v>25</v>
      </c>
      <c r="X98" s="15" t="s">
        <v>108</v>
      </c>
      <c r="Y98" s="15" t="s">
        <v>110</v>
      </c>
      <c r="Z98" s="15" t="s">
        <v>112</v>
      </c>
      <c r="AA98" s="15" t="s">
        <v>114</v>
      </c>
      <c r="AB98" s="15" t="s">
        <v>116</v>
      </c>
      <c r="AC98" s="15" t="s">
        <v>26</v>
      </c>
      <c r="AD98" s="15" t="s">
        <v>38</v>
      </c>
      <c r="AE98" s="15" t="s">
        <v>27</v>
      </c>
      <c r="AF98" s="15" t="s">
        <v>29</v>
      </c>
      <c r="AG98" s="15" t="s">
        <v>28</v>
      </c>
      <c r="AH98" s="15" t="s">
        <v>43</v>
      </c>
      <c r="AL98" s="51">
        <v>88</v>
      </c>
      <c r="AM98" s="51">
        <f t="shared" si="32"/>
        <v>13519.180053260827</v>
      </c>
      <c r="AN98" s="51">
        <f t="shared" si="33"/>
        <v>12681.858705898117</v>
      </c>
      <c r="AO98" s="51">
        <f t="shared" si="34"/>
        <v>11489.253670002574</v>
      </c>
      <c r="AP98" s="51">
        <f t="shared" si="35"/>
        <v>9850.0342881750294</v>
      </c>
      <c r="AQ98" s="51">
        <f t="shared" si="36"/>
        <v>5658.6999096899353</v>
      </c>
    </row>
    <row r="99" spans="22:43" x14ac:dyDescent="0.15">
      <c r="V99" s="29">
        <f>基础状态预估!C99</f>
        <v>15</v>
      </c>
      <c r="W99" s="46">
        <f>基础状态预估!D99</f>
        <v>44.442238853326032</v>
      </c>
      <c r="X99" s="11">
        <f>IFERROR(INDEX(O$7:O$27,MATCH($W99,$G$7:$G$27,1)),0)*$V99/$E$1</f>
        <v>1</v>
      </c>
      <c r="Y99" s="11">
        <f t="shared" ref="Y99:AB99" si="37">IFERROR(INDEX(P$7:P$27,MATCH($W99,$G$7:$G$27,1)),0)*$V99/$E$1</f>
        <v>0</v>
      </c>
      <c r="Z99" s="11">
        <f t="shared" si="37"/>
        <v>0</v>
      </c>
      <c r="AA99" s="11">
        <f t="shared" si="37"/>
        <v>100</v>
      </c>
      <c r="AB99" s="11">
        <f t="shared" si="37"/>
        <v>50</v>
      </c>
      <c r="AC99" s="15">
        <f>$X99*D$32+$Y99*D$33+$Z99*D$34</f>
        <v>0.5</v>
      </c>
      <c r="AD99" s="15">
        <f t="shared" ref="AD99:AD139" si="38">$X99*E$32+$Y99*E$33+$Z99*E$34</f>
        <v>0.5</v>
      </c>
      <c r="AE99" s="15">
        <f t="shared" ref="AE99:AE139" si="39">$X99*F$32+$Y99*F$33+$Z99*F$34</f>
        <v>0</v>
      </c>
      <c r="AF99" s="15">
        <f t="shared" ref="AF99:AF139" si="40">$X99*G$32+$Y99*G$33+$Z99*G$34</f>
        <v>0</v>
      </c>
      <c r="AG99" s="15">
        <f t="shared" ref="AG99:AG139" si="41">$X99*H$32+$Y99*H$33+$Z99*H$34</f>
        <v>0</v>
      </c>
      <c r="AH99" s="15">
        <f t="shared" ref="AH99:AH139" si="42">$X99*I$32+$Y99*I$33+$Z99*I$34</f>
        <v>0</v>
      </c>
      <c r="AL99" s="51">
        <v>89</v>
      </c>
      <c r="AM99" s="51">
        <f t="shared" si="32"/>
        <v>14870.453304986861</v>
      </c>
      <c r="AN99" s="51">
        <f t="shared" si="33"/>
        <v>14105.944584479374</v>
      </c>
      <c r="AO99" s="51">
        <f t="shared" si="34"/>
        <v>12743.104202720355</v>
      </c>
      <c r="AP99" s="51">
        <f t="shared" si="35"/>
        <v>10774.359379856855</v>
      </c>
      <c r="AQ99" s="51">
        <f t="shared" si="36"/>
        <v>6262.3129262983311</v>
      </c>
    </row>
    <row r="100" spans="22:43" x14ac:dyDescent="0.15">
      <c r="V100" s="29">
        <f>基础状态预估!C100</f>
        <v>30</v>
      </c>
      <c r="W100" s="46">
        <f>基础状态预估!D100</f>
        <v>54.213705787583436</v>
      </c>
      <c r="X100" s="5">
        <f>IFERROR(INDEX(O$7:O$27,MATCH($W100,$G$7:$G$27,1)),0)*($V100-$V99)/$E$1+X99</f>
        <v>4</v>
      </c>
      <c r="Y100" s="5">
        <f t="shared" ref="Y100:AB100" si="43">IFERROR(INDEX(P$7:P$27,MATCH($W100,$G$7:$G$27,1)),0)*($V100-$V99)/$E$1+Y99</f>
        <v>0</v>
      </c>
      <c r="Z100" s="5">
        <f t="shared" si="43"/>
        <v>0</v>
      </c>
      <c r="AA100" s="5">
        <f t="shared" si="43"/>
        <v>400</v>
      </c>
      <c r="AB100" s="5">
        <f t="shared" si="43"/>
        <v>250</v>
      </c>
      <c r="AC100" s="15">
        <f t="shared" ref="AC100:AC139" si="44">$X100*D$32+$Y100*D$33+$Z100*D$34</f>
        <v>2</v>
      </c>
      <c r="AD100" s="15">
        <f t="shared" si="38"/>
        <v>2</v>
      </c>
      <c r="AE100" s="15">
        <f t="shared" si="39"/>
        <v>0</v>
      </c>
      <c r="AF100" s="15">
        <f t="shared" si="40"/>
        <v>0</v>
      </c>
      <c r="AG100" s="15">
        <f t="shared" si="41"/>
        <v>0</v>
      </c>
      <c r="AH100" s="15">
        <f t="shared" si="42"/>
        <v>0</v>
      </c>
      <c r="AL100" s="51">
        <v>90</v>
      </c>
      <c r="AM100" s="51">
        <f t="shared" si="32"/>
        <v>16495.057781088228</v>
      </c>
      <c r="AN100" s="51">
        <f t="shared" si="33"/>
        <v>15716.71404482996</v>
      </c>
      <c r="AO100" s="51">
        <f t="shared" si="34"/>
        <v>13996.954735438134</v>
      </c>
      <c r="AP100" s="51">
        <f t="shared" si="35"/>
        <v>11894.792567354474</v>
      </c>
      <c r="AQ100" s="51">
        <f t="shared" si="36"/>
        <v>6865.925942906726</v>
      </c>
    </row>
    <row r="101" spans="22:43" x14ac:dyDescent="0.15">
      <c r="V101" s="29">
        <f>基础状态预估!C101</f>
        <v>45</v>
      </c>
      <c r="W101" s="46">
        <f>基础状态预估!D101</f>
        <v>60.086674688654931</v>
      </c>
      <c r="X101" s="5">
        <f t="shared" ref="X101:X139" si="45">IFERROR(INDEX(O$7:O$27,MATCH($W101,$G$7:$G$27,1)),0)*($V101-$V100)/$E$1+X100</f>
        <v>7</v>
      </c>
      <c r="Y101" s="5">
        <f t="shared" ref="Y101:Y139" si="46">IFERROR(INDEX(P$7:P$27,MATCH($W101,$G$7:$G$27,1)),0)*($V101-$V100)/$E$1+Y100</f>
        <v>1</v>
      </c>
      <c r="Z101" s="5">
        <f t="shared" ref="Z101:Z139" si="47">IFERROR(INDEX(Q$7:Q$27,MATCH($W101,$G$7:$G$27,1)),0)*($V101-$V100)/$E$1+Z100</f>
        <v>0</v>
      </c>
      <c r="AA101" s="5">
        <f t="shared" ref="AA101:AA139" si="48">IFERROR(INDEX(R$7:R$27,MATCH($W101,$G$7:$G$27,1)),0)*($V101-$V100)/$E$1+AA100</f>
        <v>800</v>
      </c>
      <c r="AB101" s="5">
        <f t="shared" ref="AB101:AB139" si="49">IFERROR(INDEX(S$7:S$27,MATCH($W101,$G$7:$G$27,1)),0)*($V101-$V100)/$E$1+AB100</f>
        <v>500</v>
      </c>
      <c r="AC101" s="15">
        <f t="shared" si="44"/>
        <v>3.5</v>
      </c>
      <c r="AD101" s="15">
        <f t="shared" si="38"/>
        <v>3.5</v>
      </c>
      <c r="AE101" s="15">
        <f t="shared" si="39"/>
        <v>0.7</v>
      </c>
      <c r="AF101" s="15">
        <f t="shared" si="40"/>
        <v>0.3</v>
      </c>
      <c r="AG101" s="15">
        <f t="shared" si="41"/>
        <v>0</v>
      </c>
      <c r="AH101" s="15">
        <f t="shared" si="42"/>
        <v>0</v>
      </c>
      <c r="AL101" s="51">
        <v>91</v>
      </c>
      <c r="AM101" s="51">
        <f t="shared" si="32"/>
        <v>18189.508758468099</v>
      </c>
      <c r="AN101" s="51">
        <f t="shared" si="33"/>
        <v>17412.070524256025</v>
      </c>
      <c r="AO101" s="51">
        <f t="shared" si="34"/>
        <v>15630.809719274272</v>
      </c>
      <c r="AP101" s="51">
        <f t="shared" si="35"/>
        <v>13056.656647069354</v>
      </c>
      <c r="AQ101" s="51">
        <f t="shared" si="36"/>
        <v>7469.538959515121</v>
      </c>
    </row>
    <row r="102" spans="22:43" x14ac:dyDescent="0.15">
      <c r="V102" s="29">
        <f>基础状态预估!C102</f>
        <v>60</v>
      </c>
      <c r="W102" s="46">
        <f>基础状态预估!D102</f>
        <v>64.14304723627319</v>
      </c>
      <c r="X102" s="5">
        <f t="shared" si="45"/>
        <v>10</v>
      </c>
      <c r="Y102" s="5">
        <f t="shared" si="46"/>
        <v>3</v>
      </c>
      <c r="Z102" s="5">
        <f t="shared" si="47"/>
        <v>0</v>
      </c>
      <c r="AA102" s="5">
        <f t="shared" si="48"/>
        <v>1300</v>
      </c>
      <c r="AB102" s="5">
        <f t="shared" si="49"/>
        <v>800</v>
      </c>
      <c r="AC102" s="15">
        <f t="shared" si="44"/>
        <v>5</v>
      </c>
      <c r="AD102" s="15">
        <f t="shared" si="38"/>
        <v>5</v>
      </c>
      <c r="AE102" s="15">
        <f t="shared" si="39"/>
        <v>2.0999999999999996</v>
      </c>
      <c r="AF102" s="15">
        <f t="shared" si="40"/>
        <v>0.89999999999999991</v>
      </c>
      <c r="AG102" s="15">
        <f t="shared" si="41"/>
        <v>0</v>
      </c>
      <c r="AH102" s="15">
        <f t="shared" si="42"/>
        <v>0</v>
      </c>
      <c r="AL102" s="51">
        <v>92</v>
      </c>
      <c r="AM102" s="51">
        <f t="shared" si="32"/>
        <v>20036.907979957155</v>
      </c>
      <c r="AN102" s="51">
        <f t="shared" si="33"/>
        <v>19373.643018667408</v>
      </c>
      <c r="AO102" s="51">
        <f t="shared" si="34"/>
        <v>17385.781564028941</v>
      </c>
      <c r="AP102" s="51">
        <f t="shared" si="35"/>
        <v>14458.042078782235</v>
      </c>
      <c r="AQ102" s="51">
        <f t="shared" si="36"/>
        <v>8269.2745600871185</v>
      </c>
    </row>
    <row r="103" spans="22:43" x14ac:dyDescent="0.15">
      <c r="V103" s="29">
        <f>基础状态预估!C103</f>
        <v>75</v>
      </c>
      <c r="W103" s="46">
        <f>基础状态预估!D103</f>
        <v>67.344310856946692</v>
      </c>
      <c r="X103" s="5">
        <f t="shared" si="45"/>
        <v>13</v>
      </c>
      <c r="Y103" s="5">
        <f t="shared" si="46"/>
        <v>6</v>
      </c>
      <c r="Z103" s="5">
        <f t="shared" si="47"/>
        <v>0</v>
      </c>
      <c r="AA103" s="5">
        <f t="shared" si="48"/>
        <v>1900</v>
      </c>
      <c r="AB103" s="5">
        <f t="shared" si="49"/>
        <v>1200</v>
      </c>
      <c r="AC103" s="15">
        <f t="shared" si="44"/>
        <v>6.5</v>
      </c>
      <c r="AD103" s="15">
        <f t="shared" si="38"/>
        <v>6.5</v>
      </c>
      <c r="AE103" s="15">
        <f t="shared" si="39"/>
        <v>4.1999999999999993</v>
      </c>
      <c r="AF103" s="15">
        <f t="shared" si="40"/>
        <v>1.7999999999999998</v>
      </c>
      <c r="AG103" s="15">
        <f t="shared" si="41"/>
        <v>0</v>
      </c>
      <c r="AH103" s="15">
        <f t="shared" si="42"/>
        <v>0</v>
      </c>
      <c r="AL103" s="51">
        <v>93</v>
      </c>
      <c r="AM103" s="51">
        <f t="shared" si="32"/>
        <v>22220.56189422134</v>
      </c>
      <c r="AN103" s="51">
        <f t="shared" si="33"/>
        <v>21458.942919576246</v>
      </c>
      <c r="AO103" s="51">
        <f t="shared" si="34"/>
        <v>19268.332482449361</v>
      </c>
      <c r="AP103" s="51">
        <f t="shared" si="35"/>
        <v>16054.640885019568</v>
      </c>
      <c r="AQ103" s="51">
        <f t="shared" si="36"/>
        <v>9123.0865624446506</v>
      </c>
    </row>
    <row r="104" spans="22:43" x14ac:dyDescent="0.15">
      <c r="V104" s="29">
        <f>基础状态预估!C104</f>
        <v>90</v>
      </c>
      <c r="W104" s="46">
        <f>基础状态预估!D104</f>
        <v>69.982855616450394</v>
      </c>
      <c r="X104" s="5">
        <f t="shared" si="45"/>
        <v>16</v>
      </c>
      <c r="Y104" s="5">
        <f t="shared" si="46"/>
        <v>10</v>
      </c>
      <c r="Z104" s="5">
        <f t="shared" si="47"/>
        <v>0</v>
      </c>
      <c r="AA104" s="5">
        <f t="shared" si="48"/>
        <v>2600</v>
      </c>
      <c r="AB104" s="5">
        <f t="shared" si="49"/>
        <v>1650</v>
      </c>
      <c r="AC104" s="15">
        <f t="shared" si="44"/>
        <v>8</v>
      </c>
      <c r="AD104" s="15">
        <f t="shared" si="38"/>
        <v>8</v>
      </c>
      <c r="AE104" s="15">
        <f t="shared" si="39"/>
        <v>7</v>
      </c>
      <c r="AF104" s="15">
        <f t="shared" si="40"/>
        <v>3</v>
      </c>
      <c r="AG104" s="15">
        <f t="shared" si="41"/>
        <v>0</v>
      </c>
      <c r="AH104" s="15">
        <f t="shared" si="42"/>
        <v>0</v>
      </c>
      <c r="AL104" s="51">
        <v>94</v>
      </c>
      <c r="AM104" s="51">
        <f t="shared" si="32"/>
        <v>24619.569250682769</v>
      </c>
      <c r="AN104" s="51">
        <f t="shared" si="33"/>
        <v>23811.25698999425</v>
      </c>
      <c r="AO104" s="51">
        <f t="shared" si="34"/>
        <v>21289.610333131746</v>
      </c>
      <c r="AP104" s="51">
        <f t="shared" si="35"/>
        <v>17794.004919617764</v>
      </c>
      <c r="AQ104" s="51">
        <f t="shared" si="36"/>
        <v>9976.8985648021808</v>
      </c>
    </row>
    <row r="105" spans="22:43" x14ac:dyDescent="0.15">
      <c r="V105" s="29">
        <f>基础状态预估!C105</f>
        <v>105</v>
      </c>
      <c r="W105" s="46">
        <f>基础状态预估!D105</f>
        <v>72.23150684883845</v>
      </c>
      <c r="X105" s="5">
        <f t="shared" si="45"/>
        <v>19</v>
      </c>
      <c r="Y105" s="5">
        <f t="shared" si="46"/>
        <v>14</v>
      </c>
      <c r="Z105" s="5">
        <f t="shared" si="47"/>
        <v>0</v>
      </c>
      <c r="AA105" s="5">
        <f t="shared" si="48"/>
        <v>3300</v>
      </c>
      <c r="AB105" s="5">
        <f t="shared" si="49"/>
        <v>2100</v>
      </c>
      <c r="AC105" s="15">
        <f t="shared" si="44"/>
        <v>9.5</v>
      </c>
      <c r="AD105" s="15">
        <f t="shared" si="38"/>
        <v>9.5</v>
      </c>
      <c r="AE105" s="15">
        <f t="shared" si="39"/>
        <v>9.7999999999999989</v>
      </c>
      <c r="AF105" s="15">
        <f t="shared" si="40"/>
        <v>4.2</v>
      </c>
      <c r="AG105" s="15">
        <f t="shared" si="41"/>
        <v>0</v>
      </c>
      <c r="AH105" s="15">
        <f t="shared" si="42"/>
        <v>0</v>
      </c>
      <c r="AL105" s="51">
        <v>95</v>
      </c>
      <c r="AM105" s="51">
        <f t="shared" si="32"/>
        <v>27187.244735074644</v>
      </c>
      <c r="AN105" s="51">
        <f t="shared" si="33"/>
        <v>26381.017326622801</v>
      </c>
      <c r="AO105" s="51">
        <f t="shared" si="34"/>
        <v>23496.91526872824</v>
      </c>
      <c r="AP105" s="51">
        <f t="shared" si="35"/>
        <v>19533.368954215959</v>
      </c>
      <c r="AQ105" s="51">
        <f t="shared" si="36"/>
        <v>11124.069285688151</v>
      </c>
    </row>
    <row r="106" spans="22:43" x14ac:dyDescent="0.15">
      <c r="V106" s="29">
        <f>基础状态预估!C106</f>
        <v>120</v>
      </c>
      <c r="W106" s="46">
        <f>基础状态预估!D106</f>
        <v>74.149428238300118</v>
      </c>
      <c r="X106" s="5">
        <f t="shared" si="45"/>
        <v>22</v>
      </c>
      <c r="Y106" s="5">
        <f t="shared" si="46"/>
        <v>19</v>
      </c>
      <c r="Z106" s="5">
        <f t="shared" si="47"/>
        <v>0</v>
      </c>
      <c r="AA106" s="5">
        <f t="shared" si="48"/>
        <v>4100</v>
      </c>
      <c r="AB106" s="5">
        <f t="shared" si="49"/>
        <v>2600</v>
      </c>
      <c r="AC106" s="15">
        <f t="shared" si="44"/>
        <v>11</v>
      </c>
      <c r="AD106" s="15">
        <f t="shared" si="38"/>
        <v>11</v>
      </c>
      <c r="AE106" s="15">
        <f t="shared" si="39"/>
        <v>13.299999999999999</v>
      </c>
      <c r="AF106" s="15">
        <f t="shared" si="40"/>
        <v>5.7</v>
      </c>
      <c r="AG106" s="15">
        <f t="shared" si="41"/>
        <v>0</v>
      </c>
      <c r="AH106" s="15">
        <f t="shared" si="42"/>
        <v>0</v>
      </c>
      <c r="AL106" s="51">
        <v>96</v>
      </c>
      <c r="AM106" s="51">
        <f t="shared" si="32"/>
        <v>30137.634788772149</v>
      </c>
      <c r="AN106" s="51">
        <f t="shared" si="33"/>
        <v>29226.957188854401</v>
      </c>
      <c r="AO106" s="51">
        <f t="shared" si="34"/>
        <v>25890.155550453383</v>
      </c>
      <c r="AP106" s="51">
        <f t="shared" si="35"/>
        <v>21765.335760223988</v>
      </c>
      <c r="AQ106" s="51">
        <f t="shared" si="36"/>
        <v>12279.398091584368</v>
      </c>
    </row>
    <row r="107" spans="22:43" x14ac:dyDescent="0.15">
      <c r="V107" s="29">
        <f>基础状态预估!C107</f>
        <v>150</v>
      </c>
      <c r="W107" s="46">
        <f>基础状态预估!D107</f>
        <v>77.324097991611154</v>
      </c>
      <c r="X107" s="5">
        <f t="shared" si="45"/>
        <v>28</v>
      </c>
      <c r="Y107" s="5">
        <f t="shared" si="46"/>
        <v>29</v>
      </c>
      <c r="Z107" s="5">
        <f t="shared" si="47"/>
        <v>2</v>
      </c>
      <c r="AA107" s="5">
        <f t="shared" si="48"/>
        <v>5900</v>
      </c>
      <c r="AB107" s="5">
        <f t="shared" si="49"/>
        <v>3800</v>
      </c>
      <c r="AC107" s="15">
        <f t="shared" si="44"/>
        <v>14</v>
      </c>
      <c r="AD107" s="15">
        <f t="shared" si="38"/>
        <v>14</v>
      </c>
      <c r="AE107" s="15">
        <f t="shared" si="39"/>
        <v>20.299999999999997</v>
      </c>
      <c r="AF107" s="15">
        <f t="shared" si="40"/>
        <v>8.6999999999999993</v>
      </c>
      <c r="AG107" s="15">
        <f t="shared" si="41"/>
        <v>1.8</v>
      </c>
      <c r="AH107" s="15">
        <f t="shared" si="42"/>
        <v>0.2</v>
      </c>
      <c r="AL107" s="51">
        <v>97</v>
      </c>
      <c r="AM107" s="51">
        <f t="shared" si="32"/>
        <v>33305.641967623254</v>
      </c>
      <c r="AN107" s="51">
        <f t="shared" si="33"/>
        <v>32407.551833737525</v>
      </c>
      <c r="AO107" s="51">
        <f t="shared" si="34"/>
        <v>28764.480175606899</v>
      </c>
      <c r="AP107" s="51">
        <f t="shared" si="35"/>
        <v>24106.931942857082</v>
      </c>
      <c r="AQ107" s="51">
        <f t="shared" si="36"/>
        <v>13646.205870824921</v>
      </c>
    </row>
    <row r="108" spans="22:43" x14ac:dyDescent="0.15">
      <c r="V108" s="29">
        <f>基础状态预估!C108</f>
        <v>180</v>
      </c>
      <c r="W108" s="46">
        <f>基础状态预估!D108</f>
        <v>79.97103607409106</v>
      </c>
      <c r="X108" s="5">
        <f t="shared" si="45"/>
        <v>34</v>
      </c>
      <c r="Y108" s="5">
        <f t="shared" si="46"/>
        <v>39</v>
      </c>
      <c r="Z108" s="5">
        <f t="shared" si="47"/>
        <v>4</v>
      </c>
      <c r="AA108" s="5">
        <f t="shared" si="48"/>
        <v>7700</v>
      </c>
      <c r="AB108" s="5">
        <f t="shared" si="49"/>
        <v>5000</v>
      </c>
      <c r="AC108" s="15">
        <f t="shared" si="44"/>
        <v>17</v>
      </c>
      <c r="AD108" s="15">
        <f t="shared" si="38"/>
        <v>17</v>
      </c>
      <c r="AE108" s="15">
        <f t="shared" si="39"/>
        <v>27.299999999999997</v>
      </c>
      <c r="AF108" s="15">
        <f t="shared" si="40"/>
        <v>11.7</v>
      </c>
      <c r="AG108" s="15">
        <f t="shared" si="41"/>
        <v>3.6</v>
      </c>
      <c r="AH108" s="15">
        <f t="shared" si="42"/>
        <v>0.4</v>
      </c>
      <c r="AL108" s="51">
        <v>98</v>
      </c>
      <c r="AM108" s="51">
        <f t="shared" si="32"/>
        <v>36689.297532980505</v>
      </c>
      <c r="AN108" s="51">
        <f t="shared" si="33"/>
        <v>35896.439807070943</v>
      </c>
      <c r="AO108" s="51">
        <f t="shared" si="34"/>
        <v>31886.838268298525</v>
      </c>
      <c r="AP108" s="51">
        <f t="shared" si="35"/>
        <v>26722.564222189103</v>
      </c>
      <c r="AQ108" s="51">
        <f t="shared" si="36"/>
        <v>15065.380199307592</v>
      </c>
    </row>
    <row r="109" spans="22:43" x14ac:dyDescent="0.15">
      <c r="V109" s="29">
        <f>基础状态预估!C109</f>
        <v>210</v>
      </c>
      <c r="W109" s="46">
        <f>基础状态预估!D109</f>
        <v>82.238672852681816</v>
      </c>
      <c r="X109" s="5">
        <f t="shared" si="45"/>
        <v>40</v>
      </c>
      <c r="Y109" s="5">
        <f t="shared" si="46"/>
        <v>49</v>
      </c>
      <c r="Z109" s="5">
        <f t="shared" si="47"/>
        <v>8</v>
      </c>
      <c r="AA109" s="5">
        <f t="shared" si="48"/>
        <v>9700</v>
      </c>
      <c r="AB109" s="5">
        <f t="shared" si="49"/>
        <v>6300</v>
      </c>
      <c r="AC109" s="15">
        <f t="shared" si="44"/>
        <v>20</v>
      </c>
      <c r="AD109" s="15">
        <f t="shared" si="38"/>
        <v>20</v>
      </c>
      <c r="AE109" s="15">
        <f t="shared" si="39"/>
        <v>34.299999999999997</v>
      </c>
      <c r="AF109" s="15">
        <f t="shared" si="40"/>
        <v>14.7</v>
      </c>
      <c r="AG109" s="15">
        <f t="shared" si="41"/>
        <v>7.2</v>
      </c>
      <c r="AH109" s="15">
        <f t="shared" si="42"/>
        <v>0.8</v>
      </c>
      <c r="AL109" s="51">
        <v>99</v>
      </c>
      <c r="AM109" s="51">
        <f t="shared" si="32"/>
        <v>40589.586345352378</v>
      </c>
      <c r="AN109" s="51">
        <f t="shared" si="33"/>
        <v>39752.665812658626</v>
      </c>
      <c r="AO109" s="51">
        <f t="shared" si="34"/>
        <v>35206.65332779532</v>
      </c>
      <c r="AP109" s="51">
        <f t="shared" si="35"/>
        <v>29465.580853860036</v>
      </c>
      <c r="AQ109" s="51">
        <f t="shared" si="36"/>
        <v>16537.396206347606</v>
      </c>
    </row>
    <row r="110" spans="22:43" x14ac:dyDescent="0.15">
      <c r="V110" s="29">
        <f>基础状态预估!C110</f>
        <v>240</v>
      </c>
      <c r="W110" s="46">
        <f>基础状态预估!D110</f>
        <v>84.163908914135135</v>
      </c>
      <c r="X110" s="5">
        <f t="shared" si="45"/>
        <v>46</v>
      </c>
      <c r="Y110" s="5">
        <f t="shared" si="46"/>
        <v>59</v>
      </c>
      <c r="Z110" s="5">
        <f t="shared" si="47"/>
        <v>14</v>
      </c>
      <c r="AA110" s="5">
        <f t="shared" si="48"/>
        <v>11900</v>
      </c>
      <c r="AB110" s="5">
        <f t="shared" si="49"/>
        <v>7700</v>
      </c>
      <c r="AC110" s="15">
        <f t="shared" si="44"/>
        <v>23</v>
      </c>
      <c r="AD110" s="15">
        <f t="shared" si="38"/>
        <v>23</v>
      </c>
      <c r="AE110" s="15">
        <f t="shared" si="39"/>
        <v>41.3</v>
      </c>
      <c r="AF110" s="15">
        <f t="shared" si="40"/>
        <v>17.7</v>
      </c>
      <c r="AG110" s="15">
        <f t="shared" si="41"/>
        <v>12.6</v>
      </c>
      <c r="AH110" s="15">
        <f t="shared" si="42"/>
        <v>1.4000000000000001</v>
      </c>
      <c r="AL110" s="51">
        <v>100</v>
      </c>
      <c r="AM110" s="51">
        <f t="shared" si="32"/>
        <v>44597.35647208937</v>
      </c>
      <c r="AN110" s="51">
        <f t="shared" si="33"/>
        <v>43907.271115688709</v>
      </c>
      <c r="AO110" s="51">
        <f t="shared" si="34"/>
        <v>39060.755897734627</v>
      </c>
      <c r="AP110" s="51">
        <f t="shared" si="35"/>
        <v>32333.069709430874</v>
      </c>
      <c r="AQ110" s="51">
        <f t="shared" si="36"/>
        <v>18085.288906363432</v>
      </c>
    </row>
    <row r="111" spans="22:43" x14ac:dyDescent="0.15">
      <c r="V111" s="29">
        <f>基础状态预估!C111</f>
        <v>270</v>
      </c>
      <c r="W111" s="46">
        <f>基础状态预估!D111</f>
        <v>85.878108880436827</v>
      </c>
      <c r="X111" s="5">
        <f t="shared" si="45"/>
        <v>52</v>
      </c>
      <c r="Y111" s="5">
        <f t="shared" si="46"/>
        <v>69</v>
      </c>
      <c r="Z111" s="5">
        <f t="shared" si="47"/>
        <v>20</v>
      </c>
      <c r="AA111" s="5">
        <f t="shared" si="48"/>
        <v>14100</v>
      </c>
      <c r="AB111" s="5">
        <f t="shared" si="49"/>
        <v>9100</v>
      </c>
      <c r="AC111" s="15">
        <f t="shared" si="44"/>
        <v>26</v>
      </c>
      <c r="AD111" s="15">
        <f t="shared" si="38"/>
        <v>26</v>
      </c>
      <c r="AE111" s="15">
        <f t="shared" si="39"/>
        <v>48.3</v>
      </c>
      <c r="AF111" s="15">
        <f t="shared" si="40"/>
        <v>20.7</v>
      </c>
      <c r="AG111" s="15">
        <f t="shared" si="41"/>
        <v>18</v>
      </c>
      <c r="AH111" s="15">
        <f t="shared" si="42"/>
        <v>2</v>
      </c>
      <c r="AL111" s="51">
        <v>101</v>
      </c>
      <c r="AM111" s="51">
        <f t="shared" si="32"/>
        <v>49108.544964607063</v>
      </c>
      <c r="AN111" s="51">
        <f t="shared" si="33"/>
        <v>48483.67261237355</v>
      </c>
      <c r="AO111" s="51">
        <f t="shared" si="34"/>
        <v>43009.827754229264</v>
      </c>
      <c r="AP111" s="51">
        <f t="shared" si="35"/>
        <v>35242.803011050681</v>
      </c>
      <c r="AQ111" s="51">
        <f t="shared" si="36"/>
        <v>19830.114817381338</v>
      </c>
    </row>
    <row r="112" spans="22:43" x14ac:dyDescent="0.15">
      <c r="V112" s="29">
        <f>基础状态预估!C112</f>
        <v>300</v>
      </c>
      <c r="W112" s="46">
        <f>基础状态预估!D112</f>
        <v>87.370536081129359</v>
      </c>
      <c r="X112" s="5">
        <f t="shared" si="45"/>
        <v>58</v>
      </c>
      <c r="Y112" s="5">
        <f t="shared" si="46"/>
        <v>79</v>
      </c>
      <c r="Z112" s="5">
        <f t="shared" si="47"/>
        <v>28</v>
      </c>
      <c r="AA112" s="5">
        <f t="shared" si="48"/>
        <v>16500</v>
      </c>
      <c r="AB112" s="5">
        <f t="shared" si="49"/>
        <v>10700</v>
      </c>
      <c r="AC112" s="15">
        <f t="shared" si="44"/>
        <v>29</v>
      </c>
      <c r="AD112" s="15">
        <f t="shared" si="38"/>
        <v>29</v>
      </c>
      <c r="AE112" s="15">
        <f t="shared" si="39"/>
        <v>55.3</v>
      </c>
      <c r="AF112" s="15">
        <f t="shared" si="40"/>
        <v>23.7</v>
      </c>
      <c r="AG112" s="15">
        <f t="shared" si="41"/>
        <v>25.2</v>
      </c>
      <c r="AH112" s="15">
        <f t="shared" si="42"/>
        <v>2.8000000000000003</v>
      </c>
      <c r="AL112" s="51">
        <v>102</v>
      </c>
      <c r="AM112" s="51">
        <f t="shared" si="32"/>
        <v>54068.250467323502</v>
      </c>
      <c r="AN112" s="51">
        <f t="shared" si="33"/>
        <v>53262.196354045307</v>
      </c>
      <c r="AO112" s="51">
        <f t="shared" si="34"/>
        <v>47210.563613386767</v>
      </c>
      <c r="AP112" s="51">
        <f t="shared" si="35"/>
        <v>38501.717280863071</v>
      </c>
      <c r="AQ112" s="51">
        <f t="shared" si="36"/>
        <v>21821.26948636513</v>
      </c>
    </row>
    <row r="113" spans="22:43" x14ac:dyDescent="0.15">
      <c r="V113" s="29">
        <f>基础状态预估!C113</f>
        <v>360</v>
      </c>
      <c r="W113" s="46">
        <f>基础状态预估!D113</f>
        <v>90.241691698216215</v>
      </c>
      <c r="X113" s="5">
        <f t="shared" si="45"/>
        <v>70</v>
      </c>
      <c r="Y113" s="5">
        <f t="shared" si="46"/>
        <v>99</v>
      </c>
      <c r="Z113" s="5">
        <f t="shared" si="47"/>
        <v>52</v>
      </c>
      <c r="AA113" s="5">
        <f t="shared" si="48"/>
        <v>22100</v>
      </c>
      <c r="AB113" s="5">
        <f t="shared" si="49"/>
        <v>14300</v>
      </c>
      <c r="AC113" s="15">
        <f t="shared" si="44"/>
        <v>35</v>
      </c>
      <c r="AD113" s="15">
        <f t="shared" si="38"/>
        <v>35</v>
      </c>
      <c r="AE113" s="15">
        <f t="shared" si="39"/>
        <v>69.3</v>
      </c>
      <c r="AF113" s="15">
        <f t="shared" si="40"/>
        <v>29.7</v>
      </c>
      <c r="AG113" s="15">
        <f t="shared" si="41"/>
        <v>46.800000000000004</v>
      </c>
      <c r="AH113" s="15">
        <f t="shared" si="42"/>
        <v>5.2</v>
      </c>
      <c r="AL113" s="51">
        <v>103</v>
      </c>
      <c r="AM113" s="51">
        <f t="shared" si="32"/>
        <v>59581.226976952814</v>
      </c>
      <c r="AN113" s="51">
        <f t="shared" si="33"/>
        <v>58511.2206512626</v>
      </c>
      <c r="AO113" s="51">
        <f t="shared" si="34"/>
        <v>51862.085632936571</v>
      </c>
      <c r="AP113" s="51">
        <f t="shared" si="35"/>
        <v>42168.644595293044</v>
      </c>
      <c r="AQ113" s="51">
        <f t="shared" si="36"/>
        <v>23931.901764580216</v>
      </c>
    </row>
    <row r="114" spans="22:43" x14ac:dyDescent="0.15">
      <c r="V114" s="29">
        <f>基础状态预估!C114</f>
        <v>420</v>
      </c>
      <c r="W114" s="46">
        <f>基础状态预估!D114</f>
        <v>92.520930542961992</v>
      </c>
      <c r="X114" s="5">
        <f t="shared" si="45"/>
        <v>82</v>
      </c>
      <c r="Y114" s="5">
        <f t="shared" si="46"/>
        <v>119</v>
      </c>
      <c r="Z114" s="5">
        <f t="shared" si="47"/>
        <v>80</v>
      </c>
      <c r="AA114" s="5">
        <f t="shared" si="48"/>
        <v>28100</v>
      </c>
      <c r="AB114" s="5">
        <f t="shared" si="49"/>
        <v>18300</v>
      </c>
      <c r="AC114" s="15">
        <f t="shared" si="44"/>
        <v>41</v>
      </c>
      <c r="AD114" s="15">
        <f t="shared" si="38"/>
        <v>41</v>
      </c>
      <c r="AE114" s="15">
        <f t="shared" si="39"/>
        <v>83.3</v>
      </c>
      <c r="AF114" s="15">
        <f t="shared" si="40"/>
        <v>35.699999999999996</v>
      </c>
      <c r="AG114" s="15">
        <f t="shared" si="41"/>
        <v>72</v>
      </c>
      <c r="AH114" s="15">
        <f t="shared" si="42"/>
        <v>8</v>
      </c>
      <c r="AL114" s="51">
        <v>104</v>
      </c>
      <c r="AM114" s="51">
        <f t="shared" si="32"/>
        <v>65713.489772665329</v>
      </c>
      <c r="AN114" s="51">
        <f t="shared" si="33"/>
        <v>64090.054083536845</v>
      </c>
      <c r="AO114" s="51">
        <f t="shared" si="34"/>
        <v>57142.939644173937</v>
      </c>
      <c r="AP114" s="51">
        <f t="shared" si="35"/>
        <v>46350.772184899775</v>
      </c>
      <c r="AQ114" s="51">
        <f t="shared" si="36"/>
        <v>26049.318679031592</v>
      </c>
    </row>
    <row r="115" spans="22:43" x14ac:dyDescent="0.15">
      <c r="V115" s="29">
        <f>基础状态预估!C115</f>
        <v>480</v>
      </c>
      <c r="W115" s="46">
        <f>基础状态预估!D115</f>
        <v>94.499876682726793</v>
      </c>
      <c r="X115" s="5">
        <f t="shared" si="45"/>
        <v>94</v>
      </c>
      <c r="Y115" s="5">
        <f t="shared" si="46"/>
        <v>139</v>
      </c>
      <c r="Z115" s="5">
        <f t="shared" si="47"/>
        <v>108</v>
      </c>
      <c r="AA115" s="5">
        <f t="shared" si="48"/>
        <v>34100</v>
      </c>
      <c r="AB115" s="5">
        <f t="shared" si="49"/>
        <v>22300</v>
      </c>
      <c r="AC115" s="15">
        <f t="shared" si="44"/>
        <v>47</v>
      </c>
      <c r="AD115" s="15">
        <f t="shared" si="38"/>
        <v>47</v>
      </c>
      <c r="AE115" s="15">
        <f t="shared" si="39"/>
        <v>97.3</v>
      </c>
      <c r="AF115" s="15">
        <f t="shared" si="40"/>
        <v>41.699999999999996</v>
      </c>
      <c r="AG115" s="15">
        <f t="shared" si="41"/>
        <v>97.2</v>
      </c>
      <c r="AH115" s="15">
        <f t="shared" si="42"/>
        <v>10.8</v>
      </c>
      <c r="AL115" s="51">
        <v>105</v>
      </c>
      <c r="AM115" s="51">
        <f t="shared" si="32"/>
        <v>72443.671763444028</v>
      </c>
      <c r="AN115" s="51">
        <f t="shared" si="33"/>
        <v>70852.761092130648</v>
      </c>
      <c r="AO115" s="51">
        <f t="shared" si="34"/>
        <v>62783.889970737779</v>
      </c>
      <c r="AP115" s="51">
        <f t="shared" si="35"/>
        <v>50878.692359525674</v>
      </c>
      <c r="AQ115" s="51">
        <f t="shared" si="36"/>
        <v>28496.619453706469</v>
      </c>
    </row>
    <row r="116" spans="22:43" x14ac:dyDescent="0.15">
      <c r="V116" s="29">
        <f>基础状态预估!C116</f>
        <v>540</v>
      </c>
      <c r="W116" s="46">
        <f>基础状态预估!D116</f>
        <v>96.254819565842766</v>
      </c>
      <c r="X116" s="5">
        <f t="shared" si="45"/>
        <v>106</v>
      </c>
      <c r="Y116" s="5">
        <f t="shared" si="46"/>
        <v>159</v>
      </c>
      <c r="Z116" s="5">
        <f t="shared" si="47"/>
        <v>140</v>
      </c>
      <c r="AA116" s="5">
        <f t="shared" si="48"/>
        <v>40500</v>
      </c>
      <c r="AB116" s="5">
        <f t="shared" si="49"/>
        <v>26500</v>
      </c>
      <c r="AC116" s="15">
        <f t="shared" si="44"/>
        <v>53</v>
      </c>
      <c r="AD116" s="15">
        <f t="shared" si="38"/>
        <v>53</v>
      </c>
      <c r="AE116" s="15">
        <f t="shared" si="39"/>
        <v>111.3</v>
      </c>
      <c r="AF116" s="15">
        <f t="shared" si="40"/>
        <v>47.699999999999996</v>
      </c>
      <c r="AG116" s="15">
        <f t="shared" si="41"/>
        <v>126</v>
      </c>
      <c r="AH116" s="15">
        <f t="shared" si="42"/>
        <v>14</v>
      </c>
      <c r="AL116" s="51">
        <v>106</v>
      </c>
      <c r="AM116" s="51">
        <f t="shared" si="32"/>
        <v>80107.15881883043</v>
      </c>
      <c r="AN116" s="51">
        <f t="shared" si="33"/>
        <v>78033.492605300315</v>
      </c>
      <c r="AO116" s="51">
        <f t="shared" si="34"/>
        <v>68952.419888091099</v>
      </c>
      <c r="AP116" s="51">
        <f t="shared" si="35"/>
        <v>55611.972831546351</v>
      </c>
      <c r="AQ116" s="51">
        <f t="shared" si="36"/>
        <v>30943.920228381347</v>
      </c>
    </row>
    <row r="117" spans="22:43" x14ac:dyDescent="0.15">
      <c r="V117" s="29">
        <f>基础状态预估!C117</f>
        <v>600</v>
      </c>
      <c r="W117" s="46">
        <f>基础状态预估!D117</f>
        <v>97.702742999048837</v>
      </c>
      <c r="X117" s="5">
        <f t="shared" si="45"/>
        <v>118</v>
      </c>
      <c r="Y117" s="5">
        <f t="shared" si="46"/>
        <v>179</v>
      </c>
      <c r="Z117" s="5">
        <f t="shared" si="47"/>
        <v>176</v>
      </c>
      <c r="AA117" s="5">
        <f t="shared" si="48"/>
        <v>47300</v>
      </c>
      <c r="AB117" s="5">
        <f t="shared" si="49"/>
        <v>30900</v>
      </c>
      <c r="AC117" s="15">
        <f t="shared" si="44"/>
        <v>59</v>
      </c>
      <c r="AD117" s="15">
        <f t="shared" si="38"/>
        <v>59</v>
      </c>
      <c r="AE117" s="15">
        <f t="shared" si="39"/>
        <v>125.3</v>
      </c>
      <c r="AF117" s="15">
        <f t="shared" si="40"/>
        <v>53.699999999999996</v>
      </c>
      <c r="AG117" s="15">
        <f t="shared" si="41"/>
        <v>158.4</v>
      </c>
      <c r="AH117" s="15">
        <f t="shared" si="42"/>
        <v>17.600000000000001</v>
      </c>
      <c r="AL117" s="51">
        <v>107</v>
      </c>
      <c r="AM117" s="51">
        <f t="shared" si="32"/>
        <v>88462.274184674083</v>
      </c>
      <c r="AN117" s="51">
        <f t="shared" si="33"/>
        <v>85763.25345928545</v>
      </c>
      <c r="AO117" s="51">
        <f t="shared" si="34"/>
        <v>75444.943479650741</v>
      </c>
      <c r="AP117" s="51">
        <f t="shared" si="35"/>
        <v>60516.386390546701</v>
      </c>
      <c r="AQ117" s="51">
        <f t="shared" si="36"/>
        <v>33652.401695559201</v>
      </c>
    </row>
    <row r="118" spans="22:43" x14ac:dyDescent="0.15">
      <c r="V118" s="29">
        <f>基础状态预估!C118</f>
        <v>660</v>
      </c>
      <c r="W118" s="46">
        <f>基础状态预估!D118</f>
        <v>99.028118033845786</v>
      </c>
      <c r="X118" s="5">
        <f t="shared" si="45"/>
        <v>130</v>
      </c>
      <c r="Y118" s="5">
        <f t="shared" si="46"/>
        <v>199</v>
      </c>
      <c r="Z118" s="5">
        <f t="shared" si="47"/>
        <v>212</v>
      </c>
      <c r="AA118" s="5">
        <f t="shared" si="48"/>
        <v>54100</v>
      </c>
      <c r="AB118" s="5">
        <f t="shared" si="49"/>
        <v>35300</v>
      </c>
      <c r="AC118" s="15">
        <f t="shared" si="44"/>
        <v>65</v>
      </c>
      <c r="AD118" s="15">
        <f t="shared" si="38"/>
        <v>65</v>
      </c>
      <c r="AE118" s="15">
        <f t="shared" si="39"/>
        <v>139.29999999999998</v>
      </c>
      <c r="AF118" s="15">
        <f t="shared" si="40"/>
        <v>59.699999999999996</v>
      </c>
      <c r="AG118" s="15">
        <f t="shared" si="41"/>
        <v>190.8</v>
      </c>
      <c r="AH118" s="15">
        <f t="shared" si="42"/>
        <v>21.200000000000003</v>
      </c>
      <c r="AL118" s="51">
        <v>108</v>
      </c>
      <c r="AM118" s="51">
        <f t="shared" si="32"/>
        <v>96817.38955051775</v>
      </c>
      <c r="AN118" s="51">
        <f t="shared" si="33"/>
        <v>94269.549192762526</v>
      </c>
      <c r="AO118" s="51">
        <f t="shared" si="34"/>
        <v>82272.436427954235</v>
      </c>
      <c r="AP118" s="51">
        <f t="shared" si="35"/>
        <v>65717.779372592078</v>
      </c>
      <c r="AQ118" s="51">
        <f t="shared" si="36"/>
        <v>36456.547164441028</v>
      </c>
    </row>
    <row r="119" spans="22:43" x14ac:dyDescent="0.15">
      <c r="V119" s="29">
        <f>基础状态预估!C119</f>
        <v>720</v>
      </c>
      <c r="W119" s="46">
        <f>基础状态预估!D119</f>
        <v>100.26856904007842</v>
      </c>
      <c r="X119" s="5">
        <f t="shared" si="45"/>
        <v>142</v>
      </c>
      <c r="Y119" s="5">
        <f t="shared" si="46"/>
        <v>219</v>
      </c>
      <c r="Z119" s="5">
        <f t="shared" si="47"/>
        <v>252</v>
      </c>
      <c r="AA119" s="5">
        <f t="shared" si="48"/>
        <v>61300</v>
      </c>
      <c r="AB119" s="5">
        <f t="shared" si="49"/>
        <v>40100</v>
      </c>
      <c r="AC119" s="15">
        <f t="shared" si="44"/>
        <v>71</v>
      </c>
      <c r="AD119" s="15">
        <f t="shared" si="38"/>
        <v>71</v>
      </c>
      <c r="AE119" s="15">
        <f t="shared" si="39"/>
        <v>153.29999999999998</v>
      </c>
      <c r="AF119" s="15">
        <f t="shared" si="40"/>
        <v>65.7</v>
      </c>
      <c r="AG119" s="15">
        <f t="shared" si="41"/>
        <v>226.8</v>
      </c>
      <c r="AH119" s="15">
        <f t="shared" si="42"/>
        <v>25.200000000000003</v>
      </c>
      <c r="AL119" s="51">
        <v>109</v>
      </c>
      <c r="AM119" s="51">
        <f t="shared" si="32"/>
        <v>106510.98418084547</v>
      </c>
      <c r="AN119" s="51">
        <f t="shared" si="33"/>
        <v>103655.28892321317</v>
      </c>
      <c r="AO119" s="51">
        <f t="shared" si="34"/>
        <v>89933.516012723834</v>
      </c>
      <c r="AP119" s="51">
        <f t="shared" si="35"/>
        <v>71586.277945154943</v>
      </c>
      <c r="AQ119" s="51">
        <f t="shared" si="36"/>
        <v>39649.184973156196</v>
      </c>
    </row>
    <row r="120" spans="22:43" x14ac:dyDescent="0.15">
      <c r="V120" s="29">
        <f>基础状态预估!C120</f>
        <v>780</v>
      </c>
      <c r="W120" s="46">
        <f>基础状态预估!D120</f>
        <v>101.47512451488986</v>
      </c>
      <c r="X120" s="5">
        <f t="shared" si="45"/>
        <v>154</v>
      </c>
      <c r="Y120" s="5">
        <f t="shared" si="46"/>
        <v>239</v>
      </c>
      <c r="Z120" s="5">
        <f t="shared" si="47"/>
        <v>292</v>
      </c>
      <c r="AA120" s="5">
        <f t="shared" si="48"/>
        <v>68500</v>
      </c>
      <c r="AB120" s="5">
        <f t="shared" si="49"/>
        <v>44900</v>
      </c>
      <c r="AC120" s="15">
        <f t="shared" si="44"/>
        <v>77</v>
      </c>
      <c r="AD120" s="15">
        <f t="shared" si="38"/>
        <v>77</v>
      </c>
      <c r="AE120" s="15">
        <f t="shared" si="39"/>
        <v>167.29999999999998</v>
      </c>
      <c r="AF120" s="15">
        <f t="shared" si="40"/>
        <v>71.7</v>
      </c>
      <c r="AG120" s="15">
        <f t="shared" si="41"/>
        <v>262.8</v>
      </c>
      <c r="AH120" s="15">
        <f t="shared" si="42"/>
        <v>29.200000000000003</v>
      </c>
      <c r="AL120" s="51">
        <v>110</v>
      </c>
      <c r="AM120" s="51">
        <f t="shared" si="32"/>
        <v>116425.26873513314</v>
      </c>
      <c r="AN120" s="51">
        <f t="shared" si="33"/>
        <v>113041.02865366382</v>
      </c>
      <c r="AO120" s="51">
        <f t="shared" si="34"/>
        <v>98619.568353238894</v>
      </c>
      <c r="AP120" s="51">
        <f t="shared" si="35"/>
        <v>77890.150103845226</v>
      </c>
      <c r="AQ120" s="51">
        <f t="shared" si="36"/>
        <v>43007.224539627015</v>
      </c>
    </row>
    <row r="121" spans="22:43" x14ac:dyDescent="0.15">
      <c r="V121" s="29">
        <f>基础状态预估!C121</f>
        <v>840</v>
      </c>
      <c r="W121" s="46">
        <f>基础状态预估!D121</f>
        <v>102.61094151224314</v>
      </c>
      <c r="X121" s="5">
        <f t="shared" si="45"/>
        <v>166</v>
      </c>
      <c r="Y121" s="5">
        <f t="shared" si="46"/>
        <v>259</v>
      </c>
      <c r="Z121" s="5">
        <f t="shared" si="47"/>
        <v>336</v>
      </c>
      <c r="AA121" s="5">
        <f t="shared" si="48"/>
        <v>76100</v>
      </c>
      <c r="AB121" s="5">
        <f t="shared" si="49"/>
        <v>49900</v>
      </c>
      <c r="AC121" s="15">
        <f t="shared" si="44"/>
        <v>83</v>
      </c>
      <c r="AD121" s="15">
        <f t="shared" si="38"/>
        <v>83</v>
      </c>
      <c r="AE121" s="15">
        <f t="shared" si="39"/>
        <v>181.29999999999998</v>
      </c>
      <c r="AF121" s="15">
        <f t="shared" si="40"/>
        <v>77.7</v>
      </c>
      <c r="AG121" s="15">
        <f t="shared" si="41"/>
        <v>302.40000000000003</v>
      </c>
      <c r="AH121" s="15">
        <f t="shared" si="42"/>
        <v>33.6</v>
      </c>
      <c r="AL121" s="51">
        <v>111</v>
      </c>
      <c r="AM121" s="51">
        <f t="shared" si="32"/>
        <v>127966.10302629076</v>
      </c>
      <c r="AN121" s="51">
        <f t="shared" si="33"/>
        <v>123746.90923603253</v>
      </c>
      <c r="AO121" s="51">
        <f t="shared" si="34"/>
        <v>108148.85294355205</v>
      </c>
      <c r="AP121" s="51">
        <f t="shared" si="35"/>
        <v>84859.637334347921</v>
      </c>
      <c r="AQ121" s="51">
        <f t="shared" si="36"/>
        <v>46802.304133219586</v>
      </c>
    </row>
    <row r="122" spans="22:43" x14ac:dyDescent="0.15">
      <c r="V122" s="29">
        <f>基础状态预估!C122</f>
        <v>900</v>
      </c>
      <c r="W122" s="46">
        <f>基础状态预估!D122</f>
        <v>103.60238266350056</v>
      </c>
      <c r="X122" s="5">
        <f t="shared" si="45"/>
        <v>178</v>
      </c>
      <c r="Y122" s="5">
        <f t="shared" si="46"/>
        <v>279</v>
      </c>
      <c r="Z122" s="5">
        <f t="shared" si="47"/>
        <v>380</v>
      </c>
      <c r="AA122" s="5">
        <f t="shared" si="48"/>
        <v>83700</v>
      </c>
      <c r="AB122" s="5">
        <f t="shared" si="49"/>
        <v>54900</v>
      </c>
      <c r="AC122" s="15">
        <f t="shared" si="44"/>
        <v>89</v>
      </c>
      <c r="AD122" s="15">
        <f t="shared" si="38"/>
        <v>89</v>
      </c>
      <c r="AE122" s="15">
        <f t="shared" si="39"/>
        <v>195.29999999999998</v>
      </c>
      <c r="AF122" s="15">
        <f t="shared" si="40"/>
        <v>83.7</v>
      </c>
      <c r="AG122" s="15">
        <f t="shared" si="41"/>
        <v>342</v>
      </c>
      <c r="AH122" s="15">
        <f t="shared" si="42"/>
        <v>38</v>
      </c>
      <c r="AL122" s="51">
        <v>112</v>
      </c>
      <c r="AM122" s="51">
        <f t="shared" si="32"/>
        <v>140424.11206664608</v>
      </c>
      <c r="AN122" s="51">
        <f t="shared" si="33"/>
        <v>135573.27605563874</v>
      </c>
      <c r="AO122" s="51">
        <f t="shared" si="34"/>
        <v>118848.07031835403</v>
      </c>
      <c r="AP122" s="51">
        <f t="shared" si="35"/>
        <v>92117.138744826152</v>
      </c>
      <c r="AQ122" s="51">
        <f t="shared" si="36"/>
        <v>50641.757431976985</v>
      </c>
    </row>
    <row r="123" spans="22:43" x14ac:dyDescent="0.15">
      <c r="V123" s="29">
        <f>基础状态预估!C123</f>
        <v>1020</v>
      </c>
      <c r="W123" s="46">
        <f>基础状态预估!D123</f>
        <v>105.37513360458028</v>
      </c>
      <c r="X123" s="5">
        <f t="shared" si="45"/>
        <v>202</v>
      </c>
      <c r="Y123" s="5">
        <f t="shared" si="46"/>
        <v>319</v>
      </c>
      <c r="Z123" s="5">
        <f t="shared" si="47"/>
        <v>468</v>
      </c>
      <c r="AA123" s="5">
        <f t="shared" si="48"/>
        <v>98900</v>
      </c>
      <c r="AB123" s="5">
        <f t="shared" si="49"/>
        <v>64900</v>
      </c>
      <c r="AC123" s="15">
        <f t="shared" si="44"/>
        <v>101</v>
      </c>
      <c r="AD123" s="15">
        <f t="shared" si="38"/>
        <v>101</v>
      </c>
      <c r="AE123" s="15">
        <f t="shared" si="39"/>
        <v>223.29999999999998</v>
      </c>
      <c r="AF123" s="15">
        <f t="shared" si="40"/>
        <v>95.7</v>
      </c>
      <c r="AG123" s="15">
        <f t="shared" si="41"/>
        <v>421.2</v>
      </c>
      <c r="AH123" s="15">
        <f t="shared" si="42"/>
        <v>46.800000000000004</v>
      </c>
      <c r="AL123" s="51">
        <v>113</v>
      </c>
      <c r="AM123" s="51">
        <f t="shared" si="32"/>
        <v>154032.96792848571</v>
      </c>
      <c r="AN123" s="51">
        <f t="shared" si="33"/>
        <v>148280.17305205745</v>
      </c>
      <c r="AO123" s="51">
        <f t="shared" si="34"/>
        <v>129547.28769315602</v>
      </c>
      <c r="AP123" s="51">
        <f t="shared" si="35"/>
        <v>99661.08802539215</v>
      </c>
      <c r="AQ123" s="51">
        <f t="shared" si="36"/>
        <v>54562.324081308412</v>
      </c>
    </row>
    <row r="124" spans="22:43" x14ac:dyDescent="0.15">
      <c r="V124" s="29">
        <f>基础状态预估!C124</f>
        <v>1140</v>
      </c>
      <c r="W124" s="46">
        <f>基础状态预估!D124</f>
        <v>106.97877061452158</v>
      </c>
      <c r="X124" s="5">
        <f t="shared" si="45"/>
        <v>226</v>
      </c>
      <c r="Y124" s="5">
        <f t="shared" si="46"/>
        <v>359</v>
      </c>
      <c r="Z124" s="5">
        <f t="shared" si="47"/>
        <v>564</v>
      </c>
      <c r="AA124" s="5">
        <f t="shared" si="48"/>
        <v>114900</v>
      </c>
      <c r="AB124" s="5">
        <f t="shared" si="49"/>
        <v>75300</v>
      </c>
      <c r="AC124" s="15">
        <f t="shared" si="44"/>
        <v>113</v>
      </c>
      <c r="AD124" s="15">
        <f t="shared" si="38"/>
        <v>113</v>
      </c>
      <c r="AE124" s="15">
        <f t="shared" si="39"/>
        <v>251.29999999999998</v>
      </c>
      <c r="AF124" s="15">
        <f t="shared" si="40"/>
        <v>107.7</v>
      </c>
      <c r="AG124" s="15">
        <f t="shared" si="41"/>
        <v>507.6</v>
      </c>
      <c r="AH124" s="15">
        <f t="shared" si="42"/>
        <v>56.400000000000006</v>
      </c>
      <c r="AL124" s="51">
        <v>114</v>
      </c>
      <c r="AM124" s="51">
        <f t="shared" si="32"/>
        <v>168123.62005275517</v>
      </c>
      <c r="AN124" s="51">
        <f t="shared" si="33"/>
        <v>162677.99448816187</v>
      </c>
      <c r="AO124" s="51">
        <f t="shared" si="34"/>
        <v>140770.67996800615</v>
      </c>
      <c r="AP124" s="51">
        <f t="shared" si="35"/>
        <v>107525.16766480803</v>
      </c>
      <c r="AQ124" s="51">
        <f t="shared" si="36"/>
        <v>58802.378985229407</v>
      </c>
    </row>
    <row r="125" spans="22:43" x14ac:dyDescent="0.15">
      <c r="V125" s="29">
        <f>基础状态预估!C125</f>
        <v>1260</v>
      </c>
      <c r="W125" s="46">
        <f>基础状态预估!D125</f>
        <v>108.50202374400071</v>
      </c>
      <c r="X125" s="5">
        <f t="shared" si="45"/>
        <v>250</v>
      </c>
      <c r="Y125" s="5">
        <f t="shared" si="46"/>
        <v>399</v>
      </c>
      <c r="Z125" s="5">
        <f t="shared" si="47"/>
        <v>660</v>
      </c>
      <c r="AA125" s="5">
        <f t="shared" si="48"/>
        <v>130900</v>
      </c>
      <c r="AB125" s="5">
        <f t="shared" si="49"/>
        <v>85700</v>
      </c>
      <c r="AC125" s="15">
        <f t="shared" si="44"/>
        <v>125</v>
      </c>
      <c r="AD125" s="15">
        <f t="shared" si="38"/>
        <v>125</v>
      </c>
      <c r="AE125" s="15">
        <f t="shared" si="39"/>
        <v>279.29999999999995</v>
      </c>
      <c r="AF125" s="15">
        <f t="shared" si="40"/>
        <v>119.69999999999999</v>
      </c>
      <c r="AG125" s="15">
        <f t="shared" si="41"/>
        <v>594</v>
      </c>
      <c r="AH125" s="15">
        <f t="shared" si="42"/>
        <v>66</v>
      </c>
      <c r="AL125" s="51">
        <v>115</v>
      </c>
      <c r="AM125" s="51">
        <f t="shared" si="32"/>
        <v>184667.99776604882</v>
      </c>
      <c r="AN125" s="51">
        <f t="shared" si="33"/>
        <v>177784.78606150311</v>
      </c>
      <c r="AO125" s="51">
        <f t="shared" si="34"/>
        <v>152822.42461725141</v>
      </c>
      <c r="AP125" s="51">
        <f t="shared" si="35"/>
        <v>115886.56611122839</v>
      </c>
      <c r="AQ125" s="51">
        <f t="shared" si="36"/>
        <v>63389.200109931298</v>
      </c>
    </row>
    <row r="126" spans="22:43" x14ac:dyDescent="0.15">
      <c r="V126" s="29">
        <f>基础状态预估!C126</f>
        <v>1380</v>
      </c>
      <c r="W126" s="46">
        <f>基础状态预估!D126</f>
        <v>109.8194473820428</v>
      </c>
      <c r="X126" s="5">
        <f t="shared" si="45"/>
        <v>274</v>
      </c>
      <c r="Y126" s="5">
        <f t="shared" si="46"/>
        <v>439</v>
      </c>
      <c r="Z126" s="5">
        <f t="shared" si="47"/>
        <v>764</v>
      </c>
      <c r="AA126" s="5">
        <f t="shared" si="48"/>
        <v>147700</v>
      </c>
      <c r="AB126" s="5">
        <f t="shared" si="49"/>
        <v>96900</v>
      </c>
      <c r="AC126" s="15">
        <f t="shared" si="44"/>
        <v>137</v>
      </c>
      <c r="AD126" s="15">
        <f t="shared" si="38"/>
        <v>137</v>
      </c>
      <c r="AE126" s="15">
        <f t="shared" si="39"/>
        <v>307.29999999999995</v>
      </c>
      <c r="AF126" s="15">
        <f t="shared" si="40"/>
        <v>131.69999999999999</v>
      </c>
      <c r="AG126" s="15">
        <f t="shared" si="41"/>
        <v>687.6</v>
      </c>
      <c r="AH126" s="15">
        <f t="shared" si="42"/>
        <v>76.400000000000006</v>
      </c>
      <c r="AL126" s="51">
        <v>116</v>
      </c>
      <c r="AM126" s="51">
        <f t="shared" si="32"/>
        <v>201994.09974146166</v>
      </c>
      <c r="AN126" s="51">
        <f t="shared" si="33"/>
        <v>193965.34476588157</v>
      </c>
      <c r="AO126" s="51">
        <f t="shared" si="34"/>
        <v>165044.61583249521</v>
      </c>
      <c r="AP126" s="51">
        <f t="shared" si="35"/>
        <v>125214.34076725283</v>
      </c>
      <c r="AQ126" s="51">
        <f t="shared" si="36"/>
        <v>68438.486167110372</v>
      </c>
    </row>
    <row r="127" spans="22:43" x14ac:dyDescent="0.15">
      <c r="V127" s="29">
        <f>基础状态预估!C127</f>
        <v>1500</v>
      </c>
      <c r="W127" s="46">
        <f>基础状态预估!D127</f>
        <v>110.99543397036992</v>
      </c>
      <c r="X127" s="5">
        <f t="shared" si="45"/>
        <v>298</v>
      </c>
      <c r="Y127" s="5">
        <f t="shared" si="46"/>
        <v>479</v>
      </c>
      <c r="Z127" s="5">
        <f t="shared" si="47"/>
        <v>868</v>
      </c>
      <c r="AA127" s="5">
        <f t="shared" si="48"/>
        <v>164500</v>
      </c>
      <c r="AB127" s="5">
        <f t="shared" si="49"/>
        <v>108100</v>
      </c>
      <c r="AC127" s="15">
        <f t="shared" si="44"/>
        <v>149</v>
      </c>
      <c r="AD127" s="15">
        <f t="shared" si="38"/>
        <v>149</v>
      </c>
      <c r="AE127" s="15">
        <f t="shared" si="39"/>
        <v>335.29999999999995</v>
      </c>
      <c r="AF127" s="15">
        <f t="shared" si="40"/>
        <v>143.69999999999999</v>
      </c>
      <c r="AG127" s="15">
        <f t="shared" si="41"/>
        <v>781.2</v>
      </c>
      <c r="AH127" s="15">
        <f t="shared" si="42"/>
        <v>86.800000000000011</v>
      </c>
      <c r="AL127" s="51">
        <v>117</v>
      </c>
      <c r="AM127" s="51">
        <f t="shared" si="32"/>
        <v>220417.72499652946</v>
      </c>
      <c r="AN127" s="51">
        <f t="shared" si="33"/>
        <v>211658.03382723912</v>
      </c>
      <c r="AO127" s="51">
        <f t="shared" si="34"/>
        <v>179749.75758577589</v>
      </c>
      <c r="AP127" s="51">
        <f t="shared" si="35"/>
        <v>136042.8544163836</v>
      </c>
      <c r="AQ127" s="51">
        <f t="shared" si="36"/>
        <v>73961.213516982127</v>
      </c>
    </row>
    <row r="128" spans="22:43" x14ac:dyDescent="0.15">
      <c r="V128" s="29">
        <f>基础状态预估!C128</f>
        <v>1800</v>
      </c>
      <c r="W128" s="46">
        <f>基础状态预估!D128</f>
        <v>113.61244781532119</v>
      </c>
      <c r="X128" s="5">
        <f t="shared" si="45"/>
        <v>358</v>
      </c>
      <c r="Y128" s="5">
        <f t="shared" si="46"/>
        <v>579</v>
      </c>
      <c r="Z128" s="5">
        <f t="shared" si="47"/>
        <v>1128</v>
      </c>
      <c r="AA128" s="5">
        <f t="shared" si="48"/>
        <v>206500</v>
      </c>
      <c r="AB128" s="5">
        <f t="shared" si="49"/>
        <v>136100</v>
      </c>
      <c r="AC128" s="15">
        <f t="shared" si="44"/>
        <v>179</v>
      </c>
      <c r="AD128" s="15">
        <f t="shared" si="38"/>
        <v>179</v>
      </c>
      <c r="AE128" s="15">
        <f t="shared" si="39"/>
        <v>405.29999999999995</v>
      </c>
      <c r="AF128" s="15">
        <f t="shared" si="40"/>
        <v>173.7</v>
      </c>
      <c r="AG128" s="15">
        <f t="shared" si="41"/>
        <v>1015.2</v>
      </c>
      <c r="AH128" s="15">
        <f t="shared" si="42"/>
        <v>112.80000000000001</v>
      </c>
      <c r="AL128" s="51">
        <v>118</v>
      </c>
      <c r="AM128" s="51">
        <f t="shared" si="32"/>
        <v>241146.91815240099</v>
      </c>
      <c r="AN128" s="51">
        <f t="shared" si="33"/>
        <v>230424.19647160356</v>
      </c>
      <c r="AO128" s="51">
        <f t="shared" si="34"/>
        <v>194786.02964242842</v>
      </c>
      <c r="AP128" s="51">
        <f t="shared" si="35"/>
        <v>146871.36806551437</v>
      </c>
      <c r="AQ128" s="51">
        <f t="shared" si="36"/>
        <v>79841.23512089478</v>
      </c>
    </row>
    <row r="129" spans="22:43" x14ac:dyDescent="0.15">
      <c r="V129" s="29">
        <f>基础状态预估!C129</f>
        <v>2100</v>
      </c>
      <c r="W129" s="46">
        <f>基础状态预估!D129</f>
        <v>115.93576288835948</v>
      </c>
      <c r="X129" s="5">
        <f t="shared" si="45"/>
        <v>418</v>
      </c>
      <c r="Y129" s="5">
        <f t="shared" si="46"/>
        <v>679</v>
      </c>
      <c r="Z129" s="5">
        <f t="shared" si="47"/>
        <v>1388</v>
      </c>
      <c r="AA129" s="5">
        <f t="shared" si="48"/>
        <v>248500</v>
      </c>
      <c r="AB129" s="5">
        <f t="shared" si="49"/>
        <v>164100</v>
      </c>
      <c r="AC129" s="15">
        <f t="shared" si="44"/>
        <v>209</v>
      </c>
      <c r="AD129" s="15">
        <f t="shared" si="38"/>
        <v>209</v>
      </c>
      <c r="AE129" s="15">
        <f t="shared" si="39"/>
        <v>475.29999999999995</v>
      </c>
      <c r="AF129" s="15">
        <f t="shared" si="40"/>
        <v>203.7</v>
      </c>
      <c r="AG129" s="15">
        <f t="shared" si="41"/>
        <v>1249.2</v>
      </c>
      <c r="AH129" s="15">
        <f t="shared" si="42"/>
        <v>138.80000000000001</v>
      </c>
      <c r="AL129" s="51">
        <v>119</v>
      </c>
      <c r="AM129" s="51">
        <f t="shared" si="32"/>
        <v>263472.28206237662</v>
      </c>
      <c r="AN129" s="51">
        <f t="shared" si="33"/>
        <v>251008.91499294405</v>
      </c>
      <c r="AO129" s="51">
        <f t="shared" si="34"/>
        <v>211558.91075472574</v>
      </c>
      <c r="AP129" s="51">
        <f t="shared" si="35"/>
        <v>158277.43761811353</v>
      </c>
      <c r="AQ129" s="51">
        <f t="shared" si="36"/>
        <v>85848.745919020352</v>
      </c>
    </row>
    <row r="130" spans="22:43" x14ac:dyDescent="0.15">
      <c r="V130" s="29">
        <f>基础状态预估!C130</f>
        <v>2400</v>
      </c>
      <c r="W130" s="46">
        <f>基础状态预估!D130</f>
        <v>117.8398587801079</v>
      </c>
      <c r="X130" s="5">
        <f t="shared" si="45"/>
        <v>478</v>
      </c>
      <c r="Y130" s="5">
        <f t="shared" si="46"/>
        <v>779</v>
      </c>
      <c r="Z130" s="5">
        <f t="shared" si="47"/>
        <v>1648</v>
      </c>
      <c r="AA130" s="5">
        <f t="shared" si="48"/>
        <v>290500</v>
      </c>
      <c r="AB130" s="5">
        <f t="shared" si="49"/>
        <v>192100</v>
      </c>
      <c r="AC130" s="15">
        <f t="shared" si="44"/>
        <v>239</v>
      </c>
      <c r="AD130" s="15">
        <f t="shared" si="38"/>
        <v>239</v>
      </c>
      <c r="AE130" s="15">
        <f t="shared" si="39"/>
        <v>545.29999999999995</v>
      </c>
      <c r="AF130" s="15">
        <f t="shared" si="40"/>
        <v>233.7</v>
      </c>
      <c r="AG130" s="15">
        <f t="shared" si="41"/>
        <v>1483.2</v>
      </c>
      <c r="AH130" s="15">
        <f t="shared" si="42"/>
        <v>164.8</v>
      </c>
      <c r="AL130" s="51">
        <v>120</v>
      </c>
      <c r="AM130" s="51">
        <f t="shared" si="32"/>
        <v>288636.81818642619</v>
      </c>
      <c r="AN130" s="51">
        <f t="shared" si="33"/>
        <v>272979.7995578855</v>
      </c>
      <c r="AO130" s="51">
        <f t="shared" si="34"/>
        <v>228719.77126911658</v>
      </c>
      <c r="AP130" s="51">
        <f t="shared" si="35"/>
        <v>170253.51231742947</v>
      </c>
      <c r="AQ130" s="51">
        <f t="shared" si="36"/>
        <v>92367.837236903724</v>
      </c>
    </row>
    <row r="131" spans="22:43" x14ac:dyDescent="0.15">
      <c r="V131" s="29">
        <f>基础状态预估!C131</f>
        <v>2700</v>
      </c>
      <c r="W131" s="46">
        <f>基础状态预估!D131</f>
        <v>119.50922016248074</v>
      </c>
      <c r="X131" s="5">
        <f t="shared" si="45"/>
        <v>538</v>
      </c>
      <c r="Y131" s="5">
        <f t="shared" si="46"/>
        <v>879</v>
      </c>
      <c r="Z131" s="5">
        <f t="shared" si="47"/>
        <v>1908</v>
      </c>
      <c r="AA131" s="5">
        <f t="shared" si="48"/>
        <v>332500</v>
      </c>
      <c r="AB131" s="5">
        <f t="shared" si="49"/>
        <v>220100</v>
      </c>
      <c r="AC131" s="15">
        <f t="shared" si="44"/>
        <v>269</v>
      </c>
      <c r="AD131" s="15">
        <f t="shared" si="38"/>
        <v>269</v>
      </c>
      <c r="AE131" s="15">
        <f t="shared" si="39"/>
        <v>615.29999999999995</v>
      </c>
      <c r="AF131" s="15">
        <f t="shared" si="40"/>
        <v>263.7</v>
      </c>
      <c r="AG131" s="15">
        <f t="shared" si="41"/>
        <v>1717.2</v>
      </c>
      <c r="AH131" s="15">
        <f t="shared" si="42"/>
        <v>190.8</v>
      </c>
      <c r="AL131" s="51">
        <v>121</v>
      </c>
      <c r="AM131" s="51">
        <f t="shared" si="32"/>
        <v>316086.72966807493</v>
      </c>
      <c r="AN131" s="51">
        <f t="shared" si="33"/>
        <v>295969.84349026496</v>
      </c>
      <c r="AO131" s="51">
        <f t="shared" si="34"/>
        <v>246283.188936572</v>
      </c>
      <c r="AP131" s="51">
        <f t="shared" si="35"/>
        <v>182665.25097157111</v>
      </c>
      <c r="AQ131" s="51">
        <f t="shared" si="36"/>
        <v>99145.234672446779</v>
      </c>
    </row>
    <row r="132" spans="22:43" x14ac:dyDescent="0.15">
      <c r="V132" s="29">
        <f>基础状态预估!C132</f>
        <v>3000</v>
      </c>
      <c r="W132" s="46">
        <f>基础状态预估!D132</f>
        <v>121.10344291172865</v>
      </c>
      <c r="X132" s="5">
        <f t="shared" si="45"/>
        <v>598</v>
      </c>
      <c r="Y132" s="5">
        <f t="shared" si="46"/>
        <v>979</v>
      </c>
      <c r="Z132" s="5">
        <f t="shared" si="47"/>
        <v>2168</v>
      </c>
      <c r="AA132" s="5">
        <f t="shared" si="48"/>
        <v>374500</v>
      </c>
      <c r="AB132" s="5">
        <f t="shared" si="49"/>
        <v>248100</v>
      </c>
      <c r="AC132" s="15">
        <f t="shared" si="44"/>
        <v>299</v>
      </c>
      <c r="AD132" s="15">
        <f t="shared" si="38"/>
        <v>299</v>
      </c>
      <c r="AE132" s="15">
        <f t="shared" si="39"/>
        <v>685.3</v>
      </c>
      <c r="AF132" s="15">
        <f t="shared" si="40"/>
        <v>293.7</v>
      </c>
      <c r="AG132" s="15">
        <f t="shared" si="41"/>
        <v>1951.2</v>
      </c>
      <c r="AH132" s="15">
        <f t="shared" si="42"/>
        <v>216.8</v>
      </c>
      <c r="AL132" s="51">
        <v>122</v>
      </c>
      <c r="AM132" s="51">
        <f t="shared" si="32"/>
        <v>345463.17739515245</v>
      </c>
      <c r="AN132" s="51">
        <f t="shared" si="33"/>
        <v>320329.90751886187</v>
      </c>
      <c r="AO132" s="51">
        <f t="shared" si="34"/>
        <v>266172.47614231345</v>
      </c>
      <c r="AP132" s="51">
        <f t="shared" si="35"/>
        <v>197276.99867877003</v>
      </c>
      <c r="AQ132" s="51">
        <f t="shared" si="36"/>
        <v>106956.68670590488</v>
      </c>
    </row>
    <row r="133" spans="22:43" x14ac:dyDescent="0.15">
      <c r="V133" s="29">
        <f>基础状态预估!C133</f>
        <v>3300</v>
      </c>
      <c r="W133" s="46">
        <f>基础状态预估!D133</f>
        <v>122.49249432194588</v>
      </c>
      <c r="X133" s="5">
        <f t="shared" si="45"/>
        <v>658</v>
      </c>
      <c r="Y133" s="5">
        <f t="shared" si="46"/>
        <v>1079</v>
      </c>
      <c r="Z133" s="5">
        <f t="shared" si="47"/>
        <v>2428</v>
      </c>
      <c r="AA133" s="5">
        <f t="shared" si="48"/>
        <v>416500</v>
      </c>
      <c r="AB133" s="5">
        <f t="shared" si="49"/>
        <v>276100</v>
      </c>
      <c r="AC133" s="15">
        <f t="shared" si="44"/>
        <v>329</v>
      </c>
      <c r="AD133" s="15">
        <f t="shared" si="38"/>
        <v>329</v>
      </c>
      <c r="AE133" s="15">
        <f t="shared" si="39"/>
        <v>755.3</v>
      </c>
      <c r="AF133" s="15">
        <f t="shared" si="40"/>
        <v>323.7</v>
      </c>
      <c r="AG133" s="15">
        <f t="shared" si="41"/>
        <v>2185.2000000000003</v>
      </c>
      <c r="AH133" s="15">
        <f t="shared" si="42"/>
        <v>242.8</v>
      </c>
      <c r="AL133" s="51">
        <v>123</v>
      </c>
      <c r="AM133" s="51">
        <f t="shared" si="32"/>
        <v>461601.70254084625</v>
      </c>
      <c r="AN133" s="51">
        <f t="shared" si="33"/>
        <v>346962.23711130378</v>
      </c>
      <c r="AO133" s="51">
        <f t="shared" si="34"/>
        <v>287709.24643733643</v>
      </c>
      <c r="AP133" s="51">
        <f t="shared" si="35"/>
        <v>212491.92094667102</v>
      </c>
      <c r="AQ133" s="51">
        <f t="shared" si="36"/>
        <v>115467.41298069159</v>
      </c>
    </row>
    <row r="134" spans="22:43" x14ac:dyDescent="0.15">
      <c r="V134" s="29">
        <f>基础状态预估!C134</f>
        <v>3600</v>
      </c>
      <c r="W134" s="46">
        <f>基础状态预估!D134</f>
        <v>123.71653233872999</v>
      </c>
      <c r="X134" s="5">
        <f t="shared" si="45"/>
        <v>718</v>
      </c>
      <c r="Y134" s="5">
        <f t="shared" si="46"/>
        <v>1179</v>
      </c>
      <c r="Z134" s="5">
        <f t="shared" si="47"/>
        <v>2688</v>
      </c>
      <c r="AA134" s="5">
        <f t="shared" si="48"/>
        <v>458500</v>
      </c>
      <c r="AB134" s="5">
        <f t="shared" si="49"/>
        <v>304100</v>
      </c>
      <c r="AC134" s="15">
        <f t="shared" si="44"/>
        <v>359</v>
      </c>
      <c r="AD134" s="15">
        <f t="shared" si="38"/>
        <v>359</v>
      </c>
      <c r="AE134" s="15">
        <f t="shared" si="39"/>
        <v>825.3</v>
      </c>
      <c r="AF134" s="15">
        <f t="shared" si="40"/>
        <v>353.7</v>
      </c>
      <c r="AG134" s="15">
        <f t="shared" si="41"/>
        <v>2419.2000000000003</v>
      </c>
      <c r="AH134" s="15">
        <f t="shared" si="42"/>
        <v>268.8</v>
      </c>
      <c r="AL134" s="51">
        <v>124</v>
      </c>
      <c r="AM134" s="51">
        <f t="shared" si="32"/>
        <v>611898.95382352604</v>
      </c>
      <c r="AN134" s="51">
        <f t="shared" si="33"/>
        <v>376109.99490348418</v>
      </c>
      <c r="AO134" s="51">
        <f t="shared" si="34"/>
        <v>311096.15052676736</v>
      </c>
      <c r="AP134" s="51">
        <f t="shared" si="35"/>
        <v>229525.77604183293</v>
      </c>
      <c r="AQ134" s="51">
        <f t="shared" si="36"/>
        <v>124412.53141771036</v>
      </c>
    </row>
    <row r="135" spans="22:43" x14ac:dyDescent="0.15">
      <c r="V135" s="29">
        <f>基础状态预估!C135</f>
        <v>3900</v>
      </c>
      <c r="W135" s="46">
        <f>基础状态预估!D135</f>
        <v>124.85102687042894</v>
      </c>
      <c r="X135" s="5">
        <f t="shared" si="45"/>
        <v>778</v>
      </c>
      <c r="Y135" s="5">
        <f t="shared" si="46"/>
        <v>1279</v>
      </c>
      <c r="Z135" s="5">
        <f t="shared" si="47"/>
        <v>2948</v>
      </c>
      <c r="AA135" s="5">
        <f t="shared" si="48"/>
        <v>500500</v>
      </c>
      <c r="AB135" s="5">
        <f t="shared" si="49"/>
        <v>332100</v>
      </c>
      <c r="AC135" s="15">
        <f t="shared" si="44"/>
        <v>389</v>
      </c>
      <c r="AD135" s="15">
        <f t="shared" si="38"/>
        <v>389</v>
      </c>
      <c r="AE135" s="15">
        <f t="shared" si="39"/>
        <v>895.3</v>
      </c>
      <c r="AF135" s="15">
        <f t="shared" si="40"/>
        <v>383.7</v>
      </c>
      <c r="AG135" s="15">
        <f t="shared" si="41"/>
        <v>2653.2000000000003</v>
      </c>
      <c r="AH135" s="15">
        <f t="shared" si="42"/>
        <v>294.8</v>
      </c>
      <c r="AL135" s="51">
        <v>125</v>
      </c>
      <c r="AM135" s="51">
        <f t="shared" si="32"/>
        <v>762196.20510620589</v>
      </c>
      <c r="AN135" s="51">
        <f t="shared" si="33"/>
        <v>453544.78355398931</v>
      </c>
      <c r="AO135" s="51">
        <f t="shared" si="34"/>
        <v>336042.15897663642</v>
      </c>
      <c r="AP135" s="51">
        <f t="shared" si="35"/>
        <v>247049.30166863406</v>
      </c>
      <c r="AQ135" s="51">
        <f t="shared" si="36"/>
        <v>133457.69617085892</v>
      </c>
    </row>
    <row r="136" spans="22:43" x14ac:dyDescent="0.15">
      <c r="V136" s="29">
        <f>基础状态预估!C136</f>
        <v>4200</v>
      </c>
      <c r="W136" s="46">
        <f>基础状态预估!D136</f>
        <v>125.90913935465674</v>
      </c>
      <c r="X136" s="5">
        <f t="shared" si="45"/>
        <v>838</v>
      </c>
      <c r="Y136" s="5">
        <f t="shared" si="46"/>
        <v>1379</v>
      </c>
      <c r="Z136" s="5">
        <f t="shared" si="47"/>
        <v>3208</v>
      </c>
      <c r="AA136" s="5">
        <f t="shared" si="48"/>
        <v>542500</v>
      </c>
      <c r="AB136" s="5">
        <f t="shared" si="49"/>
        <v>360100</v>
      </c>
      <c r="AC136" s="15">
        <f t="shared" si="44"/>
        <v>419</v>
      </c>
      <c r="AD136" s="15">
        <f t="shared" si="38"/>
        <v>419</v>
      </c>
      <c r="AE136" s="15">
        <f t="shared" si="39"/>
        <v>965.3</v>
      </c>
      <c r="AF136" s="15">
        <f t="shared" si="40"/>
        <v>413.7</v>
      </c>
      <c r="AG136" s="15">
        <f t="shared" si="41"/>
        <v>2887.2000000000003</v>
      </c>
      <c r="AH136" s="15">
        <f t="shared" si="42"/>
        <v>320.8</v>
      </c>
      <c r="AL136" s="51">
        <v>126</v>
      </c>
      <c r="AM136" s="51">
        <f t="shared" si="32"/>
        <v>912493.45638888574</v>
      </c>
      <c r="AN136" s="51">
        <f t="shared" si="33"/>
        <v>613842.0754524467</v>
      </c>
      <c r="AO136" s="51">
        <f t="shared" si="34"/>
        <v>362500.03965820378</v>
      </c>
      <c r="AP136" s="51">
        <f t="shared" si="35"/>
        <v>264929.17718851607</v>
      </c>
      <c r="AQ136" s="51">
        <f t="shared" si="36"/>
        <v>143537.0719664846</v>
      </c>
    </row>
    <row r="137" spans="22:43" x14ac:dyDescent="0.15">
      <c r="V137" s="29">
        <f>基础状态预估!C137</f>
        <v>4500</v>
      </c>
      <c r="W137" s="46">
        <f>基础状态预估!D137</f>
        <v>126.96916270090227</v>
      </c>
      <c r="X137" s="5">
        <f t="shared" si="45"/>
        <v>898</v>
      </c>
      <c r="Y137" s="5">
        <f t="shared" si="46"/>
        <v>1479</v>
      </c>
      <c r="Z137" s="5">
        <f t="shared" si="47"/>
        <v>3468</v>
      </c>
      <c r="AA137" s="5">
        <f t="shared" si="48"/>
        <v>584500</v>
      </c>
      <c r="AB137" s="5">
        <f t="shared" si="49"/>
        <v>388100</v>
      </c>
      <c r="AC137" s="15">
        <f t="shared" si="44"/>
        <v>449</v>
      </c>
      <c r="AD137" s="15">
        <f t="shared" si="38"/>
        <v>449</v>
      </c>
      <c r="AE137" s="15">
        <f t="shared" si="39"/>
        <v>1035.3</v>
      </c>
      <c r="AF137" s="15">
        <f t="shared" si="40"/>
        <v>443.7</v>
      </c>
      <c r="AG137" s="15">
        <f t="shared" si="41"/>
        <v>3121.2000000000003</v>
      </c>
      <c r="AH137" s="15">
        <f t="shared" si="42"/>
        <v>346.8</v>
      </c>
      <c r="AL137" s="51">
        <v>127</v>
      </c>
      <c r="AM137" s="51">
        <f t="shared" si="32"/>
        <v>1062790.7076715655</v>
      </c>
      <c r="AN137" s="51">
        <f t="shared" si="33"/>
        <v>774139.36735090427</v>
      </c>
      <c r="AO137" s="51">
        <f t="shared" si="34"/>
        <v>388954.31638048182</v>
      </c>
      <c r="AP137" s="51">
        <f t="shared" si="35"/>
        <v>283799.34186408634</v>
      </c>
      <c r="AQ137" s="51">
        <f t="shared" si="36"/>
        <v>153616.44776211027</v>
      </c>
    </row>
    <row r="138" spans="22:43" x14ac:dyDescent="0.15">
      <c r="V138" s="29">
        <f>基础状态预估!C138</f>
        <v>4800</v>
      </c>
      <c r="W138" s="46">
        <f>基础状态预估!D138</f>
        <v>127.97984726046715</v>
      </c>
      <c r="X138" s="5">
        <f t="shared" si="45"/>
        <v>958</v>
      </c>
      <c r="Y138" s="5">
        <f t="shared" si="46"/>
        <v>1579</v>
      </c>
      <c r="Z138" s="5">
        <f t="shared" si="47"/>
        <v>3728</v>
      </c>
      <c r="AA138" s="5">
        <f t="shared" si="48"/>
        <v>626500</v>
      </c>
      <c r="AB138" s="5">
        <f t="shared" si="49"/>
        <v>416100</v>
      </c>
      <c r="AC138" s="15">
        <f t="shared" si="44"/>
        <v>479</v>
      </c>
      <c r="AD138" s="15">
        <f t="shared" si="38"/>
        <v>479</v>
      </c>
      <c r="AE138" s="15">
        <f t="shared" si="39"/>
        <v>1105.3</v>
      </c>
      <c r="AF138" s="15">
        <f t="shared" si="40"/>
        <v>473.7</v>
      </c>
      <c r="AG138" s="15">
        <f t="shared" si="41"/>
        <v>3355.2000000000003</v>
      </c>
      <c r="AH138" s="15">
        <f t="shared" si="42"/>
        <v>372.8</v>
      </c>
      <c r="AL138" s="51">
        <v>128</v>
      </c>
      <c r="AM138" s="51">
        <f t="shared" si="32"/>
        <v>1213087.9589542453</v>
      </c>
      <c r="AN138" s="51">
        <f t="shared" si="33"/>
        <v>934436.6592493616</v>
      </c>
      <c r="AO138" s="51">
        <f t="shared" si="34"/>
        <v>419667.6850215288</v>
      </c>
      <c r="AP138" s="51">
        <f t="shared" si="35"/>
        <v>304576.6279958128</v>
      </c>
      <c r="AQ138" s="51">
        <f t="shared" si="36"/>
        <v>164636.53275735572</v>
      </c>
    </row>
    <row r="139" spans="22:43" x14ac:dyDescent="0.15">
      <c r="V139" s="29">
        <f>基础状态预估!C139</f>
        <v>65535</v>
      </c>
      <c r="W139" s="46">
        <f>基础状态预估!D139</f>
        <v>160</v>
      </c>
      <c r="X139" s="5">
        <f t="shared" si="45"/>
        <v>13105</v>
      </c>
      <c r="Y139" s="5">
        <f t="shared" si="46"/>
        <v>21824</v>
      </c>
      <c r="Z139" s="5">
        <f t="shared" si="47"/>
        <v>56365</v>
      </c>
      <c r="AA139" s="5">
        <f t="shared" si="48"/>
        <v>9129400</v>
      </c>
      <c r="AB139" s="5">
        <f t="shared" si="49"/>
        <v>6084700</v>
      </c>
      <c r="AC139" s="15">
        <f t="shared" si="44"/>
        <v>6552.5</v>
      </c>
      <c r="AD139" s="15">
        <f t="shared" si="38"/>
        <v>6552.5</v>
      </c>
      <c r="AE139" s="15">
        <f t="shared" si="39"/>
        <v>15276.8</v>
      </c>
      <c r="AF139" s="15">
        <f t="shared" si="40"/>
        <v>6547.2</v>
      </c>
      <c r="AG139" s="15">
        <f t="shared" si="41"/>
        <v>50728.5</v>
      </c>
      <c r="AH139" s="15">
        <f t="shared" si="42"/>
        <v>5636.5</v>
      </c>
      <c r="AL139" s="51">
        <v>129</v>
      </c>
      <c r="AM139" s="51">
        <f t="shared" si="32"/>
        <v>1363385.2102369252</v>
      </c>
      <c r="AN139" s="51">
        <f t="shared" si="33"/>
        <v>1094733.9511478189</v>
      </c>
      <c r="AO139" s="51">
        <f t="shared" si="34"/>
        <v>596699.94486460602</v>
      </c>
      <c r="AP139" s="51">
        <f t="shared" si="35"/>
        <v>327758.60229765839</v>
      </c>
      <c r="AQ139" s="51">
        <f t="shared" si="36"/>
        <v>177592.8105992437</v>
      </c>
    </row>
    <row r="140" spans="22:43" x14ac:dyDescent="0.15">
      <c r="AL140" s="51">
        <v>130</v>
      </c>
      <c r="AM140" s="51">
        <f t="shared" ref="AM140:AM170" si="50">IFERROR(求节点($W$11:$W$51,$AB$11:$AB$51,$AL140),0)</f>
        <v>1513682.461519605</v>
      </c>
      <c r="AN140" s="51">
        <f t="shared" ref="AN140:AN170" si="51">IFERROR(求节点($W$55:$W$95,$AB$55:$AB$95,$AL140),0)</f>
        <v>1255031.2430462765</v>
      </c>
      <c r="AO140" s="51">
        <f t="shared" ref="AO140:AO170" si="52">IFERROR(求节点($W$99:$W$139,$AB$99:$AB$139,$AL140),0)</f>
        <v>773732.2047076833</v>
      </c>
      <c r="AP140" s="51">
        <f t="shared" ref="AP140:AP170" si="53">IFERROR(求节点($W$143:$W$183,$AB$143:$AB$183,$AL140),0)</f>
        <v>353309.17955076526</v>
      </c>
      <c r="AQ140" s="51">
        <f t="shared" ref="AQ140:AQ170" si="54">IFERROR(求节点($W$187:$W$227,$AB$187:$AB$227,$AL140),0)</f>
        <v>190763.74993745092</v>
      </c>
    </row>
    <row r="141" spans="22:43" x14ac:dyDescent="0.15">
      <c r="V141" s="32" t="s">
        <v>20</v>
      </c>
      <c r="W141" s="48"/>
      <c r="X141" s="84" t="s">
        <v>120</v>
      </c>
      <c r="Y141" s="84"/>
      <c r="Z141" s="84"/>
      <c r="AA141" s="84"/>
      <c r="AB141" s="84"/>
      <c r="AC141" s="84" t="s">
        <v>121</v>
      </c>
      <c r="AD141" s="84"/>
      <c r="AE141" s="84"/>
      <c r="AF141" s="84"/>
      <c r="AG141" s="84"/>
      <c r="AH141" s="84"/>
      <c r="AL141" s="51">
        <v>131</v>
      </c>
      <c r="AM141" s="51">
        <f t="shared" si="50"/>
        <v>1663979.7128022849</v>
      </c>
      <c r="AN141" s="51">
        <f t="shared" si="51"/>
        <v>1415328.5349447341</v>
      </c>
      <c r="AO141" s="51">
        <f t="shared" si="52"/>
        <v>950764.46455076046</v>
      </c>
      <c r="AP141" s="51">
        <f t="shared" si="53"/>
        <v>380496.17062049679</v>
      </c>
      <c r="AQ141" s="51">
        <f t="shared" si="54"/>
        <v>205014.1643700148</v>
      </c>
    </row>
    <row r="142" spans="22:43" x14ac:dyDescent="0.15">
      <c r="V142" s="27" t="s">
        <v>31</v>
      </c>
      <c r="W142" s="45" t="s">
        <v>25</v>
      </c>
      <c r="X142" s="15" t="s">
        <v>108</v>
      </c>
      <c r="Y142" s="15" t="s">
        <v>110</v>
      </c>
      <c r="Z142" s="15" t="s">
        <v>112</v>
      </c>
      <c r="AA142" s="15" t="s">
        <v>114</v>
      </c>
      <c r="AB142" s="15" t="s">
        <v>116</v>
      </c>
      <c r="AC142" s="15" t="s">
        <v>26</v>
      </c>
      <c r="AD142" s="15" t="s">
        <v>38</v>
      </c>
      <c r="AE142" s="15" t="s">
        <v>27</v>
      </c>
      <c r="AF142" s="15" t="s">
        <v>29</v>
      </c>
      <c r="AG142" s="15" t="s">
        <v>28</v>
      </c>
      <c r="AH142" s="15" t="s">
        <v>43</v>
      </c>
      <c r="AL142" s="51">
        <v>132</v>
      </c>
      <c r="AM142" s="51">
        <f t="shared" si="50"/>
        <v>1814276.9640849647</v>
      </c>
      <c r="AN142" s="51">
        <f t="shared" si="51"/>
        <v>1575625.8268431914</v>
      </c>
      <c r="AO142" s="51">
        <f t="shared" si="52"/>
        <v>1127796.7243938376</v>
      </c>
      <c r="AP142" s="51">
        <f t="shared" si="53"/>
        <v>408449.77005324321</v>
      </c>
      <c r="AQ142" s="51">
        <f t="shared" si="54"/>
        <v>219560.91954010972</v>
      </c>
    </row>
    <row r="143" spans="22:43" x14ac:dyDescent="0.15">
      <c r="V143" s="29">
        <f>基础状态预估!C143</f>
        <v>15</v>
      </c>
      <c r="W143" s="46">
        <f>基础状态预估!D143</f>
        <v>48.731413734867289</v>
      </c>
      <c r="X143" s="11">
        <f>IFERROR(INDEX(O$7:O$27,MATCH($W143,$H$7:$H$27,1)),0)*$V143/$E$1</f>
        <v>3</v>
      </c>
      <c r="Y143" s="11">
        <f t="shared" ref="Y143:AB143" si="55">IFERROR(INDEX(P$7:P$27,MATCH($W143,$H$7:$H$27,1)),0)*$V143/$E$1</f>
        <v>0</v>
      </c>
      <c r="Z143" s="11">
        <f t="shared" si="55"/>
        <v>0</v>
      </c>
      <c r="AA143" s="11">
        <f t="shared" si="55"/>
        <v>300</v>
      </c>
      <c r="AB143" s="11">
        <f t="shared" si="55"/>
        <v>200</v>
      </c>
      <c r="AC143" s="15">
        <f>$X143*D$32+$Y143*D$33+$Z143*D$34</f>
        <v>1.5</v>
      </c>
      <c r="AD143" s="15">
        <f t="shared" ref="AD143:AD183" si="56">$X143*E$32+$Y143*E$33+$Z143*E$34</f>
        <v>1.5</v>
      </c>
      <c r="AE143" s="15">
        <f t="shared" ref="AE143:AE183" si="57">$X143*F$32+$Y143*F$33+$Z143*F$34</f>
        <v>0</v>
      </c>
      <c r="AF143" s="15">
        <f t="shared" ref="AF143:AF183" si="58">$X143*G$32+$Y143*G$33+$Z143*G$34</f>
        <v>0</v>
      </c>
      <c r="AG143" s="15">
        <f t="shared" ref="AG143:AG183" si="59">$X143*H$32+$Y143*H$33+$Z143*H$34</f>
        <v>0</v>
      </c>
      <c r="AH143" s="15">
        <f t="shared" ref="AH143:AH183" si="60">$X143*I$32+$Y143*I$33+$Z143*I$34</f>
        <v>0</v>
      </c>
      <c r="AL143" s="51">
        <v>133</v>
      </c>
      <c r="AM143" s="51">
        <f t="shared" si="50"/>
        <v>1964574.2153676446</v>
      </c>
      <c r="AN143" s="51">
        <f t="shared" si="51"/>
        <v>1735923.118741649</v>
      </c>
      <c r="AO143" s="51">
        <f t="shared" si="52"/>
        <v>1304828.9842369149</v>
      </c>
      <c r="AP143" s="51">
        <f t="shared" si="53"/>
        <v>465063.35185213899</v>
      </c>
      <c r="AQ143" s="51">
        <f t="shared" si="54"/>
        <v>235285.5396462153</v>
      </c>
    </row>
    <row r="144" spans="22:43" x14ac:dyDescent="0.15">
      <c r="V144" s="29">
        <f>基础状态预估!C144</f>
        <v>30</v>
      </c>
      <c r="W144" s="46">
        <f>基础状态预估!D144</f>
        <v>58.701446767877648</v>
      </c>
      <c r="X144" s="5">
        <f>IFERROR(INDEX(O$7:O$27,MATCH($W144,$H$7:$H$27,1)),0)*($V144-$V143)/$E$1+X143</f>
        <v>6</v>
      </c>
      <c r="Y144" s="5">
        <f t="shared" ref="Y144:AB144" si="61">IFERROR(INDEX(P$7:P$27,MATCH($W144,$H$7:$H$27,1)),0)*($V144-$V143)/$E$1+Y143</f>
        <v>1</v>
      </c>
      <c r="Z144" s="5">
        <f t="shared" si="61"/>
        <v>0</v>
      </c>
      <c r="AA144" s="5">
        <f t="shared" si="61"/>
        <v>700</v>
      </c>
      <c r="AB144" s="5">
        <f t="shared" si="61"/>
        <v>450</v>
      </c>
      <c r="AC144" s="15">
        <f t="shared" ref="AC144:AC183" si="62">$X144*D$32+$Y144*D$33+$Z144*D$34</f>
        <v>3</v>
      </c>
      <c r="AD144" s="15">
        <f t="shared" si="56"/>
        <v>3</v>
      </c>
      <c r="AE144" s="15">
        <f t="shared" si="57"/>
        <v>0.7</v>
      </c>
      <c r="AF144" s="15">
        <f t="shared" si="58"/>
        <v>0.3</v>
      </c>
      <c r="AG144" s="15">
        <f t="shared" si="59"/>
        <v>0</v>
      </c>
      <c r="AH144" s="15">
        <f t="shared" si="60"/>
        <v>0</v>
      </c>
      <c r="AL144" s="51">
        <v>134</v>
      </c>
      <c r="AM144" s="51">
        <f t="shared" si="50"/>
        <v>2114871.4666503239</v>
      </c>
      <c r="AN144" s="51">
        <f t="shared" si="51"/>
        <v>1896220.4106401063</v>
      </c>
      <c r="AO144" s="51">
        <f t="shared" si="52"/>
        <v>1481861.2440799922</v>
      </c>
      <c r="AP144" s="51">
        <f t="shared" si="53"/>
        <v>673796.19067243021</v>
      </c>
      <c r="AQ144" s="51">
        <f t="shared" si="54"/>
        <v>252186.60394854919</v>
      </c>
    </row>
    <row r="145" spans="22:43" x14ac:dyDescent="0.15">
      <c r="V145" s="29">
        <f>基础状态预估!C145</f>
        <v>45</v>
      </c>
      <c r="W145" s="46">
        <f>基础状态预估!D145</f>
        <v>64.399012521055653</v>
      </c>
      <c r="X145" s="5">
        <f t="shared" ref="X145:X183" si="63">IFERROR(INDEX(O$7:O$27,MATCH($W145,$H$7:$H$27,1)),0)*($V145-$V144)/$E$1+X144</f>
        <v>9</v>
      </c>
      <c r="Y145" s="5">
        <f t="shared" ref="Y145:Y183" si="64">IFERROR(INDEX(P$7:P$27,MATCH($W145,$H$7:$H$27,1)),0)*($V145-$V144)/$E$1+Y144</f>
        <v>4</v>
      </c>
      <c r="Z145" s="5">
        <f t="shared" ref="Z145:Z183" si="65">IFERROR(INDEX(Q$7:Q$27,MATCH($W145,$H$7:$H$27,1)),0)*($V145-$V144)/$E$1+Z144</f>
        <v>0</v>
      </c>
      <c r="AA145" s="5">
        <f t="shared" ref="AA145:AA183" si="66">IFERROR(INDEX(R$7:R$27,MATCH($W145,$H$7:$H$27,1)),0)*($V145-$V144)/$E$1+AA144</f>
        <v>1300</v>
      </c>
      <c r="AB145" s="5">
        <f t="shared" ref="AB145:AB183" si="67">IFERROR(INDEX(S$7:S$27,MATCH($W145,$H$7:$H$27,1)),0)*($V145-$V144)/$E$1+AB144</f>
        <v>850</v>
      </c>
      <c r="AC145" s="15">
        <f t="shared" si="62"/>
        <v>4.5</v>
      </c>
      <c r="AD145" s="15">
        <f t="shared" si="56"/>
        <v>4.5</v>
      </c>
      <c r="AE145" s="15">
        <f t="shared" si="57"/>
        <v>2.8</v>
      </c>
      <c r="AF145" s="15">
        <f t="shared" si="58"/>
        <v>1.2</v>
      </c>
      <c r="AG145" s="15">
        <f t="shared" si="59"/>
        <v>0</v>
      </c>
      <c r="AH145" s="15">
        <f t="shared" si="60"/>
        <v>0</v>
      </c>
      <c r="AL145" s="51">
        <v>135</v>
      </c>
      <c r="AM145" s="51">
        <f t="shared" si="50"/>
        <v>2265168.7179330038</v>
      </c>
      <c r="AN145" s="51">
        <f t="shared" si="51"/>
        <v>2056517.7025385639</v>
      </c>
      <c r="AO145" s="51">
        <f t="shared" si="52"/>
        <v>1658893.5039230695</v>
      </c>
      <c r="AP145" s="51">
        <f t="shared" si="53"/>
        <v>882529.02949272131</v>
      </c>
      <c r="AQ145" s="51">
        <f t="shared" si="54"/>
        <v>270709.81573093415</v>
      </c>
    </row>
    <row r="146" spans="22:43" x14ac:dyDescent="0.15">
      <c r="V146" s="29">
        <f>基础状态预估!C146</f>
        <v>60</v>
      </c>
      <c r="W146" s="46">
        <f>基础状态预估!D146</f>
        <v>68.627579426319684</v>
      </c>
      <c r="X146" s="5">
        <f t="shared" si="63"/>
        <v>12</v>
      </c>
      <c r="Y146" s="5">
        <f t="shared" si="64"/>
        <v>8</v>
      </c>
      <c r="Z146" s="5">
        <f t="shared" si="65"/>
        <v>0</v>
      </c>
      <c r="AA146" s="5">
        <f t="shared" si="66"/>
        <v>2000</v>
      </c>
      <c r="AB146" s="5">
        <f t="shared" si="67"/>
        <v>1300</v>
      </c>
      <c r="AC146" s="15">
        <f t="shared" si="62"/>
        <v>6</v>
      </c>
      <c r="AD146" s="15">
        <f t="shared" si="56"/>
        <v>6</v>
      </c>
      <c r="AE146" s="15">
        <f t="shared" si="57"/>
        <v>5.6</v>
      </c>
      <c r="AF146" s="15">
        <f t="shared" si="58"/>
        <v>2.4</v>
      </c>
      <c r="AG146" s="15">
        <f t="shared" si="59"/>
        <v>0</v>
      </c>
      <c r="AH146" s="15">
        <f t="shared" si="60"/>
        <v>0</v>
      </c>
      <c r="AL146" s="51">
        <v>136</v>
      </c>
      <c r="AM146" s="51">
        <f t="shared" si="50"/>
        <v>2415465.9692156836</v>
      </c>
      <c r="AN146" s="51">
        <f t="shared" si="51"/>
        <v>2216814.9944370212</v>
      </c>
      <c r="AO146" s="51">
        <f t="shared" si="52"/>
        <v>1835925.7637661465</v>
      </c>
      <c r="AP146" s="51">
        <f t="shared" si="53"/>
        <v>1091261.8683130124</v>
      </c>
      <c r="AQ146" s="51">
        <f t="shared" si="54"/>
        <v>291722.90969316068</v>
      </c>
    </row>
    <row r="147" spans="22:43" x14ac:dyDescent="0.15">
      <c r="V147" s="29">
        <f>基础状态预估!C147</f>
        <v>75</v>
      </c>
      <c r="W147" s="46">
        <f>基础状态预估!D147</f>
        <v>71.882008108111634</v>
      </c>
      <c r="X147" s="5">
        <f t="shared" si="63"/>
        <v>15</v>
      </c>
      <c r="Y147" s="5">
        <f t="shared" si="64"/>
        <v>13</v>
      </c>
      <c r="Z147" s="5">
        <f t="shared" si="65"/>
        <v>0</v>
      </c>
      <c r="AA147" s="5">
        <f t="shared" si="66"/>
        <v>2800</v>
      </c>
      <c r="AB147" s="5">
        <f t="shared" si="67"/>
        <v>1800</v>
      </c>
      <c r="AC147" s="15">
        <f t="shared" si="62"/>
        <v>7.5</v>
      </c>
      <c r="AD147" s="15">
        <f t="shared" si="56"/>
        <v>7.5</v>
      </c>
      <c r="AE147" s="15">
        <f t="shared" si="57"/>
        <v>9.1</v>
      </c>
      <c r="AF147" s="15">
        <f t="shared" si="58"/>
        <v>3.9</v>
      </c>
      <c r="AG147" s="15">
        <f t="shared" si="59"/>
        <v>0</v>
      </c>
      <c r="AH147" s="15">
        <f t="shared" si="60"/>
        <v>0</v>
      </c>
      <c r="AL147" s="51">
        <v>137</v>
      </c>
      <c r="AM147" s="51">
        <f t="shared" si="50"/>
        <v>2565763.220498364</v>
      </c>
      <c r="AN147" s="51">
        <f t="shared" si="51"/>
        <v>2377112.2863354785</v>
      </c>
      <c r="AO147" s="51">
        <f t="shared" si="52"/>
        <v>2012958.0236092238</v>
      </c>
      <c r="AP147" s="51">
        <f t="shared" si="53"/>
        <v>1299994.7071333036</v>
      </c>
      <c r="AQ147" s="51">
        <f t="shared" si="54"/>
        <v>313284.48757889698</v>
      </c>
    </row>
    <row r="148" spans="22:43" x14ac:dyDescent="0.15">
      <c r="V148" s="29">
        <f>基础状态预估!C148</f>
        <v>90</v>
      </c>
      <c r="W148" s="46">
        <f>基础状态预估!D148</f>
        <v>74.493385467679886</v>
      </c>
      <c r="X148" s="5">
        <f t="shared" si="63"/>
        <v>18</v>
      </c>
      <c r="Y148" s="5">
        <f t="shared" si="64"/>
        <v>18</v>
      </c>
      <c r="Z148" s="5">
        <f t="shared" si="65"/>
        <v>1</v>
      </c>
      <c r="AA148" s="5">
        <f t="shared" si="66"/>
        <v>3700</v>
      </c>
      <c r="AB148" s="5">
        <f t="shared" si="67"/>
        <v>2400</v>
      </c>
      <c r="AC148" s="15">
        <f t="shared" si="62"/>
        <v>9</v>
      </c>
      <c r="AD148" s="15">
        <f t="shared" si="56"/>
        <v>9</v>
      </c>
      <c r="AE148" s="15">
        <f t="shared" si="57"/>
        <v>12.6</v>
      </c>
      <c r="AF148" s="15">
        <f t="shared" si="58"/>
        <v>5.3999999999999995</v>
      </c>
      <c r="AG148" s="15">
        <f t="shared" si="59"/>
        <v>0.9</v>
      </c>
      <c r="AH148" s="15">
        <f t="shared" si="60"/>
        <v>0.1</v>
      </c>
      <c r="AL148" s="51">
        <v>138</v>
      </c>
      <c r="AM148" s="51">
        <f t="shared" si="50"/>
        <v>2716060.4717810433</v>
      </c>
      <c r="AN148" s="51">
        <f t="shared" si="51"/>
        <v>2537409.5782339363</v>
      </c>
      <c r="AO148" s="51">
        <f t="shared" si="52"/>
        <v>2189990.2834523013</v>
      </c>
      <c r="AP148" s="51">
        <f t="shared" si="53"/>
        <v>1508727.5459535948</v>
      </c>
      <c r="AQ148" s="51">
        <f t="shared" si="54"/>
        <v>335400.5285727802</v>
      </c>
    </row>
    <row r="149" spans="22:43" x14ac:dyDescent="0.15">
      <c r="V149" s="29">
        <f>基础状态预估!C149</f>
        <v>105</v>
      </c>
      <c r="W149" s="46">
        <f>基础状态预估!D149</f>
        <v>76.672104206565521</v>
      </c>
      <c r="X149" s="5">
        <f t="shared" si="63"/>
        <v>21</v>
      </c>
      <c r="Y149" s="5">
        <f t="shared" si="64"/>
        <v>23</v>
      </c>
      <c r="Z149" s="5">
        <f t="shared" si="65"/>
        <v>2</v>
      </c>
      <c r="AA149" s="5">
        <f t="shared" si="66"/>
        <v>4600</v>
      </c>
      <c r="AB149" s="5">
        <f t="shared" si="67"/>
        <v>3000</v>
      </c>
      <c r="AC149" s="15">
        <f t="shared" si="62"/>
        <v>10.5</v>
      </c>
      <c r="AD149" s="15">
        <f t="shared" si="56"/>
        <v>10.5</v>
      </c>
      <c r="AE149" s="15">
        <f t="shared" si="57"/>
        <v>16.099999999999998</v>
      </c>
      <c r="AF149" s="15">
        <f t="shared" si="58"/>
        <v>6.8999999999999995</v>
      </c>
      <c r="AG149" s="15">
        <f t="shared" si="59"/>
        <v>1.8</v>
      </c>
      <c r="AH149" s="15">
        <f t="shared" si="60"/>
        <v>0.2</v>
      </c>
      <c r="AL149" s="51">
        <v>139</v>
      </c>
      <c r="AM149" s="51">
        <f t="shared" si="50"/>
        <v>2866357.7230637232</v>
      </c>
      <c r="AN149" s="51">
        <f t="shared" si="51"/>
        <v>2697706.8701323937</v>
      </c>
      <c r="AO149" s="51">
        <f t="shared" si="52"/>
        <v>2367022.5432953783</v>
      </c>
      <c r="AP149" s="51">
        <f t="shared" si="53"/>
        <v>1717460.3847738858</v>
      </c>
      <c r="AQ149" s="51">
        <f t="shared" si="54"/>
        <v>358504.15429054952</v>
      </c>
    </row>
    <row r="150" spans="22:43" x14ac:dyDescent="0.15">
      <c r="V150" s="29">
        <f>基础状态预估!C150</f>
        <v>120</v>
      </c>
      <c r="W150" s="46">
        <f>基础状态预估!D150</f>
        <v>78.608065926757661</v>
      </c>
      <c r="X150" s="5">
        <f t="shared" si="63"/>
        <v>24</v>
      </c>
      <c r="Y150" s="5">
        <f t="shared" si="64"/>
        <v>28</v>
      </c>
      <c r="Z150" s="5">
        <f t="shared" si="65"/>
        <v>4</v>
      </c>
      <c r="AA150" s="5">
        <f t="shared" si="66"/>
        <v>5600</v>
      </c>
      <c r="AB150" s="5">
        <f t="shared" si="67"/>
        <v>3650</v>
      </c>
      <c r="AC150" s="15">
        <f t="shared" si="62"/>
        <v>12</v>
      </c>
      <c r="AD150" s="15">
        <f t="shared" si="56"/>
        <v>12</v>
      </c>
      <c r="AE150" s="15">
        <f t="shared" si="57"/>
        <v>19.599999999999998</v>
      </c>
      <c r="AF150" s="15">
        <f t="shared" si="58"/>
        <v>8.4</v>
      </c>
      <c r="AG150" s="15">
        <f t="shared" si="59"/>
        <v>3.6</v>
      </c>
      <c r="AH150" s="15">
        <f t="shared" si="60"/>
        <v>0.4</v>
      </c>
      <c r="AL150" s="51">
        <v>140</v>
      </c>
      <c r="AM150" s="51">
        <f t="shared" si="50"/>
        <v>3016654.974346403</v>
      </c>
      <c r="AN150" s="51">
        <f t="shared" si="51"/>
        <v>2858004.162030851</v>
      </c>
      <c r="AO150" s="51">
        <f t="shared" si="52"/>
        <v>2544054.8031384554</v>
      </c>
      <c r="AP150" s="51">
        <f t="shared" si="53"/>
        <v>1926193.223594177</v>
      </c>
      <c r="AQ150" s="51">
        <f t="shared" si="54"/>
        <v>383755.55139283452</v>
      </c>
    </row>
    <row r="151" spans="22:43" x14ac:dyDescent="0.15">
      <c r="V151" s="29">
        <f>基础状态预估!C151</f>
        <v>150</v>
      </c>
      <c r="W151" s="46">
        <f>基础状态预估!D151</f>
        <v>81.919202803497143</v>
      </c>
      <c r="X151" s="5">
        <f t="shared" si="63"/>
        <v>30</v>
      </c>
      <c r="Y151" s="5">
        <f t="shared" si="64"/>
        <v>38</v>
      </c>
      <c r="Z151" s="5">
        <f t="shared" si="65"/>
        <v>12</v>
      </c>
      <c r="AA151" s="5">
        <f t="shared" si="66"/>
        <v>8000</v>
      </c>
      <c r="AB151" s="5">
        <f t="shared" si="67"/>
        <v>5250</v>
      </c>
      <c r="AC151" s="15">
        <f t="shared" si="62"/>
        <v>15</v>
      </c>
      <c r="AD151" s="15">
        <f t="shared" si="56"/>
        <v>15</v>
      </c>
      <c r="AE151" s="15">
        <f t="shared" si="57"/>
        <v>26.599999999999998</v>
      </c>
      <c r="AF151" s="15">
        <f t="shared" si="58"/>
        <v>11.4</v>
      </c>
      <c r="AG151" s="15">
        <f t="shared" si="59"/>
        <v>10.8</v>
      </c>
      <c r="AH151" s="15">
        <f t="shared" si="60"/>
        <v>1.2000000000000002</v>
      </c>
      <c r="AL151" s="51">
        <v>141</v>
      </c>
      <c r="AM151" s="51">
        <f t="shared" si="50"/>
        <v>3166952.2256290829</v>
      </c>
      <c r="AN151" s="51">
        <f t="shared" si="51"/>
        <v>3018301.4539293083</v>
      </c>
      <c r="AO151" s="51">
        <f t="shared" si="52"/>
        <v>2721087.0629815329</v>
      </c>
      <c r="AP151" s="51">
        <f t="shared" si="53"/>
        <v>2134926.0624144683</v>
      </c>
      <c r="AQ151" s="51">
        <f t="shared" si="54"/>
        <v>411549.71365154837</v>
      </c>
    </row>
    <row r="152" spans="22:43" x14ac:dyDescent="0.15">
      <c r="V152" s="29">
        <f>基础状态预估!C152</f>
        <v>180</v>
      </c>
      <c r="W152" s="46">
        <f>基础状态预估!D152</f>
        <v>84.557504671530296</v>
      </c>
      <c r="X152" s="5">
        <f t="shared" si="63"/>
        <v>36</v>
      </c>
      <c r="Y152" s="5">
        <f t="shared" si="64"/>
        <v>48</v>
      </c>
      <c r="Z152" s="5">
        <f t="shared" si="65"/>
        <v>22</v>
      </c>
      <c r="AA152" s="5">
        <f t="shared" si="66"/>
        <v>10600</v>
      </c>
      <c r="AB152" s="5">
        <f t="shared" si="67"/>
        <v>6950</v>
      </c>
      <c r="AC152" s="15">
        <f t="shared" si="62"/>
        <v>18</v>
      </c>
      <c r="AD152" s="15">
        <f t="shared" si="56"/>
        <v>18</v>
      </c>
      <c r="AE152" s="15">
        <f t="shared" si="57"/>
        <v>33.599999999999994</v>
      </c>
      <c r="AF152" s="15">
        <f t="shared" si="58"/>
        <v>14.399999999999999</v>
      </c>
      <c r="AG152" s="15">
        <f t="shared" si="59"/>
        <v>19.8</v>
      </c>
      <c r="AH152" s="15">
        <f t="shared" si="60"/>
        <v>2.2000000000000002</v>
      </c>
      <c r="AL152" s="51">
        <v>142</v>
      </c>
      <c r="AM152" s="51">
        <f t="shared" si="50"/>
        <v>3317249.4769117627</v>
      </c>
      <c r="AN152" s="51">
        <f t="shared" si="51"/>
        <v>3178598.7458277661</v>
      </c>
      <c r="AO152" s="51">
        <f t="shared" si="52"/>
        <v>2898119.3228246099</v>
      </c>
      <c r="AP152" s="51">
        <f t="shared" si="53"/>
        <v>2343658.9012347595</v>
      </c>
      <c r="AQ152" s="51">
        <f t="shared" si="54"/>
        <v>462387.91732503334</v>
      </c>
    </row>
    <row r="153" spans="22:43" x14ac:dyDescent="0.15">
      <c r="V153" s="29">
        <f>基础状态预估!C153</f>
        <v>210</v>
      </c>
      <c r="W153" s="46">
        <f>基础状态预估!D153</f>
        <v>86.804267332174788</v>
      </c>
      <c r="X153" s="5">
        <f t="shared" si="63"/>
        <v>42</v>
      </c>
      <c r="Y153" s="5">
        <f t="shared" si="64"/>
        <v>58</v>
      </c>
      <c r="Z153" s="5">
        <f t="shared" si="65"/>
        <v>34</v>
      </c>
      <c r="AA153" s="5">
        <f t="shared" si="66"/>
        <v>13400</v>
      </c>
      <c r="AB153" s="5">
        <f t="shared" si="67"/>
        <v>8750</v>
      </c>
      <c r="AC153" s="15">
        <f t="shared" si="62"/>
        <v>21</v>
      </c>
      <c r="AD153" s="15">
        <f t="shared" si="56"/>
        <v>21</v>
      </c>
      <c r="AE153" s="15">
        <f t="shared" si="57"/>
        <v>40.599999999999994</v>
      </c>
      <c r="AF153" s="15">
        <f t="shared" si="58"/>
        <v>17.399999999999999</v>
      </c>
      <c r="AG153" s="15">
        <f t="shared" si="59"/>
        <v>30.6</v>
      </c>
      <c r="AH153" s="15">
        <f t="shared" si="60"/>
        <v>3.4000000000000004</v>
      </c>
      <c r="AL153" s="51">
        <v>143</v>
      </c>
      <c r="AM153" s="51">
        <f t="shared" si="50"/>
        <v>3467546.7281944426</v>
      </c>
      <c r="AN153" s="51">
        <f t="shared" si="51"/>
        <v>3338896.0377262235</v>
      </c>
      <c r="AO153" s="51">
        <f t="shared" si="52"/>
        <v>3075151.582667687</v>
      </c>
      <c r="AP153" s="51">
        <f t="shared" si="53"/>
        <v>2552391.7400550507</v>
      </c>
      <c r="AQ153" s="51">
        <f t="shared" si="54"/>
        <v>776088.58858475368</v>
      </c>
    </row>
    <row r="154" spans="22:43" x14ac:dyDescent="0.15">
      <c r="V154" s="29">
        <f>基础状态预估!C154</f>
        <v>240</v>
      </c>
      <c r="W154" s="46">
        <f>基础状态预估!D154</f>
        <v>88.978258962579233</v>
      </c>
      <c r="X154" s="5">
        <f t="shared" si="63"/>
        <v>48</v>
      </c>
      <c r="Y154" s="5">
        <f t="shared" si="64"/>
        <v>68</v>
      </c>
      <c r="Z154" s="5">
        <f t="shared" si="65"/>
        <v>48</v>
      </c>
      <c r="AA154" s="5">
        <f t="shared" si="66"/>
        <v>16400</v>
      </c>
      <c r="AB154" s="5">
        <f t="shared" si="67"/>
        <v>10750</v>
      </c>
      <c r="AC154" s="15">
        <f t="shared" si="62"/>
        <v>24</v>
      </c>
      <c r="AD154" s="15">
        <f t="shared" si="56"/>
        <v>24</v>
      </c>
      <c r="AE154" s="15">
        <f t="shared" si="57"/>
        <v>47.599999999999994</v>
      </c>
      <c r="AF154" s="15">
        <f t="shared" si="58"/>
        <v>20.399999999999999</v>
      </c>
      <c r="AG154" s="15">
        <f t="shared" si="59"/>
        <v>43.2</v>
      </c>
      <c r="AH154" s="15">
        <f t="shared" si="60"/>
        <v>4.8000000000000007</v>
      </c>
      <c r="AL154" s="51">
        <v>144</v>
      </c>
      <c r="AM154" s="51">
        <f t="shared" si="50"/>
        <v>3617843.9794771224</v>
      </c>
      <c r="AN154" s="51">
        <f t="shared" si="51"/>
        <v>3499193.3296246808</v>
      </c>
      <c r="AO154" s="51">
        <f t="shared" si="52"/>
        <v>3252183.8425107645</v>
      </c>
      <c r="AP154" s="51">
        <f t="shared" si="53"/>
        <v>2761124.5788753419</v>
      </c>
      <c r="AQ154" s="51">
        <f t="shared" si="54"/>
        <v>1089789.259844474</v>
      </c>
    </row>
    <row r="155" spans="22:43" x14ac:dyDescent="0.15">
      <c r="V155" s="29">
        <f>基础状态预估!C155</f>
        <v>270</v>
      </c>
      <c r="W155" s="46">
        <f>基础状态预估!D155</f>
        <v>90.852534040676616</v>
      </c>
      <c r="X155" s="5">
        <f t="shared" si="63"/>
        <v>54</v>
      </c>
      <c r="Y155" s="5">
        <f t="shared" si="64"/>
        <v>78</v>
      </c>
      <c r="Z155" s="5">
        <f t="shared" si="65"/>
        <v>64</v>
      </c>
      <c r="AA155" s="5">
        <f t="shared" si="66"/>
        <v>19600</v>
      </c>
      <c r="AB155" s="5">
        <f t="shared" si="67"/>
        <v>12850</v>
      </c>
      <c r="AC155" s="15">
        <f t="shared" si="62"/>
        <v>27</v>
      </c>
      <c r="AD155" s="15">
        <f t="shared" si="56"/>
        <v>27</v>
      </c>
      <c r="AE155" s="15">
        <f t="shared" si="57"/>
        <v>54.599999999999994</v>
      </c>
      <c r="AF155" s="15">
        <f t="shared" si="58"/>
        <v>23.4</v>
      </c>
      <c r="AG155" s="15">
        <f t="shared" si="59"/>
        <v>57.6</v>
      </c>
      <c r="AH155" s="15">
        <f t="shared" si="60"/>
        <v>6.4</v>
      </c>
      <c r="AL155" s="51">
        <v>145</v>
      </c>
      <c r="AM155" s="51">
        <f t="shared" si="50"/>
        <v>3768141.2307598023</v>
      </c>
      <c r="AN155" s="51">
        <f t="shared" si="51"/>
        <v>3659490.6215231381</v>
      </c>
      <c r="AO155" s="51">
        <f t="shared" si="52"/>
        <v>3429216.1023538415</v>
      </c>
      <c r="AP155" s="51">
        <f t="shared" si="53"/>
        <v>2969857.4176956327</v>
      </c>
      <c r="AQ155" s="51">
        <f t="shared" si="54"/>
        <v>1403489.9311041944</v>
      </c>
    </row>
    <row r="156" spans="22:43" x14ac:dyDescent="0.15">
      <c r="V156" s="29">
        <f>基础状态预估!C156</f>
        <v>300</v>
      </c>
      <c r="W156" s="46">
        <f>基础状态预估!D156</f>
        <v>92.422409073065808</v>
      </c>
      <c r="X156" s="5">
        <f t="shared" si="63"/>
        <v>60</v>
      </c>
      <c r="Y156" s="5">
        <f t="shared" si="64"/>
        <v>88</v>
      </c>
      <c r="Z156" s="5">
        <f t="shared" si="65"/>
        <v>82</v>
      </c>
      <c r="AA156" s="5">
        <f t="shared" si="66"/>
        <v>23000</v>
      </c>
      <c r="AB156" s="5">
        <f t="shared" si="67"/>
        <v>15050</v>
      </c>
      <c r="AC156" s="15">
        <f t="shared" si="62"/>
        <v>30</v>
      </c>
      <c r="AD156" s="15">
        <f t="shared" si="56"/>
        <v>30</v>
      </c>
      <c r="AE156" s="15">
        <f t="shared" si="57"/>
        <v>61.599999999999994</v>
      </c>
      <c r="AF156" s="15">
        <f t="shared" si="58"/>
        <v>26.4</v>
      </c>
      <c r="AG156" s="15">
        <f t="shared" si="59"/>
        <v>73.8</v>
      </c>
      <c r="AH156" s="15">
        <f t="shared" si="60"/>
        <v>8.2000000000000011</v>
      </c>
      <c r="AL156" s="51">
        <v>146</v>
      </c>
      <c r="AM156" s="51">
        <f t="shared" si="50"/>
        <v>3918438.4820424821</v>
      </c>
      <c r="AN156" s="51">
        <f t="shared" si="51"/>
        <v>3819787.9134215959</v>
      </c>
      <c r="AO156" s="51">
        <f t="shared" si="52"/>
        <v>3606248.3621969186</v>
      </c>
      <c r="AP156" s="51">
        <f t="shared" si="53"/>
        <v>3178590.2565159239</v>
      </c>
      <c r="AQ156" s="51">
        <f t="shared" si="54"/>
        <v>1717190.6023639147</v>
      </c>
    </row>
    <row r="157" spans="22:43" x14ac:dyDescent="0.15">
      <c r="V157" s="29">
        <f>基础状态预估!C157</f>
        <v>360</v>
      </c>
      <c r="W157" s="46">
        <f>基础状态预估!D157</f>
        <v>95.182038399947245</v>
      </c>
      <c r="X157" s="5">
        <f t="shared" si="63"/>
        <v>72</v>
      </c>
      <c r="Y157" s="5">
        <f t="shared" si="64"/>
        <v>108</v>
      </c>
      <c r="Z157" s="5">
        <f t="shared" si="65"/>
        <v>122</v>
      </c>
      <c r="AA157" s="5">
        <f t="shared" si="66"/>
        <v>30200</v>
      </c>
      <c r="AB157" s="5">
        <f t="shared" si="67"/>
        <v>19850</v>
      </c>
      <c r="AC157" s="15">
        <f t="shared" si="62"/>
        <v>36</v>
      </c>
      <c r="AD157" s="15">
        <f t="shared" si="56"/>
        <v>36</v>
      </c>
      <c r="AE157" s="15">
        <f t="shared" si="57"/>
        <v>75.599999999999994</v>
      </c>
      <c r="AF157" s="15">
        <f t="shared" si="58"/>
        <v>32.4</v>
      </c>
      <c r="AG157" s="15">
        <f t="shared" si="59"/>
        <v>109.8</v>
      </c>
      <c r="AH157" s="15">
        <f t="shared" si="60"/>
        <v>12.200000000000001</v>
      </c>
      <c r="AL157" s="51">
        <v>147</v>
      </c>
      <c r="AM157" s="51">
        <f t="shared" si="50"/>
        <v>4068735.733325162</v>
      </c>
      <c r="AN157" s="51">
        <f t="shared" si="51"/>
        <v>3980085.2053200533</v>
      </c>
      <c r="AO157" s="51">
        <f t="shared" si="52"/>
        <v>3783280.6220399961</v>
      </c>
      <c r="AP157" s="51">
        <f t="shared" si="53"/>
        <v>3387323.0953362151</v>
      </c>
      <c r="AQ157" s="51">
        <f t="shared" si="54"/>
        <v>2030891.2736236351</v>
      </c>
    </row>
    <row r="158" spans="22:43" x14ac:dyDescent="0.15">
      <c r="V158" s="29">
        <f>基础状态预估!C158</f>
        <v>420</v>
      </c>
      <c r="W158" s="46">
        <f>基础状态预估!D158</f>
        <v>97.317333988949088</v>
      </c>
      <c r="X158" s="5">
        <f t="shared" si="63"/>
        <v>84</v>
      </c>
      <c r="Y158" s="5">
        <f t="shared" si="64"/>
        <v>128</v>
      </c>
      <c r="Z158" s="5">
        <f t="shared" si="65"/>
        <v>166</v>
      </c>
      <c r="AA158" s="5">
        <f t="shared" si="66"/>
        <v>37800</v>
      </c>
      <c r="AB158" s="5">
        <f t="shared" si="67"/>
        <v>24850</v>
      </c>
      <c r="AC158" s="15">
        <f t="shared" si="62"/>
        <v>42</v>
      </c>
      <c r="AD158" s="15">
        <f t="shared" si="56"/>
        <v>42</v>
      </c>
      <c r="AE158" s="15">
        <f t="shared" si="57"/>
        <v>89.6</v>
      </c>
      <c r="AF158" s="15">
        <f t="shared" si="58"/>
        <v>38.4</v>
      </c>
      <c r="AG158" s="15">
        <f t="shared" si="59"/>
        <v>149.4</v>
      </c>
      <c r="AH158" s="15">
        <f t="shared" si="60"/>
        <v>16.600000000000001</v>
      </c>
      <c r="AL158" s="51">
        <v>148</v>
      </c>
      <c r="AM158" s="51">
        <f t="shared" si="50"/>
        <v>4219032.9846078418</v>
      </c>
      <c r="AN158" s="51">
        <f t="shared" si="51"/>
        <v>4140382.4972185106</v>
      </c>
      <c r="AO158" s="51">
        <f t="shared" si="52"/>
        <v>3960312.8818830731</v>
      </c>
      <c r="AP158" s="51">
        <f t="shared" si="53"/>
        <v>3596055.9341565063</v>
      </c>
      <c r="AQ158" s="51">
        <f t="shared" si="54"/>
        <v>2344591.9448833554</v>
      </c>
    </row>
    <row r="159" spans="22:43" x14ac:dyDescent="0.15">
      <c r="V159" s="29">
        <f>基础状态预估!C159</f>
        <v>480</v>
      </c>
      <c r="W159" s="46">
        <f>基础状态预估!D159</f>
        <v>99.140144664710178</v>
      </c>
      <c r="X159" s="5">
        <f t="shared" si="63"/>
        <v>96</v>
      </c>
      <c r="Y159" s="5">
        <f t="shared" si="64"/>
        <v>148</v>
      </c>
      <c r="Z159" s="5">
        <f t="shared" si="65"/>
        <v>210</v>
      </c>
      <c r="AA159" s="5">
        <f t="shared" si="66"/>
        <v>45400</v>
      </c>
      <c r="AB159" s="5">
        <f t="shared" si="67"/>
        <v>29850</v>
      </c>
      <c r="AC159" s="15">
        <f t="shared" si="62"/>
        <v>48</v>
      </c>
      <c r="AD159" s="15">
        <f t="shared" si="56"/>
        <v>48</v>
      </c>
      <c r="AE159" s="15">
        <f t="shared" si="57"/>
        <v>103.6</v>
      </c>
      <c r="AF159" s="15">
        <f t="shared" si="58"/>
        <v>44.4</v>
      </c>
      <c r="AG159" s="15">
        <f t="shared" si="59"/>
        <v>189</v>
      </c>
      <c r="AH159" s="15">
        <f t="shared" si="60"/>
        <v>21</v>
      </c>
      <c r="AL159" s="51">
        <v>149</v>
      </c>
      <c r="AM159" s="51">
        <f t="shared" si="50"/>
        <v>4369330.2358905217</v>
      </c>
      <c r="AN159" s="51">
        <f t="shared" si="51"/>
        <v>4300679.7891169675</v>
      </c>
      <c r="AO159" s="51">
        <f t="shared" si="52"/>
        <v>4137345.1417261506</v>
      </c>
      <c r="AP159" s="51">
        <f t="shared" si="53"/>
        <v>3804788.7729767975</v>
      </c>
      <c r="AQ159" s="51">
        <f t="shared" si="54"/>
        <v>2658292.6161430757</v>
      </c>
    </row>
    <row r="160" spans="22:43" x14ac:dyDescent="0.15">
      <c r="V160" s="29">
        <f>基础状态预估!C160</f>
        <v>540</v>
      </c>
      <c r="W160" s="46">
        <f>基础状态预估!D160</f>
        <v>100.94083826848818</v>
      </c>
      <c r="X160" s="5">
        <f t="shared" si="63"/>
        <v>108</v>
      </c>
      <c r="Y160" s="5">
        <f t="shared" si="64"/>
        <v>168</v>
      </c>
      <c r="Z160" s="5">
        <f t="shared" si="65"/>
        <v>258</v>
      </c>
      <c r="AA160" s="5">
        <f t="shared" si="66"/>
        <v>53400</v>
      </c>
      <c r="AB160" s="5">
        <f t="shared" si="67"/>
        <v>35050</v>
      </c>
      <c r="AC160" s="15">
        <f t="shared" si="62"/>
        <v>54</v>
      </c>
      <c r="AD160" s="15">
        <f t="shared" si="56"/>
        <v>54</v>
      </c>
      <c r="AE160" s="15">
        <f t="shared" si="57"/>
        <v>117.6</v>
      </c>
      <c r="AF160" s="15">
        <f t="shared" si="58"/>
        <v>50.4</v>
      </c>
      <c r="AG160" s="15">
        <f t="shared" si="59"/>
        <v>232.20000000000002</v>
      </c>
      <c r="AH160" s="15">
        <f t="shared" si="60"/>
        <v>25.8</v>
      </c>
      <c r="AL160" s="51">
        <v>150</v>
      </c>
      <c r="AM160" s="51">
        <f t="shared" si="50"/>
        <v>4519627.4871732015</v>
      </c>
      <c r="AN160" s="51">
        <f t="shared" si="51"/>
        <v>4460977.0810154257</v>
      </c>
      <c r="AO160" s="51">
        <f t="shared" si="52"/>
        <v>4314377.4015692277</v>
      </c>
      <c r="AP160" s="51">
        <f t="shared" si="53"/>
        <v>4013521.6117970888</v>
      </c>
      <c r="AQ160" s="51">
        <f t="shared" si="54"/>
        <v>2971993.2874027961</v>
      </c>
    </row>
    <row r="161" spans="22:43" x14ac:dyDescent="0.15">
      <c r="V161" s="29">
        <f>基础状态预估!C161</f>
        <v>600</v>
      </c>
      <c r="W161" s="46">
        <f>基础状态预估!D161</f>
        <v>102.53646170914388</v>
      </c>
      <c r="X161" s="5">
        <f t="shared" si="63"/>
        <v>120</v>
      </c>
      <c r="Y161" s="5">
        <f t="shared" si="64"/>
        <v>188</v>
      </c>
      <c r="Z161" s="5">
        <f t="shared" si="65"/>
        <v>306</v>
      </c>
      <c r="AA161" s="5">
        <f t="shared" si="66"/>
        <v>61400</v>
      </c>
      <c r="AB161" s="5">
        <f t="shared" si="67"/>
        <v>40250</v>
      </c>
      <c r="AC161" s="15">
        <f t="shared" si="62"/>
        <v>60</v>
      </c>
      <c r="AD161" s="15">
        <f t="shared" si="56"/>
        <v>60</v>
      </c>
      <c r="AE161" s="15">
        <f t="shared" si="57"/>
        <v>131.6</v>
      </c>
      <c r="AF161" s="15">
        <f t="shared" si="58"/>
        <v>56.4</v>
      </c>
      <c r="AG161" s="15">
        <f t="shared" si="59"/>
        <v>275.40000000000003</v>
      </c>
      <c r="AH161" s="15">
        <f t="shared" si="60"/>
        <v>30.6</v>
      </c>
      <c r="AL161" s="51">
        <v>151</v>
      </c>
      <c r="AM161" s="51">
        <f t="shared" si="50"/>
        <v>4669924.7384558814</v>
      </c>
      <c r="AN161" s="51">
        <f t="shared" si="51"/>
        <v>4621274.3729138831</v>
      </c>
      <c r="AO161" s="51">
        <f t="shared" si="52"/>
        <v>4491409.6614123043</v>
      </c>
      <c r="AP161" s="51">
        <f t="shared" si="53"/>
        <v>4222254.4506173804</v>
      </c>
      <c r="AQ161" s="51">
        <f t="shared" si="54"/>
        <v>3285693.9586625164</v>
      </c>
    </row>
    <row r="162" spans="22:43" x14ac:dyDescent="0.15">
      <c r="V162" s="29">
        <f>基础状态预估!C162</f>
        <v>660</v>
      </c>
      <c r="W162" s="46">
        <f>基础状态预估!D162</f>
        <v>103.88940348646028</v>
      </c>
      <c r="X162" s="5">
        <f t="shared" si="63"/>
        <v>132</v>
      </c>
      <c r="Y162" s="5">
        <f t="shared" si="64"/>
        <v>208</v>
      </c>
      <c r="Z162" s="5">
        <f t="shared" si="65"/>
        <v>358</v>
      </c>
      <c r="AA162" s="5">
        <f t="shared" si="66"/>
        <v>69800</v>
      </c>
      <c r="AB162" s="5">
        <f t="shared" si="67"/>
        <v>45850</v>
      </c>
      <c r="AC162" s="15">
        <f t="shared" si="62"/>
        <v>66</v>
      </c>
      <c r="AD162" s="15">
        <f t="shared" si="56"/>
        <v>66</v>
      </c>
      <c r="AE162" s="15">
        <f t="shared" si="57"/>
        <v>145.6</v>
      </c>
      <c r="AF162" s="15">
        <f t="shared" si="58"/>
        <v>62.4</v>
      </c>
      <c r="AG162" s="15">
        <f t="shared" si="59"/>
        <v>322.2</v>
      </c>
      <c r="AH162" s="15">
        <f t="shared" si="60"/>
        <v>35.800000000000004</v>
      </c>
      <c r="AL162" s="51">
        <v>152</v>
      </c>
      <c r="AM162" s="51">
        <f t="shared" si="50"/>
        <v>4820221.9897385612</v>
      </c>
      <c r="AN162" s="51">
        <f t="shared" si="51"/>
        <v>4781571.6648123404</v>
      </c>
      <c r="AO162" s="51">
        <f t="shared" si="52"/>
        <v>4668441.9212553818</v>
      </c>
      <c r="AP162" s="51">
        <f t="shared" si="53"/>
        <v>4430987.2894376712</v>
      </c>
      <c r="AQ162" s="51">
        <f t="shared" si="54"/>
        <v>3599394.6299222368</v>
      </c>
    </row>
    <row r="163" spans="22:43" x14ac:dyDescent="0.15">
      <c r="V163" s="29">
        <f>基础状态预估!C163</f>
        <v>720</v>
      </c>
      <c r="W163" s="46">
        <f>基础状态预估!D163</f>
        <v>105.12617440644733</v>
      </c>
      <c r="X163" s="5">
        <f t="shared" si="63"/>
        <v>144</v>
      </c>
      <c r="Y163" s="5">
        <f t="shared" si="64"/>
        <v>228</v>
      </c>
      <c r="Z163" s="5">
        <f t="shared" si="65"/>
        <v>410</v>
      </c>
      <c r="AA163" s="5">
        <f t="shared" si="66"/>
        <v>78200</v>
      </c>
      <c r="AB163" s="5">
        <f t="shared" si="67"/>
        <v>51450</v>
      </c>
      <c r="AC163" s="15">
        <f t="shared" si="62"/>
        <v>72</v>
      </c>
      <c r="AD163" s="15">
        <f t="shared" si="56"/>
        <v>72</v>
      </c>
      <c r="AE163" s="15">
        <f t="shared" si="57"/>
        <v>159.6</v>
      </c>
      <c r="AF163" s="15">
        <f t="shared" si="58"/>
        <v>68.399999999999991</v>
      </c>
      <c r="AG163" s="15">
        <f t="shared" si="59"/>
        <v>369</v>
      </c>
      <c r="AH163" s="15">
        <f t="shared" si="60"/>
        <v>41</v>
      </c>
      <c r="AL163" s="51">
        <v>153</v>
      </c>
      <c r="AM163" s="51">
        <f t="shared" si="50"/>
        <v>4970519.2410212411</v>
      </c>
      <c r="AN163" s="51">
        <f t="shared" si="51"/>
        <v>4941868.9567107977</v>
      </c>
      <c r="AO163" s="51">
        <f t="shared" si="52"/>
        <v>4845474.1810984593</v>
      </c>
      <c r="AP163" s="51">
        <f t="shared" si="53"/>
        <v>4639720.1282579619</v>
      </c>
      <c r="AQ163" s="51">
        <f t="shared" si="54"/>
        <v>3913095.3011819571</v>
      </c>
    </row>
    <row r="164" spans="22:43" x14ac:dyDescent="0.15">
      <c r="V164" s="29">
        <f>基础状态预估!C164</f>
        <v>780</v>
      </c>
      <c r="W164" s="46">
        <f>基础状态预估!D164</f>
        <v>106.30192050618264</v>
      </c>
      <c r="X164" s="5">
        <f t="shared" si="63"/>
        <v>156</v>
      </c>
      <c r="Y164" s="5">
        <f t="shared" si="64"/>
        <v>248</v>
      </c>
      <c r="Z164" s="5">
        <f t="shared" si="65"/>
        <v>462</v>
      </c>
      <c r="AA164" s="5">
        <f t="shared" si="66"/>
        <v>86600</v>
      </c>
      <c r="AB164" s="5">
        <f t="shared" si="67"/>
        <v>57050</v>
      </c>
      <c r="AC164" s="15">
        <f t="shared" si="62"/>
        <v>78</v>
      </c>
      <c r="AD164" s="15">
        <f t="shared" si="56"/>
        <v>78</v>
      </c>
      <c r="AE164" s="15">
        <f t="shared" si="57"/>
        <v>173.6</v>
      </c>
      <c r="AF164" s="15">
        <f t="shared" si="58"/>
        <v>74.399999999999991</v>
      </c>
      <c r="AG164" s="15">
        <f t="shared" si="59"/>
        <v>415.8</v>
      </c>
      <c r="AH164" s="15">
        <f t="shared" si="60"/>
        <v>46.2</v>
      </c>
      <c r="AL164" s="51">
        <v>154</v>
      </c>
      <c r="AM164" s="51">
        <f t="shared" si="50"/>
        <v>5120816.4923039209</v>
      </c>
      <c r="AN164" s="51">
        <f t="shared" si="51"/>
        <v>5102166.2486092551</v>
      </c>
      <c r="AO164" s="51">
        <f t="shared" si="52"/>
        <v>5022506.4409415368</v>
      </c>
      <c r="AP164" s="51">
        <f t="shared" si="53"/>
        <v>4848452.9670782536</v>
      </c>
      <c r="AQ164" s="51">
        <f t="shared" si="54"/>
        <v>4226795.972441677</v>
      </c>
    </row>
    <row r="165" spans="22:43" x14ac:dyDescent="0.15">
      <c r="V165" s="29">
        <f>基础状态预估!C165</f>
        <v>840</v>
      </c>
      <c r="W165" s="46">
        <f>基础状态预估!D165</f>
        <v>107.429678558787</v>
      </c>
      <c r="X165" s="5">
        <f t="shared" si="63"/>
        <v>168</v>
      </c>
      <c r="Y165" s="5">
        <f t="shared" si="64"/>
        <v>268</v>
      </c>
      <c r="Z165" s="5">
        <f t="shared" si="65"/>
        <v>514</v>
      </c>
      <c r="AA165" s="5">
        <f t="shared" si="66"/>
        <v>95000</v>
      </c>
      <c r="AB165" s="5">
        <f t="shared" si="67"/>
        <v>62650</v>
      </c>
      <c r="AC165" s="15">
        <f t="shared" si="62"/>
        <v>84</v>
      </c>
      <c r="AD165" s="15">
        <f t="shared" si="56"/>
        <v>84</v>
      </c>
      <c r="AE165" s="15">
        <f t="shared" si="57"/>
        <v>187.6</v>
      </c>
      <c r="AF165" s="15">
        <f t="shared" si="58"/>
        <v>80.399999999999991</v>
      </c>
      <c r="AG165" s="15">
        <f t="shared" si="59"/>
        <v>462.6</v>
      </c>
      <c r="AH165" s="15">
        <f t="shared" si="60"/>
        <v>51.400000000000006</v>
      </c>
      <c r="AL165" s="51">
        <v>155</v>
      </c>
      <c r="AM165" s="51">
        <f t="shared" si="50"/>
        <v>5271113.7435866008</v>
      </c>
      <c r="AN165" s="51">
        <f t="shared" si="51"/>
        <v>5262463.5405077124</v>
      </c>
      <c r="AO165" s="51">
        <f t="shared" si="52"/>
        <v>5199538.7007846134</v>
      </c>
      <c r="AP165" s="51">
        <f t="shared" si="53"/>
        <v>5057185.8058985444</v>
      </c>
      <c r="AQ165" s="51">
        <f t="shared" si="54"/>
        <v>4540496.6437013978</v>
      </c>
    </row>
    <row r="166" spans="22:43" x14ac:dyDescent="0.15">
      <c r="V166" s="29">
        <f>基础状态预估!C166</f>
        <v>900</v>
      </c>
      <c r="W166" s="46">
        <f>基础状态预估!D166</f>
        <v>108.47075735973553</v>
      </c>
      <c r="X166" s="5">
        <f t="shared" si="63"/>
        <v>180</v>
      </c>
      <c r="Y166" s="5">
        <f t="shared" si="64"/>
        <v>288</v>
      </c>
      <c r="Z166" s="5">
        <f t="shared" si="65"/>
        <v>566</v>
      </c>
      <c r="AA166" s="5">
        <f t="shared" si="66"/>
        <v>103400</v>
      </c>
      <c r="AB166" s="5">
        <f t="shared" si="67"/>
        <v>68250</v>
      </c>
      <c r="AC166" s="15">
        <f t="shared" si="62"/>
        <v>90</v>
      </c>
      <c r="AD166" s="15">
        <f t="shared" si="56"/>
        <v>90</v>
      </c>
      <c r="AE166" s="15">
        <f t="shared" si="57"/>
        <v>201.6</v>
      </c>
      <c r="AF166" s="15">
        <f t="shared" si="58"/>
        <v>86.399999999999991</v>
      </c>
      <c r="AG166" s="15">
        <f t="shared" si="59"/>
        <v>509.40000000000003</v>
      </c>
      <c r="AH166" s="15">
        <f t="shared" si="60"/>
        <v>56.6</v>
      </c>
      <c r="AL166" s="51">
        <v>156</v>
      </c>
      <c r="AM166" s="51">
        <f t="shared" si="50"/>
        <v>5421410.9948692806</v>
      </c>
      <c r="AN166" s="51">
        <f t="shared" si="51"/>
        <v>5422760.8324061707</v>
      </c>
      <c r="AO166" s="51">
        <f t="shared" si="52"/>
        <v>5376570.9606276909</v>
      </c>
      <c r="AP166" s="51">
        <f t="shared" si="53"/>
        <v>5265918.6447188361</v>
      </c>
      <c r="AQ166" s="51">
        <f t="shared" si="54"/>
        <v>4854197.3149611177</v>
      </c>
    </row>
    <row r="167" spans="22:43" x14ac:dyDescent="0.15">
      <c r="V167" s="29">
        <f>基础状态预估!C167</f>
        <v>1020</v>
      </c>
      <c r="W167" s="46">
        <f>基础状态预估!D167</f>
        <v>110.24744313604209</v>
      </c>
      <c r="X167" s="5">
        <f t="shared" si="63"/>
        <v>204</v>
      </c>
      <c r="Y167" s="5">
        <f t="shared" si="64"/>
        <v>328</v>
      </c>
      <c r="Z167" s="5">
        <f t="shared" si="65"/>
        <v>670</v>
      </c>
      <c r="AA167" s="5">
        <f t="shared" si="66"/>
        <v>120200</v>
      </c>
      <c r="AB167" s="5">
        <f t="shared" si="67"/>
        <v>79450</v>
      </c>
      <c r="AC167" s="15">
        <f t="shared" si="62"/>
        <v>102</v>
      </c>
      <c r="AD167" s="15">
        <f t="shared" si="56"/>
        <v>102</v>
      </c>
      <c r="AE167" s="15">
        <f t="shared" si="57"/>
        <v>229.6</v>
      </c>
      <c r="AF167" s="15">
        <f t="shared" si="58"/>
        <v>98.399999999999991</v>
      </c>
      <c r="AG167" s="15">
        <f t="shared" si="59"/>
        <v>603</v>
      </c>
      <c r="AH167" s="15">
        <f t="shared" si="60"/>
        <v>67</v>
      </c>
      <c r="AL167" s="51">
        <v>157</v>
      </c>
      <c r="AM167" s="51">
        <f t="shared" si="50"/>
        <v>5571708.2461519605</v>
      </c>
      <c r="AN167" s="51">
        <f t="shared" si="51"/>
        <v>5583058.124304628</v>
      </c>
      <c r="AO167" s="51">
        <f t="shared" si="52"/>
        <v>5553603.2204707684</v>
      </c>
      <c r="AP167" s="51">
        <f t="shared" si="53"/>
        <v>5474651.4835391268</v>
      </c>
      <c r="AQ167" s="51">
        <f t="shared" si="54"/>
        <v>5167897.9862208385</v>
      </c>
    </row>
    <row r="168" spans="22:43" x14ac:dyDescent="0.15">
      <c r="V168" s="29">
        <f>基础状态预估!C168</f>
        <v>1140</v>
      </c>
      <c r="W168" s="46">
        <f>基础状态预估!D168</f>
        <v>111.80552112822316</v>
      </c>
      <c r="X168" s="5">
        <f t="shared" si="63"/>
        <v>228</v>
      </c>
      <c r="Y168" s="5">
        <f t="shared" si="64"/>
        <v>368</v>
      </c>
      <c r="Z168" s="5">
        <f t="shared" si="65"/>
        <v>774</v>
      </c>
      <c r="AA168" s="5">
        <f t="shared" si="66"/>
        <v>137000</v>
      </c>
      <c r="AB168" s="5">
        <f t="shared" si="67"/>
        <v>90650</v>
      </c>
      <c r="AC168" s="15">
        <f t="shared" si="62"/>
        <v>114</v>
      </c>
      <c r="AD168" s="15">
        <f t="shared" si="56"/>
        <v>114</v>
      </c>
      <c r="AE168" s="15">
        <f t="shared" si="57"/>
        <v>257.59999999999997</v>
      </c>
      <c r="AF168" s="15">
        <f t="shared" si="58"/>
        <v>110.39999999999999</v>
      </c>
      <c r="AG168" s="15">
        <f t="shared" si="59"/>
        <v>696.6</v>
      </c>
      <c r="AH168" s="15">
        <f t="shared" si="60"/>
        <v>77.400000000000006</v>
      </c>
      <c r="AL168" s="51">
        <v>158</v>
      </c>
      <c r="AM168" s="51">
        <f t="shared" si="50"/>
        <v>5722005.4974346403</v>
      </c>
      <c r="AN168" s="51">
        <f t="shared" si="51"/>
        <v>5743355.4162030853</v>
      </c>
      <c r="AO168" s="51">
        <f t="shared" si="52"/>
        <v>5730635.480313845</v>
      </c>
      <c r="AP168" s="51">
        <f t="shared" si="53"/>
        <v>5683384.3223594176</v>
      </c>
      <c r="AQ168" s="51">
        <f t="shared" si="54"/>
        <v>5481598.6574805584</v>
      </c>
    </row>
    <row r="169" spans="22:43" x14ac:dyDescent="0.15">
      <c r="V169" s="29">
        <f>基础状态预估!C169</f>
        <v>1260</v>
      </c>
      <c r="W169" s="46">
        <f>基础状态预估!D169</f>
        <v>113.29015465152274</v>
      </c>
      <c r="X169" s="5">
        <f t="shared" si="63"/>
        <v>252</v>
      </c>
      <c r="Y169" s="5">
        <f t="shared" si="64"/>
        <v>408</v>
      </c>
      <c r="Z169" s="5">
        <f t="shared" si="65"/>
        <v>878</v>
      </c>
      <c r="AA169" s="5">
        <f t="shared" si="66"/>
        <v>153800</v>
      </c>
      <c r="AB169" s="5">
        <f t="shared" si="67"/>
        <v>101850</v>
      </c>
      <c r="AC169" s="15">
        <f t="shared" si="62"/>
        <v>126</v>
      </c>
      <c r="AD169" s="15">
        <f t="shared" si="56"/>
        <v>126</v>
      </c>
      <c r="AE169" s="15">
        <f t="shared" si="57"/>
        <v>285.59999999999997</v>
      </c>
      <c r="AF169" s="15">
        <f t="shared" si="58"/>
        <v>122.39999999999999</v>
      </c>
      <c r="AG169" s="15">
        <f t="shared" si="59"/>
        <v>790.2</v>
      </c>
      <c r="AH169" s="15">
        <f t="shared" si="60"/>
        <v>87.800000000000011</v>
      </c>
      <c r="AL169" s="51">
        <v>159</v>
      </c>
      <c r="AM169" s="51">
        <f t="shared" si="50"/>
        <v>5872302.7487173202</v>
      </c>
      <c r="AN169" s="51">
        <f t="shared" si="51"/>
        <v>5903652.7081015427</v>
      </c>
      <c r="AO169" s="51">
        <f t="shared" si="52"/>
        <v>5907667.7401569225</v>
      </c>
      <c r="AP169" s="51">
        <f t="shared" si="53"/>
        <v>5892117.1611797092</v>
      </c>
      <c r="AQ169" s="51">
        <f t="shared" si="54"/>
        <v>5795299.3287402792</v>
      </c>
    </row>
    <row r="170" spans="22:43" x14ac:dyDescent="0.15">
      <c r="V170" s="29">
        <f>基础状态预估!C170</f>
        <v>1380</v>
      </c>
      <c r="W170" s="46">
        <f>基础状态预估!D170</f>
        <v>114.69104152791324</v>
      </c>
      <c r="X170" s="5">
        <f t="shared" si="63"/>
        <v>276</v>
      </c>
      <c r="Y170" s="5">
        <f t="shared" si="64"/>
        <v>448</v>
      </c>
      <c r="Z170" s="5">
        <f t="shared" si="65"/>
        <v>982</v>
      </c>
      <c r="AA170" s="5">
        <f t="shared" si="66"/>
        <v>170600</v>
      </c>
      <c r="AB170" s="5">
        <f t="shared" si="67"/>
        <v>113050</v>
      </c>
      <c r="AC170" s="15">
        <f t="shared" si="62"/>
        <v>138</v>
      </c>
      <c r="AD170" s="15">
        <f t="shared" si="56"/>
        <v>138</v>
      </c>
      <c r="AE170" s="15">
        <f t="shared" si="57"/>
        <v>313.59999999999997</v>
      </c>
      <c r="AF170" s="15">
        <f t="shared" si="58"/>
        <v>134.4</v>
      </c>
      <c r="AG170" s="15">
        <f t="shared" si="59"/>
        <v>883.80000000000007</v>
      </c>
      <c r="AH170" s="15">
        <f t="shared" si="60"/>
        <v>98.2</v>
      </c>
      <c r="AL170" s="51">
        <v>160</v>
      </c>
      <c r="AM170" s="51">
        <f t="shared" si="50"/>
        <v>6022600</v>
      </c>
      <c r="AN170" s="51">
        <f t="shared" si="51"/>
        <v>6063950</v>
      </c>
      <c r="AO170" s="51">
        <f t="shared" si="52"/>
        <v>6084700</v>
      </c>
      <c r="AP170" s="51">
        <f t="shared" si="53"/>
        <v>6100850</v>
      </c>
      <c r="AQ170" s="51">
        <f t="shared" si="54"/>
        <v>6109000</v>
      </c>
    </row>
    <row r="171" spans="22:43" x14ac:dyDescent="0.15">
      <c r="V171" s="29">
        <f>基础状态预估!C171</f>
        <v>1500</v>
      </c>
      <c r="W171" s="46">
        <f>基础状态预估!D171</f>
        <v>115.91094430884056</v>
      </c>
      <c r="X171" s="5">
        <f t="shared" si="63"/>
        <v>300</v>
      </c>
      <c r="Y171" s="5">
        <f t="shared" si="64"/>
        <v>488</v>
      </c>
      <c r="Z171" s="5">
        <f t="shared" si="65"/>
        <v>1086</v>
      </c>
      <c r="AA171" s="5">
        <f t="shared" si="66"/>
        <v>187400</v>
      </c>
      <c r="AB171" s="5">
        <f t="shared" si="67"/>
        <v>124250</v>
      </c>
      <c r="AC171" s="15">
        <f t="shared" si="62"/>
        <v>150</v>
      </c>
      <c r="AD171" s="15">
        <f t="shared" si="56"/>
        <v>150</v>
      </c>
      <c r="AE171" s="15">
        <f t="shared" si="57"/>
        <v>341.59999999999997</v>
      </c>
      <c r="AF171" s="15">
        <f t="shared" si="58"/>
        <v>146.4</v>
      </c>
      <c r="AG171" s="15">
        <f t="shared" si="59"/>
        <v>977.4</v>
      </c>
      <c r="AH171" s="15">
        <f t="shared" si="60"/>
        <v>108.60000000000001</v>
      </c>
    </row>
    <row r="172" spans="22:43" x14ac:dyDescent="0.15">
      <c r="V172" s="29">
        <f>基础状态预估!C172</f>
        <v>1800</v>
      </c>
      <c r="W172" s="46">
        <f>基础状态预估!D172</f>
        <v>118.49671008494479</v>
      </c>
      <c r="X172" s="5">
        <f t="shared" si="63"/>
        <v>360</v>
      </c>
      <c r="Y172" s="5">
        <f t="shared" si="64"/>
        <v>588</v>
      </c>
      <c r="Z172" s="5">
        <f t="shared" si="65"/>
        <v>1346</v>
      </c>
      <c r="AA172" s="5">
        <f t="shared" si="66"/>
        <v>229400</v>
      </c>
      <c r="AB172" s="5">
        <f t="shared" si="67"/>
        <v>152250</v>
      </c>
      <c r="AC172" s="15">
        <f t="shared" si="62"/>
        <v>180</v>
      </c>
      <c r="AD172" s="15">
        <f t="shared" si="56"/>
        <v>180</v>
      </c>
      <c r="AE172" s="15">
        <f t="shared" si="57"/>
        <v>411.59999999999997</v>
      </c>
      <c r="AF172" s="15">
        <f t="shared" si="58"/>
        <v>176.4</v>
      </c>
      <c r="AG172" s="15">
        <f t="shared" si="59"/>
        <v>1211.4000000000001</v>
      </c>
      <c r="AH172" s="15">
        <f t="shared" si="60"/>
        <v>134.6</v>
      </c>
    </row>
    <row r="173" spans="22:43" x14ac:dyDescent="0.15">
      <c r="V173" s="29">
        <f>基础状态预估!C173</f>
        <v>2100</v>
      </c>
      <c r="W173" s="46">
        <f>基础状态预估!D173</f>
        <v>120.83470485393194</v>
      </c>
      <c r="X173" s="5">
        <f t="shared" si="63"/>
        <v>420</v>
      </c>
      <c r="Y173" s="5">
        <f t="shared" si="64"/>
        <v>688</v>
      </c>
      <c r="Z173" s="5">
        <f t="shared" si="65"/>
        <v>1606</v>
      </c>
      <c r="AA173" s="5">
        <f t="shared" si="66"/>
        <v>271400</v>
      </c>
      <c r="AB173" s="5">
        <f t="shared" si="67"/>
        <v>180250</v>
      </c>
      <c r="AC173" s="15">
        <f t="shared" si="62"/>
        <v>210</v>
      </c>
      <c r="AD173" s="15">
        <f t="shared" si="56"/>
        <v>210</v>
      </c>
      <c r="AE173" s="15">
        <f t="shared" si="57"/>
        <v>481.59999999999997</v>
      </c>
      <c r="AF173" s="15">
        <f t="shared" si="58"/>
        <v>206.4</v>
      </c>
      <c r="AG173" s="15">
        <f t="shared" si="59"/>
        <v>1445.4</v>
      </c>
      <c r="AH173" s="15">
        <f t="shared" si="60"/>
        <v>160.60000000000002</v>
      </c>
    </row>
    <row r="174" spans="22:43" x14ac:dyDescent="0.15">
      <c r="V174" s="29">
        <f>基础状态预估!C174</f>
        <v>2400</v>
      </c>
      <c r="W174" s="46">
        <f>基础状态预估!D174</f>
        <v>122.7509711734089</v>
      </c>
      <c r="X174" s="5">
        <f t="shared" si="63"/>
        <v>480</v>
      </c>
      <c r="Y174" s="5">
        <f t="shared" si="64"/>
        <v>788</v>
      </c>
      <c r="Z174" s="5">
        <f t="shared" si="65"/>
        <v>1866</v>
      </c>
      <c r="AA174" s="5">
        <f t="shared" si="66"/>
        <v>313400</v>
      </c>
      <c r="AB174" s="5">
        <f t="shared" si="67"/>
        <v>208250</v>
      </c>
      <c r="AC174" s="15">
        <f t="shared" si="62"/>
        <v>240</v>
      </c>
      <c r="AD174" s="15">
        <f t="shared" si="56"/>
        <v>240</v>
      </c>
      <c r="AE174" s="15">
        <f t="shared" si="57"/>
        <v>551.59999999999991</v>
      </c>
      <c r="AF174" s="15">
        <f t="shared" si="58"/>
        <v>236.39999999999998</v>
      </c>
      <c r="AG174" s="15">
        <f t="shared" si="59"/>
        <v>1679.4</v>
      </c>
      <c r="AH174" s="15">
        <f t="shared" si="60"/>
        <v>186.60000000000002</v>
      </c>
    </row>
    <row r="175" spans="22:43" x14ac:dyDescent="0.15">
      <c r="V175" s="29">
        <f>基础状态预估!C175</f>
        <v>2700</v>
      </c>
      <c r="W175" s="46">
        <f>基础状态预估!D175</f>
        <v>124.39475643772953</v>
      </c>
      <c r="X175" s="5">
        <f t="shared" si="63"/>
        <v>540</v>
      </c>
      <c r="Y175" s="5">
        <f t="shared" si="64"/>
        <v>888</v>
      </c>
      <c r="Z175" s="5">
        <f t="shared" si="65"/>
        <v>2126</v>
      </c>
      <c r="AA175" s="5">
        <f t="shared" si="66"/>
        <v>355400</v>
      </c>
      <c r="AB175" s="5">
        <f t="shared" si="67"/>
        <v>236250</v>
      </c>
      <c r="AC175" s="15">
        <f t="shared" si="62"/>
        <v>270</v>
      </c>
      <c r="AD175" s="15">
        <f t="shared" si="56"/>
        <v>270</v>
      </c>
      <c r="AE175" s="15">
        <f t="shared" si="57"/>
        <v>621.59999999999991</v>
      </c>
      <c r="AF175" s="15">
        <f t="shared" si="58"/>
        <v>266.39999999999998</v>
      </c>
      <c r="AG175" s="15">
        <f t="shared" si="59"/>
        <v>1913.4</v>
      </c>
      <c r="AH175" s="15">
        <f t="shared" si="60"/>
        <v>212.60000000000002</v>
      </c>
    </row>
    <row r="176" spans="22:43" x14ac:dyDescent="0.15">
      <c r="V176" s="29">
        <f>基础状态预估!C176</f>
        <v>3000</v>
      </c>
      <c r="W176" s="46">
        <f>基础状态预估!D176</f>
        <v>125.96400788227379</v>
      </c>
      <c r="X176" s="5">
        <f t="shared" si="63"/>
        <v>600</v>
      </c>
      <c r="Y176" s="5">
        <f t="shared" si="64"/>
        <v>988</v>
      </c>
      <c r="Z176" s="5">
        <f t="shared" si="65"/>
        <v>2386</v>
      </c>
      <c r="AA176" s="5">
        <f t="shared" si="66"/>
        <v>397400</v>
      </c>
      <c r="AB176" s="5">
        <f t="shared" si="67"/>
        <v>264250</v>
      </c>
      <c r="AC176" s="15">
        <f t="shared" si="62"/>
        <v>300</v>
      </c>
      <c r="AD176" s="15">
        <f t="shared" si="56"/>
        <v>300</v>
      </c>
      <c r="AE176" s="15">
        <f t="shared" si="57"/>
        <v>691.59999999999991</v>
      </c>
      <c r="AF176" s="15">
        <f t="shared" si="58"/>
        <v>296.39999999999998</v>
      </c>
      <c r="AG176" s="15">
        <f t="shared" si="59"/>
        <v>2147.4</v>
      </c>
      <c r="AH176" s="15">
        <f t="shared" si="60"/>
        <v>238.60000000000002</v>
      </c>
    </row>
    <row r="177" spans="22:34" x14ac:dyDescent="0.15">
      <c r="V177" s="29">
        <f>基础状态预估!C177</f>
        <v>3300</v>
      </c>
      <c r="W177" s="46">
        <f>基础状态预估!D177</f>
        <v>127.44783171112725</v>
      </c>
      <c r="X177" s="5">
        <f t="shared" si="63"/>
        <v>660</v>
      </c>
      <c r="Y177" s="5">
        <f t="shared" si="64"/>
        <v>1088</v>
      </c>
      <c r="Z177" s="5">
        <f t="shared" si="65"/>
        <v>2646</v>
      </c>
      <c r="AA177" s="5">
        <f t="shared" si="66"/>
        <v>439400</v>
      </c>
      <c r="AB177" s="5">
        <f t="shared" si="67"/>
        <v>292250</v>
      </c>
      <c r="AC177" s="15">
        <f t="shared" si="62"/>
        <v>330</v>
      </c>
      <c r="AD177" s="15">
        <f t="shared" si="56"/>
        <v>330</v>
      </c>
      <c r="AE177" s="15">
        <f t="shared" si="57"/>
        <v>761.59999999999991</v>
      </c>
      <c r="AF177" s="15">
        <f t="shared" si="58"/>
        <v>326.39999999999998</v>
      </c>
      <c r="AG177" s="15">
        <f t="shared" si="59"/>
        <v>2381.4</v>
      </c>
      <c r="AH177" s="15">
        <f t="shared" si="60"/>
        <v>264.60000000000002</v>
      </c>
    </row>
    <row r="178" spans="22:34" x14ac:dyDescent="0.15">
      <c r="V178" s="29">
        <f>基础状态预估!C178</f>
        <v>3600</v>
      </c>
      <c r="W178" s="46">
        <f>基础状态预估!D178</f>
        <v>128.7020848688999</v>
      </c>
      <c r="X178" s="5">
        <f t="shared" si="63"/>
        <v>720</v>
      </c>
      <c r="Y178" s="5">
        <f t="shared" si="64"/>
        <v>1188</v>
      </c>
      <c r="Z178" s="5">
        <f t="shared" si="65"/>
        <v>2906</v>
      </c>
      <c r="AA178" s="5">
        <f t="shared" si="66"/>
        <v>481400</v>
      </c>
      <c r="AB178" s="5">
        <f t="shared" si="67"/>
        <v>320250</v>
      </c>
      <c r="AC178" s="15">
        <f t="shared" si="62"/>
        <v>360</v>
      </c>
      <c r="AD178" s="15">
        <f t="shared" si="56"/>
        <v>360</v>
      </c>
      <c r="AE178" s="15">
        <f t="shared" si="57"/>
        <v>831.59999999999991</v>
      </c>
      <c r="AF178" s="15">
        <f t="shared" si="58"/>
        <v>356.4</v>
      </c>
      <c r="AG178" s="15">
        <f t="shared" si="59"/>
        <v>2615.4</v>
      </c>
      <c r="AH178" s="15">
        <f t="shared" si="60"/>
        <v>290.60000000000002</v>
      </c>
    </row>
    <row r="179" spans="22:34" x14ac:dyDescent="0.15">
      <c r="V179" s="29">
        <f>基础状态预估!C179</f>
        <v>3900</v>
      </c>
      <c r="W179" s="46">
        <f>基础状态预估!D179</f>
        <v>129.81302713753013</v>
      </c>
      <c r="X179" s="5">
        <f t="shared" si="63"/>
        <v>780</v>
      </c>
      <c r="Y179" s="5">
        <f t="shared" si="64"/>
        <v>1288</v>
      </c>
      <c r="Z179" s="5">
        <f t="shared" si="65"/>
        <v>3166</v>
      </c>
      <c r="AA179" s="5">
        <f t="shared" si="66"/>
        <v>523400</v>
      </c>
      <c r="AB179" s="5">
        <f t="shared" si="67"/>
        <v>348250</v>
      </c>
      <c r="AC179" s="15">
        <f t="shared" si="62"/>
        <v>390</v>
      </c>
      <c r="AD179" s="15">
        <f t="shared" si="56"/>
        <v>390</v>
      </c>
      <c r="AE179" s="15">
        <f t="shared" si="57"/>
        <v>901.59999999999991</v>
      </c>
      <c r="AF179" s="15">
        <f t="shared" si="58"/>
        <v>386.4</v>
      </c>
      <c r="AG179" s="15">
        <f t="shared" si="59"/>
        <v>2849.4</v>
      </c>
      <c r="AH179" s="15">
        <f t="shared" si="60"/>
        <v>316.60000000000002</v>
      </c>
    </row>
    <row r="180" spans="22:34" x14ac:dyDescent="0.15">
      <c r="V180" s="29">
        <f>基础状态预估!C180</f>
        <v>4200</v>
      </c>
      <c r="W180" s="46">
        <f>基础状态预估!D180</f>
        <v>130.84782736484456</v>
      </c>
      <c r="X180" s="5">
        <f t="shared" si="63"/>
        <v>840</v>
      </c>
      <c r="Y180" s="5">
        <f t="shared" si="64"/>
        <v>1388</v>
      </c>
      <c r="Z180" s="5">
        <f t="shared" si="65"/>
        <v>3426</v>
      </c>
      <c r="AA180" s="5">
        <f t="shared" si="66"/>
        <v>565400</v>
      </c>
      <c r="AB180" s="5">
        <f t="shared" si="67"/>
        <v>376250</v>
      </c>
      <c r="AC180" s="15">
        <f t="shared" si="62"/>
        <v>420</v>
      </c>
      <c r="AD180" s="15">
        <f t="shared" si="56"/>
        <v>420</v>
      </c>
      <c r="AE180" s="15">
        <f t="shared" si="57"/>
        <v>971.59999999999991</v>
      </c>
      <c r="AF180" s="15">
        <f t="shared" si="58"/>
        <v>416.4</v>
      </c>
      <c r="AG180" s="15">
        <f t="shared" si="59"/>
        <v>3083.4</v>
      </c>
      <c r="AH180" s="15">
        <f t="shared" si="60"/>
        <v>342.6</v>
      </c>
    </row>
    <row r="181" spans="22:34" x14ac:dyDescent="0.15">
      <c r="V181" s="29">
        <f>基础状态预估!C181</f>
        <v>4500</v>
      </c>
      <c r="W181" s="46">
        <f>基础状态预估!D181</f>
        <v>131.85128063254527</v>
      </c>
      <c r="X181" s="5">
        <f t="shared" si="63"/>
        <v>900</v>
      </c>
      <c r="Y181" s="5">
        <f t="shared" si="64"/>
        <v>1488</v>
      </c>
      <c r="Z181" s="5">
        <f t="shared" si="65"/>
        <v>3686</v>
      </c>
      <c r="AA181" s="5">
        <f t="shared" si="66"/>
        <v>607400</v>
      </c>
      <c r="AB181" s="5">
        <f t="shared" si="67"/>
        <v>404250</v>
      </c>
      <c r="AC181" s="15">
        <f t="shared" si="62"/>
        <v>450</v>
      </c>
      <c r="AD181" s="15">
        <f t="shared" si="56"/>
        <v>450</v>
      </c>
      <c r="AE181" s="15">
        <f t="shared" si="57"/>
        <v>1041.5999999999999</v>
      </c>
      <c r="AF181" s="15">
        <f t="shared" si="58"/>
        <v>446.4</v>
      </c>
      <c r="AG181" s="15">
        <f t="shared" si="59"/>
        <v>3317.4</v>
      </c>
      <c r="AH181" s="15">
        <f t="shared" si="60"/>
        <v>368.6</v>
      </c>
    </row>
    <row r="182" spans="22:34" x14ac:dyDescent="0.15">
      <c r="V182" s="29">
        <f>基础状态预估!C182</f>
        <v>4800</v>
      </c>
      <c r="W182" s="46">
        <f>基础状态预估!D182</f>
        <v>132.84279736701905</v>
      </c>
      <c r="X182" s="5">
        <f t="shared" si="63"/>
        <v>960</v>
      </c>
      <c r="Y182" s="5">
        <f t="shared" si="64"/>
        <v>1588</v>
      </c>
      <c r="Z182" s="5">
        <f t="shared" si="65"/>
        <v>3946</v>
      </c>
      <c r="AA182" s="5">
        <f t="shared" si="66"/>
        <v>649400</v>
      </c>
      <c r="AB182" s="5">
        <f t="shared" si="67"/>
        <v>432250</v>
      </c>
      <c r="AC182" s="15">
        <f t="shared" si="62"/>
        <v>480</v>
      </c>
      <c r="AD182" s="15">
        <f t="shared" si="56"/>
        <v>480</v>
      </c>
      <c r="AE182" s="15">
        <f t="shared" si="57"/>
        <v>1111.5999999999999</v>
      </c>
      <c r="AF182" s="15">
        <f t="shared" si="58"/>
        <v>476.4</v>
      </c>
      <c r="AG182" s="15">
        <f t="shared" si="59"/>
        <v>3551.4</v>
      </c>
      <c r="AH182" s="15">
        <f t="shared" si="60"/>
        <v>394.6</v>
      </c>
    </row>
    <row r="183" spans="22:34" x14ac:dyDescent="0.15">
      <c r="V183" s="29">
        <f>基础状态预估!C183</f>
        <v>65535</v>
      </c>
      <c r="W183" s="46">
        <f>基础状态预估!D183</f>
        <v>160</v>
      </c>
      <c r="X183" s="5">
        <f t="shared" si="63"/>
        <v>13107</v>
      </c>
      <c r="Y183" s="5">
        <f t="shared" si="64"/>
        <v>21833</v>
      </c>
      <c r="Z183" s="5">
        <f t="shared" si="65"/>
        <v>56583</v>
      </c>
      <c r="AA183" s="5">
        <f t="shared" si="66"/>
        <v>9152300</v>
      </c>
      <c r="AB183" s="5">
        <f t="shared" si="67"/>
        <v>6100850</v>
      </c>
      <c r="AC183" s="15">
        <f t="shared" si="62"/>
        <v>6553.5</v>
      </c>
      <c r="AD183" s="15">
        <f t="shared" si="56"/>
        <v>6553.5</v>
      </c>
      <c r="AE183" s="15">
        <f t="shared" si="57"/>
        <v>15283.099999999999</v>
      </c>
      <c r="AF183" s="15">
        <f t="shared" si="58"/>
        <v>6549.9</v>
      </c>
      <c r="AG183" s="15">
        <f t="shared" si="59"/>
        <v>50924.700000000004</v>
      </c>
      <c r="AH183" s="15">
        <f t="shared" si="60"/>
        <v>5658.3</v>
      </c>
    </row>
    <row r="185" spans="22:34" x14ac:dyDescent="0.15">
      <c r="V185" s="32" t="s">
        <v>21</v>
      </c>
      <c r="W185" s="48"/>
      <c r="X185" s="84" t="s">
        <v>120</v>
      </c>
      <c r="Y185" s="84"/>
      <c r="Z185" s="84"/>
      <c r="AA185" s="84"/>
      <c r="AB185" s="84"/>
      <c r="AC185" s="84" t="s">
        <v>121</v>
      </c>
      <c r="AD185" s="84"/>
      <c r="AE185" s="84"/>
      <c r="AF185" s="84"/>
      <c r="AG185" s="84"/>
      <c r="AH185" s="84"/>
    </row>
    <row r="186" spans="22:34" x14ac:dyDescent="0.15">
      <c r="V186" s="27" t="s">
        <v>31</v>
      </c>
      <c r="W186" s="45" t="s">
        <v>25</v>
      </c>
      <c r="X186" s="15" t="s">
        <v>108</v>
      </c>
      <c r="Y186" s="15" t="s">
        <v>110</v>
      </c>
      <c r="Z186" s="15" t="s">
        <v>112</v>
      </c>
      <c r="AA186" s="15" t="s">
        <v>114</v>
      </c>
      <c r="AB186" s="15" t="s">
        <v>116</v>
      </c>
      <c r="AC186" s="15" t="s">
        <v>26</v>
      </c>
      <c r="AD186" s="15" t="s">
        <v>38</v>
      </c>
      <c r="AE186" s="15" t="s">
        <v>27</v>
      </c>
      <c r="AF186" s="15" t="s">
        <v>29</v>
      </c>
      <c r="AG186" s="15" t="s">
        <v>28</v>
      </c>
      <c r="AH186" s="15" t="s">
        <v>43</v>
      </c>
    </row>
    <row r="187" spans="22:34" x14ac:dyDescent="0.15">
      <c r="V187" s="29">
        <f>基础状态预估!C187</f>
        <v>15</v>
      </c>
      <c r="W187" s="46">
        <f>基础状态预估!D187</f>
        <v>57.176846218996921</v>
      </c>
      <c r="X187" s="11">
        <f>IFERROR(INDEX(O$7:O$27,MATCH($W187,$I$7:$I$27,1)),0)*$V187/$E$1</f>
        <v>3</v>
      </c>
      <c r="Y187" s="11">
        <f t="shared" ref="Y187:AB187" si="68">IFERROR(INDEX(P$7:P$27,MATCH($W187,$I$7:$I$27,1)),0)*$V187/$E$1</f>
        <v>1</v>
      </c>
      <c r="Z187" s="11">
        <f t="shared" si="68"/>
        <v>0</v>
      </c>
      <c r="AA187" s="11">
        <f t="shared" si="68"/>
        <v>400</v>
      </c>
      <c r="AB187" s="11">
        <f t="shared" si="68"/>
        <v>250</v>
      </c>
      <c r="AC187" s="15">
        <f>$X187*D$32+$Y187*D$33+$Z187*D$34</f>
        <v>1.5</v>
      </c>
      <c r="AD187" s="15">
        <f t="shared" ref="AD187:AD227" si="69">$X187*E$32+$Y187*E$33+$Z187*E$34</f>
        <v>1.5</v>
      </c>
      <c r="AE187" s="15">
        <f t="shared" ref="AE187:AE227" si="70">$X187*F$32+$Y187*F$33+$Z187*F$34</f>
        <v>0.7</v>
      </c>
      <c r="AF187" s="15">
        <f t="shared" ref="AF187:AF227" si="71">$X187*G$32+$Y187*G$33+$Z187*G$34</f>
        <v>0.3</v>
      </c>
      <c r="AG187" s="15">
        <f t="shared" ref="AG187:AG227" si="72">$X187*H$32+$Y187*H$33+$Z187*H$34</f>
        <v>0</v>
      </c>
      <c r="AH187" s="15">
        <f t="shared" ref="AH187:AH227" si="73">$X187*I$32+$Y187*I$33+$Z187*I$34</f>
        <v>0</v>
      </c>
    </row>
    <row r="188" spans="22:34" x14ac:dyDescent="0.15">
      <c r="V188" s="29">
        <f>基础状态预估!C188</f>
        <v>30</v>
      </c>
      <c r="W188" s="46">
        <f>基础状态预估!D188</f>
        <v>67.097551508592701</v>
      </c>
      <c r="X188" s="5">
        <f>IFERROR(INDEX(O$7:O$27,MATCH($W188,$I$7:$I$27,1)),0)*($V188-$V187)/$E$1+X187</f>
        <v>6</v>
      </c>
      <c r="Y188" s="5">
        <f t="shared" ref="Y188:AB188" si="74">IFERROR(INDEX(P$7:P$27,MATCH($W188,$I$7:$I$27,1)),0)*($V188-$V187)/$E$1+Y187</f>
        <v>5</v>
      </c>
      <c r="Z188" s="5">
        <f t="shared" si="74"/>
        <v>0</v>
      </c>
      <c r="AA188" s="5">
        <f t="shared" si="74"/>
        <v>1100</v>
      </c>
      <c r="AB188" s="5">
        <f t="shared" si="74"/>
        <v>700</v>
      </c>
      <c r="AC188" s="15">
        <f t="shared" ref="AC188:AC227" si="75">$X188*D$32+$Y188*D$33+$Z188*D$34</f>
        <v>3</v>
      </c>
      <c r="AD188" s="15">
        <f t="shared" si="69"/>
        <v>3</v>
      </c>
      <c r="AE188" s="15">
        <f t="shared" si="70"/>
        <v>3.5</v>
      </c>
      <c r="AF188" s="15">
        <f t="shared" si="71"/>
        <v>1.5</v>
      </c>
      <c r="AG188" s="15">
        <f t="shared" si="72"/>
        <v>0</v>
      </c>
      <c r="AH188" s="15">
        <f t="shared" si="73"/>
        <v>0</v>
      </c>
    </row>
    <row r="189" spans="22:34" x14ac:dyDescent="0.15">
      <c r="V189" s="29">
        <f>基础状态预估!C189</f>
        <v>45</v>
      </c>
      <c r="W189" s="46">
        <f>基础状态预估!D189</f>
        <v>73.037155126421851</v>
      </c>
      <c r="X189" s="5">
        <f t="shared" ref="X189:X227" si="76">IFERROR(INDEX(O$7:O$27,MATCH($W189,$I$7:$I$27,1)),0)*($V189-$V188)/$E$1+X188</f>
        <v>9</v>
      </c>
      <c r="Y189" s="5">
        <f t="shared" ref="Y189:Y227" si="77">IFERROR(INDEX(P$7:P$27,MATCH($W189,$I$7:$I$27,1)),0)*($V189-$V188)/$E$1+Y188</f>
        <v>10</v>
      </c>
      <c r="Z189" s="5">
        <f t="shared" ref="Z189:Z227" si="78">IFERROR(INDEX(Q$7:Q$27,MATCH($W189,$I$7:$I$27,1)),0)*($V189-$V188)/$E$1+Z188</f>
        <v>1</v>
      </c>
      <c r="AA189" s="5">
        <f t="shared" ref="AA189:AA227" si="79">IFERROR(INDEX(R$7:R$27,MATCH($W189,$I$7:$I$27,1)),0)*($V189-$V188)/$E$1+AA188</f>
        <v>2000</v>
      </c>
      <c r="AB189" s="5">
        <f t="shared" ref="AB189:AB227" si="80">IFERROR(INDEX(S$7:S$27,MATCH($W189,$I$7:$I$27,1)),0)*($V189-$V188)/$E$1+AB188</f>
        <v>1300</v>
      </c>
      <c r="AC189" s="15">
        <f t="shared" si="75"/>
        <v>4.5</v>
      </c>
      <c r="AD189" s="15">
        <f t="shared" si="69"/>
        <v>4.5</v>
      </c>
      <c r="AE189" s="15">
        <f t="shared" si="70"/>
        <v>7</v>
      </c>
      <c r="AF189" s="15">
        <f t="shared" si="71"/>
        <v>3</v>
      </c>
      <c r="AG189" s="15">
        <f t="shared" si="72"/>
        <v>0.9</v>
      </c>
      <c r="AH189" s="15">
        <f t="shared" si="73"/>
        <v>0.1</v>
      </c>
    </row>
    <row r="190" spans="22:34" x14ac:dyDescent="0.15">
      <c r="V190" s="29">
        <f>基础状态预估!C190</f>
        <v>60</v>
      </c>
      <c r="W190" s="46">
        <f>基础状态预估!D190</f>
        <v>77.112805903056142</v>
      </c>
      <c r="X190" s="5">
        <f t="shared" si="76"/>
        <v>12</v>
      </c>
      <c r="Y190" s="5">
        <f t="shared" si="77"/>
        <v>15</v>
      </c>
      <c r="Z190" s="5">
        <f t="shared" si="78"/>
        <v>3</v>
      </c>
      <c r="AA190" s="5">
        <f t="shared" si="79"/>
        <v>3000</v>
      </c>
      <c r="AB190" s="5">
        <f t="shared" si="80"/>
        <v>1950</v>
      </c>
      <c r="AC190" s="15">
        <f t="shared" si="75"/>
        <v>6</v>
      </c>
      <c r="AD190" s="15">
        <f t="shared" si="69"/>
        <v>6</v>
      </c>
      <c r="AE190" s="15">
        <f t="shared" si="70"/>
        <v>10.5</v>
      </c>
      <c r="AF190" s="15">
        <f t="shared" si="71"/>
        <v>4.5</v>
      </c>
      <c r="AG190" s="15">
        <f t="shared" si="72"/>
        <v>2.7</v>
      </c>
      <c r="AH190" s="15">
        <f t="shared" si="73"/>
        <v>0.30000000000000004</v>
      </c>
    </row>
    <row r="191" spans="22:34" x14ac:dyDescent="0.15">
      <c r="V191" s="29">
        <f>基础状态预估!C191</f>
        <v>75</v>
      </c>
      <c r="W191" s="46">
        <f>基础状态预估!D191</f>
        <v>80.437605572866573</v>
      </c>
      <c r="X191" s="5">
        <f t="shared" si="76"/>
        <v>15</v>
      </c>
      <c r="Y191" s="5">
        <f t="shared" si="77"/>
        <v>20</v>
      </c>
      <c r="Z191" s="5">
        <f t="shared" si="78"/>
        <v>6</v>
      </c>
      <c r="AA191" s="5">
        <f t="shared" si="79"/>
        <v>4100</v>
      </c>
      <c r="AB191" s="5">
        <f t="shared" si="80"/>
        <v>2650</v>
      </c>
      <c r="AC191" s="15">
        <f t="shared" si="75"/>
        <v>7.5</v>
      </c>
      <c r="AD191" s="15">
        <f t="shared" si="69"/>
        <v>7.5</v>
      </c>
      <c r="AE191" s="15">
        <f t="shared" si="70"/>
        <v>14</v>
      </c>
      <c r="AF191" s="15">
        <f t="shared" si="71"/>
        <v>6</v>
      </c>
      <c r="AG191" s="15">
        <f t="shared" si="72"/>
        <v>5.4</v>
      </c>
      <c r="AH191" s="15">
        <f t="shared" si="73"/>
        <v>0.60000000000000009</v>
      </c>
    </row>
    <row r="192" spans="22:34" x14ac:dyDescent="0.15">
      <c r="V192" s="29">
        <f>基础状态预估!C192</f>
        <v>90</v>
      </c>
      <c r="W192" s="46">
        <f>基础状态预估!D192</f>
        <v>83.124894550960335</v>
      </c>
      <c r="X192" s="5">
        <f t="shared" si="76"/>
        <v>18</v>
      </c>
      <c r="Y192" s="5">
        <f t="shared" si="77"/>
        <v>25</v>
      </c>
      <c r="Z192" s="5">
        <f t="shared" si="78"/>
        <v>11</v>
      </c>
      <c r="AA192" s="5">
        <f t="shared" si="79"/>
        <v>5400</v>
      </c>
      <c r="AB192" s="5">
        <f t="shared" si="80"/>
        <v>3500</v>
      </c>
      <c r="AC192" s="15">
        <f t="shared" si="75"/>
        <v>9</v>
      </c>
      <c r="AD192" s="15">
        <f t="shared" si="69"/>
        <v>9</v>
      </c>
      <c r="AE192" s="15">
        <f t="shared" si="70"/>
        <v>17.5</v>
      </c>
      <c r="AF192" s="15">
        <f t="shared" si="71"/>
        <v>7.5</v>
      </c>
      <c r="AG192" s="15">
        <f t="shared" si="72"/>
        <v>9.9</v>
      </c>
      <c r="AH192" s="15">
        <f t="shared" si="73"/>
        <v>1.1000000000000001</v>
      </c>
    </row>
    <row r="193" spans="22:34" x14ac:dyDescent="0.15">
      <c r="V193" s="29">
        <f>基础状态预估!C193</f>
        <v>105</v>
      </c>
      <c r="W193" s="46">
        <f>基础状态预估!D193</f>
        <v>85.384431166588271</v>
      </c>
      <c r="X193" s="5">
        <f t="shared" si="76"/>
        <v>21</v>
      </c>
      <c r="Y193" s="5">
        <f t="shared" si="77"/>
        <v>30</v>
      </c>
      <c r="Z193" s="5">
        <f t="shared" si="78"/>
        <v>17</v>
      </c>
      <c r="AA193" s="5">
        <f t="shared" si="79"/>
        <v>6800</v>
      </c>
      <c r="AB193" s="5">
        <f t="shared" si="80"/>
        <v>4400</v>
      </c>
      <c r="AC193" s="15">
        <f t="shared" si="75"/>
        <v>10.5</v>
      </c>
      <c r="AD193" s="15">
        <f t="shared" si="69"/>
        <v>10.5</v>
      </c>
      <c r="AE193" s="15">
        <f t="shared" si="70"/>
        <v>21</v>
      </c>
      <c r="AF193" s="15">
        <f t="shared" si="71"/>
        <v>9</v>
      </c>
      <c r="AG193" s="15">
        <f t="shared" si="72"/>
        <v>15.3</v>
      </c>
      <c r="AH193" s="15">
        <f t="shared" si="73"/>
        <v>1.7000000000000002</v>
      </c>
    </row>
    <row r="194" spans="22:34" x14ac:dyDescent="0.15">
      <c r="V194" s="29">
        <f>基础状态预估!C194</f>
        <v>120</v>
      </c>
      <c r="W194" s="46">
        <f>基础状态预估!D194</f>
        <v>87.571414295961461</v>
      </c>
      <c r="X194" s="5">
        <f t="shared" si="76"/>
        <v>24</v>
      </c>
      <c r="Y194" s="5">
        <f t="shared" si="77"/>
        <v>35</v>
      </c>
      <c r="Z194" s="5">
        <f t="shared" si="78"/>
        <v>24</v>
      </c>
      <c r="AA194" s="5">
        <f t="shared" si="79"/>
        <v>8300</v>
      </c>
      <c r="AB194" s="5">
        <f t="shared" si="80"/>
        <v>5400</v>
      </c>
      <c r="AC194" s="15">
        <f t="shared" si="75"/>
        <v>12</v>
      </c>
      <c r="AD194" s="15">
        <f t="shared" si="69"/>
        <v>12</v>
      </c>
      <c r="AE194" s="15">
        <f t="shared" si="70"/>
        <v>24.5</v>
      </c>
      <c r="AF194" s="15">
        <f t="shared" si="71"/>
        <v>10.5</v>
      </c>
      <c r="AG194" s="15">
        <f t="shared" si="72"/>
        <v>21.6</v>
      </c>
      <c r="AH194" s="15">
        <f t="shared" si="73"/>
        <v>2.4000000000000004</v>
      </c>
    </row>
    <row r="195" spans="22:34" x14ac:dyDescent="0.15">
      <c r="V195" s="29">
        <f>基础状态预估!C195</f>
        <v>150</v>
      </c>
      <c r="W195" s="46">
        <f>基础状态预估!D195</f>
        <v>91.216133577135096</v>
      </c>
      <c r="X195" s="5">
        <f t="shared" si="76"/>
        <v>30</v>
      </c>
      <c r="Y195" s="5">
        <f t="shared" si="77"/>
        <v>45</v>
      </c>
      <c r="Z195" s="5">
        <f t="shared" si="78"/>
        <v>42</v>
      </c>
      <c r="AA195" s="5">
        <f t="shared" si="79"/>
        <v>11700</v>
      </c>
      <c r="AB195" s="5">
        <f t="shared" si="80"/>
        <v>7600</v>
      </c>
      <c r="AC195" s="15">
        <f t="shared" si="75"/>
        <v>15</v>
      </c>
      <c r="AD195" s="15">
        <f t="shared" si="69"/>
        <v>15</v>
      </c>
      <c r="AE195" s="15">
        <f t="shared" si="70"/>
        <v>31.499999999999996</v>
      </c>
      <c r="AF195" s="15">
        <f t="shared" si="71"/>
        <v>13.5</v>
      </c>
      <c r="AG195" s="15">
        <f t="shared" si="72"/>
        <v>37.800000000000004</v>
      </c>
      <c r="AH195" s="15">
        <f t="shared" si="73"/>
        <v>4.2</v>
      </c>
    </row>
    <row r="196" spans="22:34" x14ac:dyDescent="0.15">
      <c r="V196" s="29">
        <f>基础状态预估!C196</f>
        <v>180</v>
      </c>
      <c r="W196" s="46">
        <f>基础状态预估!D196</f>
        <v>94.027056817114342</v>
      </c>
      <c r="X196" s="5">
        <f t="shared" si="76"/>
        <v>36</v>
      </c>
      <c r="Y196" s="5">
        <f t="shared" si="77"/>
        <v>55</v>
      </c>
      <c r="Z196" s="5">
        <f t="shared" si="78"/>
        <v>62</v>
      </c>
      <c r="AA196" s="5">
        <f t="shared" si="79"/>
        <v>15300</v>
      </c>
      <c r="AB196" s="5">
        <f t="shared" si="80"/>
        <v>10000</v>
      </c>
      <c r="AC196" s="15">
        <f t="shared" si="75"/>
        <v>18</v>
      </c>
      <c r="AD196" s="15">
        <f t="shared" si="69"/>
        <v>18</v>
      </c>
      <c r="AE196" s="15">
        <f t="shared" si="70"/>
        <v>38.5</v>
      </c>
      <c r="AF196" s="15">
        <f t="shared" si="71"/>
        <v>16.5</v>
      </c>
      <c r="AG196" s="15">
        <f t="shared" si="72"/>
        <v>55.800000000000004</v>
      </c>
      <c r="AH196" s="15">
        <f t="shared" si="73"/>
        <v>6.2</v>
      </c>
    </row>
    <row r="197" spans="22:34" x14ac:dyDescent="0.15">
      <c r="V197" s="29">
        <f>基础状态预估!C197</f>
        <v>210</v>
      </c>
      <c r="W197" s="46">
        <f>基础状态预估!D197</f>
        <v>96.190942965578103</v>
      </c>
      <c r="X197" s="5">
        <f t="shared" si="76"/>
        <v>42</v>
      </c>
      <c r="Y197" s="5">
        <f t="shared" si="77"/>
        <v>65</v>
      </c>
      <c r="Z197" s="5">
        <f t="shared" si="78"/>
        <v>84</v>
      </c>
      <c r="AA197" s="5">
        <f t="shared" si="79"/>
        <v>19100</v>
      </c>
      <c r="AB197" s="5">
        <f t="shared" si="80"/>
        <v>12500</v>
      </c>
      <c r="AC197" s="15">
        <f t="shared" si="75"/>
        <v>21</v>
      </c>
      <c r="AD197" s="15">
        <f t="shared" si="69"/>
        <v>21</v>
      </c>
      <c r="AE197" s="15">
        <f t="shared" si="70"/>
        <v>45.5</v>
      </c>
      <c r="AF197" s="15">
        <f t="shared" si="71"/>
        <v>19.5</v>
      </c>
      <c r="AG197" s="15">
        <f t="shared" si="72"/>
        <v>75.600000000000009</v>
      </c>
      <c r="AH197" s="15">
        <f t="shared" si="73"/>
        <v>8.4</v>
      </c>
    </row>
    <row r="198" spans="22:34" x14ac:dyDescent="0.15">
      <c r="V198" s="29">
        <f>基础状态预估!C198</f>
        <v>240</v>
      </c>
      <c r="W198" s="46">
        <f>基础状态预估!D198</f>
        <v>97.955584586719908</v>
      </c>
      <c r="X198" s="5">
        <f t="shared" si="76"/>
        <v>48</v>
      </c>
      <c r="Y198" s="5">
        <f t="shared" si="77"/>
        <v>75</v>
      </c>
      <c r="Z198" s="5">
        <f t="shared" si="78"/>
        <v>106</v>
      </c>
      <c r="AA198" s="5">
        <f t="shared" si="79"/>
        <v>22900</v>
      </c>
      <c r="AB198" s="5">
        <f t="shared" si="80"/>
        <v>15000</v>
      </c>
      <c r="AC198" s="15">
        <f t="shared" si="75"/>
        <v>24</v>
      </c>
      <c r="AD198" s="15">
        <f t="shared" si="69"/>
        <v>24</v>
      </c>
      <c r="AE198" s="15">
        <f t="shared" si="70"/>
        <v>52.5</v>
      </c>
      <c r="AF198" s="15">
        <f t="shared" si="71"/>
        <v>22.5</v>
      </c>
      <c r="AG198" s="15">
        <f t="shared" si="72"/>
        <v>95.4</v>
      </c>
      <c r="AH198" s="15">
        <f t="shared" si="73"/>
        <v>10.600000000000001</v>
      </c>
    </row>
    <row r="199" spans="22:34" x14ac:dyDescent="0.15">
      <c r="V199" s="29">
        <f>基础状态预估!C199</f>
        <v>270</v>
      </c>
      <c r="W199" s="46">
        <f>基础状态预估!D199</f>
        <v>99.721869727346999</v>
      </c>
      <c r="X199" s="5">
        <f t="shared" si="76"/>
        <v>54</v>
      </c>
      <c r="Y199" s="5">
        <f t="shared" si="77"/>
        <v>85</v>
      </c>
      <c r="Z199" s="5">
        <f t="shared" si="78"/>
        <v>130</v>
      </c>
      <c r="AA199" s="5">
        <f t="shared" si="79"/>
        <v>26900</v>
      </c>
      <c r="AB199" s="5">
        <f t="shared" si="80"/>
        <v>17600</v>
      </c>
      <c r="AC199" s="15">
        <f t="shared" si="75"/>
        <v>27</v>
      </c>
      <c r="AD199" s="15">
        <f t="shared" si="69"/>
        <v>27</v>
      </c>
      <c r="AE199" s="15">
        <f t="shared" si="70"/>
        <v>59.499999999999993</v>
      </c>
      <c r="AF199" s="15">
        <f t="shared" si="71"/>
        <v>25.5</v>
      </c>
      <c r="AG199" s="15">
        <f t="shared" si="72"/>
        <v>117</v>
      </c>
      <c r="AH199" s="15">
        <f t="shared" si="73"/>
        <v>13</v>
      </c>
    </row>
    <row r="200" spans="22:34" x14ac:dyDescent="0.15">
      <c r="V200" s="29">
        <f>基础状态预估!C200</f>
        <v>300</v>
      </c>
      <c r="W200" s="46">
        <f>基础状态预估!D200</f>
        <v>101.32661435104789</v>
      </c>
      <c r="X200" s="5">
        <f t="shared" si="76"/>
        <v>60</v>
      </c>
      <c r="Y200" s="5">
        <f t="shared" si="77"/>
        <v>95</v>
      </c>
      <c r="Z200" s="5">
        <f t="shared" si="78"/>
        <v>156</v>
      </c>
      <c r="AA200" s="5">
        <f t="shared" si="79"/>
        <v>31100</v>
      </c>
      <c r="AB200" s="5">
        <f t="shared" si="80"/>
        <v>20400</v>
      </c>
      <c r="AC200" s="15">
        <f t="shared" si="75"/>
        <v>30</v>
      </c>
      <c r="AD200" s="15">
        <f t="shared" si="69"/>
        <v>30</v>
      </c>
      <c r="AE200" s="15">
        <f t="shared" si="70"/>
        <v>66.5</v>
      </c>
      <c r="AF200" s="15">
        <f t="shared" si="71"/>
        <v>28.5</v>
      </c>
      <c r="AG200" s="15">
        <f t="shared" si="72"/>
        <v>140.4</v>
      </c>
      <c r="AH200" s="15">
        <f t="shared" si="73"/>
        <v>15.600000000000001</v>
      </c>
    </row>
    <row r="201" spans="22:34" x14ac:dyDescent="0.15">
      <c r="V201" s="29">
        <f>基础状态预估!C201</f>
        <v>360</v>
      </c>
      <c r="W201" s="46">
        <f>基础状态预估!D201</f>
        <v>103.97984772466795</v>
      </c>
      <c r="X201" s="5">
        <f t="shared" si="76"/>
        <v>72</v>
      </c>
      <c r="Y201" s="5">
        <f t="shared" si="77"/>
        <v>115</v>
      </c>
      <c r="Z201" s="5">
        <f t="shared" si="78"/>
        <v>208</v>
      </c>
      <c r="AA201" s="5">
        <f t="shared" si="79"/>
        <v>39500</v>
      </c>
      <c r="AB201" s="5">
        <f t="shared" si="80"/>
        <v>26000</v>
      </c>
      <c r="AC201" s="15">
        <f t="shared" si="75"/>
        <v>36</v>
      </c>
      <c r="AD201" s="15">
        <f t="shared" si="69"/>
        <v>36</v>
      </c>
      <c r="AE201" s="15">
        <f t="shared" si="70"/>
        <v>80.5</v>
      </c>
      <c r="AF201" s="15">
        <f t="shared" si="71"/>
        <v>34.5</v>
      </c>
      <c r="AG201" s="15">
        <f t="shared" si="72"/>
        <v>187.20000000000002</v>
      </c>
      <c r="AH201" s="15">
        <f t="shared" si="73"/>
        <v>20.8</v>
      </c>
    </row>
    <row r="202" spans="22:34" x14ac:dyDescent="0.15">
      <c r="V202" s="29">
        <f>基础状态预估!C202</f>
        <v>420</v>
      </c>
      <c r="W202" s="46">
        <f>基础状态预估!D202</f>
        <v>106.26808301554426</v>
      </c>
      <c r="X202" s="5">
        <f t="shared" si="76"/>
        <v>84</v>
      </c>
      <c r="Y202" s="5">
        <f t="shared" si="77"/>
        <v>135</v>
      </c>
      <c r="Z202" s="5">
        <f t="shared" si="78"/>
        <v>260</v>
      </c>
      <c r="AA202" s="5">
        <f t="shared" si="79"/>
        <v>47900</v>
      </c>
      <c r="AB202" s="5">
        <f t="shared" si="80"/>
        <v>31600</v>
      </c>
      <c r="AC202" s="15">
        <f t="shared" si="75"/>
        <v>42</v>
      </c>
      <c r="AD202" s="15">
        <f t="shared" si="69"/>
        <v>42</v>
      </c>
      <c r="AE202" s="15">
        <f t="shared" si="70"/>
        <v>94.5</v>
      </c>
      <c r="AF202" s="15">
        <f t="shared" si="71"/>
        <v>40.5</v>
      </c>
      <c r="AG202" s="15">
        <f t="shared" si="72"/>
        <v>234</v>
      </c>
      <c r="AH202" s="15">
        <f t="shared" si="73"/>
        <v>26</v>
      </c>
    </row>
    <row r="203" spans="22:34" x14ac:dyDescent="0.15">
      <c r="V203" s="29">
        <f>基础状态预估!C203</f>
        <v>480</v>
      </c>
      <c r="W203" s="46">
        <f>基础状态预估!D203</f>
        <v>108.26512634376826</v>
      </c>
      <c r="X203" s="5">
        <f t="shared" si="76"/>
        <v>96</v>
      </c>
      <c r="Y203" s="5">
        <f t="shared" si="77"/>
        <v>155</v>
      </c>
      <c r="Z203" s="5">
        <f t="shared" si="78"/>
        <v>312</v>
      </c>
      <c r="AA203" s="5">
        <f t="shared" si="79"/>
        <v>56300</v>
      </c>
      <c r="AB203" s="5">
        <f t="shared" si="80"/>
        <v>37200</v>
      </c>
      <c r="AC203" s="15">
        <f t="shared" si="75"/>
        <v>48</v>
      </c>
      <c r="AD203" s="15">
        <f t="shared" si="69"/>
        <v>48</v>
      </c>
      <c r="AE203" s="15">
        <f t="shared" si="70"/>
        <v>108.5</v>
      </c>
      <c r="AF203" s="15">
        <f t="shared" si="71"/>
        <v>46.5</v>
      </c>
      <c r="AG203" s="15">
        <f t="shared" si="72"/>
        <v>280.8</v>
      </c>
      <c r="AH203" s="15">
        <f t="shared" si="73"/>
        <v>31.200000000000003</v>
      </c>
    </row>
    <row r="204" spans="22:34" x14ac:dyDescent="0.15">
      <c r="V204" s="29">
        <f>基础状态预估!C204</f>
        <v>540</v>
      </c>
      <c r="W204" s="46">
        <f>基础状态预估!D204</f>
        <v>109.94539652344133</v>
      </c>
      <c r="X204" s="5">
        <f t="shared" si="76"/>
        <v>108</v>
      </c>
      <c r="Y204" s="5">
        <f t="shared" si="77"/>
        <v>175</v>
      </c>
      <c r="Z204" s="5">
        <f t="shared" si="78"/>
        <v>364</v>
      </c>
      <c r="AA204" s="5">
        <f t="shared" si="79"/>
        <v>64700</v>
      </c>
      <c r="AB204" s="5">
        <f t="shared" si="80"/>
        <v>42800</v>
      </c>
      <c r="AC204" s="15">
        <f t="shared" si="75"/>
        <v>54</v>
      </c>
      <c r="AD204" s="15">
        <f t="shared" si="69"/>
        <v>54</v>
      </c>
      <c r="AE204" s="15">
        <f t="shared" si="70"/>
        <v>122.49999999999999</v>
      </c>
      <c r="AF204" s="15">
        <f t="shared" si="71"/>
        <v>52.5</v>
      </c>
      <c r="AG204" s="15">
        <f t="shared" si="72"/>
        <v>327.60000000000002</v>
      </c>
      <c r="AH204" s="15">
        <f t="shared" si="73"/>
        <v>36.4</v>
      </c>
    </row>
    <row r="205" spans="22:34" x14ac:dyDescent="0.15">
      <c r="V205" s="29">
        <f>基础状态预估!C205</f>
        <v>600</v>
      </c>
      <c r="W205" s="46">
        <f>基础状态预估!D205</f>
        <v>111.42099139883071</v>
      </c>
      <c r="X205" s="5">
        <f t="shared" si="76"/>
        <v>120</v>
      </c>
      <c r="Y205" s="5">
        <f t="shared" si="77"/>
        <v>195</v>
      </c>
      <c r="Z205" s="5">
        <f t="shared" si="78"/>
        <v>416</v>
      </c>
      <c r="AA205" s="5">
        <f t="shared" si="79"/>
        <v>73100</v>
      </c>
      <c r="AB205" s="5">
        <f t="shared" si="80"/>
        <v>48400</v>
      </c>
      <c r="AC205" s="15">
        <f t="shared" si="75"/>
        <v>60</v>
      </c>
      <c r="AD205" s="15">
        <f t="shared" si="69"/>
        <v>60</v>
      </c>
      <c r="AE205" s="15">
        <f t="shared" si="70"/>
        <v>136.5</v>
      </c>
      <c r="AF205" s="15">
        <f t="shared" si="71"/>
        <v>58.5</v>
      </c>
      <c r="AG205" s="15">
        <f t="shared" si="72"/>
        <v>374.40000000000003</v>
      </c>
      <c r="AH205" s="15">
        <f t="shared" si="73"/>
        <v>41.6</v>
      </c>
    </row>
    <row r="206" spans="22:34" x14ac:dyDescent="0.15">
      <c r="V206" s="29">
        <f>基础状态预估!C206</f>
        <v>660</v>
      </c>
      <c r="W206" s="46">
        <f>基础状态预估!D206</f>
        <v>112.86737811324367</v>
      </c>
      <c r="X206" s="5">
        <f t="shared" si="76"/>
        <v>132</v>
      </c>
      <c r="Y206" s="5">
        <f t="shared" si="77"/>
        <v>215</v>
      </c>
      <c r="Z206" s="5">
        <f t="shared" si="78"/>
        <v>468</v>
      </c>
      <c r="AA206" s="5">
        <f t="shared" si="79"/>
        <v>81500</v>
      </c>
      <c r="AB206" s="5">
        <f t="shared" si="80"/>
        <v>54000</v>
      </c>
      <c r="AC206" s="15">
        <f t="shared" si="75"/>
        <v>66</v>
      </c>
      <c r="AD206" s="15">
        <f t="shared" si="69"/>
        <v>66</v>
      </c>
      <c r="AE206" s="15">
        <f t="shared" si="70"/>
        <v>150.5</v>
      </c>
      <c r="AF206" s="15">
        <f t="shared" si="71"/>
        <v>64.5</v>
      </c>
      <c r="AG206" s="15">
        <f t="shared" si="72"/>
        <v>421.2</v>
      </c>
      <c r="AH206" s="15">
        <f t="shared" si="73"/>
        <v>46.800000000000004</v>
      </c>
    </row>
    <row r="207" spans="22:34" x14ac:dyDescent="0.15">
      <c r="V207" s="29">
        <f>基础状态预估!C207</f>
        <v>720</v>
      </c>
      <c r="W207" s="46">
        <f>基础状态预估!D207</f>
        <v>114.18811572794328</v>
      </c>
      <c r="X207" s="5">
        <f t="shared" si="76"/>
        <v>144</v>
      </c>
      <c r="Y207" s="5">
        <f t="shared" si="77"/>
        <v>235</v>
      </c>
      <c r="Z207" s="5">
        <f t="shared" si="78"/>
        <v>520</v>
      </c>
      <c r="AA207" s="5">
        <f t="shared" si="79"/>
        <v>89900</v>
      </c>
      <c r="AB207" s="5">
        <f t="shared" si="80"/>
        <v>59600</v>
      </c>
      <c r="AC207" s="15">
        <f t="shared" si="75"/>
        <v>72</v>
      </c>
      <c r="AD207" s="15">
        <f t="shared" si="69"/>
        <v>72</v>
      </c>
      <c r="AE207" s="15">
        <f t="shared" si="70"/>
        <v>164.5</v>
      </c>
      <c r="AF207" s="15">
        <f t="shared" si="71"/>
        <v>70.5</v>
      </c>
      <c r="AG207" s="15">
        <f t="shared" si="72"/>
        <v>468</v>
      </c>
      <c r="AH207" s="15">
        <f t="shared" si="73"/>
        <v>52</v>
      </c>
    </row>
    <row r="208" spans="22:34" x14ac:dyDescent="0.15">
      <c r="V208" s="29">
        <f>基础状态预估!C208</f>
        <v>780</v>
      </c>
      <c r="W208" s="46">
        <f>基础状态预估!D208</f>
        <v>115.38798688586955</v>
      </c>
      <c r="X208" s="5">
        <f t="shared" si="76"/>
        <v>156</v>
      </c>
      <c r="Y208" s="5">
        <f t="shared" si="77"/>
        <v>255</v>
      </c>
      <c r="Z208" s="5">
        <f t="shared" si="78"/>
        <v>572</v>
      </c>
      <c r="AA208" s="5">
        <f t="shared" si="79"/>
        <v>98300</v>
      </c>
      <c r="AB208" s="5">
        <f t="shared" si="80"/>
        <v>65200</v>
      </c>
      <c r="AC208" s="15">
        <f t="shared" si="75"/>
        <v>78</v>
      </c>
      <c r="AD208" s="15">
        <f t="shared" si="69"/>
        <v>78</v>
      </c>
      <c r="AE208" s="15">
        <f t="shared" si="70"/>
        <v>178.5</v>
      </c>
      <c r="AF208" s="15">
        <f t="shared" si="71"/>
        <v>76.5</v>
      </c>
      <c r="AG208" s="15">
        <f t="shared" si="72"/>
        <v>514.80000000000007</v>
      </c>
      <c r="AH208" s="15">
        <f t="shared" si="73"/>
        <v>57.2</v>
      </c>
    </row>
    <row r="209" spans="22:34" x14ac:dyDescent="0.15">
      <c r="V209" s="29">
        <f>基础状态预估!C209</f>
        <v>840</v>
      </c>
      <c r="W209" s="46">
        <f>基础状态预估!D209</f>
        <v>116.44628179968991</v>
      </c>
      <c r="X209" s="5">
        <f t="shared" si="76"/>
        <v>168</v>
      </c>
      <c r="Y209" s="5">
        <f t="shared" si="77"/>
        <v>275</v>
      </c>
      <c r="Z209" s="5">
        <f t="shared" si="78"/>
        <v>624</v>
      </c>
      <c r="AA209" s="5">
        <f t="shared" si="79"/>
        <v>106700</v>
      </c>
      <c r="AB209" s="5">
        <f t="shared" si="80"/>
        <v>70800</v>
      </c>
      <c r="AC209" s="15">
        <f t="shared" si="75"/>
        <v>84</v>
      </c>
      <c r="AD209" s="15">
        <f t="shared" si="69"/>
        <v>84</v>
      </c>
      <c r="AE209" s="15">
        <f t="shared" si="70"/>
        <v>192.5</v>
      </c>
      <c r="AF209" s="15">
        <f t="shared" si="71"/>
        <v>82.5</v>
      </c>
      <c r="AG209" s="15">
        <f t="shared" si="72"/>
        <v>561.6</v>
      </c>
      <c r="AH209" s="15">
        <f t="shared" si="73"/>
        <v>62.400000000000006</v>
      </c>
    </row>
    <row r="210" spans="22:34" x14ac:dyDescent="0.15">
      <c r="V210" s="29">
        <f>基础状态预估!C210</f>
        <v>900</v>
      </c>
      <c r="W210" s="46">
        <f>基础状态预估!D210</f>
        <v>117.4271778717454</v>
      </c>
      <c r="X210" s="5">
        <f t="shared" si="76"/>
        <v>180</v>
      </c>
      <c r="Y210" s="5">
        <f t="shared" si="77"/>
        <v>295</v>
      </c>
      <c r="Z210" s="5">
        <f t="shared" si="78"/>
        <v>676</v>
      </c>
      <c r="AA210" s="5">
        <f t="shared" si="79"/>
        <v>115100</v>
      </c>
      <c r="AB210" s="5">
        <f t="shared" si="80"/>
        <v>76400</v>
      </c>
      <c r="AC210" s="15">
        <f t="shared" si="75"/>
        <v>90</v>
      </c>
      <c r="AD210" s="15">
        <f t="shared" si="69"/>
        <v>90</v>
      </c>
      <c r="AE210" s="15">
        <f t="shared" si="70"/>
        <v>206.5</v>
      </c>
      <c r="AF210" s="15">
        <f t="shared" si="71"/>
        <v>88.5</v>
      </c>
      <c r="AG210" s="15">
        <f t="shared" si="72"/>
        <v>608.4</v>
      </c>
      <c r="AH210" s="15">
        <f t="shared" si="73"/>
        <v>67.600000000000009</v>
      </c>
    </row>
    <row r="211" spans="22:34" x14ac:dyDescent="0.15">
      <c r="V211" s="29">
        <f>基础状态预估!C211</f>
        <v>1020</v>
      </c>
      <c r="W211" s="46">
        <f>基础状态预估!D211</f>
        <v>119.29151076707612</v>
      </c>
      <c r="X211" s="5">
        <f t="shared" si="76"/>
        <v>204</v>
      </c>
      <c r="Y211" s="5">
        <f t="shared" si="77"/>
        <v>335</v>
      </c>
      <c r="Z211" s="5">
        <f t="shared" si="78"/>
        <v>780</v>
      </c>
      <c r="AA211" s="5">
        <f t="shared" si="79"/>
        <v>131900</v>
      </c>
      <c r="AB211" s="5">
        <f t="shared" si="80"/>
        <v>87600</v>
      </c>
      <c r="AC211" s="15">
        <f t="shared" si="75"/>
        <v>102</v>
      </c>
      <c r="AD211" s="15">
        <f t="shared" si="69"/>
        <v>102</v>
      </c>
      <c r="AE211" s="15">
        <f t="shared" si="70"/>
        <v>234.49999999999997</v>
      </c>
      <c r="AF211" s="15">
        <f t="shared" si="71"/>
        <v>100.5</v>
      </c>
      <c r="AG211" s="15">
        <f t="shared" si="72"/>
        <v>702</v>
      </c>
      <c r="AH211" s="15">
        <f t="shared" si="73"/>
        <v>78</v>
      </c>
    </row>
    <row r="212" spans="22:34" x14ac:dyDescent="0.15">
      <c r="V212" s="29">
        <f>基础状态预估!C212</f>
        <v>1140</v>
      </c>
      <c r="W212" s="46">
        <f>基础状态预估!D212</f>
        <v>120.95580403349236</v>
      </c>
      <c r="X212" s="5">
        <f t="shared" si="76"/>
        <v>228</v>
      </c>
      <c r="Y212" s="5">
        <f t="shared" si="77"/>
        <v>375</v>
      </c>
      <c r="Z212" s="5">
        <f t="shared" si="78"/>
        <v>884</v>
      </c>
      <c r="AA212" s="5">
        <f t="shared" si="79"/>
        <v>148700</v>
      </c>
      <c r="AB212" s="5">
        <f t="shared" si="80"/>
        <v>98800</v>
      </c>
      <c r="AC212" s="15">
        <f t="shared" si="75"/>
        <v>114</v>
      </c>
      <c r="AD212" s="15">
        <f t="shared" si="69"/>
        <v>114</v>
      </c>
      <c r="AE212" s="15">
        <f t="shared" si="70"/>
        <v>262.5</v>
      </c>
      <c r="AF212" s="15">
        <f t="shared" si="71"/>
        <v>112.5</v>
      </c>
      <c r="AG212" s="15">
        <f t="shared" si="72"/>
        <v>795.6</v>
      </c>
      <c r="AH212" s="15">
        <f t="shared" si="73"/>
        <v>88.4</v>
      </c>
    </row>
    <row r="213" spans="22:34" x14ac:dyDescent="0.15">
      <c r="V213" s="29">
        <f>基础状态预估!C213</f>
        <v>1260</v>
      </c>
      <c r="W213" s="46">
        <f>基础状态预估!D213</f>
        <v>122.38959636199006</v>
      </c>
      <c r="X213" s="5">
        <f t="shared" si="76"/>
        <v>252</v>
      </c>
      <c r="Y213" s="5">
        <f t="shared" si="77"/>
        <v>415</v>
      </c>
      <c r="Z213" s="5">
        <f t="shared" si="78"/>
        <v>988</v>
      </c>
      <c r="AA213" s="5">
        <f t="shared" si="79"/>
        <v>165500</v>
      </c>
      <c r="AB213" s="5">
        <f t="shared" si="80"/>
        <v>110000</v>
      </c>
      <c r="AC213" s="15">
        <f t="shared" si="75"/>
        <v>126</v>
      </c>
      <c r="AD213" s="15">
        <f t="shared" si="69"/>
        <v>126</v>
      </c>
      <c r="AE213" s="15">
        <f t="shared" si="70"/>
        <v>290.5</v>
      </c>
      <c r="AF213" s="15">
        <f t="shared" si="71"/>
        <v>124.5</v>
      </c>
      <c r="AG213" s="15">
        <f t="shared" si="72"/>
        <v>889.2</v>
      </c>
      <c r="AH213" s="15">
        <f t="shared" si="73"/>
        <v>98.800000000000011</v>
      </c>
    </row>
    <row r="214" spans="22:34" x14ac:dyDescent="0.15">
      <c r="V214" s="29">
        <f>基础状态预估!C214</f>
        <v>1380</v>
      </c>
      <c r="W214" s="46">
        <f>基础状态预估!D214</f>
        <v>123.64000871786199</v>
      </c>
      <c r="X214" s="5">
        <f t="shared" si="76"/>
        <v>276</v>
      </c>
      <c r="Y214" s="5">
        <f t="shared" si="77"/>
        <v>455</v>
      </c>
      <c r="Z214" s="5">
        <f t="shared" si="78"/>
        <v>1092</v>
      </c>
      <c r="AA214" s="5">
        <f t="shared" si="79"/>
        <v>182300</v>
      </c>
      <c r="AB214" s="5">
        <f t="shared" si="80"/>
        <v>121200</v>
      </c>
      <c r="AC214" s="15">
        <f t="shared" si="75"/>
        <v>138</v>
      </c>
      <c r="AD214" s="15">
        <f t="shared" si="69"/>
        <v>138</v>
      </c>
      <c r="AE214" s="15">
        <f t="shared" si="70"/>
        <v>318.5</v>
      </c>
      <c r="AF214" s="15">
        <f t="shared" si="71"/>
        <v>136.5</v>
      </c>
      <c r="AG214" s="15">
        <f t="shared" si="72"/>
        <v>982.80000000000007</v>
      </c>
      <c r="AH214" s="15">
        <f t="shared" si="73"/>
        <v>109.2</v>
      </c>
    </row>
    <row r="215" spans="22:34" x14ac:dyDescent="0.15">
      <c r="V215" s="29">
        <f>基础状态预估!C215</f>
        <v>1500</v>
      </c>
      <c r="W215" s="46">
        <f>基础状态预估!D215</f>
        <v>124.89506332611212</v>
      </c>
      <c r="X215" s="5">
        <f t="shared" si="76"/>
        <v>300</v>
      </c>
      <c r="Y215" s="5">
        <f t="shared" si="77"/>
        <v>495</v>
      </c>
      <c r="Z215" s="5">
        <f t="shared" si="78"/>
        <v>1196</v>
      </c>
      <c r="AA215" s="5">
        <f t="shared" si="79"/>
        <v>199100</v>
      </c>
      <c r="AB215" s="5">
        <f t="shared" si="80"/>
        <v>132400</v>
      </c>
      <c r="AC215" s="15">
        <f t="shared" si="75"/>
        <v>150</v>
      </c>
      <c r="AD215" s="15">
        <f t="shared" si="69"/>
        <v>150</v>
      </c>
      <c r="AE215" s="15">
        <f t="shared" si="70"/>
        <v>346.5</v>
      </c>
      <c r="AF215" s="15">
        <f t="shared" si="71"/>
        <v>148.5</v>
      </c>
      <c r="AG215" s="15">
        <f t="shared" si="72"/>
        <v>1076.4000000000001</v>
      </c>
      <c r="AH215" s="15">
        <f t="shared" si="73"/>
        <v>119.60000000000001</v>
      </c>
    </row>
    <row r="216" spans="22:34" x14ac:dyDescent="0.15">
      <c r="V216" s="29">
        <f>基础状态预估!C216</f>
        <v>1800</v>
      </c>
      <c r="W216" s="46">
        <f>基础状态预估!D216</f>
        <v>127.67301312853458</v>
      </c>
      <c r="X216" s="5">
        <f t="shared" si="76"/>
        <v>360</v>
      </c>
      <c r="Y216" s="5">
        <f t="shared" si="77"/>
        <v>595</v>
      </c>
      <c r="Z216" s="5">
        <f t="shared" si="78"/>
        <v>1456</v>
      </c>
      <c r="AA216" s="5">
        <f t="shared" si="79"/>
        <v>241100</v>
      </c>
      <c r="AB216" s="5">
        <f t="shared" si="80"/>
        <v>160400</v>
      </c>
      <c r="AC216" s="15">
        <f t="shared" si="75"/>
        <v>180</v>
      </c>
      <c r="AD216" s="15">
        <f t="shared" si="69"/>
        <v>180</v>
      </c>
      <c r="AE216" s="15">
        <f t="shared" si="70"/>
        <v>416.5</v>
      </c>
      <c r="AF216" s="15">
        <f t="shared" si="71"/>
        <v>178.5</v>
      </c>
      <c r="AG216" s="15">
        <f t="shared" si="72"/>
        <v>1310.4000000000001</v>
      </c>
      <c r="AH216" s="15">
        <f t="shared" si="73"/>
        <v>145.6</v>
      </c>
    </row>
    <row r="217" spans="22:34" x14ac:dyDescent="0.15">
      <c r="V217" s="29">
        <f>基础状态预估!C217</f>
        <v>2100</v>
      </c>
      <c r="W217" s="46">
        <f>基础状态预估!D217</f>
        <v>129.83412763547076</v>
      </c>
      <c r="X217" s="5">
        <f t="shared" si="76"/>
        <v>420</v>
      </c>
      <c r="Y217" s="5">
        <f t="shared" si="77"/>
        <v>695</v>
      </c>
      <c r="Z217" s="5">
        <f t="shared" si="78"/>
        <v>1716</v>
      </c>
      <c r="AA217" s="5">
        <f t="shared" si="79"/>
        <v>283100</v>
      </c>
      <c r="AB217" s="5">
        <f t="shared" si="80"/>
        <v>188400</v>
      </c>
      <c r="AC217" s="15">
        <f t="shared" si="75"/>
        <v>210</v>
      </c>
      <c r="AD217" s="15">
        <f t="shared" si="69"/>
        <v>210</v>
      </c>
      <c r="AE217" s="15">
        <f t="shared" si="70"/>
        <v>486.49999999999994</v>
      </c>
      <c r="AF217" s="15">
        <f t="shared" si="71"/>
        <v>208.5</v>
      </c>
      <c r="AG217" s="15">
        <f t="shared" si="72"/>
        <v>1544.4</v>
      </c>
      <c r="AH217" s="15">
        <f t="shared" si="73"/>
        <v>171.60000000000002</v>
      </c>
    </row>
    <row r="218" spans="22:34" x14ac:dyDescent="0.15">
      <c r="V218" s="29">
        <f>基础状态预估!C218</f>
        <v>2400</v>
      </c>
      <c r="W218" s="46">
        <f>基础状态预估!D218</f>
        <v>131.79898277231624</v>
      </c>
      <c r="X218" s="5">
        <f t="shared" si="76"/>
        <v>480</v>
      </c>
      <c r="Y218" s="5">
        <f t="shared" si="77"/>
        <v>795</v>
      </c>
      <c r="Z218" s="5">
        <f t="shared" si="78"/>
        <v>1976</v>
      </c>
      <c r="AA218" s="5">
        <f t="shared" si="79"/>
        <v>325100</v>
      </c>
      <c r="AB218" s="5">
        <f t="shared" si="80"/>
        <v>216400</v>
      </c>
      <c r="AC218" s="15">
        <f t="shared" si="75"/>
        <v>240</v>
      </c>
      <c r="AD218" s="15">
        <f t="shared" si="69"/>
        <v>240</v>
      </c>
      <c r="AE218" s="15">
        <f t="shared" si="70"/>
        <v>556.5</v>
      </c>
      <c r="AF218" s="15">
        <f t="shared" si="71"/>
        <v>238.5</v>
      </c>
      <c r="AG218" s="15">
        <f t="shared" si="72"/>
        <v>1778.4</v>
      </c>
      <c r="AH218" s="15">
        <f t="shared" si="73"/>
        <v>197.60000000000002</v>
      </c>
    </row>
    <row r="219" spans="22:34" x14ac:dyDescent="0.15">
      <c r="V219" s="29">
        <f>基础状态预估!C219</f>
        <v>2700</v>
      </c>
      <c r="W219" s="46">
        <f>基础状态预估!D219</f>
        <v>133.57962992379356</v>
      </c>
      <c r="X219" s="5">
        <f t="shared" si="76"/>
        <v>540</v>
      </c>
      <c r="Y219" s="5">
        <f t="shared" si="77"/>
        <v>895</v>
      </c>
      <c r="Z219" s="5">
        <f t="shared" si="78"/>
        <v>2236</v>
      </c>
      <c r="AA219" s="5">
        <f t="shared" si="79"/>
        <v>367100</v>
      </c>
      <c r="AB219" s="5">
        <f t="shared" si="80"/>
        <v>244400</v>
      </c>
      <c r="AC219" s="15">
        <f t="shared" si="75"/>
        <v>270</v>
      </c>
      <c r="AD219" s="15">
        <f t="shared" si="69"/>
        <v>270</v>
      </c>
      <c r="AE219" s="15">
        <f t="shared" si="70"/>
        <v>626.5</v>
      </c>
      <c r="AF219" s="15">
        <f t="shared" si="71"/>
        <v>268.5</v>
      </c>
      <c r="AG219" s="15">
        <f t="shared" si="72"/>
        <v>2012.4</v>
      </c>
      <c r="AH219" s="15">
        <f t="shared" si="73"/>
        <v>223.60000000000002</v>
      </c>
    </row>
    <row r="220" spans="22:34" x14ac:dyDescent="0.15">
      <c r="V220" s="29">
        <f>基础状态预估!C220</f>
        <v>3000</v>
      </c>
      <c r="W220" s="46">
        <f>基础状态预估!D220</f>
        <v>135.09124682527644</v>
      </c>
      <c r="X220" s="5">
        <f t="shared" si="76"/>
        <v>600</v>
      </c>
      <c r="Y220" s="5">
        <f t="shared" si="77"/>
        <v>995</v>
      </c>
      <c r="Z220" s="5">
        <f t="shared" si="78"/>
        <v>2496</v>
      </c>
      <c r="AA220" s="5">
        <f t="shared" si="79"/>
        <v>409100</v>
      </c>
      <c r="AB220" s="5">
        <f t="shared" si="80"/>
        <v>272400</v>
      </c>
      <c r="AC220" s="15">
        <f t="shared" si="75"/>
        <v>300</v>
      </c>
      <c r="AD220" s="15">
        <f t="shared" si="69"/>
        <v>300</v>
      </c>
      <c r="AE220" s="15">
        <f t="shared" si="70"/>
        <v>696.5</v>
      </c>
      <c r="AF220" s="15">
        <f t="shared" si="71"/>
        <v>298.5</v>
      </c>
      <c r="AG220" s="15">
        <f t="shared" si="72"/>
        <v>2246.4</v>
      </c>
      <c r="AH220" s="15">
        <f t="shared" si="73"/>
        <v>249.60000000000002</v>
      </c>
    </row>
    <row r="221" spans="22:34" x14ac:dyDescent="0.15">
      <c r="V221" s="29">
        <f>基础状态预估!C221</f>
        <v>3300</v>
      </c>
      <c r="W221" s="46">
        <f>基础状态预估!D221</f>
        <v>136.4080820895465</v>
      </c>
      <c r="X221" s="5">
        <f t="shared" si="76"/>
        <v>660</v>
      </c>
      <c r="Y221" s="5">
        <f t="shared" si="77"/>
        <v>1095</v>
      </c>
      <c r="Z221" s="5">
        <f t="shared" si="78"/>
        <v>2756</v>
      </c>
      <c r="AA221" s="5">
        <f t="shared" si="79"/>
        <v>451100</v>
      </c>
      <c r="AB221" s="5">
        <f t="shared" si="80"/>
        <v>300400</v>
      </c>
      <c r="AC221" s="15">
        <f t="shared" si="75"/>
        <v>330</v>
      </c>
      <c r="AD221" s="15">
        <f t="shared" si="69"/>
        <v>330</v>
      </c>
      <c r="AE221" s="15">
        <f t="shared" si="70"/>
        <v>766.5</v>
      </c>
      <c r="AF221" s="15">
        <f t="shared" si="71"/>
        <v>328.5</v>
      </c>
      <c r="AG221" s="15">
        <f t="shared" si="72"/>
        <v>2480.4</v>
      </c>
      <c r="AH221" s="15">
        <f t="shared" si="73"/>
        <v>275.60000000000002</v>
      </c>
    </row>
    <row r="222" spans="22:34" x14ac:dyDescent="0.15">
      <c r="V222" s="29">
        <f>基础状态预估!C222</f>
        <v>3600</v>
      </c>
      <c r="W222" s="46">
        <f>基础状态预估!D222</f>
        <v>137.69441197975056</v>
      </c>
      <c r="X222" s="5">
        <f t="shared" si="76"/>
        <v>720</v>
      </c>
      <c r="Y222" s="5">
        <f t="shared" si="77"/>
        <v>1195</v>
      </c>
      <c r="Z222" s="5">
        <f t="shared" si="78"/>
        <v>3016</v>
      </c>
      <c r="AA222" s="5">
        <f t="shared" si="79"/>
        <v>493100</v>
      </c>
      <c r="AB222" s="5">
        <f t="shared" si="80"/>
        <v>328400</v>
      </c>
      <c r="AC222" s="15">
        <f t="shared" si="75"/>
        <v>360</v>
      </c>
      <c r="AD222" s="15">
        <f t="shared" si="69"/>
        <v>360</v>
      </c>
      <c r="AE222" s="15">
        <f t="shared" si="70"/>
        <v>836.5</v>
      </c>
      <c r="AF222" s="15">
        <f t="shared" si="71"/>
        <v>358.5</v>
      </c>
      <c r="AG222" s="15">
        <f t="shared" si="72"/>
        <v>2714.4</v>
      </c>
      <c r="AH222" s="15">
        <f t="shared" si="73"/>
        <v>301.60000000000002</v>
      </c>
    </row>
    <row r="223" spans="22:34" x14ac:dyDescent="0.15">
      <c r="V223" s="29">
        <f>基础状态预估!C223</f>
        <v>3900</v>
      </c>
      <c r="W223" s="46">
        <f>基础状态预估!D223</f>
        <v>138.91667176742632</v>
      </c>
      <c r="X223" s="5">
        <f t="shared" si="76"/>
        <v>780</v>
      </c>
      <c r="Y223" s="5">
        <f t="shared" si="77"/>
        <v>1295</v>
      </c>
      <c r="Z223" s="5">
        <f t="shared" si="78"/>
        <v>3276</v>
      </c>
      <c r="AA223" s="5">
        <f t="shared" si="79"/>
        <v>535100</v>
      </c>
      <c r="AB223" s="5">
        <f t="shared" si="80"/>
        <v>356400</v>
      </c>
      <c r="AC223" s="15">
        <f t="shared" si="75"/>
        <v>390</v>
      </c>
      <c r="AD223" s="15">
        <f t="shared" si="69"/>
        <v>390</v>
      </c>
      <c r="AE223" s="15">
        <f t="shared" si="70"/>
        <v>906.49999999999989</v>
      </c>
      <c r="AF223" s="15">
        <f t="shared" si="71"/>
        <v>388.5</v>
      </c>
      <c r="AG223" s="15">
        <f t="shared" si="72"/>
        <v>2948.4</v>
      </c>
      <c r="AH223" s="15">
        <f t="shared" si="73"/>
        <v>327.60000000000002</v>
      </c>
    </row>
    <row r="224" spans="22:34" x14ac:dyDescent="0.15">
      <c r="V224" s="29">
        <f>基础状态预估!C224</f>
        <v>4200</v>
      </c>
      <c r="W224" s="46">
        <f>基础状态预估!D224</f>
        <v>140.02552130500166</v>
      </c>
      <c r="X224" s="5">
        <f t="shared" si="76"/>
        <v>840</v>
      </c>
      <c r="Y224" s="5">
        <f t="shared" si="77"/>
        <v>1395</v>
      </c>
      <c r="Z224" s="5">
        <f t="shared" si="78"/>
        <v>3536</v>
      </c>
      <c r="AA224" s="5">
        <f t="shared" si="79"/>
        <v>577100</v>
      </c>
      <c r="AB224" s="5">
        <f t="shared" si="80"/>
        <v>384400</v>
      </c>
      <c r="AC224" s="15">
        <f t="shared" si="75"/>
        <v>420</v>
      </c>
      <c r="AD224" s="15">
        <f t="shared" si="69"/>
        <v>420</v>
      </c>
      <c r="AE224" s="15">
        <f t="shared" si="70"/>
        <v>976.49999999999989</v>
      </c>
      <c r="AF224" s="15">
        <f t="shared" si="71"/>
        <v>418.5</v>
      </c>
      <c r="AG224" s="15">
        <f t="shared" si="72"/>
        <v>3182.4</v>
      </c>
      <c r="AH224" s="15">
        <f t="shared" si="73"/>
        <v>353.6</v>
      </c>
    </row>
    <row r="225" spans="22:34" x14ac:dyDescent="0.15">
      <c r="V225" s="29">
        <f>基础状态预估!C225</f>
        <v>4500</v>
      </c>
      <c r="W225" s="46">
        <f>基础状态预估!D225</f>
        <v>141.0305191407117</v>
      </c>
      <c r="X225" s="5">
        <f t="shared" si="76"/>
        <v>900</v>
      </c>
      <c r="Y225" s="5">
        <f t="shared" si="77"/>
        <v>1495</v>
      </c>
      <c r="Z225" s="5">
        <f t="shared" si="78"/>
        <v>3796</v>
      </c>
      <c r="AA225" s="5">
        <f t="shared" si="79"/>
        <v>619100</v>
      </c>
      <c r="AB225" s="5">
        <f t="shared" si="80"/>
        <v>412400</v>
      </c>
      <c r="AC225" s="15">
        <f t="shared" si="75"/>
        <v>450</v>
      </c>
      <c r="AD225" s="15">
        <f t="shared" si="69"/>
        <v>450</v>
      </c>
      <c r="AE225" s="15">
        <f t="shared" si="70"/>
        <v>1046.5</v>
      </c>
      <c r="AF225" s="15">
        <f t="shared" si="71"/>
        <v>448.5</v>
      </c>
      <c r="AG225" s="15">
        <f t="shared" si="72"/>
        <v>3416.4</v>
      </c>
      <c r="AH225" s="15">
        <f t="shared" si="73"/>
        <v>379.6</v>
      </c>
    </row>
    <row r="226" spans="22:34" x14ac:dyDescent="0.15">
      <c r="V226" s="29">
        <f>基础状态预估!C226</f>
        <v>4800</v>
      </c>
      <c r="W226" s="46">
        <f>基础状态预估!D226</f>
        <v>141.92990796852064</v>
      </c>
      <c r="X226" s="5">
        <f t="shared" si="76"/>
        <v>960</v>
      </c>
      <c r="Y226" s="5">
        <f t="shared" si="77"/>
        <v>1595</v>
      </c>
      <c r="Z226" s="5">
        <f t="shared" si="78"/>
        <v>4056</v>
      </c>
      <c r="AA226" s="5">
        <f t="shared" si="79"/>
        <v>661100</v>
      </c>
      <c r="AB226" s="5">
        <f t="shared" si="80"/>
        <v>440400</v>
      </c>
      <c r="AC226" s="15">
        <f t="shared" si="75"/>
        <v>480</v>
      </c>
      <c r="AD226" s="15">
        <f t="shared" si="69"/>
        <v>480</v>
      </c>
      <c r="AE226" s="15">
        <f t="shared" si="70"/>
        <v>1116.5</v>
      </c>
      <c r="AF226" s="15">
        <f t="shared" si="71"/>
        <v>478.5</v>
      </c>
      <c r="AG226" s="15">
        <f t="shared" si="72"/>
        <v>3650.4</v>
      </c>
      <c r="AH226" s="15">
        <f t="shared" si="73"/>
        <v>405.6</v>
      </c>
    </row>
    <row r="227" spans="22:34" x14ac:dyDescent="0.15">
      <c r="V227" s="29">
        <f>基础状态预估!C227</f>
        <v>65535</v>
      </c>
      <c r="W227" s="46">
        <f>基础状态预估!D227</f>
        <v>160</v>
      </c>
      <c r="X227" s="5">
        <f t="shared" si="76"/>
        <v>13107</v>
      </c>
      <c r="Y227" s="5">
        <f t="shared" si="77"/>
        <v>21840</v>
      </c>
      <c r="Z227" s="5">
        <f t="shared" si="78"/>
        <v>56693</v>
      </c>
      <c r="AA227" s="5">
        <f t="shared" si="79"/>
        <v>9164000</v>
      </c>
      <c r="AB227" s="5">
        <f t="shared" si="80"/>
        <v>6109000</v>
      </c>
      <c r="AC227" s="15">
        <f t="shared" si="75"/>
        <v>6553.5</v>
      </c>
      <c r="AD227" s="15">
        <f t="shared" si="69"/>
        <v>6553.5</v>
      </c>
      <c r="AE227" s="15">
        <f t="shared" si="70"/>
        <v>15287.999999999998</v>
      </c>
      <c r="AF227" s="15">
        <f t="shared" si="71"/>
        <v>6552</v>
      </c>
      <c r="AG227" s="15">
        <f t="shared" si="72"/>
        <v>51023.700000000004</v>
      </c>
      <c r="AH227" s="15">
        <f t="shared" si="73"/>
        <v>5669.3</v>
      </c>
    </row>
  </sheetData>
  <mergeCells count="15">
    <mergeCell ref="AM9:AQ9"/>
    <mergeCell ref="X97:AB97"/>
    <mergeCell ref="X141:AB141"/>
    <mergeCell ref="X185:AB185"/>
    <mergeCell ref="AC9:AH9"/>
    <mergeCell ref="AC53:AH53"/>
    <mergeCell ref="AC97:AH97"/>
    <mergeCell ref="AC141:AH141"/>
    <mergeCell ref="AC185:AH185"/>
    <mergeCell ref="X53:AB53"/>
    <mergeCell ref="E5:I5"/>
    <mergeCell ref="J5:N5"/>
    <mergeCell ref="O5:S5"/>
    <mergeCell ref="D30:I30"/>
    <mergeCell ref="X9:AB9"/>
  </mergeCells>
  <phoneticPr fontId="1" type="noConversion"/>
  <pageMargins left="0.7" right="0.7" top="0.75" bottom="0.75" header="0.3" footer="0.3"/>
  <pageSetup paperSize="9" orientation="portrait" r:id="rId1"/>
  <ignoredErrors>
    <ignoredError sqref="O7:S13 O15:S17 O14 Q14:S14 O19:S26 O18:R18 S18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6FCC-7427-4935-8883-56AF1CBE9A80}">
  <dimension ref="A1:AV227"/>
  <sheetViews>
    <sheetView tabSelected="1" topLeftCell="N1" workbookViewId="0">
      <selection activeCell="Z4" sqref="Z4"/>
    </sheetView>
  </sheetViews>
  <sheetFormatPr defaultRowHeight="11.25" x14ac:dyDescent="0.15"/>
  <cols>
    <col min="1" max="1" width="9" style="4"/>
    <col min="2" max="10" width="9" style="80"/>
    <col min="11" max="12" width="10.5" style="80" bestFit="1" customWidth="1"/>
    <col min="13" max="14" width="9" style="80" customWidth="1"/>
    <col min="15" max="15" width="9" style="80"/>
    <col min="16" max="17" width="10.5" style="80" bestFit="1" customWidth="1"/>
    <col min="18" max="20" width="10.5" style="80" customWidth="1"/>
    <col min="21" max="23" width="9" style="80"/>
    <col min="24" max="24" width="7.25" style="31" customWidth="1"/>
    <col min="25" max="25" width="7.25" style="47" customWidth="1"/>
    <col min="26" max="28" width="10.375" style="80" bestFit="1" customWidth="1"/>
    <col min="29" max="30" width="10.375" style="80" customWidth="1"/>
    <col min="31" max="31" width="6" style="80" bestFit="1" customWidth="1"/>
    <col min="32" max="32" width="6.75" style="80" bestFit="1" customWidth="1"/>
    <col min="33" max="39" width="9" style="80"/>
    <col min="40" max="40" width="7.25" style="31" customWidth="1"/>
    <col min="41" max="48" width="9" style="99"/>
    <col min="49" max="16384" width="9" style="80"/>
  </cols>
  <sheetData>
    <row r="1" spans="1:48" x14ac:dyDescent="0.15">
      <c r="A1" s="4" t="s">
        <v>224</v>
      </c>
      <c r="X1" s="81"/>
      <c r="Y1" s="43"/>
      <c r="AN1" s="81"/>
    </row>
    <row r="2" spans="1:48" x14ac:dyDescent="0.15">
      <c r="A2" s="4" t="s">
        <v>225</v>
      </c>
      <c r="X2" s="81"/>
      <c r="Y2" s="43"/>
      <c r="AN2" s="81"/>
    </row>
    <row r="3" spans="1:48" x14ac:dyDescent="0.15">
      <c r="A3" s="4" t="s">
        <v>215</v>
      </c>
      <c r="C3" s="80">
        <v>1</v>
      </c>
      <c r="X3" s="81"/>
      <c r="Y3" s="43"/>
      <c r="AN3" s="81"/>
    </row>
    <row r="4" spans="1:48" x14ac:dyDescent="0.15">
      <c r="P4" s="97" t="s">
        <v>223</v>
      </c>
      <c r="Q4" s="98"/>
      <c r="R4" s="98"/>
      <c r="X4" s="81"/>
      <c r="Y4" s="43"/>
      <c r="AN4" s="81"/>
    </row>
    <row r="5" spans="1:48" x14ac:dyDescent="0.15">
      <c r="F5" s="92" t="s">
        <v>106</v>
      </c>
      <c r="G5" s="92"/>
      <c r="H5" s="92"/>
      <c r="I5" s="92"/>
      <c r="J5" s="92"/>
      <c r="K5" s="92" t="s">
        <v>218</v>
      </c>
      <c r="L5" s="92"/>
      <c r="M5" s="92"/>
      <c r="N5" s="92"/>
      <c r="O5" s="92"/>
      <c r="P5" s="92" t="s">
        <v>219</v>
      </c>
      <c r="Q5" s="92"/>
      <c r="R5" s="92"/>
      <c r="S5" s="92"/>
      <c r="T5" s="92"/>
      <c r="U5" s="92"/>
      <c r="X5" s="81"/>
      <c r="Y5" s="43"/>
      <c r="AN5" s="81"/>
    </row>
    <row r="6" spans="1:48" x14ac:dyDescent="0.15">
      <c r="D6" s="80" t="s">
        <v>216</v>
      </c>
      <c r="E6" s="80" t="s">
        <v>217</v>
      </c>
      <c r="F6" s="80" t="s">
        <v>17</v>
      </c>
      <c r="G6" s="80" t="s">
        <v>18</v>
      </c>
      <c r="H6" s="80" t="s">
        <v>19</v>
      </c>
      <c r="I6" s="80" t="s">
        <v>20</v>
      </c>
      <c r="J6" s="80" t="s">
        <v>21</v>
      </c>
      <c r="K6" s="80" t="s">
        <v>220</v>
      </c>
      <c r="L6" s="80" t="s">
        <v>221</v>
      </c>
      <c r="M6" s="80" t="s">
        <v>115</v>
      </c>
      <c r="N6" s="80" t="s">
        <v>117</v>
      </c>
      <c r="P6" s="80" t="s">
        <v>113</v>
      </c>
      <c r="Q6" s="80" t="s">
        <v>111</v>
      </c>
      <c r="R6" s="80" t="s">
        <v>109</v>
      </c>
      <c r="S6" s="80" t="s">
        <v>115</v>
      </c>
      <c r="T6" s="80" t="s">
        <v>117</v>
      </c>
      <c r="X6" s="81"/>
      <c r="Y6" s="43"/>
      <c r="AN6" s="81"/>
    </row>
    <row r="7" spans="1:48" x14ac:dyDescent="0.15">
      <c r="D7" s="80">
        <v>1</v>
      </c>
      <c r="E7" s="80">
        <v>45</v>
      </c>
      <c r="F7" s="80">
        <f>求节点(其他调用!D$4:D$163,其他调用!$C$4:$C$163,求节点(其他调用!$C$4:$C$163,其他调用!$D$4:$D$163,$E7))</f>
        <v>45</v>
      </c>
      <c r="G7" s="80">
        <f>求节点(其他调用!E$4:E$163,其他调用!$C$4:$C$163,求节点(其他调用!$C$4:$C$163,其他调用!$D$4:$D$163,$E7))</f>
        <v>44.14183525203979</v>
      </c>
      <c r="H7" s="80">
        <f>求节点(其他调用!F$4:F$163,其他调用!$C$4:$C$163,求节点(其他调用!$C$4:$C$163,其他调用!$D$4:$D$163,$E7))</f>
        <v>42.403899400092293</v>
      </c>
      <c r="I7" s="80">
        <f>求节点(其他调用!G$4:G$163,其他调用!$C$4:$C$163,求节点(其他调用!$C$4:$C$163,其他调用!$D$4:$D$163,$E7))</f>
        <v>39.335628666156595</v>
      </c>
      <c r="J7" s="80">
        <f>求节点(其他调用!H$4:H$163,其他调用!$C$4:$C$163,求节点(其他调用!$C$4:$C$163,其他调用!$D$4:$D$163,$E7))</f>
        <v>37.884214126902684</v>
      </c>
      <c r="M7" s="80">
        <v>20</v>
      </c>
      <c r="N7" s="80">
        <v>10</v>
      </c>
      <c r="R7" s="80">
        <v>1</v>
      </c>
      <c r="X7" s="81"/>
      <c r="Y7" s="43"/>
      <c r="AN7" s="81"/>
    </row>
    <row r="8" spans="1:48" x14ac:dyDescent="0.15">
      <c r="D8" s="80">
        <v>2</v>
      </c>
      <c r="E8" s="80">
        <v>55</v>
      </c>
      <c r="F8" s="80">
        <f>求节点(其他调用!D$4:D$163,其他调用!$C$4:$C$163,求节点(其他调用!$C$4:$C$163,其他调用!$D$4:$D$163,$E8))</f>
        <v>55</v>
      </c>
      <c r="G8" s="80">
        <f>求节点(其他调用!E$4:E$163,其他调用!$C$4:$C$163,求节点(其他调用!$C$4:$C$163,其他调用!$D$4:$D$163,$E8))</f>
        <v>54.084442518417632</v>
      </c>
      <c r="H8" s="80">
        <f>求节点(其他调用!F$4:F$163,其他调用!$C$4:$C$163,求节点(其他调用!$C$4:$C$163,其他调用!$D$4:$D$163,$E8))</f>
        <v>51.25147614799711</v>
      </c>
      <c r="I8" s="80">
        <f>求节点(其他调用!G$4:G$163,其他调用!$C$4:$C$163,求节点(其他调用!$C$4:$C$163,其他调用!$D$4:$D$163,$E8))</f>
        <v>48.705002578648788</v>
      </c>
      <c r="J8" s="80">
        <f>求节点(其他调用!H$4:H$163,其他调用!$C$4:$C$163,求节点(其他调用!$C$4:$C$163,其他调用!$D$4:$D$163,$E8))</f>
        <v>46.960131675201168</v>
      </c>
      <c r="M8" s="80">
        <v>30</v>
      </c>
      <c r="N8" s="80">
        <v>15</v>
      </c>
      <c r="R8" s="80">
        <v>1</v>
      </c>
      <c r="X8" s="81"/>
      <c r="Y8" s="43"/>
      <c r="AN8" s="81"/>
    </row>
    <row r="9" spans="1:48" x14ac:dyDescent="0.15">
      <c r="D9" s="80">
        <v>3</v>
      </c>
      <c r="E9" s="80">
        <v>65</v>
      </c>
      <c r="F9" s="80">
        <f>求节点(其他调用!D$4:D$163,其他调用!$C$4:$C$163,求节点(其他调用!$C$4:$C$163,其他调用!$D$4:$D$163,$E9))</f>
        <v>65</v>
      </c>
      <c r="G9" s="80">
        <f>求节点(其他调用!E$4:E$163,其他调用!$C$4:$C$163,求节点(其他调用!$C$4:$C$163,其他调用!$D$4:$D$163,$E9))</f>
        <v>63.39206828700496</v>
      </c>
      <c r="H9" s="80">
        <f>求节点(其他调用!F$4:F$163,其他调用!$C$4:$C$163,求节点(其他调用!$C$4:$C$163,其他调用!$D$4:$D$163,$E9))</f>
        <v>62.00900539320206</v>
      </c>
      <c r="I9" s="80">
        <f>求节点(其他调用!G$4:G$163,其他调用!$C$4:$C$163,求节点(其他调用!$C$4:$C$163,其他调用!$D$4:$D$163,$E9))</f>
        <v>59.269655495277171</v>
      </c>
      <c r="J9" s="80">
        <f>求节点(其他调用!H$4:H$163,其他调用!$C$4:$C$163,求节点(其他调用!$C$4:$C$163,其他调用!$D$4:$D$163,$E9))</f>
        <v>57.670920512440027</v>
      </c>
      <c r="L9" s="80">
        <v>1</v>
      </c>
      <c r="M9" s="80">
        <v>40</v>
      </c>
      <c r="N9" s="80">
        <v>20</v>
      </c>
      <c r="Q9" s="80">
        <v>0.5</v>
      </c>
      <c r="R9" s="80">
        <v>0.5</v>
      </c>
      <c r="X9" s="32" t="s">
        <v>17</v>
      </c>
      <c r="Y9" s="44"/>
      <c r="Z9" s="85" t="s">
        <v>120</v>
      </c>
      <c r="AA9" s="95"/>
      <c r="AB9" s="95"/>
      <c r="AC9" s="95"/>
      <c r="AD9" s="95"/>
      <c r="AE9" s="95"/>
      <c r="AF9" s="86"/>
      <c r="AG9" s="84" t="s">
        <v>121</v>
      </c>
      <c r="AH9" s="84"/>
      <c r="AI9" s="84"/>
      <c r="AJ9" s="84"/>
      <c r="AK9" s="84"/>
      <c r="AL9" s="84"/>
      <c r="AN9" s="29" t="str">
        <f t="shared" ref="AN9:AN10" si="0">X9</f>
        <v>非r</v>
      </c>
      <c r="AO9" s="100" t="s">
        <v>222</v>
      </c>
      <c r="AP9" s="100"/>
      <c r="AQ9" s="100"/>
      <c r="AR9" s="100"/>
      <c r="AS9" s="100"/>
      <c r="AT9" s="100"/>
      <c r="AU9" s="100"/>
      <c r="AV9" s="100"/>
    </row>
    <row r="10" spans="1:48" x14ac:dyDescent="0.15">
      <c r="D10" s="80">
        <v>4</v>
      </c>
      <c r="E10" s="80">
        <v>75</v>
      </c>
      <c r="F10" s="80">
        <f>求节点(其他调用!D$4:D$163,其他调用!$C$4:$C$163,求节点(其他调用!$C$4:$C$163,其他调用!$D$4:$D$163,$E10))</f>
        <v>75</v>
      </c>
      <c r="G10" s="80">
        <f>求节点(其他调用!E$4:E$163,其他调用!$C$4:$C$163,求节点(其他调用!$C$4:$C$163,其他调用!$D$4:$D$163,$E10))</f>
        <v>72.42944131526869</v>
      </c>
      <c r="H10" s="80">
        <f>求节点(其他调用!F$4:F$163,其他调用!$C$4:$C$163,求节点(其他调用!$C$4:$C$163,其他调用!$D$4:$D$163,$E10))</f>
        <v>70.094171195385613</v>
      </c>
      <c r="I10" s="80">
        <f>求节点(其他调用!G$4:G$163,其他调用!$C$4:$C$163,求节点(其他调用!$C$4:$C$163,其他调用!$D$4:$D$163,$E10))</f>
        <v>67.578088944829034</v>
      </c>
      <c r="J10" s="80">
        <f>求节点(其他调用!H$4:H$163,其他调用!$C$4:$C$163,求节点(其他调用!$C$4:$C$163,其他调用!$D$4:$D$163,$E10))</f>
        <v>66.517270459887669</v>
      </c>
      <c r="L10" s="80">
        <v>1</v>
      </c>
      <c r="M10" s="80">
        <v>50</v>
      </c>
      <c r="N10" s="80">
        <v>25</v>
      </c>
      <c r="Q10" s="80">
        <v>1</v>
      </c>
      <c r="X10" s="27" t="s">
        <v>31</v>
      </c>
      <c r="Y10" s="45" t="s">
        <v>25</v>
      </c>
      <c r="Z10" s="79" t="s">
        <v>108</v>
      </c>
      <c r="AA10" s="79" t="s">
        <v>110</v>
      </c>
      <c r="AB10" s="79" t="s">
        <v>112</v>
      </c>
      <c r="AC10" s="79" t="s">
        <v>221</v>
      </c>
      <c r="AD10" s="79" t="s">
        <v>220</v>
      </c>
      <c r="AE10" s="79" t="s">
        <v>114</v>
      </c>
      <c r="AF10" s="79" t="s">
        <v>116</v>
      </c>
      <c r="AG10" s="79" t="s">
        <v>26</v>
      </c>
      <c r="AH10" s="79" t="s">
        <v>38</v>
      </c>
      <c r="AI10" s="79" t="s">
        <v>27</v>
      </c>
      <c r="AJ10" s="79" t="s">
        <v>29</v>
      </c>
      <c r="AK10" s="79" t="s">
        <v>28</v>
      </c>
      <c r="AL10" s="79" t="s">
        <v>43</v>
      </c>
      <c r="AN10" s="29" t="str">
        <f t="shared" si="0"/>
        <v>预期天数</v>
      </c>
      <c r="AO10" s="101" t="s">
        <v>114</v>
      </c>
      <c r="AP10" s="101" t="s">
        <v>116</v>
      </c>
      <c r="AQ10" s="101" t="s">
        <v>26</v>
      </c>
      <c r="AR10" s="101" t="s">
        <v>38</v>
      </c>
      <c r="AS10" s="101" t="s">
        <v>27</v>
      </c>
      <c r="AT10" s="101" t="s">
        <v>29</v>
      </c>
      <c r="AU10" s="101" t="s">
        <v>28</v>
      </c>
      <c r="AV10" s="101" t="s">
        <v>43</v>
      </c>
    </row>
    <row r="11" spans="1:48" x14ac:dyDescent="0.15">
      <c r="D11" s="80">
        <v>5</v>
      </c>
      <c r="E11" s="80">
        <v>85</v>
      </c>
      <c r="F11" s="80">
        <f>求节点(其他调用!D$4:D$163,其他调用!$C$4:$C$163,求节点(其他调用!$C$4:$C$163,其他调用!$D$4:$D$163,$E11))</f>
        <v>85</v>
      </c>
      <c r="G11" s="80">
        <f>求节点(其他调用!E$4:E$163,其他调用!$C$4:$C$163,求节点(其他调用!$C$4:$C$163,其他调用!$D$4:$D$163,$E11))</f>
        <v>82.014484072964876</v>
      </c>
      <c r="H11" s="80">
        <f>求节点(其他调用!F$4:F$163,其他调用!$C$4:$C$163,求节点(其他调用!$C$4:$C$163,其他调用!$D$4:$D$163,$E11))</f>
        <v>80.137768346450201</v>
      </c>
      <c r="I11" s="80">
        <f>求节点(其他调用!G$4:G$163,其他调用!$C$4:$C$163,求节点(其他调用!$C$4:$C$163,其他调用!$D$4:$D$163,$E11))</f>
        <v>76.240958784875986</v>
      </c>
      <c r="J11" s="80">
        <f>求节点(其他调用!H$4:H$163,其他调用!$C$4:$C$163,求节点(其他调用!$C$4:$C$163,其他调用!$D$4:$D$163,$E11))</f>
        <v>75.289517768008238</v>
      </c>
      <c r="K11" s="80">
        <v>1</v>
      </c>
      <c r="M11" s="80">
        <v>60</v>
      </c>
      <c r="N11" s="80">
        <v>30</v>
      </c>
      <c r="P11" s="80">
        <v>0.1</v>
      </c>
      <c r="Q11" s="80">
        <v>0.9</v>
      </c>
      <c r="X11" s="29">
        <f>基础状态预估!C11</f>
        <v>15</v>
      </c>
      <c r="Y11" s="46">
        <f>基础状态预估!D11</f>
        <v>40</v>
      </c>
      <c r="Z11" s="11">
        <f>IFERROR(SUMIF($K$6:$U$6,Z$10,INDEX($K$7:$U$16,MATCH($Y11,$F$7:$F$16,1),1)),0)*$X11*$C$3</f>
        <v>0</v>
      </c>
      <c r="AA11" s="11">
        <f t="shared" ref="AA11:AF11" si="1">IFERROR(SUMIF($K$6:$U$6,AA$10,INDEX($K$7:$U$16,MATCH($Y11,$F$7:$F$16,1),1)),0)*$X11*$C$3</f>
        <v>0</v>
      </c>
      <c r="AB11" s="11">
        <f t="shared" si="1"/>
        <v>0</v>
      </c>
      <c r="AC11" s="11">
        <f t="shared" si="1"/>
        <v>0</v>
      </c>
      <c r="AD11" s="11">
        <f t="shared" si="1"/>
        <v>0</v>
      </c>
      <c r="AE11" s="11">
        <f t="shared" si="1"/>
        <v>0</v>
      </c>
      <c r="AF11" s="11">
        <f t="shared" si="1"/>
        <v>0</v>
      </c>
      <c r="AG11" s="79">
        <f>AC11+Z11*活动投放!$D$32</f>
        <v>0</v>
      </c>
      <c r="AH11" s="79">
        <f>Z11*活动投放!$E$32</f>
        <v>0</v>
      </c>
      <c r="AI11" s="79">
        <f>AD11+AA11*活动投放!$F$33</f>
        <v>0</v>
      </c>
      <c r="AJ11" s="79">
        <f>AA11*活动投放!$G$33</f>
        <v>0</v>
      </c>
      <c r="AK11" s="79">
        <f>AB11*活动投放!$H$34</f>
        <v>0</v>
      </c>
      <c r="AL11" s="79">
        <f>AB11*活动投放!$I$34</f>
        <v>0</v>
      </c>
      <c r="AN11" s="29">
        <f>X11</f>
        <v>15</v>
      </c>
      <c r="AO11" s="101">
        <f>IFERROR(AE11/活动投放!AA11,0)</f>
        <v>0</v>
      </c>
      <c r="AP11" s="101">
        <f>IFERROR(AF11/活动投放!AB11,0)</f>
        <v>0</v>
      </c>
      <c r="AQ11" s="101">
        <f>IFERROR(AG11/活动投放!AC11,0)</f>
        <v>0</v>
      </c>
      <c r="AR11" s="101">
        <f>IFERROR(AH11/活动投放!AD11,0)</f>
        <v>0</v>
      </c>
      <c r="AS11" s="101">
        <f>IFERROR(AI11/活动投放!AE11,0)</f>
        <v>0</v>
      </c>
      <c r="AT11" s="101">
        <f>IFERROR(AJ11/活动投放!AF11,0)</f>
        <v>0</v>
      </c>
      <c r="AU11" s="101">
        <f>IFERROR(AK11/活动投放!AG11,0)</f>
        <v>0</v>
      </c>
      <c r="AV11" s="101">
        <f>IFERROR(AL11/活动投放!AH11,0)</f>
        <v>0</v>
      </c>
    </row>
    <row r="12" spans="1:48" x14ac:dyDescent="0.15">
      <c r="D12" s="80">
        <v>6</v>
      </c>
      <c r="E12" s="80">
        <v>90</v>
      </c>
      <c r="F12" s="80">
        <f>求节点(其他调用!D$4:D$163,其他调用!$C$4:$C$163,求节点(其他调用!$C$4:$C$163,其他调用!$D$4:$D$163,$E12))</f>
        <v>90</v>
      </c>
      <c r="G12" s="80">
        <f>求节点(其他调用!E$4:E$163,其他调用!$C$4:$C$163,求节点(其他调用!$C$4:$C$163,其他调用!$D$4:$D$163,$E12))</f>
        <v>86.166575100786957</v>
      </c>
      <c r="H12" s="80">
        <f>求节点(其他调用!F$4:F$163,其他调用!$C$4:$C$163,求节点(其他调用!$C$4:$C$163,其他调用!$D$4:$D$163,$E12))</f>
        <v>84.146521332734721</v>
      </c>
      <c r="I12" s="80">
        <f>求节点(其他调用!G$4:G$163,其他调用!$C$4:$C$163,求节点(其他调用!$C$4:$C$163,其他调用!$D$4:$D$163,$E12))</f>
        <v>80.091573061692117</v>
      </c>
      <c r="J12" s="80">
        <f>求节点(其他调用!H$4:H$163,其他调用!$C$4:$C$163,求节点(其他调用!$C$4:$C$163,其他调用!$D$4:$D$163,$E12))</f>
        <v>78.952539158978283</v>
      </c>
      <c r="K12" s="80">
        <v>1</v>
      </c>
      <c r="M12" s="80">
        <v>70</v>
      </c>
      <c r="N12" s="80">
        <v>35</v>
      </c>
      <c r="P12" s="80">
        <v>0.2</v>
      </c>
      <c r="Q12" s="80">
        <v>0.8</v>
      </c>
      <c r="X12" s="29">
        <f>基础状态预估!C12</f>
        <v>30</v>
      </c>
      <c r="Y12" s="46">
        <f>基础状态预估!D12</f>
        <v>49.533352307096472</v>
      </c>
      <c r="Z12" s="5">
        <f ca="1">IFERROR(SUMIF($K$6:$U$6,Z$10,INDEX($K$7:$U$16,MATCH($Y12,$F$7:$F$16,1),1)),0)*($X12-$X11)*$C$3+Z11</f>
        <v>15</v>
      </c>
      <c r="AA12" s="5">
        <f t="shared" ref="AA12:AF12" ca="1" si="2">IFERROR(SUMIF($K$6:$U$6,AA$10,INDEX($K$7:$U$16,MATCH($Y12,$F$7:$F$16,1),1)),0)*($X12-$X11)*$C$3+AA11</f>
        <v>0</v>
      </c>
      <c r="AB12" s="5">
        <f t="shared" ca="1" si="2"/>
        <v>0</v>
      </c>
      <c r="AC12" s="5">
        <f t="shared" ca="1" si="2"/>
        <v>0</v>
      </c>
      <c r="AD12" s="5">
        <f t="shared" ca="1" si="2"/>
        <v>0</v>
      </c>
      <c r="AE12" s="5">
        <f t="shared" ca="1" si="2"/>
        <v>300</v>
      </c>
      <c r="AF12" s="5">
        <f t="shared" ca="1" si="2"/>
        <v>150</v>
      </c>
      <c r="AG12" s="79">
        <f ca="1">AC12+Z12*活动投放!$D$32</f>
        <v>7.5</v>
      </c>
      <c r="AH12" s="79">
        <f ca="1">Z12*活动投放!$E$32</f>
        <v>7.5</v>
      </c>
      <c r="AI12" s="79">
        <f ca="1">AD12+AA12*活动投放!$F$33</f>
        <v>0</v>
      </c>
      <c r="AJ12" s="79">
        <f ca="1">AA12*活动投放!$G$33</f>
        <v>0</v>
      </c>
      <c r="AK12" s="79">
        <f ca="1">AB12*活动投放!$H$34</f>
        <v>0</v>
      </c>
      <c r="AL12" s="79">
        <f ca="1">AB12*活动投放!$I$34</f>
        <v>0</v>
      </c>
      <c r="AN12" s="29">
        <f t="shared" ref="AN12:AN51" si="3">X12</f>
        <v>30</v>
      </c>
      <c r="AO12" s="101">
        <f ca="1">IFERROR(AE12/活动投放!AA12,0)</f>
        <v>3</v>
      </c>
      <c r="AP12" s="101">
        <f ca="1">IFERROR(AF12/活动投放!AB12,0)</f>
        <v>3</v>
      </c>
      <c r="AQ12" s="101">
        <f ca="1">IFERROR(AG12/活动投放!AC12,0)</f>
        <v>15</v>
      </c>
      <c r="AR12" s="101">
        <f ca="1">IFERROR(AH12/活动投放!AD12,0)</f>
        <v>15</v>
      </c>
      <c r="AS12" s="101">
        <f ca="1">IFERROR(AI12/活动投放!AE12,0)</f>
        <v>0</v>
      </c>
      <c r="AT12" s="101">
        <f ca="1">IFERROR(AJ12/活动投放!AF12,0)</f>
        <v>0</v>
      </c>
      <c r="AU12" s="101">
        <f ca="1">IFERROR(AK12/活动投放!AG12,0)</f>
        <v>0</v>
      </c>
      <c r="AV12" s="101">
        <f ca="1">IFERROR(AL12/活动投放!AH12,0)</f>
        <v>0</v>
      </c>
    </row>
    <row r="13" spans="1:48" x14ac:dyDescent="0.15">
      <c r="D13" s="80">
        <v>7</v>
      </c>
      <c r="E13" s="80">
        <v>95</v>
      </c>
      <c r="F13" s="80">
        <f>求节点(其他调用!D$4:D$163,其他调用!$C$4:$C$163,求节点(其他调用!$C$4:$C$163,其他调用!$D$4:$D$163,$E13))</f>
        <v>95</v>
      </c>
      <c r="G13" s="80">
        <f>求节点(其他调用!E$4:E$163,其他调用!$C$4:$C$163,求节点(其他调用!$C$4:$C$163,其他调用!$D$4:$D$163,$E13))</f>
        <v>89.702437026418181</v>
      </c>
      <c r="H13" s="80">
        <f>求节点(其他调用!F$4:F$163,其他调用!$C$4:$C$163,求节点(其他调用!$C$4:$C$163,其他调用!$D$4:$D$163,$E13))</f>
        <v>87.254122330147112</v>
      </c>
      <c r="I13" s="80">
        <f>求节点(其他调用!G$4:G$163,其他调用!$C$4:$C$163,求节点(其他调用!$C$4:$C$163,其他调用!$D$4:$D$163,$E13))</f>
        <v>82.73086791768857</v>
      </c>
      <c r="J13" s="80">
        <f>求节点(其他调用!H$4:H$163,其他调用!$C$4:$C$163,求节点(其他调用!$C$4:$C$163,其他调用!$D$4:$D$163,$E13))</f>
        <v>81.742944420111627</v>
      </c>
      <c r="K13" s="80">
        <v>1</v>
      </c>
      <c r="M13" s="80">
        <v>80</v>
      </c>
      <c r="N13" s="80">
        <v>40</v>
      </c>
      <c r="P13" s="80">
        <v>0.3</v>
      </c>
      <c r="Q13" s="80">
        <v>0.7</v>
      </c>
      <c r="X13" s="29">
        <f>基础状态预估!C13</f>
        <v>45</v>
      </c>
      <c r="Y13" s="46">
        <f>基础状态预估!D13</f>
        <v>55.229416240679981</v>
      </c>
      <c r="Z13" s="5">
        <f t="shared" ref="Z13:Z51" ca="1" si="4">IFERROR(SUMIF($K$6:$U$6,Z$10,INDEX($K$7:$U$16,MATCH($Y13,$F$7:$F$16,1),1)),0)*($X13-$X12)*$C$3+Z12</f>
        <v>30</v>
      </c>
      <c r="AA13" s="5">
        <f t="shared" ref="AA13:AA51" ca="1" si="5">IFERROR(SUMIF($K$6:$U$6,AA$10,INDEX($K$7:$U$16,MATCH($Y13,$F$7:$F$16,1),1)),0)*($X13-$X12)*$C$3+AA12</f>
        <v>0</v>
      </c>
      <c r="AB13" s="5">
        <f t="shared" ref="AB13:AB51" ca="1" si="6">IFERROR(SUMIF($K$6:$U$6,AB$10,INDEX($K$7:$U$16,MATCH($Y13,$F$7:$F$16,1),1)),0)*($X13-$X12)*$C$3+AB12</f>
        <v>0</v>
      </c>
      <c r="AC13" s="5">
        <f t="shared" ref="AC13:AC51" ca="1" si="7">IFERROR(SUMIF($K$6:$U$6,AC$10,INDEX($K$7:$U$16,MATCH($Y13,$F$7:$F$16,1),1)),0)*($X13-$X12)*$C$3+AC12</f>
        <v>0</v>
      </c>
      <c r="AD13" s="5">
        <f t="shared" ref="AD13:AD51" ca="1" si="8">IFERROR(SUMIF($K$6:$U$6,AD$10,INDEX($K$7:$U$16,MATCH($Y13,$F$7:$F$16,1),1)),0)*($X13-$X12)*$C$3+AD12</f>
        <v>0</v>
      </c>
      <c r="AE13" s="5">
        <f t="shared" ref="AE13:AE51" ca="1" si="9">IFERROR(SUMIF($K$6:$U$6,AE$10,INDEX($K$7:$U$16,MATCH($Y13,$F$7:$F$16,1),1)),0)*($X13-$X12)*$C$3+AE12</f>
        <v>750</v>
      </c>
      <c r="AF13" s="5">
        <f t="shared" ref="AF13:AF51" ca="1" si="10">IFERROR(SUMIF($K$6:$U$6,AF$10,INDEX($K$7:$U$16,MATCH($Y13,$F$7:$F$16,1),1)),0)*($X13-$X12)*$C$3+AF12</f>
        <v>375</v>
      </c>
      <c r="AG13" s="79">
        <f ca="1">AC13+Z13*活动投放!$D$32</f>
        <v>15</v>
      </c>
      <c r="AH13" s="79">
        <f ca="1">Z13*活动投放!$E$32</f>
        <v>15</v>
      </c>
      <c r="AI13" s="79">
        <f ca="1">AD13+AA13*活动投放!$F$33</f>
        <v>0</v>
      </c>
      <c r="AJ13" s="79">
        <f ca="1">AA13*活动投放!$G$33</f>
        <v>0</v>
      </c>
      <c r="AK13" s="79">
        <f ca="1">AB13*活动投放!$H$34</f>
        <v>0</v>
      </c>
      <c r="AL13" s="79">
        <f ca="1">AB13*活动投放!$I$34</f>
        <v>0</v>
      </c>
      <c r="AN13" s="29">
        <f t="shared" si="3"/>
        <v>45</v>
      </c>
      <c r="AO13" s="101">
        <f ca="1">IFERROR(AE13/活动投放!AA13,0)</f>
        <v>1.875</v>
      </c>
      <c r="AP13" s="101">
        <f ca="1">IFERROR(AF13/活动投放!AB13,0)</f>
        <v>1.5</v>
      </c>
      <c r="AQ13" s="101">
        <f ca="1">IFERROR(AG13/活动投放!AC13,0)</f>
        <v>7.5</v>
      </c>
      <c r="AR13" s="101">
        <f ca="1">IFERROR(AH13/活动投放!AD13,0)</f>
        <v>7.5</v>
      </c>
      <c r="AS13" s="101">
        <f ca="1">IFERROR(AI13/活动投放!AE13,0)</f>
        <v>0</v>
      </c>
      <c r="AT13" s="101">
        <f ca="1">IFERROR(AJ13/活动投放!AF13,0)</f>
        <v>0</v>
      </c>
      <c r="AU13" s="101">
        <f ca="1">IFERROR(AK13/活动投放!AG13,0)</f>
        <v>0</v>
      </c>
      <c r="AV13" s="101">
        <f ca="1">IFERROR(AL13/活动投放!AH13,0)</f>
        <v>0</v>
      </c>
    </row>
    <row r="14" spans="1:48" x14ac:dyDescent="0.15">
      <c r="D14" s="80">
        <v>8</v>
      </c>
      <c r="E14" s="80">
        <v>100</v>
      </c>
      <c r="F14" s="80">
        <f>求节点(其他调用!D$4:D$163,其他调用!$C$4:$C$163,求节点(其他调用!$C$4:$C$163,其他调用!$D$4:$D$163,$E14))</f>
        <v>100</v>
      </c>
      <c r="G14" s="80">
        <f>求节点(其他调用!E$4:E$163,其他调用!$C$4:$C$163,求节点(其他调用!$C$4:$C$163,其他调用!$D$4:$D$163,$E14))</f>
        <v>93.726632825185632</v>
      </c>
      <c r="H14" s="80">
        <f>求节点(其他调用!F$4:F$163,其他调用!$C$4:$C$163,求节点(其他调用!$C$4:$C$163,其他调用!$D$4:$D$163,$E14))</f>
        <v>90.564716449763282</v>
      </c>
      <c r="I14" s="80">
        <f>求节点(其他调用!G$4:G$163,其他调用!$C$4:$C$163,求节点(其他调用!$C$4:$C$163,其他调用!$D$4:$D$163,$E14))</f>
        <v>85.842266819846344</v>
      </c>
      <c r="J14" s="80">
        <f>求节点(其他调用!H$4:H$163,其他调用!$C$4:$C$163,求节点(其他调用!$C$4:$C$163,其他调用!$D$4:$D$163,$E14))</f>
        <v>84.827219946648768</v>
      </c>
      <c r="K14" s="80">
        <v>1</v>
      </c>
      <c r="M14" s="80">
        <v>90</v>
      </c>
      <c r="N14" s="80">
        <v>50</v>
      </c>
      <c r="P14" s="80">
        <v>0.4</v>
      </c>
      <c r="Q14" s="80">
        <v>0.6</v>
      </c>
      <c r="X14" s="29">
        <f>基础状态预估!C14</f>
        <v>60</v>
      </c>
      <c r="Y14" s="46">
        <f>基础状态预估!D14</f>
        <v>59.300028460644697</v>
      </c>
      <c r="Z14" s="5">
        <f t="shared" ca="1" si="4"/>
        <v>45</v>
      </c>
      <c r="AA14" s="5">
        <f t="shared" ca="1" si="5"/>
        <v>0</v>
      </c>
      <c r="AB14" s="5">
        <f t="shared" ca="1" si="6"/>
        <v>0</v>
      </c>
      <c r="AC14" s="5">
        <f t="shared" ca="1" si="7"/>
        <v>0</v>
      </c>
      <c r="AD14" s="5">
        <f t="shared" ca="1" si="8"/>
        <v>0</v>
      </c>
      <c r="AE14" s="5">
        <f t="shared" ca="1" si="9"/>
        <v>1200</v>
      </c>
      <c r="AF14" s="5">
        <f t="shared" ca="1" si="10"/>
        <v>600</v>
      </c>
      <c r="AG14" s="79">
        <f ca="1">AC14+Z14*活动投放!$D$32</f>
        <v>22.5</v>
      </c>
      <c r="AH14" s="79">
        <f ca="1">Z14*活动投放!$E$32</f>
        <v>22.5</v>
      </c>
      <c r="AI14" s="79">
        <f ca="1">AD14+AA14*活动投放!$F$33</f>
        <v>0</v>
      </c>
      <c r="AJ14" s="79">
        <f ca="1">AA14*活动投放!$G$33</f>
        <v>0</v>
      </c>
      <c r="AK14" s="79">
        <f ca="1">AB14*活动投放!$H$34</f>
        <v>0</v>
      </c>
      <c r="AL14" s="79">
        <f ca="1">AB14*活动投放!$I$34</f>
        <v>0</v>
      </c>
      <c r="AN14" s="29">
        <f t="shared" si="3"/>
        <v>60</v>
      </c>
      <c r="AO14" s="101">
        <f ca="1">IFERROR(AE14/活动投放!AA14,0)</f>
        <v>1.7142857142857142</v>
      </c>
      <c r="AP14" s="101">
        <f ca="1">IFERROR(AF14/活动投放!AB14,0)</f>
        <v>1.3333333333333333</v>
      </c>
      <c r="AQ14" s="101">
        <f ca="1">IFERROR(AG14/活动投放!AC14,0)</f>
        <v>6.4285714285714288</v>
      </c>
      <c r="AR14" s="101">
        <f ca="1">IFERROR(AH14/活动投放!AD14,0)</f>
        <v>6.4285714285714288</v>
      </c>
      <c r="AS14" s="101">
        <f ca="1">IFERROR(AI14/活动投放!AE14,0)</f>
        <v>0</v>
      </c>
      <c r="AT14" s="101">
        <f ca="1">IFERROR(AJ14/活动投放!AF14,0)</f>
        <v>0</v>
      </c>
      <c r="AU14" s="101">
        <f ca="1">IFERROR(AK14/活动投放!AG14,0)</f>
        <v>0</v>
      </c>
      <c r="AV14" s="101">
        <f ca="1">IFERROR(AL14/活动投放!AH14,0)</f>
        <v>0</v>
      </c>
    </row>
    <row r="15" spans="1:48" x14ac:dyDescent="0.15">
      <c r="D15" s="80">
        <v>9</v>
      </c>
      <c r="E15" s="80">
        <v>105</v>
      </c>
      <c r="F15" s="80">
        <f>求节点(其他调用!D$4:D$163,其他调用!$C$4:$C$163,求节点(其他调用!$C$4:$C$163,其他调用!$D$4:$D$163,$E15))</f>
        <v>105</v>
      </c>
      <c r="G15" s="80">
        <f>求节点(其他调用!E$4:E$163,其他调用!$C$4:$C$163,求节点(其他调用!$C$4:$C$163,其他调用!$D$4:$D$163,$E15))</f>
        <v>98.475611352997021</v>
      </c>
      <c r="H15" s="80">
        <f>求节点(其他调用!F$4:F$163,其他调用!$C$4:$C$163,求节点(其他调用!$C$4:$C$163,其他调用!$D$4:$D$163,$E15))</f>
        <v>94.810841855881378</v>
      </c>
      <c r="I15" s="80">
        <f>求节点(其他调用!G$4:G$163,其他调用!$C$4:$C$163,求节点(其他调用!$C$4:$C$163,其他调用!$D$4:$D$163,$E15))</f>
        <v>89.513264389791715</v>
      </c>
      <c r="J15" s="80">
        <f>求节点(其他调用!H$4:H$163,其他调用!$C$4:$C$163,求节点(其他调用!$C$4:$C$163,其他调用!$D$4:$D$163,$E15))</f>
        <v>88.571669095228188</v>
      </c>
      <c r="K15" s="80">
        <v>1</v>
      </c>
      <c r="M15" s="80">
        <v>100</v>
      </c>
      <c r="N15" s="80">
        <v>60</v>
      </c>
      <c r="P15" s="80">
        <v>0.5</v>
      </c>
      <c r="Q15" s="80">
        <v>0.5</v>
      </c>
      <c r="X15" s="29">
        <f>基础状态预估!C15</f>
        <v>75</v>
      </c>
      <c r="Y15" s="46">
        <f>基础状态预估!D15</f>
        <v>62.470630686057078</v>
      </c>
      <c r="Z15" s="5">
        <f t="shared" ca="1" si="4"/>
        <v>60</v>
      </c>
      <c r="AA15" s="5">
        <f t="shared" ca="1" si="5"/>
        <v>0</v>
      </c>
      <c r="AB15" s="5">
        <f t="shared" ca="1" si="6"/>
        <v>0</v>
      </c>
      <c r="AC15" s="5">
        <f t="shared" ca="1" si="7"/>
        <v>0</v>
      </c>
      <c r="AD15" s="5">
        <f t="shared" ca="1" si="8"/>
        <v>0</v>
      </c>
      <c r="AE15" s="5">
        <f t="shared" ca="1" si="9"/>
        <v>1650</v>
      </c>
      <c r="AF15" s="5">
        <f t="shared" ca="1" si="10"/>
        <v>825</v>
      </c>
      <c r="AG15" s="79">
        <f ca="1">AC15+Z15*活动投放!$D$32</f>
        <v>30</v>
      </c>
      <c r="AH15" s="79">
        <f ca="1">Z15*活动投放!$E$32</f>
        <v>30</v>
      </c>
      <c r="AI15" s="79">
        <f ca="1">AD15+AA15*活动投放!$F$33</f>
        <v>0</v>
      </c>
      <c r="AJ15" s="79">
        <f ca="1">AA15*活动投放!$G$33</f>
        <v>0</v>
      </c>
      <c r="AK15" s="79">
        <f ca="1">AB15*活动投放!$H$34</f>
        <v>0</v>
      </c>
      <c r="AL15" s="79">
        <f ca="1">AB15*活动投放!$I$34</f>
        <v>0</v>
      </c>
      <c r="AN15" s="29">
        <f t="shared" si="3"/>
        <v>75</v>
      </c>
      <c r="AO15" s="101">
        <f ca="1">IFERROR(AE15/活动投放!AA15,0)</f>
        <v>1.5</v>
      </c>
      <c r="AP15" s="101">
        <f ca="1">IFERROR(AF15/活动投放!AB15,0)</f>
        <v>1.1785714285714286</v>
      </c>
      <c r="AQ15" s="101">
        <f ca="1">IFERROR(AG15/活动投放!AC15,0)</f>
        <v>6</v>
      </c>
      <c r="AR15" s="101">
        <f ca="1">IFERROR(AH15/活动投放!AD15,0)</f>
        <v>6</v>
      </c>
      <c r="AS15" s="101">
        <f ca="1">IFERROR(AI15/活动投放!AE15,0)</f>
        <v>0</v>
      </c>
      <c r="AT15" s="101">
        <f ca="1">IFERROR(AJ15/活动投放!AF15,0)</f>
        <v>0</v>
      </c>
      <c r="AU15" s="101">
        <f ca="1">IFERROR(AK15/活动投放!AG15,0)</f>
        <v>0</v>
      </c>
      <c r="AV15" s="101">
        <f ca="1">IFERROR(AL15/活动投放!AH15,0)</f>
        <v>0</v>
      </c>
    </row>
    <row r="16" spans="1:48" x14ac:dyDescent="0.15">
      <c r="D16" s="80">
        <v>10</v>
      </c>
      <c r="E16" s="80">
        <v>110</v>
      </c>
      <c r="F16" s="80">
        <f>求节点(其他调用!D$4:D$163,其他调用!$C$4:$C$163,求节点(其他调用!$C$4:$C$163,其他调用!$D$4:$D$163,$E16))</f>
        <v>110</v>
      </c>
      <c r="G16" s="80">
        <f>求节点(其他调用!E$4:E$163,其他调用!$C$4:$C$163,求节点(其他调用!$C$4:$C$163,其他调用!$D$4:$D$163,$E16))</f>
        <v>103.12961988830841</v>
      </c>
      <c r="H16" s="80">
        <f>求节点(其他调用!F$4:F$163,其他调用!$C$4:$C$163,求节点(其他调用!$C$4:$C$163,其他调用!$D$4:$D$163,$E16))</f>
        <v>98.818274367020379</v>
      </c>
      <c r="I16" s="80">
        <f>求节点(其他调用!G$4:G$163,其他调用!$C$4:$C$163,求节点(其他调用!$C$4:$C$163,其他调用!$D$4:$D$163,$E16))</f>
        <v>93.143963889672534</v>
      </c>
      <c r="J16" s="80">
        <f>求节点(其他调用!H$4:H$163,其他调用!$C$4:$C$163,求节点(其他调用!$C$4:$C$163,其他调用!$D$4:$D$163,$E16))</f>
        <v>92.181206406465833</v>
      </c>
      <c r="K16" s="80">
        <v>1</v>
      </c>
      <c r="M16" s="80">
        <v>120</v>
      </c>
      <c r="N16" s="80">
        <v>70</v>
      </c>
      <c r="P16" s="80">
        <v>0.6</v>
      </c>
      <c r="Q16" s="80">
        <v>0.4</v>
      </c>
      <c r="X16" s="29">
        <f>基础状态预估!C16</f>
        <v>90</v>
      </c>
      <c r="Y16" s="46">
        <f>基础状态预估!D16</f>
        <v>65.075479910097457</v>
      </c>
      <c r="Z16" s="5">
        <f t="shared" ca="1" si="4"/>
        <v>67.5</v>
      </c>
      <c r="AA16" s="5">
        <f t="shared" ca="1" si="5"/>
        <v>7.5</v>
      </c>
      <c r="AB16" s="5">
        <f t="shared" ca="1" si="6"/>
        <v>0</v>
      </c>
      <c r="AC16" s="5">
        <f t="shared" ca="1" si="7"/>
        <v>15</v>
      </c>
      <c r="AD16" s="5">
        <f t="shared" ca="1" si="8"/>
        <v>0</v>
      </c>
      <c r="AE16" s="5">
        <f t="shared" ca="1" si="9"/>
        <v>2250</v>
      </c>
      <c r="AF16" s="5">
        <f t="shared" ca="1" si="10"/>
        <v>1125</v>
      </c>
      <c r="AG16" s="79">
        <f ca="1">AC16+Z16*活动投放!$D$32</f>
        <v>48.75</v>
      </c>
      <c r="AH16" s="79">
        <f ca="1">Z16*活动投放!$E$32</f>
        <v>33.75</v>
      </c>
      <c r="AI16" s="79">
        <f ca="1">AD16+AA16*活动投放!$F$33</f>
        <v>5.25</v>
      </c>
      <c r="AJ16" s="79">
        <f ca="1">AA16*活动投放!$G$33</f>
        <v>2.25</v>
      </c>
      <c r="AK16" s="79">
        <f ca="1">AB16*活动投放!$H$34</f>
        <v>0</v>
      </c>
      <c r="AL16" s="79">
        <f ca="1">AB16*活动投放!$I$34</f>
        <v>0</v>
      </c>
      <c r="AN16" s="29">
        <f t="shared" si="3"/>
        <v>90</v>
      </c>
      <c r="AO16" s="101">
        <f ca="1">IFERROR(AE16/活动投放!AA16,0)</f>
        <v>1.40625</v>
      </c>
      <c r="AP16" s="101">
        <f ca="1">IFERROR(AF16/活动投放!AB16,0)</f>
        <v>1.125</v>
      </c>
      <c r="AQ16" s="101">
        <f ca="1">IFERROR(AG16/活动投放!AC16,0)</f>
        <v>7.5</v>
      </c>
      <c r="AR16" s="101">
        <f ca="1">IFERROR(AH16/活动投放!AD16,0)</f>
        <v>5.1923076923076925</v>
      </c>
      <c r="AS16" s="101">
        <f ca="1">IFERROR(AI16/活动投放!AE16,0)</f>
        <v>2.5000000000000004</v>
      </c>
      <c r="AT16" s="101">
        <f ca="1">IFERROR(AJ16/活动投放!AF16,0)</f>
        <v>2.5000000000000004</v>
      </c>
      <c r="AU16" s="101">
        <f ca="1">IFERROR(AK16/活动投放!AG16,0)</f>
        <v>0</v>
      </c>
      <c r="AV16" s="101">
        <f ca="1">IFERROR(AL16/活动投放!AH16,0)</f>
        <v>0</v>
      </c>
    </row>
    <row r="17" spans="24:48" x14ac:dyDescent="0.15">
      <c r="X17" s="29">
        <f>基础状态预估!C17</f>
        <v>105</v>
      </c>
      <c r="Y17" s="46">
        <f>基础状态预估!D17</f>
        <v>67.272265912925377</v>
      </c>
      <c r="Z17" s="5">
        <f t="shared" ca="1" si="4"/>
        <v>75</v>
      </c>
      <c r="AA17" s="5">
        <f t="shared" ca="1" si="5"/>
        <v>15</v>
      </c>
      <c r="AB17" s="5">
        <f t="shared" ca="1" si="6"/>
        <v>0</v>
      </c>
      <c r="AC17" s="5">
        <f t="shared" ca="1" si="7"/>
        <v>30</v>
      </c>
      <c r="AD17" s="5">
        <f t="shared" ca="1" si="8"/>
        <v>0</v>
      </c>
      <c r="AE17" s="5">
        <f t="shared" ca="1" si="9"/>
        <v>2850</v>
      </c>
      <c r="AF17" s="5">
        <f t="shared" ca="1" si="10"/>
        <v>1425</v>
      </c>
      <c r="AG17" s="79">
        <f ca="1">AC17+Z17*活动投放!$D$32</f>
        <v>67.5</v>
      </c>
      <c r="AH17" s="79">
        <f ca="1">Z17*活动投放!$E$32</f>
        <v>37.5</v>
      </c>
      <c r="AI17" s="79">
        <f ca="1">AD17+AA17*活动投放!$F$33</f>
        <v>10.5</v>
      </c>
      <c r="AJ17" s="79">
        <f ca="1">AA17*活动投放!$G$33</f>
        <v>4.5</v>
      </c>
      <c r="AK17" s="79">
        <f ca="1">AB17*活动投放!$H$34</f>
        <v>0</v>
      </c>
      <c r="AL17" s="79">
        <f ca="1">AB17*活动投放!$I$34</f>
        <v>0</v>
      </c>
      <c r="AN17" s="29">
        <f t="shared" si="3"/>
        <v>105</v>
      </c>
      <c r="AO17" s="101">
        <f ca="1">IFERROR(AE17/活动投放!AA17,0)</f>
        <v>1.3571428571428572</v>
      </c>
      <c r="AP17" s="101">
        <f ca="1">IFERROR(AF17/活动投放!AB17,0)</f>
        <v>1.0961538461538463</v>
      </c>
      <c r="AQ17" s="101">
        <f ca="1">IFERROR(AG17/活动投放!AC17,0)</f>
        <v>8.4375</v>
      </c>
      <c r="AR17" s="101">
        <f ca="1">IFERROR(AH17/活动投放!AD17,0)</f>
        <v>4.6875</v>
      </c>
      <c r="AS17" s="101">
        <f ca="1">IFERROR(AI17/活动投放!AE17,0)</f>
        <v>3</v>
      </c>
      <c r="AT17" s="101">
        <f ca="1">IFERROR(AJ17/活动投放!AF17,0)</f>
        <v>3</v>
      </c>
      <c r="AU17" s="101">
        <f ca="1">IFERROR(AK17/活动投放!AG17,0)</f>
        <v>0</v>
      </c>
      <c r="AV17" s="101">
        <f ca="1">IFERROR(AL17/活动投放!AH17,0)</f>
        <v>0</v>
      </c>
    </row>
    <row r="18" spans="24:48" x14ac:dyDescent="0.15">
      <c r="X18" s="29">
        <f>基础状态预估!C18</f>
        <v>120</v>
      </c>
      <c r="Y18" s="46">
        <f>基础状态预估!D18</f>
        <v>69.18336653741882</v>
      </c>
      <c r="Z18" s="5">
        <f t="shared" ca="1" si="4"/>
        <v>82.5</v>
      </c>
      <c r="AA18" s="5">
        <f t="shared" ca="1" si="5"/>
        <v>22.5</v>
      </c>
      <c r="AB18" s="5">
        <f t="shared" ca="1" si="6"/>
        <v>0</v>
      </c>
      <c r="AC18" s="5">
        <f t="shared" ca="1" si="7"/>
        <v>45</v>
      </c>
      <c r="AD18" s="5">
        <f t="shared" ca="1" si="8"/>
        <v>0</v>
      </c>
      <c r="AE18" s="5">
        <f t="shared" ca="1" si="9"/>
        <v>3450</v>
      </c>
      <c r="AF18" s="5">
        <f t="shared" ca="1" si="10"/>
        <v>1725</v>
      </c>
      <c r="AG18" s="79">
        <f ca="1">AC18+Z18*活动投放!$D$32</f>
        <v>86.25</v>
      </c>
      <c r="AH18" s="79">
        <f ca="1">Z18*活动投放!$E$32</f>
        <v>41.25</v>
      </c>
      <c r="AI18" s="79">
        <f ca="1">AD18+AA18*活动投放!$F$33</f>
        <v>15.749999999999998</v>
      </c>
      <c r="AJ18" s="79">
        <f ca="1">AA18*活动投放!$G$33</f>
        <v>6.75</v>
      </c>
      <c r="AK18" s="79">
        <f ca="1">AB18*活动投放!$H$34</f>
        <v>0</v>
      </c>
      <c r="AL18" s="79">
        <f ca="1">AB18*活动投放!$I$34</f>
        <v>0</v>
      </c>
      <c r="AN18" s="29">
        <f t="shared" si="3"/>
        <v>120</v>
      </c>
      <c r="AO18" s="101">
        <f ca="1">IFERROR(AE18/活动投放!AA18,0)</f>
        <v>1.3269230769230769</v>
      </c>
      <c r="AP18" s="101">
        <f ca="1">IFERROR(AF18/活动投放!AB18,0)</f>
        <v>1.078125</v>
      </c>
      <c r="AQ18" s="101">
        <f ca="1">IFERROR(AG18/活动投放!AC18,0)</f>
        <v>9.0789473684210531</v>
      </c>
      <c r="AR18" s="101">
        <f ca="1">IFERROR(AH18/活动投放!AD18,0)</f>
        <v>4.3421052631578947</v>
      </c>
      <c r="AS18" s="101">
        <f ca="1">IFERROR(AI18/活动投放!AE18,0)</f>
        <v>3.2142857142857144</v>
      </c>
      <c r="AT18" s="101">
        <f ca="1">IFERROR(AJ18/活动投放!AF18,0)</f>
        <v>3.214285714285714</v>
      </c>
      <c r="AU18" s="101">
        <f ca="1">IFERROR(AK18/活动投放!AG18,0)</f>
        <v>0</v>
      </c>
      <c r="AV18" s="101">
        <f ca="1">IFERROR(AL18/活动投放!AH18,0)</f>
        <v>0</v>
      </c>
    </row>
    <row r="19" spans="24:48" x14ac:dyDescent="0.15">
      <c r="X19" s="29">
        <f>基础状态预估!C19</f>
        <v>150</v>
      </c>
      <c r="Y19" s="46">
        <f>基础状态预估!D19</f>
        <v>72.375871759353331</v>
      </c>
      <c r="Z19" s="5">
        <f t="shared" ca="1" si="4"/>
        <v>97.5</v>
      </c>
      <c r="AA19" s="5">
        <f t="shared" ca="1" si="5"/>
        <v>37.5</v>
      </c>
      <c r="AB19" s="5">
        <f t="shared" ca="1" si="6"/>
        <v>0</v>
      </c>
      <c r="AC19" s="5">
        <f t="shared" ca="1" si="7"/>
        <v>75</v>
      </c>
      <c r="AD19" s="5">
        <f t="shared" ca="1" si="8"/>
        <v>0</v>
      </c>
      <c r="AE19" s="5">
        <f t="shared" ca="1" si="9"/>
        <v>4650</v>
      </c>
      <c r="AF19" s="5">
        <f t="shared" ca="1" si="10"/>
        <v>2325</v>
      </c>
      <c r="AG19" s="79">
        <f ca="1">AC19+Z19*活动投放!$D$32</f>
        <v>123.75</v>
      </c>
      <c r="AH19" s="79">
        <f ca="1">Z19*活动投放!$E$32</f>
        <v>48.75</v>
      </c>
      <c r="AI19" s="79">
        <f ca="1">AD19+AA19*活动投放!$F$33</f>
        <v>26.25</v>
      </c>
      <c r="AJ19" s="79">
        <f ca="1">AA19*活动投放!$G$33</f>
        <v>11.25</v>
      </c>
      <c r="AK19" s="79">
        <f ca="1">AB19*活动投放!$H$34</f>
        <v>0</v>
      </c>
      <c r="AL19" s="79">
        <f ca="1">AB19*活动投放!$I$34</f>
        <v>0</v>
      </c>
      <c r="AN19" s="29">
        <f t="shared" si="3"/>
        <v>150</v>
      </c>
      <c r="AO19" s="101">
        <f ca="1">IFERROR(AE19/活动投放!AA19,0)</f>
        <v>1.2236842105263157</v>
      </c>
      <c r="AP19" s="101">
        <f ca="1">IFERROR(AF19/活动投放!AB19,0)</f>
        <v>0.96875</v>
      </c>
      <c r="AQ19" s="101">
        <f ca="1">IFERROR(AG19/活动投放!AC19,0)</f>
        <v>9.9</v>
      </c>
      <c r="AR19" s="101">
        <f ca="1">IFERROR(AH19/活动投放!AD19,0)</f>
        <v>3.9</v>
      </c>
      <c r="AS19" s="101">
        <f ca="1">IFERROR(AI19/活动投放!AE19,0)</f>
        <v>2.8846153846153846</v>
      </c>
      <c r="AT19" s="101">
        <f ca="1">IFERROR(AJ19/活动投放!AF19,0)</f>
        <v>2.8846153846153846</v>
      </c>
      <c r="AU19" s="101">
        <f ca="1">IFERROR(AK19/活动投放!AG19,0)</f>
        <v>0</v>
      </c>
      <c r="AV19" s="101">
        <f ca="1">IFERROR(AL19/活动投放!AH19,0)</f>
        <v>0</v>
      </c>
    </row>
    <row r="20" spans="24:48" x14ac:dyDescent="0.15">
      <c r="X20" s="29">
        <f>基础状态预估!C20</f>
        <v>180</v>
      </c>
      <c r="Y20" s="46">
        <f>基础状态预估!D20</f>
        <v>74.998404927577795</v>
      </c>
      <c r="Z20" s="5">
        <f t="shared" ca="1" si="4"/>
        <v>112.5</v>
      </c>
      <c r="AA20" s="5">
        <f t="shared" ca="1" si="5"/>
        <v>52.5</v>
      </c>
      <c r="AB20" s="5">
        <f t="shared" ca="1" si="6"/>
        <v>0</v>
      </c>
      <c r="AC20" s="5">
        <f t="shared" ca="1" si="7"/>
        <v>105</v>
      </c>
      <c r="AD20" s="5">
        <f t="shared" ca="1" si="8"/>
        <v>0</v>
      </c>
      <c r="AE20" s="5">
        <f t="shared" ca="1" si="9"/>
        <v>5850</v>
      </c>
      <c r="AF20" s="5">
        <f t="shared" ca="1" si="10"/>
        <v>2925</v>
      </c>
      <c r="AG20" s="79">
        <f ca="1">AC20+Z20*活动投放!$D$32</f>
        <v>161.25</v>
      </c>
      <c r="AH20" s="79">
        <f ca="1">Z20*活动投放!$E$32</f>
        <v>56.25</v>
      </c>
      <c r="AI20" s="79">
        <f ca="1">AD20+AA20*活动投放!$F$33</f>
        <v>36.75</v>
      </c>
      <c r="AJ20" s="79">
        <f ca="1">AA20*活动投放!$G$33</f>
        <v>15.75</v>
      </c>
      <c r="AK20" s="79">
        <f ca="1">AB20*活动投放!$H$34</f>
        <v>0</v>
      </c>
      <c r="AL20" s="79">
        <f ca="1">AB20*活动投放!$I$34</f>
        <v>0</v>
      </c>
      <c r="AN20" s="29">
        <f t="shared" si="3"/>
        <v>180</v>
      </c>
      <c r="AO20" s="101">
        <f ca="1">IFERROR(AE20/活动投放!AA20,0)</f>
        <v>1.125</v>
      </c>
      <c r="AP20" s="101">
        <f ca="1">IFERROR(AF20/活动投放!AB20,0)</f>
        <v>0.88636363636363635</v>
      </c>
      <c r="AQ20" s="101">
        <f ca="1">IFERROR(AG20/活动投放!AC20,0)</f>
        <v>10.403225806451612</v>
      </c>
      <c r="AR20" s="101">
        <f ca="1">IFERROR(AH20/活动投放!AD20,0)</f>
        <v>3.629032258064516</v>
      </c>
      <c r="AS20" s="101">
        <f ca="1">IFERROR(AI20/活动投放!AE20,0)</f>
        <v>2.5</v>
      </c>
      <c r="AT20" s="101">
        <f ca="1">IFERROR(AJ20/活动投放!AF20,0)</f>
        <v>2.5</v>
      </c>
      <c r="AU20" s="101">
        <f ca="1">IFERROR(AK20/活动投放!AG20,0)</f>
        <v>0</v>
      </c>
      <c r="AV20" s="101">
        <f ca="1">IFERROR(AL20/活动投放!AH20,0)</f>
        <v>0</v>
      </c>
    </row>
    <row r="21" spans="24:48" x14ac:dyDescent="0.15">
      <c r="X21" s="29">
        <f>基础状态预估!C21</f>
        <v>210</v>
      </c>
      <c r="Y21" s="46">
        <f>基础状态预估!D21</f>
        <v>77.205261233275195</v>
      </c>
      <c r="Z21" s="5">
        <f t="shared" ca="1" si="4"/>
        <v>112.5</v>
      </c>
      <c r="AA21" s="5">
        <f t="shared" ca="1" si="5"/>
        <v>82.5</v>
      </c>
      <c r="AB21" s="5">
        <f t="shared" ca="1" si="6"/>
        <v>0</v>
      </c>
      <c r="AC21" s="5">
        <f t="shared" ca="1" si="7"/>
        <v>135</v>
      </c>
      <c r="AD21" s="5">
        <f t="shared" ca="1" si="8"/>
        <v>0</v>
      </c>
      <c r="AE21" s="5">
        <f t="shared" ca="1" si="9"/>
        <v>7350</v>
      </c>
      <c r="AF21" s="5">
        <f t="shared" ca="1" si="10"/>
        <v>3675</v>
      </c>
      <c r="AG21" s="79">
        <f ca="1">AC21+Z21*活动投放!$D$32</f>
        <v>191.25</v>
      </c>
      <c r="AH21" s="79">
        <f ca="1">Z21*活动投放!$E$32</f>
        <v>56.25</v>
      </c>
      <c r="AI21" s="79">
        <f ca="1">AD21+AA21*活动投放!$F$33</f>
        <v>57.749999999999993</v>
      </c>
      <c r="AJ21" s="79">
        <f ca="1">AA21*活动投放!$G$33</f>
        <v>24.75</v>
      </c>
      <c r="AK21" s="79">
        <f ca="1">AB21*活动投放!$H$34</f>
        <v>0</v>
      </c>
      <c r="AL21" s="79">
        <f ca="1">AB21*活动投放!$I$34</f>
        <v>0</v>
      </c>
      <c r="AN21" s="29">
        <f t="shared" si="3"/>
        <v>210</v>
      </c>
      <c r="AO21" s="101">
        <f ca="1">IFERROR(AE21/活动投放!AA21,0)</f>
        <v>1.1136363636363635</v>
      </c>
      <c r="AP21" s="101">
        <f ca="1">IFERROR(AF21/活动投放!AB21,0)</f>
        <v>0.875</v>
      </c>
      <c r="AQ21" s="101">
        <f ca="1">IFERROR(AG21/活动投放!AC21,0)</f>
        <v>10.337837837837839</v>
      </c>
      <c r="AR21" s="101">
        <f ca="1">IFERROR(AH21/活动投放!AD21,0)</f>
        <v>3.0405405405405403</v>
      </c>
      <c r="AS21" s="101">
        <f ca="1">IFERROR(AI21/活动投放!AE21,0)</f>
        <v>2.8448275862068968</v>
      </c>
      <c r="AT21" s="101">
        <f ca="1">IFERROR(AJ21/活动投放!AF21,0)</f>
        <v>2.8448275862068968</v>
      </c>
      <c r="AU21" s="101">
        <f ca="1">IFERROR(AK21/活动投放!AG21,0)</f>
        <v>0</v>
      </c>
      <c r="AV21" s="101">
        <f ca="1">IFERROR(AL21/活动投放!AH21,0)</f>
        <v>0</v>
      </c>
    </row>
    <row r="22" spans="24:48" x14ac:dyDescent="0.15">
      <c r="X22" s="29">
        <f>基础状态预估!C22</f>
        <v>240</v>
      </c>
      <c r="Y22" s="46">
        <f>基础状态预估!D22</f>
        <v>79.125035575805882</v>
      </c>
      <c r="Z22" s="5">
        <f t="shared" ca="1" si="4"/>
        <v>112.5</v>
      </c>
      <c r="AA22" s="5">
        <f t="shared" ca="1" si="5"/>
        <v>112.5</v>
      </c>
      <c r="AB22" s="5">
        <f t="shared" ca="1" si="6"/>
        <v>0</v>
      </c>
      <c r="AC22" s="5">
        <f t="shared" ca="1" si="7"/>
        <v>165</v>
      </c>
      <c r="AD22" s="5">
        <f t="shared" ca="1" si="8"/>
        <v>0</v>
      </c>
      <c r="AE22" s="5">
        <f t="shared" ca="1" si="9"/>
        <v>8850</v>
      </c>
      <c r="AF22" s="5">
        <f t="shared" ca="1" si="10"/>
        <v>4425</v>
      </c>
      <c r="AG22" s="79">
        <f ca="1">AC22+Z22*活动投放!$D$32</f>
        <v>221.25</v>
      </c>
      <c r="AH22" s="79">
        <f ca="1">Z22*活动投放!$E$32</f>
        <v>56.25</v>
      </c>
      <c r="AI22" s="79">
        <f ca="1">AD22+AA22*活动投放!$F$33</f>
        <v>78.75</v>
      </c>
      <c r="AJ22" s="79">
        <f ca="1">AA22*活动投放!$G$33</f>
        <v>33.75</v>
      </c>
      <c r="AK22" s="79">
        <f ca="1">AB22*活动投放!$H$34</f>
        <v>0</v>
      </c>
      <c r="AL22" s="79">
        <f ca="1">AB22*活动投放!$I$34</f>
        <v>0</v>
      </c>
      <c r="AN22" s="29">
        <f t="shared" si="3"/>
        <v>240</v>
      </c>
      <c r="AO22" s="101">
        <f ca="1">IFERROR(AE22/活动投放!AA22,0)</f>
        <v>1.0792682926829269</v>
      </c>
      <c r="AP22" s="101">
        <f ca="1">IFERROR(AF22/活动投放!AB22,0)</f>
        <v>0.85096153846153844</v>
      </c>
      <c r="AQ22" s="101">
        <f ca="1">IFERROR(AG22/活动投放!AC22,0)</f>
        <v>10.290697674418604</v>
      </c>
      <c r="AR22" s="101">
        <f ca="1">IFERROR(AH22/活动投放!AD22,0)</f>
        <v>2.6162790697674421</v>
      </c>
      <c r="AS22" s="101">
        <f ca="1">IFERROR(AI22/活动投放!AE22,0)</f>
        <v>2.884615384615385</v>
      </c>
      <c r="AT22" s="101">
        <f ca="1">IFERROR(AJ22/活动投放!AF22,0)</f>
        <v>2.8846153846153846</v>
      </c>
      <c r="AU22" s="101">
        <f ca="1">IFERROR(AK22/活动投放!AG22,0)</f>
        <v>0</v>
      </c>
      <c r="AV22" s="101">
        <f ca="1">IFERROR(AL22/活动投放!AH22,0)</f>
        <v>0</v>
      </c>
    </row>
    <row r="23" spans="24:48" x14ac:dyDescent="0.15">
      <c r="X23" s="29">
        <f>基础状态预估!C23</f>
        <v>270</v>
      </c>
      <c r="Y23" s="46">
        <f>基础状态预估!D23</f>
        <v>80.816370674194118</v>
      </c>
      <c r="Z23" s="5">
        <f t="shared" ca="1" si="4"/>
        <v>112.5</v>
      </c>
      <c r="AA23" s="5">
        <f t="shared" ca="1" si="5"/>
        <v>142.5</v>
      </c>
      <c r="AB23" s="5">
        <f t="shared" ca="1" si="6"/>
        <v>0</v>
      </c>
      <c r="AC23" s="5">
        <f t="shared" ca="1" si="7"/>
        <v>195</v>
      </c>
      <c r="AD23" s="5">
        <f t="shared" ca="1" si="8"/>
        <v>0</v>
      </c>
      <c r="AE23" s="5">
        <f t="shared" ca="1" si="9"/>
        <v>10350</v>
      </c>
      <c r="AF23" s="5">
        <f t="shared" ca="1" si="10"/>
        <v>5175</v>
      </c>
      <c r="AG23" s="79">
        <f ca="1">AC23+Z23*活动投放!$D$32</f>
        <v>251.25</v>
      </c>
      <c r="AH23" s="79">
        <f ca="1">Z23*活动投放!$E$32</f>
        <v>56.25</v>
      </c>
      <c r="AI23" s="79">
        <f ca="1">AD23+AA23*活动投放!$F$33</f>
        <v>99.75</v>
      </c>
      <c r="AJ23" s="79">
        <f ca="1">AA23*活动投放!$G$33</f>
        <v>42.75</v>
      </c>
      <c r="AK23" s="79">
        <f ca="1">AB23*活动投放!$H$34</f>
        <v>0</v>
      </c>
      <c r="AL23" s="79">
        <f ca="1">AB23*活动投放!$I$34</f>
        <v>0</v>
      </c>
      <c r="AN23" s="29">
        <f t="shared" si="3"/>
        <v>270</v>
      </c>
      <c r="AO23" s="101">
        <f ca="1">IFERROR(AE23/活动投放!AA23,0)</f>
        <v>1.0561224489795917</v>
      </c>
      <c r="AP23" s="101">
        <f ca="1">IFERROR(AF23/活动投放!AB23,0)</f>
        <v>0.83467741935483875</v>
      </c>
      <c r="AQ23" s="101">
        <f ca="1">IFERROR(AG23/活动投放!AC23,0)</f>
        <v>10.255102040816327</v>
      </c>
      <c r="AR23" s="101">
        <f ca="1">IFERROR(AH23/活动投放!AD23,0)</f>
        <v>2.295918367346939</v>
      </c>
      <c r="AS23" s="101">
        <f ca="1">IFERROR(AI23/活动投放!AE23,0)</f>
        <v>2.9081632653061229</v>
      </c>
      <c r="AT23" s="101">
        <f ca="1">IFERROR(AJ23/活动投放!AF23,0)</f>
        <v>2.9081632653061225</v>
      </c>
      <c r="AU23" s="101">
        <f ca="1">IFERROR(AK23/活动投放!AG23,0)</f>
        <v>0</v>
      </c>
      <c r="AV23" s="101">
        <f ca="1">IFERROR(AL23/活动投放!AH23,0)</f>
        <v>0</v>
      </c>
    </row>
    <row r="24" spans="24:48" x14ac:dyDescent="0.15">
      <c r="X24" s="29">
        <f>基础状态预估!C24</f>
        <v>300</v>
      </c>
      <c r="Y24" s="46">
        <f>基础状态预估!D24</f>
        <v>82.328492296001457</v>
      </c>
      <c r="Z24" s="5">
        <f t="shared" ca="1" si="4"/>
        <v>112.5</v>
      </c>
      <c r="AA24" s="5">
        <f t="shared" ca="1" si="5"/>
        <v>172.5</v>
      </c>
      <c r="AB24" s="5">
        <f t="shared" ca="1" si="6"/>
        <v>0</v>
      </c>
      <c r="AC24" s="5">
        <f t="shared" ca="1" si="7"/>
        <v>225</v>
      </c>
      <c r="AD24" s="5">
        <f t="shared" ca="1" si="8"/>
        <v>0</v>
      </c>
      <c r="AE24" s="5">
        <f t="shared" ca="1" si="9"/>
        <v>11850</v>
      </c>
      <c r="AF24" s="5">
        <f t="shared" ca="1" si="10"/>
        <v>5925</v>
      </c>
      <c r="AG24" s="79">
        <f ca="1">AC24+Z24*活动投放!$D$32</f>
        <v>281.25</v>
      </c>
      <c r="AH24" s="79">
        <f ca="1">Z24*活动投放!$E$32</f>
        <v>56.25</v>
      </c>
      <c r="AI24" s="79">
        <f ca="1">AD24+AA24*活动投放!$F$33</f>
        <v>120.74999999999999</v>
      </c>
      <c r="AJ24" s="79">
        <f ca="1">AA24*活动投放!$G$33</f>
        <v>51.75</v>
      </c>
      <c r="AK24" s="79">
        <f ca="1">AB24*活动投放!$H$34</f>
        <v>0</v>
      </c>
      <c r="AL24" s="79">
        <f ca="1">AB24*活动投放!$I$34</f>
        <v>0</v>
      </c>
      <c r="AN24" s="29">
        <f t="shared" si="3"/>
        <v>300</v>
      </c>
      <c r="AO24" s="101">
        <f ca="1">IFERROR(AE24/活动投放!AA24,0)</f>
        <v>1.021551724137931</v>
      </c>
      <c r="AP24" s="101">
        <f ca="1">IFERROR(AF24/活动投放!AB24,0)</f>
        <v>0.80067567567567566</v>
      </c>
      <c r="AQ24" s="101">
        <f ca="1">IFERROR(AG24/活动投放!AC24,0)</f>
        <v>10.227272727272727</v>
      </c>
      <c r="AR24" s="101">
        <f ca="1">IFERROR(AH24/活动投放!AD24,0)</f>
        <v>2.0454545454545454</v>
      </c>
      <c r="AS24" s="101">
        <f ca="1">IFERROR(AI24/活动投放!AE24,0)</f>
        <v>2.9237288135593218</v>
      </c>
      <c r="AT24" s="101">
        <f ca="1">IFERROR(AJ24/活动投放!AF24,0)</f>
        <v>2.9237288135593222</v>
      </c>
      <c r="AU24" s="101">
        <f ca="1">IFERROR(AK24/活动投放!AG24,0)</f>
        <v>0</v>
      </c>
      <c r="AV24" s="101">
        <f ca="1">IFERROR(AL24/活动投放!AH24,0)</f>
        <v>0</v>
      </c>
    </row>
    <row r="25" spans="24:48" x14ac:dyDescent="0.15">
      <c r="X25" s="29">
        <f>基础状态预估!C25</f>
        <v>360</v>
      </c>
      <c r="Y25" s="46">
        <f>基础状态预估!D25</f>
        <v>84.957158709068153</v>
      </c>
      <c r="Z25" s="5">
        <f t="shared" ca="1" si="4"/>
        <v>112.5</v>
      </c>
      <c r="AA25" s="5">
        <f t="shared" ca="1" si="5"/>
        <v>232.5</v>
      </c>
      <c r="AB25" s="5">
        <f t="shared" ca="1" si="6"/>
        <v>0</v>
      </c>
      <c r="AC25" s="5">
        <f t="shared" ca="1" si="7"/>
        <v>285</v>
      </c>
      <c r="AD25" s="5">
        <f t="shared" ca="1" si="8"/>
        <v>0</v>
      </c>
      <c r="AE25" s="5">
        <f t="shared" ca="1" si="9"/>
        <v>14850</v>
      </c>
      <c r="AF25" s="5">
        <f t="shared" ca="1" si="10"/>
        <v>7425</v>
      </c>
      <c r="AG25" s="79">
        <f ca="1">AC25+Z25*活动投放!$D$32</f>
        <v>341.25</v>
      </c>
      <c r="AH25" s="79">
        <f ca="1">Z25*活动投放!$E$32</f>
        <v>56.25</v>
      </c>
      <c r="AI25" s="79">
        <f ca="1">AD25+AA25*活动投放!$F$33</f>
        <v>162.75</v>
      </c>
      <c r="AJ25" s="79">
        <f ca="1">AA25*活动投放!$G$33</f>
        <v>69.75</v>
      </c>
      <c r="AK25" s="79">
        <f ca="1">AB25*活动投放!$H$34</f>
        <v>0</v>
      </c>
      <c r="AL25" s="79">
        <f ca="1">AB25*活动投放!$I$34</f>
        <v>0</v>
      </c>
      <c r="AN25" s="29">
        <f t="shared" si="3"/>
        <v>360</v>
      </c>
      <c r="AO25" s="101">
        <f ca="1">IFERROR(AE25/活动投放!AA25,0)</f>
        <v>0.97697368421052633</v>
      </c>
      <c r="AP25" s="101">
        <f ca="1">IFERROR(AF25/活动投放!AB25,0)</f>
        <v>0.75765306122448983</v>
      </c>
      <c r="AQ25" s="101">
        <f ca="1">IFERROR(AG25/活动投放!AC25,0)</f>
        <v>10.186567164179104</v>
      </c>
      <c r="AR25" s="101">
        <f ca="1">IFERROR(AH25/活动投放!AD25,0)</f>
        <v>1.6791044776119404</v>
      </c>
      <c r="AS25" s="101">
        <f ca="1">IFERROR(AI25/活动投放!AE25,0)</f>
        <v>2.9430379746835444</v>
      </c>
      <c r="AT25" s="101">
        <f ca="1">IFERROR(AJ25/活动投放!AF25,0)</f>
        <v>2.9430379746835444</v>
      </c>
      <c r="AU25" s="101">
        <f ca="1">IFERROR(AK25/活动投放!AG25,0)</f>
        <v>0</v>
      </c>
      <c r="AV25" s="101">
        <f ca="1">IFERROR(AL25/活动投放!AH25,0)</f>
        <v>0</v>
      </c>
    </row>
    <row r="26" spans="24:48" x14ac:dyDescent="0.15">
      <c r="X26" s="29">
        <f>基础状态预估!C26</f>
        <v>420</v>
      </c>
      <c r="Y26" s="46">
        <f>基础状态预估!D26</f>
        <v>87.171758893450118</v>
      </c>
      <c r="Z26" s="5">
        <f t="shared" ca="1" si="4"/>
        <v>112.5</v>
      </c>
      <c r="AA26" s="5">
        <f t="shared" ca="1" si="5"/>
        <v>286.5</v>
      </c>
      <c r="AB26" s="5">
        <f t="shared" ca="1" si="6"/>
        <v>6</v>
      </c>
      <c r="AC26" s="5">
        <f t="shared" ca="1" si="7"/>
        <v>285</v>
      </c>
      <c r="AD26" s="5">
        <f t="shared" ca="1" si="8"/>
        <v>60</v>
      </c>
      <c r="AE26" s="5">
        <f t="shared" ca="1" si="9"/>
        <v>18450</v>
      </c>
      <c r="AF26" s="5">
        <f t="shared" ca="1" si="10"/>
        <v>9225</v>
      </c>
      <c r="AG26" s="79">
        <f ca="1">AC26+Z26*活动投放!$D$32</f>
        <v>341.25</v>
      </c>
      <c r="AH26" s="79">
        <f ca="1">Z26*活动投放!$E$32</f>
        <v>56.25</v>
      </c>
      <c r="AI26" s="79">
        <f ca="1">AD26+AA26*活动投放!$F$33</f>
        <v>260.54999999999995</v>
      </c>
      <c r="AJ26" s="79">
        <f ca="1">AA26*活动投放!$G$33</f>
        <v>85.95</v>
      </c>
      <c r="AK26" s="79">
        <f ca="1">AB26*活动投放!$H$34</f>
        <v>5.4</v>
      </c>
      <c r="AL26" s="79">
        <f ca="1">AB26*活动投放!$I$34</f>
        <v>0.60000000000000009</v>
      </c>
      <c r="AN26" s="29">
        <f t="shared" si="3"/>
        <v>420</v>
      </c>
      <c r="AO26" s="101">
        <f ca="1">IFERROR(AE26/活动投放!AA26,0)</f>
        <v>0.9609375</v>
      </c>
      <c r="AP26" s="101">
        <f ca="1">IFERROR(AF26/活动投放!AB26,0)</f>
        <v>0.74395161290322576</v>
      </c>
      <c r="AQ26" s="101">
        <f ca="1">IFERROR(AG26/活动投放!AC26,0)</f>
        <v>8.6392405063291147</v>
      </c>
      <c r="AR26" s="101">
        <f ca="1">IFERROR(AH26/活动投放!AD26,0)</f>
        <v>1.4240506329113924</v>
      </c>
      <c r="AS26" s="101">
        <f ca="1">IFERROR(AI26/活动投放!AE26,0)</f>
        <v>3.7597402597402594</v>
      </c>
      <c r="AT26" s="101">
        <f ca="1">IFERROR(AJ26/活动投放!AF26,0)</f>
        <v>2.893939393939394</v>
      </c>
      <c r="AU26" s="101">
        <f ca="1">IFERROR(AK26/活动投放!AG26,0)</f>
        <v>0.4285714285714286</v>
      </c>
      <c r="AV26" s="101">
        <f ca="1">IFERROR(AL26/活动投放!AH26,0)</f>
        <v>0.4285714285714286</v>
      </c>
    </row>
    <row r="27" spans="24:48" x14ac:dyDescent="0.15">
      <c r="X27" s="29">
        <f>基础状态预估!C27</f>
        <v>480</v>
      </c>
      <c r="Y27" s="46">
        <f>基础状态预估!D27</f>
        <v>89.095870094999412</v>
      </c>
      <c r="Z27" s="5">
        <f t="shared" ca="1" si="4"/>
        <v>112.5</v>
      </c>
      <c r="AA27" s="5">
        <f t="shared" ca="1" si="5"/>
        <v>340.5</v>
      </c>
      <c r="AB27" s="5">
        <f t="shared" ca="1" si="6"/>
        <v>12</v>
      </c>
      <c r="AC27" s="5">
        <f t="shared" ca="1" si="7"/>
        <v>285</v>
      </c>
      <c r="AD27" s="5">
        <f t="shared" ca="1" si="8"/>
        <v>120</v>
      </c>
      <c r="AE27" s="5">
        <f t="shared" ca="1" si="9"/>
        <v>22050</v>
      </c>
      <c r="AF27" s="5">
        <f t="shared" ca="1" si="10"/>
        <v>11025</v>
      </c>
      <c r="AG27" s="79">
        <f ca="1">AC27+Z27*活动投放!$D$32</f>
        <v>341.25</v>
      </c>
      <c r="AH27" s="79">
        <f ca="1">Z27*活动投放!$E$32</f>
        <v>56.25</v>
      </c>
      <c r="AI27" s="79">
        <f ca="1">AD27+AA27*活动投放!$F$33</f>
        <v>358.35</v>
      </c>
      <c r="AJ27" s="79">
        <f ca="1">AA27*活动投放!$G$33</f>
        <v>102.14999999999999</v>
      </c>
      <c r="AK27" s="79">
        <f ca="1">AB27*活动投放!$H$34</f>
        <v>10.8</v>
      </c>
      <c r="AL27" s="79">
        <f ca="1">AB27*活动投放!$I$34</f>
        <v>1.2000000000000002</v>
      </c>
      <c r="AN27" s="29">
        <f t="shared" si="3"/>
        <v>480</v>
      </c>
      <c r="AO27" s="101">
        <f ca="1">IFERROR(AE27/活动投放!AA27,0)</f>
        <v>0.95043103448275867</v>
      </c>
      <c r="AP27" s="101">
        <f ca="1">IFERROR(AF27/活动投放!AB27,0)</f>
        <v>0.73499999999999999</v>
      </c>
      <c r="AQ27" s="101">
        <f ca="1">IFERROR(AG27/活动投放!AC27,0)</f>
        <v>7.5</v>
      </c>
      <c r="AR27" s="101">
        <f ca="1">IFERROR(AH27/活动投放!AD27,0)</f>
        <v>1.2362637362637363</v>
      </c>
      <c r="AS27" s="101">
        <f ca="1">IFERROR(AI27/活动投放!AE27,0)</f>
        <v>4.3019207683073235</v>
      </c>
      <c r="AT27" s="101">
        <f ca="1">IFERROR(AJ27/活动投放!AF27,0)</f>
        <v>2.8613445378151261</v>
      </c>
      <c r="AU27" s="101">
        <f ca="1">IFERROR(AK27/活动投放!AG27,0)</f>
        <v>0.54545454545454553</v>
      </c>
      <c r="AV27" s="101">
        <f ca="1">IFERROR(AL27/活动投放!AH27,0)</f>
        <v>0.54545454545454553</v>
      </c>
    </row>
    <row r="28" spans="24:48" x14ac:dyDescent="0.15">
      <c r="X28" s="29">
        <f>基础状态预估!C28</f>
        <v>540</v>
      </c>
      <c r="Y28" s="46">
        <f>基础状态预估!D28</f>
        <v>90.789158318387649</v>
      </c>
      <c r="Z28" s="5">
        <f t="shared" ca="1" si="4"/>
        <v>112.5</v>
      </c>
      <c r="AA28" s="5">
        <f t="shared" ca="1" si="5"/>
        <v>388.5</v>
      </c>
      <c r="AB28" s="5">
        <f t="shared" ca="1" si="6"/>
        <v>24</v>
      </c>
      <c r="AC28" s="5">
        <f t="shared" ca="1" si="7"/>
        <v>285</v>
      </c>
      <c r="AD28" s="5">
        <f t="shared" ca="1" si="8"/>
        <v>180</v>
      </c>
      <c r="AE28" s="5">
        <f t="shared" ca="1" si="9"/>
        <v>26250</v>
      </c>
      <c r="AF28" s="5">
        <f t="shared" ca="1" si="10"/>
        <v>13125</v>
      </c>
      <c r="AG28" s="79">
        <f ca="1">AC28+Z28*活动投放!$D$32</f>
        <v>341.25</v>
      </c>
      <c r="AH28" s="79">
        <f ca="1">Z28*活动投放!$E$32</f>
        <v>56.25</v>
      </c>
      <c r="AI28" s="79">
        <f ca="1">AD28+AA28*活动投放!$F$33</f>
        <v>451.95</v>
      </c>
      <c r="AJ28" s="79">
        <f ca="1">AA28*活动投放!$G$33</f>
        <v>116.55</v>
      </c>
      <c r="AK28" s="79">
        <f ca="1">AB28*活动投放!$H$34</f>
        <v>21.6</v>
      </c>
      <c r="AL28" s="79">
        <f ca="1">AB28*活动投放!$I$34</f>
        <v>2.4000000000000004</v>
      </c>
      <c r="AN28" s="29">
        <f t="shared" si="3"/>
        <v>540</v>
      </c>
      <c r="AO28" s="101">
        <f ca="1">IFERROR(AE28/活动投放!AA28,0)</f>
        <v>0.95108695652173914</v>
      </c>
      <c r="AP28" s="101">
        <f ca="1">IFERROR(AF28/活动投放!AB28,0)</f>
        <v>0.73735955056179781</v>
      </c>
      <c r="AQ28" s="101">
        <f ca="1">IFERROR(AG28/活动投放!AC28,0)</f>
        <v>6.6262135922330101</v>
      </c>
      <c r="AR28" s="101">
        <f ca="1">IFERROR(AH28/活动投放!AD28,0)</f>
        <v>1.0922330097087378</v>
      </c>
      <c r="AS28" s="101">
        <f ca="1">IFERROR(AI28/活动投放!AE28,0)</f>
        <v>4.6449126413155186</v>
      </c>
      <c r="AT28" s="101">
        <f ca="1">IFERROR(AJ28/活动投放!AF28,0)</f>
        <v>2.7949640287769788</v>
      </c>
      <c r="AU28" s="101">
        <f ca="1">IFERROR(AK28/活动投放!AG28,0)</f>
        <v>0.70588235294117652</v>
      </c>
      <c r="AV28" s="101">
        <f ca="1">IFERROR(AL28/活动投放!AH28,0)</f>
        <v>0.70588235294117652</v>
      </c>
    </row>
    <row r="29" spans="24:48" x14ac:dyDescent="0.15">
      <c r="X29" s="29">
        <f>基础状态预估!C29</f>
        <v>600</v>
      </c>
      <c r="Y29" s="46">
        <f>基础状态预估!D29</f>
        <v>92.304802564325527</v>
      </c>
      <c r="Z29" s="5">
        <f t="shared" ca="1" si="4"/>
        <v>112.5</v>
      </c>
      <c r="AA29" s="5">
        <f t="shared" ca="1" si="5"/>
        <v>436.5</v>
      </c>
      <c r="AB29" s="5">
        <f t="shared" ca="1" si="6"/>
        <v>36</v>
      </c>
      <c r="AC29" s="5">
        <f t="shared" ca="1" si="7"/>
        <v>285</v>
      </c>
      <c r="AD29" s="5">
        <f t="shared" ca="1" si="8"/>
        <v>240</v>
      </c>
      <c r="AE29" s="5">
        <f t="shared" ca="1" si="9"/>
        <v>30450</v>
      </c>
      <c r="AF29" s="5">
        <f t="shared" ca="1" si="10"/>
        <v>15225</v>
      </c>
      <c r="AG29" s="79">
        <f ca="1">AC29+Z29*活动投放!$D$32</f>
        <v>341.25</v>
      </c>
      <c r="AH29" s="79">
        <f ca="1">Z29*活动投放!$E$32</f>
        <v>56.25</v>
      </c>
      <c r="AI29" s="79">
        <f ca="1">AD29+AA29*活动投放!$F$33</f>
        <v>545.54999999999995</v>
      </c>
      <c r="AJ29" s="79">
        <f ca="1">AA29*活动投放!$G$33</f>
        <v>130.94999999999999</v>
      </c>
      <c r="AK29" s="79">
        <f ca="1">AB29*活动投放!$H$34</f>
        <v>32.4</v>
      </c>
      <c r="AL29" s="79">
        <f ca="1">AB29*活动投放!$I$34</f>
        <v>3.6</v>
      </c>
      <c r="AN29" s="29">
        <f t="shared" si="3"/>
        <v>600</v>
      </c>
      <c r="AO29" s="101">
        <f ca="1">IFERROR(AE29/活动投放!AA29,0)</f>
        <v>0.95156249999999998</v>
      </c>
      <c r="AP29" s="101">
        <f ca="1">IFERROR(AF29/活动投放!AB29,0)</f>
        <v>0.73907766990291257</v>
      </c>
      <c r="AQ29" s="101">
        <f ca="1">IFERROR(AG29/活动投放!AC29,0)</f>
        <v>5.9347826086956523</v>
      </c>
      <c r="AR29" s="101">
        <f ca="1">IFERROR(AH29/活动投放!AD29,0)</f>
        <v>0.97826086956521741</v>
      </c>
      <c r="AS29" s="101">
        <f ca="1">IFERROR(AI29/活动投放!AE29,0)</f>
        <v>4.901617250673854</v>
      </c>
      <c r="AT29" s="101">
        <f ca="1">IFERROR(AJ29/活动投放!AF29,0)</f>
        <v>2.7452830188679247</v>
      </c>
      <c r="AU29" s="101">
        <f ca="1">IFERROR(AK29/活动投放!AG29,0)</f>
        <v>0.78260869565217395</v>
      </c>
      <c r="AV29" s="101">
        <f ca="1">IFERROR(AL29/活动投放!AH29,0)</f>
        <v>0.78260869565217384</v>
      </c>
    </row>
    <row r="30" spans="24:48" x14ac:dyDescent="0.15">
      <c r="X30" s="29">
        <f>基础状态预估!C30</f>
        <v>660</v>
      </c>
      <c r="Y30" s="46">
        <f>基础状态预估!D30</f>
        <v>93.677555929742169</v>
      </c>
      <c r="Z30" s="5">
        <f t="shared" ca="1" si="4"/>
        <v>112.5</v>
      </c>
      <c r="AA30" s="5">
        <f t="shared" ca="1" si="5"/>
        <v>484.5</v>
      </c>
      <c r="AB30" s="5">
        <f t="shared" ca="1" si="6"/>
        <v>48</v>
      </c>
      <c r="AC30" s="5">
        <f t="shared" ca="1" si="7"/>
        <v>285</v>
      </c>
      <c r="AD30" s="5">
        <f t="shared" ca="1" si="8"/>
        <v>300</v>
      </c>
      <c r="AE30" s="5">
        <f t="shared" ca="1" si="9"/>
        <v>34650</v>
      </c>
      <c r="AF30" s="5">
        <f t="shared" ca="1" si="10"/>
        <v>17325</v>
      </c>
      <c r="AG30" s="79">
        <f ca="1">AC30+Z30*活动投放!$D$32</f>
        <v>341.25</v>
      </c>
      <c r="AH30" s="79">
        <f ca="1">Z30*活动投放!$E$32</f>
        <v>56.25</v>
      </c>
      <c r="AI30" s="79">
        <f ca="1">AD30+AA30*活动投放!$F$33</f>
        <v>639.15</v>
      </c>
      <c r="AJ30" s="79">
        <f ca="1">AA30*活动投放!$G$33</f>
        <v>145.35</v>
      </c>
      <c r="AK30" s="79">
        <f ca="1">AB30*活动投放!$H$34</f>
        <v>43.2</v>
      </c>
      <c r="AL30" s="79">
        <f ca="1">AB30*活动投放!$I$34</f>
        <v>4.8000000000000007</v>
      </c>
      <c r="AN30" s="29">
        <f t="shared" si="3"/>
        <v>660</v>
      </c>
      <c r="AO30" s="101">
        <f ca="1">IFERROR(AE30/活动投放!AA30,0)</f>
        <v>0.94157608695652173</v>
      </c>
      <c r="AP30" s="101">
        <f ca="1">IFERROR(AF30/活动投放!AB30,0)</f>
        <v>0.7279411764705882</v>
      </c>
      <c r="AQ30" s="101">
        <f ca="1">IFERROR(AG30/活动投放!AC30,0)</f>
        <v>5.3740157480314963</v>
      </c>
      <c r="AR30" s="101">
        <f ca="1">IFERROR(AH30/活动投放!AD30,0)</f>
        <v>0.88582677165354329</v>
      </c>
      <c r="AS30" s="101">
        <f ca="1">IFERROR(AI30/活动投放!AE30,0)</f>
        <v>5.1009577015163607</v>
      </c>
      <c r="AT30" s="101">
        <f ca="1">IFERROR(AJ30/活动投放!AF30,0)</f>
        <v>2.7067039106145252</v>
      </c>
      <c r="AU30" s="101">
        <f ca="1">IFERROR(AK30/活动投放!AG30,0)</f>
        <v>0.77419354838709675</v>
      </c>
      <c r="AV30" s="101">
        <f ca="1">IFERROR(AL30/活动投放!AH30,0)</f>
        <v>0.77419354838709686</v>
      </c>
    </row>
    <row r="31" spans="24:48" x14ac:dyDescent="0.15">
      <c r="X31" s="29">
        <f>基础状态预估!C31</f>
        <v>720</v>
      </c>
      <c r="Y31" s="46">
        <f>基础状态预估!D31</f>
        <v>94.936535599813325</v>
      </c>
      <c r="Z31" s="5">
        <f t="shared" ca="1" si="4"/>
        <v>112.5</v>
      </c>
      <c r="AA31" s="5">
        <f t="shared" ca="1" si="5"/>
        <v>532.5</v>
      </c>
      <c r="AB31" s="5">
        <f t="shared" ca="1" si="6"/>
        <v>60</v>
      </c>
      <c r="AC31" s="5">
        <f t="shared" ca="1" si="7"/>
        <v>285</v>
      </c>
      <c r="AD31" s="5">
        <f t="shared" ca="1" si="8"/>
        <v>360</v>
      </c>
      <c r="AE31" s="5">
        <f t="shared" ca="1" si="9"/>
        <v>38850</v>
      </c>
      <c r="AF31" s="5">
        <f t="shared" ca="1" si="10"/>
        <v>19425</v>
      </c>
      <c r="AG31" s="79">
        <f ca="1">AC31+Z31*活动投放!$D$32</f>
        <v>341.25</v>
      </c>
      <c r="AH31" s="79">
        <f ca="1">Z31*活动投放!$E$32</f>
        <v>56.25</v>
      </c>
      <c r="AI31" s="79">
        <f ca="1">AD31+AA31*活动投放!$F$33</f>
        <v>732.75</v>
      </c>
      <c r="AJ31" s="79">
        <f ca="1">AA31*活动投放!$G$33</f>
        <v>159.75</v>
      </c>
      <c r="AK31" s="79">
        <f ca="1">AB31*活动投放!$H$34</f>
        <v>54</v>
      </c>
      <c r="AL31" s="79">
        <f ca="1">AB31*活动投放!$I$34</f>
        <v>6</v>
      </c>
      <c r="AN31" s="29">
        <f t="shared" si="3"/>
        <v>720</v>
      </c>
      <c r="AO31" s="101">
        <f ca="1">IFERROR(AE31/活动投放!AA31,0)</f>
        <v>0.93389423076923073</v>
      </c>
      <c r="AP31" s="101">
        <f ca="1">IFERROR(AF31/活动投放!AB31,0)</f>
        <v>0.71944444444444444</v>
      </c>
      <c r="AQ31" s="101">
        <f ca="1">IFERROR(AG31/活动投放!AC31,0)</f>
        <v>4.9100719424460433</v>
      </c>
      <c r="AR31" s="101">
        <f ca="1">IFERROR(AH31/活动投放!AD31,0)</f>
        <v>0.80935251798561147</v>
      </c>
      <c r="AS31" s="101">
        <f ca="1">IFERROR(AI31/活动投放!AE31,0)</f>
        <v>5.2602297200287156</v>
      </c>
      <c r="AT31" s="101">
        <f ca="1">IFERROR(AJ31/活动投放!AF31,0)</f>
        <v>2.6758793969849246</v>
      </c>
      <c r="AU31" s="101">
        <f ca="1">IFERROR(AK31/活动投放!AG31,0)</f>
        <v>0.76923076923076916</v>
      </c>
      <c r="AV31" s="101">
        <f ca="1">IFERROR(AL31/活动投放!AH31,0)</f>
        <v>0.76923076923076916</v>
      </c>
    </row>
    <row r="32" spans="24:48" x14ac:dyDescent="0.15">
      <c r="X32" s="29">
        <f>基础状态预估!C32</f>
        <v>780</v>
      </c>
      <c r="Y32" s="46">
        <f>基础状态预估!D32</f>
        <v>96.088925601853575</v>
      </c>
      <c r="Z32" s="5">
        <f t="shared" ca="1" si="4"/>
        <v>112.5</v>
      </c>
      <c r="AA32" s="5">
        <f t="shared" ca="1" si="5"/>
        <v>574.5</v>
      </c>
      <c r="AB32" s="5">
        <f t="shared" ca="1" si="6"/>
        <v>78</v>
      </c>
      <c r="AC32" s="5">
        <f t="shared" ca="1" si="7"/>
        <v>285</v>
      </c>
      <c r="AD32" s="5">
        <f t="shared" ca="1" si="8"/>
        <v>420</v>
      </c>
      <c r="AE32" s="5">
        <f t="shared" ca="1" si="9"/>
        <v>43650</v>
      </c>
      <c r="AF32" s="5">
        <f t="shared" ca="1" si="10"/>
        <v>21825</v>
      </c>
      <c r="AG32" s="79">
        <f ca="1">AC32+Z32*活动投放!$D$32</f>
        <v>341.25</v>
      </c>
      <c r="AH32" s="79">
        <f ca="1">Z32*活动投放!$E$32</f>
        <v>56.25</v>
      </c>
      <c r="AI32" s="79">
        <f ca="1">AD32+AA32*活动投放!$F$33</f>
        <v>822.15</v>
      </c>
      <c r="AJ32" s="79">
        <f ca="1">AA32*活动投放!$G$33</f>
        <v>172.35</v>
      </c>
      <c r="AK32" s="79">
        <f ca="1">AB32*活动投放!$H$34</f>
        <v>70.2</v>
      </c>
      <c r="AL32" s="79">
        <f ca="1">AB32*活动投放!$I$34</f>
        <v>7.8000000000000007</v>
      </c>
      <c r="AN32" s="29">
        <f t="shared" si="3"/>
        <v>780</v>
      </c>
      <c r="AO32" s="101">
        <f ca="1">IFERROR(AE32/活动投放!AA32,0)</f>
        <v>0.93269230769230771</v>
      </c>
      <c r="AP32" s="101">
        <f ca="1">IFERROR(AF32/活动投放!AB32,0)</f>
        <v>0.71792763157894735</v>
      </c>
      <c r="AQ32" s="101">
        <f ca="1">IFERROR(AG32/活动投放!AC32,0)</f>
        <v>4.5198675496688745</v>
      </c>
      <c r="AR32" s="101">
        <f ca="1">IFERROR(AH32/活动投放!AD32,0)</f>
        <v>0.74503311258278149</v>
      </c>
      <c r="AS32" s="101">
        <f ca="1">IFERROR(AI32/活动投放!AE32,0)</f>
        <v>5.3630136986301373</v>
      </c>
      <c r="AT32" s="101">
        <f ca="1">IFERROR(AJ32/活动投放!AF32,0)</f>
        <v>2.6232876712328763</v>
      </c>
      <c r="AU32" s="101">
        <f ca="1">IFERROR(AK32/活动投放!AG32,0)</f>
        <v>0.79591836734693877</v>
      </c>
      <c r="AV32" s="101">
        <f ca="1">IFERROR(AL32/活动投放!AH32,0)</f>
        <v>0.79591836734693877</v>
      </c>
    </row>
    <row r="33" spans="24:48" x14ac:dyDescent="0.15">
      <c r="X33" s="29">
        <f>基础状态预估!C33</f>
        <v>840</v>
      </c>
      <c r="Y33" s="46">
        <f>基础状态预估!D33</f>
        <v>97.155007723537565</v>
      </c>
      <c r="Z33" s="5">
        <f t="shared" ca="1" si="4"/>
        <v>112.5</v>
      </c>
      <c r="AA33" s="5">
        <f t="shared" ca="1" si="5"/>
        <v>616.5</v>
      </c>
      <c r="AB33" s="5">
        <f t="shared" ca="1" si="6"/>
        <v>96</v>
      </c>
      <c r="AC33" s="5">
        <f t="shared" ca="1" si="7"/>
        <v>285</v>
      </c>
      <c r="AD33" s="5">
        <f t="shared" ca="1" si="8"/>
        <v>480</v>
      </c>
      <c r="AE33" s="5">
        <f t="shared" ca="1" si="9"/>
        <v>48450</v>
      </c>
      <c r="AF33" s="5">
        <f t="shared" ca="1" si="10"/>
        <v>24225</v>
      </c>
      <c r="AG33" s="79">
        <f ca="1">AC33+Z33*活动投放!$D$32</f>
        <v>341.25</v>
      </c>
      <c r="AH33" s="79">
        <f ca="1">Z33*活动投放!$E$32</f>
        <v>56.25</v>
      </c>
      <c r="AI33" s="79">
        <f ca="1">AD33+AA33*活动投放!$F$33</f>
        <v>911.55</v>
      </c>
      <c r="AJ33" s="79">
        <f ca="1">AA33*活动投放!$G$33</f>
        <v>184.95</v>
      </c>
      <c r="AK33" s="79">
        <f ca="1">AB33*活动投放!$H$34</f>
        <v>86.4</v>
      </c>
      <c r="AL33" s="79">
        <f ca="1">AB33*活动投放!$I$34</f>
        <v>9.6000000000000014</v>
      </c>
      <c r="AN33" s="29">
        <f t="shared" si="3"/>
        <v>840</v>
      </c>
      <c r="AO33" s="101">
        <f ca="1">IFERROR(AE33/活动投放!AA33,0)</f>
        <v>0.93173076923076925</v>
      </c>
      <c r="AP33" s="101">
        <f ca="1">IFERROR(AF33/活动投放!AB33,0)</f>
        <v>0.71671597633136097</v>
      </c>
      <c r="AQ33" s="101">
        <f ca="1">IFERROR(AG33/活动投放!AC33,0)</f>
        <v>4.1871165644171775</v>
      </c>
      <c r="AR33" s="101">
        <f ca="1">IFERROR(AH33/活动投放!AD33,0)</f>
        <v>0.69018404907975461</v>
      </c>
      <c r="AS33" s="101">
        <f ca="1">IFERROR(AI33/活动投放!AE33,0)</f>
        <v>5.4485953377166769</v>
      </c>
      <c r="AT33" s="101">
        <f ca="1">IFERROR(AJ33/活动投放!AF33,0)</f>
        <v>2.5794979079497904</v>
      </c>
      <c r="AU33" s="101">
        <f ca="1">IFERROR(AK33/活动投放!AG33,0)</f>
        <v>0.81355932203389836</v>
      </c>
      <c r="AV33" s="101">
        <f ca="1">IFERROR(AL33/活动投放!AH33,0)</f>
        <v>0.81355932203389836</v>
      </c>
    </row>
    <row r="34" spans="24:48" x14ac:dyDescent="0.15">
      <c r="X34" s="29">
        <f>基础状态预估!C34</f>
        <v>900</v>
      </c>
      <c r="Y34" s="46">
        <f>基础状态预估!D34</f>
        <v>98.149357978981357</v>
      </c>
      <c r="Z34" s="5">
        <f t="shared" ca="1" si="4"/>
        <v>112.5</v>
      </c>
      <c r="AA34" s="5">
        <f t="shared" ca="1" si="5"/>
        <v>658.5</v>
      </c>
      <c r="AB34" s="5">
        <f t="shared" ca="1" si="6"/>
        <v>114</v>
      </c>
      <c r="AC34" s="5">
        <f t="shared" ca="1" si="7"/>
        <v>285</v>
      </c>
      <c r="AD34" s="5">
        <f t="shared" ca="1" si="8"/>
        <v>540</v>
      </c>
      <c r="AE34" s="5">
        <f t="shared" ca="1" si="9"/>
        <v>53250</v>
      </c>
      <c r="AF34" s="5">
        <f t="shared" ca="1" si="10"/>
        <v>26625</v>
      </c>
      <c r="AG34" s="79">
        <f ca="1">AC34+Z34*活动投放!$D$32</f>
        <v>341.25</v>
      </c>
      <c r="AH34" s="79">
        <f ca="1">Z34*活动投放!$E$32</f>
        <v>56.25</v>
      </c>
      <c r="AI34" s="79">
        <f ca="1">AD34+AA34*活动投放!$F$33</f>
        <v>1000.95</v>
      </c>
      <c r="AJ34" s="79">
        <f ca="1">AA34*活动投放!$G$33</f>
        <v>197.54999999999998</v>
      </c>
      <c r="AK34" s="79">
        <f ca="1">AB34*活动投放!$H$34</f>
        <v>102.60000000000001</v>
      </c>
      <c r="AL34" s="79">
        <f ca="1">AB34*活动投放!$I$34</f>
        <v>11.4</v>
      </c>
      <c r="AN34" s="29">
        <f t="shared" si="3"/>
        <v>900</v>
      </c>
      <c r="AO34" s="101">
        <f ca="1">IFERROR(AE34/活动投放!AA34,0)</f>
        <v>0.93094405594405594</v>
      </c>
      <c r="AP34" s="101">
        <f ca="1">IFERROR(AF34/活动投放!AB34,0)</f>
        <v>0.71572580645161288</v>
      </c>
      <c r="AQ34" s="101">
        <f ca="1">IFERROR(AG34/活动投放!AC34,0)</f>
        <v>3.9</v>
      </c>
      <c r="AR34" s="101">
        <f ca="1">IFERROR(AH34/活动投放!AD34,0)</f>
        <v>0.6428571428571429</v>
      </c>
      <c r="AS34" s="101">
        <f ca="1">IFERROR(AI34/活动投放!AE34,0)</f>
        <v>5.5209597352454507</v>
      </c>
      <c r="AT34" s="101">
        <f ca="1">IFERROR(AJ34/活动投放!AF34,0)</f>
        <v>2.5424710424710422</v>
      </c>
      <c r="AU34" s="101">
        <f ca="1">IFERROR(AK34/活动投放!AG34,0)</f>
        <v>0.82608695652173914</v>
      </c>
      <c r="AV34" s="101">
        <f ca="1">IFERROR(AL34/活动投放!AH34,0)</f>
        <v>0.82608695652173914</v>
      </c>
    </row>
    <row r="35" spans="24:48" x14ac:dyDescent="0.15">
      <c r="X35" s="29">
        <f>基础状态预估!C35</f>
        <v>1020</v>
      </c>
      <c r="Y35" s="46">
        <f>基础状态预估!D35</f>
        <v>99.956251778790289</v>
      </c>
      <c r="Z35" s="5">
        <f t="shared" ca="1" si="4"/>
        <v>112.5</v>
      </c>
      <c r="AA35" s="5">
        <f t="shared" ca="1" si="5"/>
        <v>742.5</v>
      </c>
      <c r="AB35" s="5">
        <f t="shared" ca="1" si="6"/>
        <v>150</v>
      </c>
      <c r="AC35" s="5">
        <f t="shared" ca="1" si="7"/>
        <v>285</v>
      </c>
      <c r="AD35" s="5">
        <f t="shared" ca="1" si="8"/>
        <v>660</v>
      </c>
      <c r="AE35" s="5">
        <f t="shared" ca="1" si="9"/>
        <v>62850</v>
      </c>
      <c r="AF35" s="5">
        <f t="shared" ca="1" si="10"/>
        <v>31425</v>
      </c>
      <c r="AG35" s="79">
        <f ca="1">AC35+Z35*活动投放!$D$32</f>
        <v>341.25</v>
      </c>
      <c r="AH35" s="79">
        <f ca="1">Z35*活动投放!$E$32</f>
        <v>56.25</v>
      </c>
      <c r="AI35" s="79">
        <f ca="1">AD35+AA35*活动投放!$F$33</f>
        <v>1179.75</v>
      </c>
      <c r="AJ35" s="79">
        <f ca="1">AA35*活动投放!$G$33</f>
        <v>222.75</v>
      </c>
      <c r="AK35" s="79">
        <f ca="1">AB35*活动投放!$H$34</f>
        <v>135</v>
      </c>
      <c r="AL35" s="79">
        <f ca="1">AB35*活动投放!$I$34</f>
        <v>15</v>
      </c>
      <c r="AN35" s="29">
        <f t="shared" si="3"/>
        <v>1020</v>
      </c>
      <c r="AO35" s="101">
        <f ca="1">IFERROR(AE35/活动投放!AA35,0)</f>
        <v>0.91885964912280704</v>
      </c>
      <c r="AP35" s="101">
        <f ca="1">IFERROR(AF35/活动投放!AB35,0)</f>
        <v>0.70777027027027029</v>
      </c>
      <c r="AQ35" s="101">
        <f ca="1">IFERROR(AG35/活动投放!AC35,0)</f>
        <v>3.4296482412060301</v>
      </c>
      <c r="AR35" s="101">
        <f ca="1">IFERROR(AH35/活动投放!AD35,0)</f>
        <v>0.5653266331658291</v>
      </c>
      <c r="AS35" s="101">
        <f ca="1">IFERROR(AI35/活动投放!AE35,0)</f>
        <v>5.6366459627329197</v>
      </c>
      <c r="AT35" s="101">
        <f ca="1">IFERROR(AJ35/活动投放!AF35,0)</f>
        <v>2.4832775919732439</v>
      </c>
      <c r="AU35" s="101">
        <f ca="1">IFERROR(AK35/活动投放!AG35,0)</f>
        <v>0.80645161290322576</v>
      </c>
      <c r="AV35" s="101">
        <f ca="1">IFERROR(AL35/活动投放!AH35,0)</f>
        <v>0.80645161290322576</v>
      </c>
    </row>
    <row r="36" spans="24:48" x14ac:dyDescent="0.15">
      <c r="X36" s="29">
        <f>基础状态预估!C36</f>
        <v>1140</v>
      </c>
      <c r="Y36" s="46">
        <f>基础状态预估!D36</f>
        <v>101.55228351453842</v>
      </c>
      <c r="Z36" s="5">
        <f t="shared" ca="1" si="4"/>
        <v>112.5</v>
      </c>
      <c r="AA36" s="5">
        <f t="shared" ca="1" si="5"/>
        <v>814.5</v>
      </c>
      <c r="AB36" s="5">
        <f t="shared" ca="1" si="6"/>
        <v>198</v>
      </c>
      <c r="AC36" s="5">
        <f t="shared" ca="1" si="7"/>
        <v>285</v>
      </c>
      <c r="AD36" s="5">
        <f t="shared" ca="1" si="8"/>
        <v>780</v>
      </c>
      <c r="AE36" s="5">
        <f t="shared" ca="1" si="9"/>
        <v>73650</v>
      </c>
      <c r="AF36" s="5">
        <f t="shared" ca="1" si="10"/>
        <v>37425</v>
      </c>
      <c r="AG36" s="79">
        <f ca="1">AC36+Z36*活动投放!$D$32</f>
        <v>341.25</v>
      </c>
      <c r="AH36" s="79">
        <f ca="1">Z36*活动投放!$E$32</f>
        <v>56.25</v>
      </c>
      <c r="AI36" s="79">
        <f ca="1">AD36+AA36*活动投放!$F$33</f>
        <v>1350.15</v>
      </c>
      <c r="AJ36" s="79">
        <f ca="1">AA36*活动投放!$G$33</f>
        <v>244.35</v>
      </c>
      <c r="AK36" s="79">
        <f ca="1">AB36*活动投放!$H$34</f>
        <v>178.20000000000002</v>
      </c>
      <c r="AL36" s="79">
        <f ca="1">AB36*活动投放!$I$34</f>
        <v>19.8</v>
      </c>
      <c r="AN36" s="29">
        <f t="shared" si="3"/>
        <v>1140</v>
      </c>
      <c r="AO36" s="101">
        <f ca="1">IFERROR(AE36/活动投放!AA36,0)</f>
        <v>0.92525125628140703</v>
      </c>
      <c r="AP36" s="101">
        <f ca="1">IFERROR(AF36/活动投放!AB36,0)</f>
        <v>0.72529069767441856</v>
      </c>
      <c r="AQ36" s="101">
        <f ca="1">IFERROR(AG36/活动投放!AC36,0)</f>
        <v>3.0605381165919283</v>
      </c>
      <c r="AR36" s="101">
        <f ca="1">IFERROR(AH36/活动投放!AD36,0)</f>
        <v>0.50448430493273544</v>
      </c>
      <c r="AS36" s="101">
        <f ca="1">IFERROR(AI36/活动投放!AE36,0)</f>
        <v>5.6896333754740844</v>
      </c>
      <c r="AT36" s="101">
        <f ca="1">IFERROR(AJ36/活动投放!AF36,0)</f>
        <v>2.4026548672566372</v>
      </c>
      <c r="AU36" s="101">
        <f ca="1">IFERROR(AK36/活动投放!AG36,0)</f>
        <v>0.84615384615384626</v>
      </c>
      <c r="AV36" s="101">
        <f ca="1">IFERROR(AL36/活动投放!AH36,0)</f>
        <v>0.84615384615384615</v>
      </c>
    </row>
    <row r="37" spans="24:48" x14ac:dyDescent="0.15">
      <c r="X37" s="29">
        <f>基础状态预估!C37</f>
        <v>1260</v>
      </c>
      <c r="Y37" s="46">
        <f>基础状态预估!D37</f>
        <v>103.0034052427059</v>
      </c>
      <c r="Z37" s="5">
        <f t="shared" ca="1" si="4"/>
        <v>112.5</v>
      </c>
      <c r="AA37" s="5">
        <f t="shared" ca="1" si="5"/>
        <v>886.5</v>
      </c>
      <c r="AB37" s="5">
        <f t="shared" ca="1" si="6"/>
        <v>246</v>
      </c>
      <c r="AC37" s="5">
        <f t="shared" ca="1" si="7"/>
        <v>285</v>
      </c>
      <c r="AD37" s="5">
        <f t="shared" ca="1" si="8"/>
        <v>900</v>
      </c>
      <c r="AE37" s="5">
        <f t="shared" ca="1" si="9"/>
        <v>84450</v>
      </c>
      <c r="AF37" s="5">
        <f t="shared" ca="1" si="10"/>
        <v>43425</v>
      </c>
      <c r="AG37" s="79">
        <f ca="1">AC37+Z37*活动投放!$D$32</f>
        <v>341.25</v>
      </c>
      <c r="AH37" s="79">
        <f ca="1">Z37*活动投放!$E$32</f>
        <v>56.25</v>
      </c>
      <c r="AI37" s="79">
        <f ca="1">AD37+AA37*活动投放!$F$33</f>
        <v>1520.55</v>
      </c>
      <c r="AJ37" s="79">
        <f ca="1">AA37*活动投放!$G$33</f>
        <v>265.95</v>
      </c>
      <c r="AK37" s="79">
        <f ca="1">AB37*活动投放!$H$34</f>
        <v>221.4</v>
      </c>
      <c r="AL37" s="79">
        <f ca="1">AB37*活动投放!$I$34</f>
        <v>24.6</v>
      </c>
      <c r="AN37" s="29">
        <f t="shared" si="3"/>
        <v>1260</v>
      </c>
      <c r="AO37" s="101">
        <f ca="1">IFERROR(AE37/活动投放!AA37,0)</f>
        <v>0.92194323144104806</v>
      </c>
      <c r="AP37" s="101">
        <f ca="1">IFERROR(AF37/活动投放!AB37,0)</f>
        <v>0.72860738255033553</v>
      </c>
      <c r="AQ37" s="101">
        <f ca="1">IFERROR(AG37/活动投放!AC37,0)</f>
        <v>2.763157894736842</v>
      </c>
      <c r="AR37" s="101">
        <f ca="1">IFERROR(AH37/活动投放!AD37,0)</f>
        <v>0.45546558704453444</v>
      </c>
      <c r="AS37" s="101">
        <f ca="1">IFERROR(AI37/活动投放!AE37,0)</f>
        <v>5.7314361100640783</v>
      </c>
      <c r="AT37" s="101">
        <f ca="1">IFERROR(AJ37/活动投放!AF37,0)</f>
        <v>2.3390501319261214</v>
      </c>
      <c r="AU37" s="101">
        <f ca="1">IFERROR(AK37/活动投放!AG37,0)</f>
        <v>0.84827586206896555</v>
      </c>
      <c r="AV37" s="101">
        <f ca="1">IFERROR(AL37/活动投放!AH37,0)</f>
        <v>0.84827586206896555</v>
      </c>
    </row>
    <row r="38" spans="24:48" x14ac:dyDescent="0.15">
      <c r="X38" s="29">
        <f>基础状态预估!C38</f>
        <v>1380</v>
      </c>
      <c r="Y38" s="46">
        <f>基础状态预估!D38</f>
        <v>104.30753076754127</v>
      </c>
      <c r="Z38" s="5">
        <f t="shared" ca="1" si="4"/>
        <v>112.5</v>
      </c>
      <c r="AA38" s="5">
        <f t="shared" ca="1" si="5"/>
        <v>958.5</v>
      </c>
      <c r="AB38" s="5">
        <f t="shared" ca="1" si="6"/>
        <v>294</v>
      </c>
      <c r="AC38" s="5">
        <f t="shared" ca="1" si="7"/>
        <v>285</v>
      </c>
      <c r="AD38" s="5">
        <f t="shared" ca="1" si="8"/>
        <v>1020</v>
      </c>
      <c r="AE38" s="5">
        <f t="shared" ca="1" si="9"/>
        <v>95250</v>
      </c>
      <c r="AF38" s="5">
        <f t="shared" ca="1" si="10"/>
        <v>49425</v>
      </c>
      <c r="AG38" s="79">
        <f ca="1">AC38+Z38*活动投放!$D$32</f>
        <v>341.25</v>
      </c>
      <c r="AH38" s="79">
        <f ca="1">Z38*活动投放!$E$32</f>
        <v>56.25</v>
      </c>
      <c r="AI38" s="79">
        <f ca="1">AD38+AA38*活动投放!$F$33</f>
        <v>1690.9499999999998</v>
      </c>
      <c r="AJ38" s="79">
        <f ca="1">AA38*活动投放!$G$33</f>
        <v>287.55</v>
      </c>
      <c r="AK38" s="79">
        <f ca="1">AB38*活动投放!$H$34</f>
        <v>264.60000000000002</v>
      </c>
      <c r="AL38" s="79">
        <f ca="1">AB38*活动投放!$I$34</f>
        <v>29.400000000000002</v>
      </c>
      <c r="AN38" s="29">
        <f t="shared" si="3"/>
        <v>1380</v>
      </c>
      <c r="AO38" s="101">
        <f ca="1">IFERROR(AE38/活动投放!AA38,0)</f>
        <v>0.91940154440154442</v>
      </c>
      <c r="AP38" s="101">
        <f ca="1">IFERROR(AF38/活动投放!AB38,0)</f>
        <v>0.73113905325443784</v>
      </c>
      <c r="AQ38" s="101">
        <f ca="1">IFERROR(AG38/活动投放!AC38,0)</f>
        <v>2.518450184501845</v>
      </c>
      <c r="AR38" s="101">
        <f ca="1">IFERROR(AH38/活动投放!AD38,0)</f>
        <v>0.4151291512915129</v>
      </c>
      <c r="AS38" s="101">
        <f ca="1">IFERROR(AI38/活动投放!AE38,0)</f>
        <v>5.7652574156154115</v>
      </c>
      <c r="AT38" s="101">
        <f ca="1">IFERROR(AJ38/活动投放!AF38,0)</f>
        <v>2.2875894988066827</v>
      </c>
      <c r="AU38" s="101">
        <f ca="1">IFERROR(AK38/活动投放!AG38,0)</f>
        <v>0.8497109826589595</v>
      </c>
      <c r="AV38" s="101">
        <f ca="1">IFERROR(AL38/活动投放!AH38,0)</f>
        <v>0.84971098265895961</v>
      </c>
    </row>
    <row r="39" spans="24:48" x14ac:dyDescent="0.15">
      <c r="X39" s="29">
        <f>基础状态预估!C39</f>
        <v>1500</v>
      </c>
      <c r="Y39" s="46">
        <f>基础状态预估!D39</f>
        <v>105.50842583986083</v>
      </c>
      <c r="Z39" s="5">
        <f t="shared" ca="1" si="4"/>
        <v>112.5</v>
      </c>
      <c r="AA39" s="5">
        <f t="shared" ca="1" si="5"/>
        <v>1018.5</v>
      </c>
      <c r="AB39" s="5">
        <f t="shared" ca="1" si="6"/>
        <v>354</v>
      </c>
      <c r="AC39" s="5">
        <f t="shared" ca="1" si="7"/>
        <v>285</v>
      </c>
      <c r="AD39" s="5">
        <f t="shared" ca="1" si="8"/>
        <v>1140</v>
      </c>
      <c r="AE39" s="5">
        <f t="shared" ca="1" si="9"/>
        <v>107250</v>
      </c>
      <c r="AF39" s="5">
        <f t="shared" ca="1" si="10"/>
        <v>56625</v>
      </c>
      <c r="AG39" s="79">
        <f ca="1">AC39+Z39*活动投放!$D$32</f>
        <v>341.25</v>
      </c>
      <c r="AH39" s="79">
        <f ca="1">Z39*活动投放!$E$32</f>
        <v>56.25</v>
      </c>
      <c r="AI39" s="79">
        <f ca="1">AD39+AA39*活动投放!$F$33</f>
        <v>1852.9499999999998</v>
      </c>
      <c r="AJ39" s="79">
        <f ca="1">AA39*活动投放!$G$33</f>
        <v>305.55</v>
      </c>
      <c r="AK39" s="79">
        <f ca="1">AB39*活动投放!$H$34</f>
        <v>318.60000000000002</v>
      </c>
      <c r="AL39" s="79">
        <f ca="1">AB39*活动投放!$I$34</f>
        <v>35.4</v>
      </c>
      <c r="AN39" s="29">
        <f t="shared" si="3"/>
        <v>1500</v>
      </c>
      <c r="AO39" s="101">
        <f ca="1">IFERROR(AE39/活动投放!AA39,0)</f>
        <v>0.92139175257731953</v>
      </c>
      <c r="AP39" s="101">
        <f ca="1">IFERROR(AF39/活动投放!AB39,0)</f>
        <v>0.74506578947368418</v>
      </c>
      <c r="AQ39" s="101">
        <f ca="1">IFERROR(AG39/活动投放!AC39,0)</f>
        <v>2.3135593220338984</v>
      </c>
      <c r="AR39" s="101">
        <f ca="1">IFERROR(AH39/活动投放!AD39,0)</f>
        <v>0.38135593220338981</v>
      </c>
      <c r="AS39" s="101">
        <f ca="1">IFERROR(AI39/活动投放!AE39,0)</f>
        <v>5.7670401493930905</v>
      </c>
      <c r="AT39" s="101">
        <f ca="1">IFERROR(AJ39/活动投放!AF39,0)</f>
        <v>2.2189542483660132</v>
      </c>
      <c r="AU39" s="101">
        <f ca="1">IFERROR(AK39/活动投放!AG39,0)</f>
        <v>0.86341463414634156</v>
      </c>
      <c r="AV39" s="101">
        <f ca="1">IFERROR(AL39/活动投放!AH39,0)</f>
        <v>0.86341463414634145</v>
      </c>
    </row>
    <row r="40" spans="24:48" x14ac:dyDescent="0.15">
      <c r="X40" s="29">
        <f>基础状态预估!C40</f>
        <v>1800</v>
      </c>
      <c r="Y40" s="46">
        <f>基础状态预估!D40</f>
        <v>108.14154328189373</v>
      </c>
      <c r="Z40" s="5">
        <f t="shared" ca="1" si="4"/>
        <v>112.5</v>
      </c>
      <c r="AA40" s="5">
        <f t="shared" ca="1" si="5"/>
        <v>1168.5</v>
      </c>
      <c r="AB40" s="5">
        <f t="shared" ca="1" si="6"/>
        <v>504</v>
      </c>
      <c r="AC40" s="5">
        <f t="shared" ca="1" si="7"/>
        <v>285</v>
      </c>
      <c r="AD40" s="5">
        <f t="shared" ca="1" si="8"/>
        <v>1440</v>
      </c>
      <c r="AE40" s="5">
        <f t="shared" ca="1" si="9"/>
        <v>137250</v>
      </c>
      <c r="AF40" s="5">
        <f t="shared" ca="1" si="10"/>
        <v>74625</v>
      </c>
      <c r="AG40" s="79">
        <f ca="1">AC40+Z40*活动投放!$D$32</f>
        <v>341.25</v>
      </c>
      <c r="AH40" s="79">
        <f ca="1">Z40*活动投放!$E$32</f>
        <v>56.25</v>
      </c>
      <c r="AI40" s="79">
        <f ca="1">AD40+AA40*活动投放!$F$33</f>
        <v>2257.9499999999998</v>
      </c>
      <c r="AJ40" s="79">
        <f ca="1">AA40*活动投放!$G$33</f>
        <v>350.55</v>
      </c>
      <c r="AK40" s="79">
        <f ca="1">AB40*活动投放!$H$34</f>
        <v>453.6</v>
      </c>
      <c r="AL40" s="79">
        <f ca="1">AB40*活动投放!$I$34</f>
        <v>50.400000000000006</v>
      </c>
      <c r="AN40" s="29">
        <f t="shared" si="3"/>
        <v>1800</v>
      </c>
      <c r="AO40" s="101">
        <f ca="1">IFERROR(AE40/活动投放!AA40,0)</f>
        <v>0.91256648936170215</v>
      </c>
      <c r="AP40" s="101">
        <f ca="1">IFERROR(AF40/活动投放!AB40,0)</f>
        <v>0.76147959183673475</v>
      </c>
      <c r="AQ40" s="101">
        <f ca="1">IFERROR(AG40/活动投放!AC40,0)</f>
        <v>1.9225352112676057</v>
      </c>
      <c r="AR40" s="101">
        <f ca="1">IFERROR(AH40/活动投放!AD40,0)</f>
        <v>0.31690140845070425</v>
      </c>
      <c r="AS40" s="101">
        <f ca="1">IFERROR(AI40/活动投放!AE40,0)</f>
        <v>5.7703807820086892</v>
      </c>
      <c r="AT40" s="101">
        <f ca="1">IFERROR(AJ40/活动投放!AF40,0)</f>
        <v>2.0903398926654742</v>
      </c>
      <c r="AU40" s="101">
        <f ca="1">IFERROR(AK40/活动投放!AG40,0)</f>
        <v>0.8542372881355933</v>
      </c>
      <c r="AV40" s="101">
        <f ca="1">IFERROR(AL40/活动投放!AH40,0)</f>
        <v>0.8542372881355933</v>
      </c>
    </row>
    <row r="41" spans="24:48" x14ac:dyDescent="0.15">
      <c r="X41" s="29">
        <f>基础状态预估!C41</f>
        <v>2100</v>
      </c>
      <c r="Y41" s="46">
        <f>基础状态预估!D41</f>
        <v>110.36056371443574</v>
      </c>
      <c r="Z41" s="5">
        <f t="shared" ca="1" si="4"/>
        <v>112.5</v>
      </c>
      <c r="AA41" s="5">
        <f t="shared" ca="1" si="5"/>
        <v>1288.5</v>
      </c>
      <c r="AB41" s="5">
        <f t="shared" ca="1" si="6"/>
        <v>684</v>
      </c>
      <c r="AC41" s="5">
        <f t="shared" ca="1" si="7"/>
        <v>285</v>
      </c>
      <c r="AD41" s="5">
        <f t="shared" ca="1" si="8"/>
        <v>1740</v>
      </c>
      <c r="AE41" s="5">
        <f t="shared" ca="1" si="9"/>
        <v>173250</v>
      </c>
      <c r="AF41" s="5">
        <f t="shared" ca="1" si="10"/>
        <v>95625</v>
      </c>
      <c r="AG41" s="79">
        <f ca="1">AC41+Z41*活动投放!$D$32</f>
        <v>341.25</v>
      </c>
      <c r="AH41" s="79">
        <f ca="1">Z41*活动投放!$E$32</f>
        <v>56.25</v>
      </c>
      <c r="AI41" s="79">
        <f ca="1">AD41+AA41*活动投放!$F$33</f>
        <v>2641.95</v>
      </c>
      <c r="AJ41" s="79">
        <f ca="1">AA41*活动投放!$G$33</f>
        <v>386.55</v>
      </c>
      <c r="AK41" s="79">
        <f ca="1">AB41*活动投放!$H$34</f>
        <v>615.6</v>
      </c>
      <c r="AL41" s="79">
        <f ca="1">AB41*活动投放!$I$34</f>
        <v>68.400000000000006</v>
      </c>
      <c r="AN41" s="29">
        <f t="shared" si="3"/>
        <v>2100</v>
      </c>
      <c r="AO41" s="101">
        <f ca="1">IFERROR(AE41/活动投放!AA41,0)</f>
        <v>0.93953362255965289</v>
      </c>
      <c r="AP41" s="101">
        <f ca="1">IFERROR(AF41/活动投放!AB41,0)</f>
        <v>0.796875</v>
      </c>
      <c r="AQ41" s="101">
        <f ca="1">IFERROR(AG41/活动投放!AC41,0)</f>
        <v>1.6445783132530121</v>
      </c>
      <c r="AR41" s="101">
        <f ca="1">IFERROR(AH41/活动投放!AD41,0)</f>
        <v>0.27108433734939757</v>
      </c>
      <c r="AS41" s="101">
        <f ca="1">IFERROR(AI41/活动投放!AE41,0)</f>
        <v>5.7271840450899631</v>
      </c>
      <c r="AT41" s="101">
        <f ca="1">IFERROR(AJ41/活动投放!AF41,0)</f>
        <v>1.9552352048558423</v>
      </c>
      <c r="AU41" s="101">
        <f ca="1">IFERROR(AK41/活动投放!AG41,0)</f>
        <v>0.88831168831168839</v>
      </c>
      <c r="AV41" s="101">
        <f ca="1">IFERROR(AL41/活动投放!AH41,0)</f>
        <v>0.88831168831168839</v>
      </c>
    </row>
    <row r="42" spans="24:48" x14ac:dyDescent="0.15">
      <c r="X42" s="29">
        <f>基础状态预估!C42</f>
        <v>2400</v>
      </c>
      <c r="Y42" s="46">
        <f>基础状态预估!D42</f>
        <v>112.28703526556856</v>
      </c>
      <c r="Z42" s="5">
        <f t="shared" ca="1" si="4"/>
        <v>112.5</v>
      </c>
      <c r="AA42" s="5">
        <f t="shared" ca="1" si="5"/>
        <v>1408.5</v>
      </c>
      <c r="AB42" s="5">
        <f t="shared" ca="1" si="6"/>
        <v>864</v>
      </c>
      <c r="AC42" s="5">
        <f t="shared" ca="1" si="7"/>
        <v>285</v>
      </c>
      <c r="AD42" s="5">
        <f t="shared" ca="1" si="8"/>
        <v>2040</v>
      </c>
      <c r="AE42" s="5">
        <f t="shared" ca="1" si="9"/>
        <v>209250</v>
      </c>
      <c r="AF42" s="5">
        <f t="shared" ca="1" si="10"/>
        <v>116625</v>
      </c>
      <c r="AG42" s="79">
        <f ca="1">AC42+Z42*活动投放!$D$32</f>
        <v>341.25</v>
      </c>
      <c r="AH42" s="79">
        <f ca="1">Z42*活动投放!$E$32</f>
        <v>56.25</v>
      </c>
      <c r="AI42" s="79">
        <f ca="1">AD42+AA42*活动投放!$F$33</f>
        <v>3025.95</v>
      </c>
      <c r="AJ42" s="79">
        <f ca="1">AA42*活动投放!$G$33</f>
        <v>422.55</v>
      </c>
      <c r="AK42" s="79">
        <f ca="1">AB42*活动投放!$H$34</f>
        <v>777.6</v>
      </c>
      <c r="AL42" s="79">
        <f ca="1">AB42*活动投放!$I$34</f>
        <v>86.4</v>
      </c>
      <c r="AN42" s="29">
        <f t="shared" si="3"/>
        <v>2400</v>
      </c>
      <c r="AO42" s="101">
        <f ca="1">IFERROR(AE42/活动投放!AA42,0)</f>
        <v>0.949410163339383</v>
      </c>
      <c r="AP42" s="101">
        <f ca="1">IFERROR(AF42/活动投放!AB42,0)</f>
        <v>0.80989583333333337</v>
      </c>
      <c r="AQ42" s="101">
        <f ca="1">IFERROR(AG42/活动投放!AC42,0)</f>
        <v>1.4368421052631579</v>
      </c>
      <c r="AR42" s="101">
        <f ca="1">IFERROR(AH42/活动投放!AD42,0)</f>
        <v>0.23684210526315788</v>
      </c>
      <c r="AS42" s="101">
        <f ca="1">IFERROR(AI42/活动投放!AE42,0)</f>
        <v>5.6953698475437609</v>
      </c>
      <c r="AT42" s="101">
        <f ca="1">IFERROR(AJ42/活动投放!AF42,0)</f>
        <v>1.8557312252964429</v>
      </c>
      <c r="AU42" s="101">
        <f ca="1">IFERROR(AK42/活动投放!AG42,0)</f>
        <v>0.89072164948453614</v>
      </c>
      <c r="AV42" s="101">
        <f ca="1">IFERROR(AL42/活动投放!AH42,0)</f>
        <v>0.89072164948453614</v>
      </c>
    </row>
    <row r="43" spans="24:48" x14ac:dyDescent="0.15">
      <c r="X43" s="29">
        <f>基础状态预估!C43</f>
        <v>2700</v>
      </c>
      <c r="Y43" s="46">
        <f>基础状态预估!D43</f>
        <v>113.99252797204601</v>
      </c>
      <c r="Z43" s="5">
        <f t="shared" ca="1" si="4"/>
        <v>112.5</v>
      </c>
      <c r="AA43" s="5">
        <f t="shared" ca="1" si="5"/>
        <v>1528.5</v>
      </c>
      <c r="AB43" s="5">
        <f t="shared" ca="1" si="6"/>
        <v>1044</v>
      </c>
      <c r="AC43" s="5">
        <f t="shared" ca="1" si="7"/>
        <v>285</v>
      </c>
      <c r="AD43" s="5">
        <f t="shared" ca="1" si="8"/>
        <v>2340</v>
      </c>
      <c r="AE43" s="5">
        <f t="shared" ca="1" si="9"/>
        <v>245250</v>
      </c>
      <c r="AF43" s="5">
        <f t="shared" ca="1" si="10"/>
        <v>137625</v>
      </c>
      <c r="AG43" s="79">
        <f ca="1">AC43+Z43*活动投放!$D$32</f>
        <v>341.25</v>
      </c>
      <c r="AH43" s="79">
        <f ca="1">Z43*活动投放!$E$32</f>
        <v>56.25</v>
      </c>
      <c r="AI43" s="79">
        <f ca="1">AD43+AA43*活动投放!$F$33</f>
        <v>3409.95</v>
      </c>
      <c r="AJ43" s="79">
        <f ca="1">AA43*活动投放!$G$33</f>
        <v>458.55</v>
      </c>
      <c r="AK43" s="79">
        <f ca="1">AB43*活动投放!$H$34</f>
        <v>939.6</v>
      </c>
      <c r="AL43" s="79">
        <f ca="1">AB43*活动投放!$I$34</f>
        <v>104.4</v>
      </c>
      <c r="AN43" s="29">
        <f t="shared" si="3"/>
        <v>2700</v>
      </c>
      <c r="AO43" s="101">
        <f ca="1">IFERROR(AE43/活动投放!AA43,0)</f>
        <v>0.95651326053042118</v>
      </c>
      <c r="AP43" s="101">
        <f ca="1">IFERROR(AF43/活动投放!AB43,0)</f>
        <v>0.8191964285714286</v>
      </c>
      <c r="AQ43" s="101">
        <f ca="1">IFERROR(AG43/活动投放!AC43,0)</f>
        <v>1.2757009345794392</v>
      </c>
      <c r="AR43" s="101">
        <f ca="1">IFERROR(AH43/活动投放!AD43,0)</f>
        <v>0.2102803738317757</v>
      </c>
      <c r="AS43" s="101">
        <f ca="1">IFERROR(AI43/活动投放!AE43,0)</f>
        <v>5.6709629136870117</v>
      </c>
      <c r="AT43" s="101">
        <f ca="1">IFERROR(AJ43/活动投放!AF43,0)</f>
        <v>1.7793946449359721</v>
      </c>
      <c r="AU43" s="101">
        <f ca="1">IFERROR(AK43/活动投放!AG43,0)</f>
        <v>0.89230769230769236</v>
      </c>
      <c r="AV43" s="101">
        <f ca="1">IFERROR(AL43/活动投放!AH43,0)</f>
        <v>0.89230769230769236</v>
      </c>
    </row>
    <row r="44" spans="24:48" x14ac:dyDescent="0.15">
      <c r="X44" s="29">
        <f>基础状态预估!C44</f>
        <v>3000</v>
      </c>
      <c r="Y44" s="46">
        <f>基础状态预估!D44</f>
        <v>115.50361532953012</v>
      </c>
      <c r="Z44" s="5">
        <f t="shared" ca="1" si="4"/>
        <v>112.5</v>
      </c>
      <c r="AA44" s="5">
        <f t="shared" ca="1" si="5"/>
        <v>1648.5</v>
      </c>
      <c r="AB44" s="5">
        <f t="shared" ca="1" si="6"/>
        <v>1224</v>
      </c>
      <c r="AC44" s="5">
        <f t="shared" ca="1" si="7"/>
        <v>285</v>
      </c>
      <c r="AD44" s="5">
        <f t="shared" ca="1" si="8"/>
        <v>2640</v>
      </c>
      <c r="AE44" s="5">
        <f t="shared" ca="1" si="9"/>
        <v>281250</v>
      </c>
      <c r="AF44" s="5">
        <f t="shared" ca="1" si="10"/>
        <v>158625</v>
      </c>
      <c r="AG44" s="79">
        <f ca="1">AC44+Z44*活动投放!$D$32</f>
        <v>341.25</v>
      </c>
      <c r="AH44" s="79">
        <f ca="1">Z44*活动投放!$E$32</f>
        <v>56.25</v>
      </c>
      <c r="AI44" s="79">
        <f ca="1">AD44+AA44*活动投放!$F$33</f>
        <v>3793.95</v>
      </c>
      <c r="AJ44" s="79">
        <f ca="1">AA44*活动投放!$G$33</f>
        <v>494.54999999999995</v>
      </c>
      <c r="AK44" s="79">
        <f ca="1">AB44*活动投放!$H$34</f>
        <v>1101.6000000000001</v>
      </c>
      <c r="AL44" s="79">
        <f ca="1">AB44*活动投放!$I$34</f>
        <v>122.4</v>
      </c>
      <c r="AN44" s="29">
        <f t="shared" si="3"/>
        <v>3000</v>
      </c>
      <c r="AO44" s="101">
        <f ca="1">IFERROR(AE44/活动投放!AA44,0)</f>
        <v>0.95533288043478259</v>
      </c>
      <c r="AP44" s="101">
        <f ca="1">IFERROR(AF44/活动投放!AB44,0)</f>
        <v>0.82189119170984459</v>
      </c>
      <c r="AQ44" s="101">
        <f ca="1">IFERROR(AG44/活动投放!AC44,0)</f>
        <v>1.1470588235294117</v>
      </c>
      <c r="AR44" s="101">
        <f ca="1">IFERROR(AH44/活动投放!AD44,0)</f>
        <v>0.18907563025210083</v>
      </c>
      <c r="AS44" s="101">
        <f ca="1">IFERROR(AI44/活动投放!AE44,0)</f>
        <v>5.6516460598838076</v>
      </c>
      <c r="AT44" s="101">
        <f ca="1">IFERROR(AJ44/活动投放!AF44,0)</f>
        <v>1.718978102189781</v>
      </c>
      <c r="AU44" s="101">
        <f ca="1">IFERROR(AK44/活动投放!AG44,0)</f>
        <v>0.88057553956834544</v>
      </c>
      <c r="AV44" s="101">
        <f ca="1">IFERROR(AL44/活动投放!AH44,0)</f>
        <v>0.88057553956834533</v>
      </c>
    </row>
    <row r="45" spans="24:48" x14ac:dyDescent="0.15">
      <c r="X45" s="29">
        <f>基础状态预估!C45</f>
        <v>3300</v>
      </c>
      <c r="Y45" s="46">
        <f>基础状态预估!D45</f>
        <v>116.88336617936118</v>
      </c>
      <c r="Z45" s="5">
        <f t="shared" ca="1" si="4"/>
        <v>112.5</v>
      </c>
      <c r="AA45" s="5">
        <f t="shared" ca="1" si="5"/>
        <v>1768.5</v>
      </c>
      <c r="AB45" s="5">
        <f t="shared" ca="1" si="6"/>
        <v>1404</v>
      </c>
      <c r="AC45" s="5">
        <f t="shared" ca="1" si="7"/>
        <v>285</v>
      </c>
      <c r="AD45" s="5">
        <f t="shared" ca="1" si="8"/>
        <v>2940</v>
      </c>
      <c r="AE45" s="5">
        <f t="shared" ca="1" si="9"/>
        <v>317250</v>
      </c>
      <c r="AF45" s="5">
        <f t="shared" ca="1" si="10"/>
        <v>179625</v>
      </c>
      <c r="AG45" s="79">
        <f ca="1">AC45+Z45*活动投放!$D$32</f>
        <v>341.25</v>
      </c>
      <c r="AH45" s="79">
        <f ca="1">Z45*活动投放!$E$32</f>
        <v>56.25</v>
      </c>
      <c r="AI45" s="79">
        <f ca="1">AD45+AA45*活动投放!$F$33</f>
        <v>4177.95</v>
      </c>
      <c r="AJ45" s="79">
        <f ca="1">AA45*活动投放!$G$33</f>
        <v>530.54999999999995</v>
      </c>
      <c r="AK45" s="79">
        <f ca="1">AB45*活动投放!$H$34</f>
        <v>1263.6000000000001</v>
      </c>
      <c r="AL45" s="79">
        <f ca="1">AB45*活动投放!$I$34</f>
        <v>140.4</v>
      </c>
      <c r="AN45" s="29">
        <f t="shared" si="3"/>
        <v>3300</v>
      </c>
      <c r="AO45" s="101">
        <f ca="1">IFERROR(AE45/活动投放!AA45,0)</f>
        <v>0.95442238267148016</v>
      </c>
      <c r="AP45" s="101">
        <f ca="1">IFERROR(AF45/活动投放!AB45,0)</f>
        <v>0.82396788990825687</v>
      </c>
      <c r="AQ45" s="101">
        <f ca="1">IFERROR(AG45/活动投放!AC45,0)</f>
        <v>1.0419847328244274</v>
      </c>
      <c r="AR45" s="101">
        <f ca="1">IFERROR(AH45/活动投放!AD45,0)</f>
        <v>0.1717557251908397</v>
      </c>
      <c r="AS45" s="101">
        <f ca="1">IFERROR(AI45/活动投放!AE45,0)</f>
        <v>5.6359773371104813</v>
      </c>
      <c r="AT45" s="101">
        <f ca="1">IFERROR(AJ45/活动投放!AF45,0)</f>
        <v>1.6699716713881019</v>
      </c>
      <c r="AU45" s="101">
        <f ca="1">IFERROR(AK45/活动投放!AG45,0)</f>
        <v>0.87204968944099392</v>
      </c>
      <c r="AV45" s="101">
        <f ca="1">IFERROR(AL45/活动投放!AH45,0)</f>
        <v>0.87204968944099381</v>
      </c>
    </row>
    <row r="46" spans="24:48" x14ac:dyDescent="0.15">
      <c r="X46" s="29">
        <f>基础状态预估!C46</f>
        <v>3600</v>
      </c>
      <c r="Y46" s="46">
        <f>基础状态预估!D46</f>
        <v>118.13763593334991</v>
      </c>
      <c r="Z46" s="5">
        <f t="shared" ca="1" si="4"/>
        <v>112.5</v>
      </c>
      <c r="AA46" s="5">
        <f t="shared" ca="1" si="5"/>
        <v>1888.5</v>
      </c>
      <c r="AB46" s="5">
        <f t="shared" ca="1" si="6"/>
        <v>1584</v>
      </c>
      <c r="AC46" s="5">
        <f t="shared" ca="1" si="7"/>
        <v>285</v>
      </c>
      <c r="AD46" s="5">
        <f t="shared" ca="1" si="8"/>
        <v>3240</v>
      </c>
      <c r="AE46" s="5">
        <f t="shared" ca="1" si="9"/>
        <v>353250</v>
      </c>
      <c r="AF46" s="5">
        <f t="shared" ca="1" si="10"/>
        <v>200625</v>
      </c>
      <c r="AG46" s="79">
        <f ca="1">AC46+Z46*活动投放!$D$32</f>
        <v>341.25</v>
      </c>
      <c r="AH46" s="79">
        <f ca="1">Z46*活动投放!$E$32</f>
        <v>56.25</v>
      </c>
      <c r="AI46" s="79">
        <f ca="1">AD46+AA46*活动投放!$F$33</f>
        <v>4561.95</v>
      </c>
      <c r="AJ46" s="79">
        <f ca="1">AA46*活动投放!$G$33</f>
        <v>566.54999999999995</v>
      </c>
      <c r="AK46" s="79">
        <f ca="1">AB46*活动投放!$H$34</f>
        <v>1425.6000000000001</v>
      </c>
      <c r="AL46" s="79">
        <f ca="1">AB46*活动投放!$I$34</f>
        <v>158.4</v>
      </c>
      <c r="AN46" s="29">
        <f t="shared" si="3"/>
        <v>3600</v>
      </c>
      <c r="AO46" s="101">
        <f ca="1">IFERROR(AE46/活动投放!AA46,0)</f>
        <v>0.94857679914070892</v>
      </c>
      <c r="AP46" s="101">
        <f ca="1">IFERROR(AF46/活动投放!AB46,0)</f>
        <v>0.82223360655737709</v>
      </c>
      <c r="AQ46" s="101">
        <f ca="1">IFERROR(AG46/活动投放!AC46,0)</f>
        <v>0.95454545454545459</v>
      </c>
      <c r="AR46" s="101">
        <f ca="1">IFERROR(AH46/活动投放!AD46,0)</f>
        <v>0.15734265734265734</v>
      </c>
      <c r="AS46" s="101">
        <f ca="1">IFERROR(AI46/活动投放!AE46,0)</f>
        <v>5.6230124491556763</v>
      </c>
      <c r="AT46" s="101">
        <f ca="1">IFERROR(AJ46/活动投放!AF46,0)</f>
        <v>1.6294219154443486</v>
      </c>
      <c r="AU46" s="101">
        <f ca="1">IFERROR(AK46/活动投放!AG46,0)</f>
        <v>0.85621621621621635</v>
      </c>
      <c r="AV46" s="101">
        <f ca="1">IFERROR(AL46/活动投放!AH46,0)</f>
        <v>0.85621621621621624</v>
      </c>
    </row>
    <row r="47" spans="24:48" x14ac:dyDescent="0.15">
      <c r="X47" s="29">
        <f>基础状态预估!C47</f>
        <v>3900</v>
      </c>
      <c r="Y47" s="46">
        <f>基础状态预估!D47</f>
        <v>119.28909140534228</v>
      </c>
      <c r="Z47" s="5">
        <f t="shared" ca="1" si="4"/>
        <v>112.5</v>
      </c>
      <c r="AA47" s="5">
        <f t="shared" ca="1" si="5"/>
        <v>2008.5</v>
      </c>
      <c r="AB47" s="5">
        <f t="shared" ca="1" si="6"/>
        <v>1764</v>
      </c>
      <c r="AC47" s="5">
        <f t="shared" ca="1" si="7"/>
        <v>285</v>
      </c>
      <c r="AD47" s="5">
        <f t="shared" ca="1" si="8"/>
        <v>3540</v>
      </c>
      <c r="AE47" s="5">
        <f t="shared" ca="1" si="9"/>
        <v>389250</v>
      </c>
      <c r="AF47" s="5">
        <f t="shared" ca="1" si="10"/>
        <v>221625</v>
      </c>
      <c r="AG47" s="79">
        <f ca="1">AC47+Z47*活动投放!$D$32</f>
        <v>341.25</v>
      </c>
      <c r="AH47" s="79">
        <f ca="1">Z47*活动投放!$E$32</f>
        <v>56.25</v>
      </c>
      <c r="AI47" s="79">
        <f ca="1">AD47+AA47*活动投放!$F$33</f>
        <v>4945.95</v>
      </c>
      <c r="AJ47" s="79">
        <f ca="1">AA47*活动投放!$G$33</f>
        <v>602.54999999999995</v>
      </c>
      <c r="AK47" s="79">
        <f ca="1">AB47*活动投放!$H$34</f>
        <v>1587.6000000000001</v>
      </c>
      <c r="AL47" s="79">
        <f ca="1">AB47*活动投放!$I$34</f>
        <v>176.4</v>
      </c>
      <c r="AN47" s="29">
        <f t="shared" si="3"/>
        <v>3900</v>
      </c>
      <c r="AO47" s="101">
        <f ca="1">IFERROR(AE47/活动投放!AA47,0)</f>
        <v>0.94386517943743942</v>
      </c>
      <c r="AP47" s="101">
        <f ca="1">IFERROR(AF47/活动投放!AB47,0)</f>
        <v>0.8208333333333333</v>
      </c>
      <c r="AQ47" s="101">
        <f ca="1">IFERROR(AG47/活动投放!AC47,0)</f>
        <v>0.88064516129032255</v>
      </c>
      <c r="AR47" s="101">
        <f ca="1">IFERROR(AH47/活动投放!AD47,0)</f>
        <v>0.14516129032258066</v>
      </c>
      <c r="AS47" s="101">
        <f ca="1">IFERROR(AI47/活动投放!AE47,0)</f>
        <v>5.6121071144899579</v>
      </c>
      <c r="AT47" s="101">
        <f ca="1">IFERROR(AJ47/活动投放!AF47,0)</f>
        <v>1.5953137410643368</v>
      </c>
      <c r="AU47" s="101">
        <f ca="1">IFERROR(AK47/活动投放!AG47,0)</f>
        <v>0.84401913875598089</v>
      </c>
      <c r="AV47" s="101">
        <f ca="1">IFERROR(AL47/活动投放!AH47,0)</f>
        <v>0.84401913875598089</v>
      </c>
    </row>
    <row r="48" spans="24:48" x14ac:dyDescent="0.15">
      <c r="X48" s="29">
        <f>基础状态预估!C48</f>
        <v>4200</v>
      </c>
      <c r="Y48" s="46">
        <f>基础状态预估!D48</f>
        <v>120.35716216995992</v>
      </c>
      <c r="Z48" s="5">
        <f t="shared" ca="1" si="4"/>
        <v>112.5</v>
      </c>
      <c r="AA48" s="5">
        <f t="shared" ca="1" si="5"/>
        <v>2128.5</v>
      </c>
      <c r="AB48" s="5">
        <f t="shared" ca="1" si="6"/>
        <v>1944</v>
      </c>
      <c r="AC48" s="5">
        <f t="shared" ca="1" si="7"/>
        <v>285</v>
      </c>
      <c r="AD48" s="5">
        <f t="shared" ca="1" si="8"/>
        <v>3840</v>
      </c>
      <c r="AE48" s="5">
        <f t="shared" ca="1" si="9"/>
        <v>425250</v>
      </c>
      <c r="AF48" s="5">
        <f t="shared" ca="1" si="10"/>
        <v>242625</v>
      </c>
      <c r="AG48" s="79">
        <f ca="1">AC48+Z48*活动投放!$D$32</f>
        <v>341.25</v>
      </c>
      <c r="AH48" s="79">
        <f ca="1">Z48*活动投放!$E$32</f>
        <v>56.25</v>
      </c>
      <c r="AI48" s="79">
        <f ca="1">AD48+AA48*活动投放!$F$33</f>
        <v>5329.95</v>
      </c>
      <c r="AJ48" s="79">
        <f ca="1">AA48*活动投放!$G$33</f>
        <v>638.54999999999995</v>
      </c>
      <c r="AK48" s="79">
        <f ca="1">AB48*活动投放!$H$34</f>
        <v>1749.6000000000001</v>
      </c>
      <c r="AL48" s="79">
        <f ca="1">AB48*活动投放!$I$34</f>
        <v>194.4</v>
      </c>
      <c r="AN48" s="29">
        <f t="shared" si="3"/>
        <v>4200</v>
      </c>
      <c r="AO48" s="101">
        <f ca="1">IFERROR(AE48/活动投放!AA48,0)</f>
        <v>0.93584947183098588</v>
      </c>
      <c r="AP48" s="101">
        <f ca="1">IFERROR(AF48/活动投放!AB48,0)</f>
        <v>0.81417785234899331</v>
      </c>
      <c r="AQ48" s="101">
        <f ca="1">IFERROR(AG48/活动投放!AC48,0)</f>
        <v>0.81736526946107779</v>
      </c>
      <c r="AR48" s="101">
        <f ca="1">IFERROR(AH48/活动投放!AD48,0)</f>
        <v>0.1347305389221557</v>
      </c>
      <c r="AS48" s="101">
        <f ca="1">IFERROR(AI48/活动投放!AE48,0)</f>
        <v>5.6028066855881429</v>
      </c>
      <c r="AT48" s="101">
        <f ca="1">IFERROR(AJ48/活动投放!AF48,0)</f>
        <v>1.5662251655629138</v>
      </c>
      <c r="AU48" s="101">
        <f ca="1">IFERROR(AK48/活动投放!AG48,0)</f>
        <v>0.82723404255319155</v>
      </c>
      <c r="AV48" s="101">
        <f ca="1">IFERROR(AL48/活动投放!AH48,0)</f>
        <v>0.82723404255319155</v>
      </c>
    </row>
    <row r="49" spans="24:48" x14ac:dyDescent="0.15">
      <c r="X49" s="29">
        <f>基础状态预估!C49</f>
        <v>4500</v>
      </c>
      <c r="Y49" s="46">
        <f>基础状态预估!D49</f>
        <v>121.35233706179751</v>
      </c>
      <c r="Z49" s="5">
        <f t="shared" ca="1" si="4"/>
        <v>112.5</v>
      </c>
      <c r="AA49" s="5">
        <f t="shared" ca="1" si="5"/>
        <v>2248.5</v>
      </c>
      <c r="AB49" s="5">
        <f t="shared" ca="1" si="6"/>
        <v>2124</v>
      </c>
      <c r="AC49" s="5">
        <f t="shared" ca="1" si="7"/>
        <v>285</v>
      </c>
      <c r="AD49" s="5">
        <f t="shared" ca="1" si="8"/>
        <v>4140</v>
      </c>
      <c r="AE49" s="5">
        <f t="shared" ca="1" si="9"/>
        <v>461250</v>
      </c>
      <c r="AF49" s="5">
        <f t="shared" ca="1" si="10"/>
        <v>263625</v>
      </c>
      <c r="AG49" s="79">
        <f ca="1">AC49+Z49*活动投放!$D$32</f>
        <v>341.25</v>
      </c>
      <c r="AH49" s="79">
        <f ca="1">Z49*活动投放!$E$32</f>
        <v>56.25</v>
      </c>
      <c r="AI49" s="79">
        <f ca="1">AD49+AA49*活动投放!$F$33</f>
        <v>5713.95</v>
      </c>
      <c r="AJ49" s="79">
        <f ca="1">AA49*活动投放!$G$33</f>
        <v>674.55</v>
      </c>
      <c r="AK49" s="79">
        <f ca="1">AB49*活动投放!$H$34</f>
        <v>1911.6000000000001</v>
      </c>
      <c r="AL49" s="79">
        <f ca="1">AB49*活动投放!$I$34</f>
        <v>212.4</v>
      </c>
      <c r="AN49" s="29">
        <f t="shared" si="3"/>
        <v>4500</v>
      </c>
      <c r="AO49" s="101">
        <f ca="1">IFERROR(AE49/活动投放!AA49,0)</f>
        <v>0.92919016921837227</v>
      </c>
      <c r="AP49" s="101">
        <f ca="1">IFERROR(AF49/活动投放!AB49,0)</f>
        <v>0.80866564417177911</v>
      </c>
      <c r="AQ49" s="101">
        <f ca="1">IFERROR(AG49/活动投放!AC49,0)</f>
        <v>0.76256983240223464</v>
      </c>
      <c r="AR49" s="101">
        <f ca="1">IFERROR(AH49/活动投放!AD49,0)</f>
        <v>0.12569832402234637</v>
      </c>
      <c r="AS49" s="101">
        <f ca="1">IFERROR(AI49/活动投放!AE49,0)</f>
        <v>5.594781161265054</v>
      </c>
      <c r="AT49" s="101">
        <f ca="1">IFERROR(AJ49/活动投放!AF49,0)</f>
        <v>1.5411240575736807</v>
      </c>
      <c r="AU49" s="101">
        <f ca="1">IFERROR(AK49/活动投放!AG49,0)</f>
        <v>0.81379310344827593</v>
      </c>
      <c r="AV49" s="101">
        <f ca="1">IFERROR(AL49/活动投放!AH49,0)</f>
        <v>0.81379310344827593</v>
      </c>
    </row>
    <row r="50" spans="24:48" x14ac:dyDescent="0.15">
      <c r="X50" s="29">
        <f>基础状态预估!C50</f>
        <v>4800</v>
      </c>
      <c r="Y50" s="46">
        <f>基础状态预估!D50</f>
        <v>122.28407404910907</v>
      </c>
      <c r="Z50" s="5">
        <f t="shared" ca="1" si="4"/>
        <v>112.5</v>
      </c>
      <c r="AA50" s="5">
        <f t="shared" ca="1" si="5"/>
        <v>2368.5</v>
      </c>
      <c r="AB50" s="5">
        <f t="shared" ca="1" si="6"/>
        <v>2304</v>
      </c>
      <c r="AC50" s="5">
        <f t="shared" ca="1" si="7"/>
        <v>285</v>
      </c>
      <c r="AD50" s="5">
        <f t="shared" ca="1" si="8"/>
        <v>4440</v>
      </c>
      <c r="AE50" s="5">
        <f t="shared" ca="1" si="9"/>
        <v>497250</v>
      </c>
      <c r="AF50" s="5">
        <f t="shared" ca="1" si="10"/>
        <v>284625</v>
      </c>
      <c r="AG50" s="79">
        <f ca="1">AC50+Z50*活动投放!$D$32</f>
        <v>341.25</v>
      </c>
      <c r="AH50" s="79">
        <f ca="1">Z50*活动投放!$E$32</f>
        <v>56.25</v>
      </c>
      <c r="AI50" s="79">
        <f ca="1">AD50+AA50*活动投放!$F$33</f>
        <v>6097.95</v>
      </c>
      <c r="AJ50" s="79">
        <f ca="1">AA50*活动投放!$G$33</f>
        <v>710.55</v>
      </c>
      <c r="AK50" s="79">
        <f ca="1">AB50*活动投放!$H$34</f>
        <v>2073.6</v>
      </c>
      <c r="AL50" s="79">
        <f ca="1">AB50*活动投放!$I$34</f>
        <v>230.4</v>
      </c>
      <c r="AN50" s="29">
        <f t="shared" si="3"/>
        <v>4800</v>
      </c>
      <c r="AO50" s="101">
        <f ca="1">IFERROR(AE50/活动投放!AA50,0)</f>
        <v>0.92356983655274894</v>
      </c>
      <c r="AP50" s="101">
        <f ca="1">IFERROR(AF50/活动投放!AB50,0)</f>
        <v>0.80402542372881358</v>
      </c>
      <c r="AQ50" s="101">
        <f ca="1">IFERROR(AG50/活动投放!AC50,0)</f>
        <v>0.71465968586387429</v>
      </c>
      <c r="AR50" s="101">
        <f ca="1">IFERROR(AH50/活动投放!AD50,0)</f>
        <v>0.11780104712041885</v>
      </c>
      <c r="AS50" s="101">
        <f ca="1">IFERROR(AI50/活动投放!AE50,0)</f>
        <v>5.5877852102996428</v>
      </c>
      <c r="AT50" s="101">
        <f ca="1">IFERROR(AJ50/活动投放!AF50,0)</f>
        <v>1.5192431045542014</v>
      </c>
      <c r="AU50" s="101">
        <f ca="1">IFERROR(AK50/活动投放!AG50,0)</f>
        <v>0.80278745644599303</v>
      </c>
      <c r="AV50" s="101">
        <f ca="1">IFERROR(AL50/活动投放!AH50,0)</f>
        <v>0.80278745644599303</v>
      </c>
    </row>
    <row r="51" spans="24:48" x14ac:dyDescent="0.15">
      <c r="X51" s="29">
        <f>基础状态预估!C51</f>
        <v>65535</v>
      </c>
      <c r="Y51" s="46">
        <f>基础状态预估!D51</f>
        <v>160</v>
      </c>
      <c r="Z51" s="5">
        <f t="shared" ca="1" si="4"/>
        <v>112.5</v>
      </c>
      <c r="AA51" s="5">
        <f t="shared" ca="1" si="5"/>
        <v>26662.5</v>
      </c>
      <c r="AB51" s="5">
        <f t="shared" ca="1" si="6"/>
        <v>38745</v>
      </c>
      <c r="AC51" s="5">
        <f t="shared" ca="1" si="7"/>
        <v>285</v>
      </c>
      <c r="AD51" s="5">
        <f t="shared" ca="1" si="8"/>
        <v>65175</v>
      </c>
      <c r="AE51" s="5">
        <f t="shared" ca="1" si="9"/>
        <v>7785450</v>
      </c>
      <c r="AF51" s="5">
        <f t="shared" ca="1" si="10"/>
        <v>4536075</v>
      </c>
      <c r="AG51" s="79">
        <f ca="1">AC51+Z51*活动投放!$D$32</f>
        <v>341.25</v>
      </c>
      <c r="AH51" s="79">
        <f ca="1">Z51*活动投放!$E$32</f>
        <v>56.25</v>
      </c>
      <c r="AI51" s="79">
        <f ca="1">AD51+AA51*活动投放!$F$33</f>
        <v>83838.75</v>
      </c>
      <c r="AJ51" s="79">
        <f ca="1">AA51*活动投放!$G$33</f>
        <v>7998.75</v>
      </c>
      <c r="AK51" s="79">
        <f ca="1">AB51*活动投放!$H$34</f>
        <v>34870.5</v>
      </c>
      <c r="AL51" s="79">
        <f ca="1">AB51*活动投放!$I$34</f>
        <v>3874.5</v>
      </c>
      <c r="AN51" s="29">
        <f t="shared" si="3"/>
        <v>65535</v>
      </c>
      <c r="AO51" s="101">
        <f ca="1">IFERROR(AE51/活动投放!AA51,0)</f>
        <v>0.86109851459414022</v>
      </c>
      <c r="AP51" s="101">
        <f ca="1">IFERROR(AF51/活动投放!AB51,0)</f>
        <v>0.75317553880383892</v>
      </c>
      <c r="AQ51" s="101">
        <f ca="1">IFERROR(AG51/活动投放!AC51,0)</f>
        <v>5.20912837734697E-2</v>
      </c>
      <c r="AR51" s="101">
        <f ca="1">IFERROR(AH51/活动投放!AD51,0)</f>
        <v>8.5864753472752256E-3</v>
      </c>
      <c r="AS51" s="101">
        <f ca="1">IFERROR(AI51/活动投放!AE51,0)</f>
        <v>5.4930124223602483</v>
      </c>
      <c r="AT51" s="101">
        <f ca="1">IFERROR(AJ51/活动投放!AF51,0)</f>
        <v>1.2228260869565217</v>
      </c>
      <c r="AU51" s="101">
        <f ca="1">IFERROR(AK51/活动投放!AG51,0)</f>
        <v>0.69802006954077855</v>
      </c>
      <c r="AV51" s="101">
        <f ca="1">IFERROR(AL51/活动投放!AH51,0)</f>
        <v>0.69802006954077855</v>
      </c>
    </row>
    <row r="53" spans="24:48" x14ac:dyDescent="0.15">
      <c r="X53" s="32" t="s">
        <v>18</v>
      </c>
      <c r="Y53" s="48"/>
      <c r="Z53" s="85" t="s">
        <v>120</v>
      </c>
      <c r="AA53" s="95"/>
      <c r="AB53" s="95"/>
      <c r="AC53" s="95"/>
      <c r="AD53" s="95"/>
      <c r="AE53" s="95"/>
      <c r="AF53" s="86"/>
      <c r="AG53" s="84" t="s">
        <v>121</v>
      </c>
      <c r="AH53" s="84"/>
      <c r="AI53" s="84"/>
      <c r="AJ53" s="84"/>
      <c r="AK53" s="84"/>
      <c r="AL53" s="84"/>
      <c r="AN53" s="29" t="str">
        <f t="shared" ref="AN53:AN54" si="11">X53</f>
        <v>小r</v>
      </c>
      <c r="AO53" s="100" t="s">
        <v>222</v>
      </c>
      <c r="AP53" s="100"/>
      <c r="AQ53" s="100"/>
      <c r="AR53" s="100"/>
      <c r="AS53" s="100"/>
      <c r="AT53" s="100"/>
      <c r="AU53" s="100"/>
      <c r="AV53" s="100"/>
    </row>
    <row r="54" spans="24:48" x14ac:dyDescent="0.15">
      <c r="X54" s="27" t="s">
        <v>31</v>
      </c>
      <c r="Y54" s="45" t="s">
        <v>25</v>
      </c>
      <c r="Z54" s="79" t="s">
        <v>108</v>
      </c>
      <c r="AA54" s="79" t="s">
        <v>110</v>
      </c>
      <c r="AB54" s="79" t="s">
        <v>112</v>
      </c>
      <c r="AC54" s="79" t="s">
        <v>221</v>
      </c>
      <c r="AD54" s="79" t="s">
        <v>220</v>
      </c>
      <c r="AE54" s="79" t="s">
        <v>114</v>
      </c>
      <c r="AF54" s="79" t="s">
        <v>116</v>
      </c>
      <c r="AG54" s="79" t="s">
        <v>26</v>
      </c>
      <c r="AH54" s="79" t="s">
        <v>38</v>
      </c>
      <c r="AI54" s="79" t="s">
        <v>27</v>
      </c>
      <c r="AJ54" s="79" t="s">
        <v>29</v>
      </c>
      <c r="AK54" s="79" t="s">
        <v>28</v>
      </c>
      <c r="AL54" s="79" t="s">
        <v>43</v>
      </c>
      <c r="AN54" s="29" t="str">
        <f t="shared" si="11"/>
        <v>预期天数</v>
      </c>
      <c r="AO54" s="101" t="s">
        <v>114</v>
      </c>
      <c r="AP54" s="101" t="s">
        <v>116</v>
      </c>
      <c r="AQ54" s="101" t="s">
        <v>26</v>
      </c>
      <c r="AR54" s="101" t="s">
        <v>38</v>
      </c>
      <c r="AS54" s="101" t="s">
        <v>27</v>
      </c>
      <c r="AT54" s="101" t="s">
        <v>29</v>
      </c>
      <c r="AU54" s="101" t="s">
        <v>28</v>
      </c>
      <c r="AV54" s="101" t="s">
        <v>43</v>
      </c>
    </row>
    <row r="55" spans="24:48" x14ac:dyDescent="0.15">
      <c r="X55" s="29">
        <f>基础状态预估!C55</f>
        <v>15</v>
      </c>
      <c r="Y55" s="46">
        <f>基础状态预估!D55</f>
        <v>41.83669503626701</v>
      </c>
      <c r="Z55" s="11">
        <f>IFERROR(SUMIF($K$6:$U$6,Z$10,INDEX($K$7:$U$16,MATCH($Y55,$G$7:$G$16,1),1)),0)*$X55*$C$3</f>
        <v>0</v>
      </c>
      <c r="AA55" s="11">
        <f t="shared" ref="AA55:AF55" si="12">IFERROR(SUMIF($K$6:$U$6,AA$10,INDEX($K$7:$U$16,MATCH($Y55,$G$7:$G$16,1),1)),0)*$X55*$C$3</f>
        <v>0</v>
      </c>
      <c r="AB55" s="11">
        <f t="shared" si="12"/>
        <v>0</v>
      </c>
      <c r="AC55" s="11">
        <f t="shared" si="12"/>
        <v>0</v>
      </c>
      <c r="AD55" s="11">
        <f t="shared" si="12"/>
        <v>0</v>
      </c>
      <c r="AE55" s="11">
        <f t="shared" si="12"/>
        <v>0</v>
      </c>
      <c r="AF55" s="11">
        <f t="shared" si="12"/>
        <v>0</v>
      </c>
      <c r="AG55" s="79">
        <f>AC55+Z55*活动投放!$D$32</f>
        <v>0</v>
      </c>
      <c r="AH55" s="79">
        <f>Z55*活动投放!$E$32</f>
        <v>0</v>
      </c>
      <c r="AI55" s="79">
        <f>AD55+AA55*活动投放!$F$33</f>
        <v>0</v>
      </c>
      <c r="AJ55" s="79">
        <f>AA55*活动投放!$G$33</f>
        <v>0</v>
      </c>
      <c r="AK55" s="79">
        <f>AB55*活动投放!$H$34</f>
        <v>0</v>
      </c>
      <c r="AL55" s="79">
        <f>AB55*活动投放!$I$34</f>
        <v>0</v>
      </c>
      <c r="AN55" s="29">
        <f>X55</f>
        <v>15</v>
      </c>
      <c r="AO55" s="101">
        <f>IFERROR(AE55/活动投放!AA55,0)</f>
        <v>0</v>
      </c>
      <c r="AP55" s="101">
        <f>IFERROR(AF55/活动投放!AB55,0)</f>
        <v>0</v>
      </c>
      <c r="AQ55" s="101">
        <f>IFERROR(AG55/活动投放!AC55,0)</f>
        <v>0</v>
      </c>
      <c r="AR55" s="101">
        <f>IFERROR(AH55/活动投放!AD55,0)</f>
        <v>0</v>
      </c>
      <c r="AS55" s="101">
        <f>IFERROR(AI55/活动投放!AE55,0)</f>
        <v>0</v>
      </c>
      <c r="AT55" s="101">
        <f>IFERROR(AJ55/活动投放!AF55,0)</f>
        <v>0</v>
      </c>
      <c r="AU55" s="101">
        <f>IFERROR(AK55/活动投放!AG55,0)</f>
        <v>0</v>
      </c>
      <c r="AV55" s="101">
        <f>IFERROR(AL55/活动投放!AH55,0)</f>
        <v>0</v>
      </c>
    </row>
    <row r="56" spans="24:48" x14ac:dyDescent="0.15">
      <c r="X56" s="29">
        <f>基础状态预估!C56</f>
        <v>30</v>
      </c>
      <c r="Y56" s="46">
        <f>基础状态预估!D56</f>
        <v>51.497823295559343</v>
      </c>
      <c r="Z56" s="5">
        <f ca="1">IFERROR(SUMIF($K$6:$U$6,Z$10,INDEX($K$7:$U$16,MATCH($Y56,$G$7:$G$16,1),1)),0)*($X56-$X55)*$C$3+Z55</f>
        <v>15</v>
      </c>
      <c r="AA56" s="5">
        <f t="shared" ref="AA56:AF56" ca="1" si="13">IFERROR(SUMIF($K$6:$U$6,AA$10,INDEX($K$7:$U$16,MATCH($Y56,$G$7:$G$16,1),1)),0)*($X56-$X55)*$C$3+AA55</f>
        <v>0</v>
      </c>
      <c r="AB56" s="5">
        <f t="shared" ca="1" si="13"/>
        <v>0</v>
      </c>
      <c r="AC56" s="5">
        <f t="shared" ca="1" si="13"/>
        <v>0</v>
      </c>
      <c r="AD56" s="5">
        <f t="shared" ca="1" si="13"/>
        <v>0</v>
      </c>
      <c r="AE56" s="5">
        <f t="shared" ca="1" si="13"/>
        <v>300</v>
      </c>
      <c r="AF56" s="5">
        <f t="shared" ca="1" si="13"/>
        <v>150</v>
      </c>
      <c r="AG56" s="79">
        <f ca="1">AC56+Z56*活动投放!$D$32</f>
        <v>7.5</v>
      </c>
      <c r="AH56" s="79">
        <f ca="1">Z56*活动投放!$E$32</f>
        <v>7.5</v>
      </c>
      <c r="AI56" s="79">
        <f ca="1">AD56+AA56*活动投放!$F$33</f>
        <v>0</v>
      </c>
      <c r="AJ56" s="79">
        <f ca="1">AA56*活动投放!$G$33</f>
        <v>0</v>
      </c>
      <c r="AK56" s="79">
        <f ca="1">AB56*活动投放!$H$34</f>
        <v>0</v>
      </c>
      <c r="AL56" s="79">
        <f ca="1">AB56*活动投放!$I$34</f>
        <v>0</v>
      </c>
      <c r="AN56" s="29">
        <f t="shared" ref="AN56:AN95" si="14">X56</f>
        <v>30</v>
      </c>
      <c r="AO56" s="101">
        <f ca="1">IFERROR(AE56/活动投放!AA56,0)</f>
        <v>1.5</v>
      </c>
      <c r="AP56" s="101">
        <f ca="1">IFERROR(AF56/活动投放!AB56,0)</f>
        <v>1.5</v>
      </c>
      <c r="AQ56" s="101">
        <f ca="1">IFERROR(AG56/活动投放!AC56,0)</f>
        <v>7.5</v>
      </c>
      <c r="AR56" s="101">
        <f ca="1">IFERROR(AH56/活动投放!AD56,0)</f>
        <v>7.5</v>
      </c>
      <c r="AS56" s="101">
        <f ca="1">IFERROR(AI56/活动投放!AE56,0)</f>
        <v>0</v>
      </c>
      <c r="AT56" s="101">
        <f ca="1">IFERROR(AJ56/活动投放!AF56,0)</f>
        <v>0</v>
      </c>
      <c r="AU56" s="101">
        <f ca="1">IFERROR(AK56/活动投放!AG56,0)</f>
        <v>0</v>
      </c>
      <c r="AV56" s="101">
        <f ca="1">IFERROR(AL56/活动投放!AH56,0)</f>
        <v>0</v>
      </c>
    </row>
    <row r="57" spans="24:48" x14ac:dyDescent="0.15">
      <c r="X57" s="29">
        <f>基础状态预估!C57</f>
        <v>45</v>
      </c>
      <c r="Y57" s="46">
        <f>基础状态预估!D57</f>
        <v>57.218966664386244</v>
      </c>
      <c r="Z57" s="5">
        <f t="shared" ref="Z57:Z95" ca="1" si="15">IFERROR(SUMIF($K$6:$U$6,Z$10,INDEX($K$7:$U$16,MATCH($Y57,$G$7:$G$16,1),1)),0)*($X57-$X56)*$C$3+Z56</f>
        <v>30</v>
      </c>
      <c r="AA57" s="5">
        <f t="shared" ref="AA57:AA95" ca="1" si="16">IFERROR(SUMIF($K$6:$U$6,AA$10,INDEX($K$7:$U$16,MATCH($Y57,$G$7:$G$16,1),1)),0)*($X57-$X56)*$C$3+AA56</f>
        <v>0</v>
      </c>
      <c r="AB57" s="5">
        <f t="shared" ref="AB57:AB95" ca="1" si="17">IFERROR(SUMIF($K$6:$U$6,AB$10,INDEX($K$7:$U$16,MATCH($Y57,$G$7:$G$16,1),1)),0)*($X57-$X56)*$C$3+AB56</f>
        <v>0</v>
      </c>
      <c r="AC57" s="5">
        <f t="shared" ref="AC57:AC95" ca="1" si="18">IFERROR(SUMIF($K$6:$U$6,AC$10,INDEX($K$7:$U$16,MATCH($Y57,$G$7:$G$16,1),1)),0)*($X57-$X56)*$C$3+AC56</f>
        <v>0</v>
      </c>
      <c r="AD57" s="5">
        <f t="shared" ref="AD57:AD95" ca="1" si="19">IFERROR(SUMIF($K$6:$U$6,AD$10,INDEX($K$7:$U$16,MATCH($Y57,$G$7:$G$16,1),1)),0)*($X57-$X56)*$C$3+AD56</f>
        <v>0</v>
      </c>
      <c r="AE57" s="5">
        <f t="shared" ref="AE57:AE95" ca="1" si="20">IFERROR(SUMIF($K$6:$U$6,AE$10,INDEX($K$7:$U$16,MATCH($Y57,$G$7:$G$16,1),1)),0)*($X57-$X56)*$C$3+AE56</f>
        <v>750</v>
      </c>
      <c r="AF57" s="5">
        <f t="shared" ref="AF57:AF95" ca="1" si="21">IFERROR(SUMIF($K$6:$U$6,AF$10,INDEX($K$7:$U$16,MATCH($Y57,$G$7:$G$16,1),1)),0)*($X57-$X56)*$C$3+AF56</f>
        <v>375</v>
      </c>
      <c r="AG57" s="79">
        <f ca="1">AC57+Z57*活动投放!$D$32</f>
        <v>15</v>
      </c>
      <c r="AH57" s="79">
        <f ca="1">Z57*活动投放!$E$32</f>
        <v>15</v>
      </c>
      <c r="AI57" s="79">
        <f ca="1">AD57+AA57*活动投放!$F$33</f>
        <v>0</v>
      </c>
      <c r="AJ57" s="79">
        <f ca="1">AA57*活动投放!$G$33</f>
        <v>0</v>
      </c>
      <c r="AK57" s="79">
        <f ca="1">AB57*活动投放!$H$34</f>
        <v>0</v>
      </c>
      <c r="AL57" s="79">
        <f ca="1">AB57*活动投放!$I$34</f>
        <v>0</v>
      </c>
      <c r="AN57" s="29">
        <f t="shared" si="14"/>
        <v>45</v>
      </c>
      <c r="AO57" s="101">
        <f ca="1">IFERROR(AE57/活动投放!AA57,0)</f>
        <v>1.5</v>
      </c>
      <c r="AP57" s="101">
        <f ca="1">IFERROR(AF57/活动投放!AB57,0)</f>
        <v>1.25</v>
      </c>
      <c r="AQ57" s="101">
        <f ca="1">IFERROR(AG57/活动投放!AC57,0)</f>
        <v>6</v>
      </c>
      <c r="AR57" s="101">
        <f ca="1">IFERROR(AH57/活动投放!AD57,0)</f>
        <v>6</v>
      </c>
      <c r="AS57" s="101">
        <f ca="1">IFERROR(AI57/活动投放!AE57,0)</f>
        <v>0</v>
      </c>
      <c r="AT57" s="101">
        <f ca="1">IFERROR(AJ57/活动投放!AF57,0)</f>
        <v>0</v>
      </c>
      <c r="AU57" s="101">
        <f ca="1">IFERROR(AK57/活动投放!AG57,0)</f>
        <v>0</v>
      </c>
      <c r="AV57" s="101">
        <f ca="1">IFERROR(AL57/活动投放!AH57,0)</f>
        <v>0</v>
      </c>
    </row>
    <row r="58" spans="24:48" x14ac:dyDescent="0.15">
      <c r="X58" s="29">
        <f>基础状态预估!C58</f>
        <v>60</v>
      </c>
      <c r="Y58" s="46">
        <f>基础状态预估!D58</f>
        <v>61.330461663183208</v>
      </c>
      <c r="Z58" s="5">
        <f t="shared" ca="1" si="15"/>
        <v>45</v>
      </c>
      <c r="AA58" s="5">
        <f t="shared" ca="1" si="16"/>
        <v>0</v>
      </c>
      <c r="AB58" s="5">
        <f t="shared" ca="1" si="17"/>
        <v>0</v>
      </c>
      <c r="AC58" s="5">
        <f t="shared" ca="1" si="18"/>
        <v>0</v>
      </c>
      <c r="AD58" s="5">
        <f t="shared" ca="1" si="19"/>
        <v>0</v>
      </c>
      <c r="AE58" s="5">
        <f t="shared" ca="1" si="20"/>
        <v>1200</v>
      </c>
      <c r="AF58" s="5">
        <f t="shared" ca="1" si="21"/>
        <v>600</v>
      </c>
      <c r="AG58" s="79">
        <f ca="1">AC58+Z58*活动投放!$D$32</f>
        <v>22.5</v>
      </c>
      <c r="AH58" s="79">
        <f ca="1">Z58*活动投放!$E$32</f>
        <v>22.5</v>
      </c>
      <c r="AI58" s="79">
        <f ca="1">AD58+AA58*活动投放!$F$33</f>
        <v>0</v>
      </c>
      <c r="AJ58" s="79">
        <f ca="1">AA58*活动投放!$G$33</f>
        <v>0</v>
      </c>
      <c r="AK58" s="79">
        <f ca="1">AB58*活动投放!$H$34</f>
        <v>0</v>
      </c>
      <c r="AL58" s="79">
        <f ca="1">AB58*活动投放!$I$34</f>
        <v>0</v>
      </c>
      <c r="AN58" s="29">
        <f t="shared" si="14"/>
        <v>60</v>
      </c>
      <c r="AO58" s="101">
        <f ca="1">IFERROR(AE58/活动投放!AA58,0)</f>
        <v>1.3333333333333333</v>
      </c>
      <c r="AP58" s="101">
        <f ca="1">IFERROR(AF58/活动投放!AB58,0)</f>
        <v>1.0909090909090908</v>
      </c>
      <c r="AQ58" s="101">
        <f ca="1">IFERROR(AG58/活动投放!AC58,0)</f>
        <v>5.625</v>
      </c>
      <c r="AR58" s="101">
        <f ca="1">IFERROR(AH58/活动投放!AD58,0)</f>
        <v>5.625</v>
      </c>
      <c r="AS58" s="101">
        <f ca="1">IFERROR(AI58/活动投放!AE58,0)</f>
        <v>0</v>
      </c>
      <c r="AT58" s="101">
        <f ca="1">IFERROR(AJ58/活动投放!AF58,0)</f>
        <v>0</v>
      </c>
      <c r="AU58" s="101">
        <f ca="1">IFERROR(AK58/活动投放!AG58,0)</f>
        <v>0</v>
      </c>
      <c r="AV58" s="101">
        <f ca="1">IFERROR(AL58/活动投放!AH58,0)</f>
        <v>0</v>
      </c>
    </row>
    <row r="59" spans="24:48" x14ac:dyDescent="0.15">
      <c r="X59" s="29">
        <f>基础状态预估!C59</f>
        <v>75</v>
      </c>
      <c r="Y59" s="46">
        <f>基础状态预估!D59</f>
        <v>64.495279642868965</v>
      </c>
      <c r="Z59" s="5">
        <f t="shared" ca="1" si="15"/>
        <v>52.5</v>
      </c>
      <c r="AA59" s="5">
        <f t="shared" ca="1" si="16"/>
        <v>7.5</v>
      </c>
      <c r="AB59" s="5">
        <f t="shared" ca="1" si="17"/>
        <v>0</v>
      </c>
      <c r="AC59" s="5">
        <f t="shared" ca="1" si="18"/>
        <v>15</v>
      </c>
      <c r="AD59" s="5">
        <f t="shared" ca="1" si="19"/>
        <v>0</v>
      </c>
      <c r="AE59" s="5">
        <f t="shared" ca="1" si="20"/>
        <v>1800</v>
      </c>
      <c r="AF59" s="5">
        <f t="shared" ca="1" si="21"/>
        <v>900</v>
      </c>
      <c r="AG59" s="79">
        <f ca="1">AC59+Z59*活动投放!$D$32</f>
        <v>41.25</v>
      </c>
      <c r="AH59" s="79">
        <f ca="1">Z59*活动投放!$E$32</f>
        <v>26.25</v>
      </c>
      <c r="AI59" s="79">
        <f ca="1">AD59+AA59*活动投放!$F$33</f>
        <v>5.25</v>
      </c>
      <c r="AJ59" s="79">
        <f ca="1">AA59*活动投放!$G$33</f>
        <v>2.25</v>
      </c>
      <c r="AK59" s="79">
        <f ca="1">AB59*活动投放!$H$34</f>
        <v>0</v>
      </c>
      <c r="AL59" s="79">
        <f ca="1">AB59*活动投放!$I$34</f>
        <v>0</v>
      </c>
      <c r="AN59" s="29">
        <f t="shared" si="14"/>
        <v>75</v>
      </c>
      <c r="AO59" s="101">
        <f ca="1">IFERROR(AE59/活动投放!AA59,0)</f>
        <v>1.2857142857142858</v>
      </c>
      <c r="AP59" s="101">
        <f ca="1">IFERROR(AF59/活动投放!AB59,0)</f>
        <v>1.0588235294117647</v>
      </c>
      <c r="AQ59" s="101">
        <f ca="1">IFERROR(AG59/活动投放!AC59,0)</f>
        <v>7.5</v>
      </c>
      <c r="AR59" s="101">
        <f ca="1">IFERROR(AH59/活动投放!AD59,0)</f>
        <v>4.7727272727272725</v>
      </c>
      <c r="AS59" s="101">
        <f ca="1">IFERROR(AI59/活动投放!AE59,0)</f>
        <v>2.5000000000000004</v>
      </c>
      <c r="AT59" s="101">
        <f ca="1">IFERROR(AJ59/活动投放!AF59,0)</f>
        <v>2.5000000000000004</v>
      </c>
      <c r="AU59" s="101">
        <f ca="1">IFERROR(AK59/活动投放!AG59,0)</f>
        <v>0</v>
      </c>
      <c r="AV59" s="101">
        <f ca="1">IFERROR(AL59/活动投放!AH59,0)</f>
        <v>0</v>
      </c>
    </row>
    <row r="60" spans="24:48" x14ac:dyDescent="0.15">
      <c r="X60" s="29">
        <f>基础状态预估!C60</f>
        <v>90</v>
      </c>
      <c r="Y60" s="46">
        <f>基础状态预估!D60</f>
        <v>67.083433628014333</v>
      </c>
      <c r="Z60" s="5">
        <f t="shared" ca="1" si="15"/>
        <v>60</v>
      </c>
      <c r="AA60" s="5">
        <f t="shared" ca="1" si="16"/>
        <v>15</v>
      </c>
      <c r="AB60" s="5">
        <f t="shared" ca="1" si="17"/>
        <v>0</v>
      </c>
      <c r="AC60" s="5">
        <f t="shared" ca="1" si="18"/>
        <v>30</v>
      </c>
      <c r="AD60" s="5">
        <f t="shared" ca="1" si="19"/>
        <v>0</v>
      </c>
      <c r="AE60" s="5">
        <f t="shared" ca="1" si="20"/>
        <v>2400</v>
      </c>
      <c r="AF60" s="5">
        <f t="shared" ca="1" si="21"/>
        <v>1200</v>
      </c>
      <c r="AG60" s="79">
        <f ca="1">AC60+Z60*活动投放!$D$32</f>
        <v>60</v>
      </c>
      <c r="AH60" s="79">
        <f ca="1">Z60*活动投放!$E$32</f>
        <v>30</v>
      </c>
      <c r="AI60" s="79">
        <f ca="1">AD60+AA60*活动投放!$F$33</f>
        <v>10.5</v>
      </c>
      <c r="AJ60" s="79">
        <f ca="1">AA60*活动投放!$G$33</f>
        <v>4.5</v>
      </c>
      <c r="AK60" s="79">
        <f ca="1">AB60*活动投放!$H$34</f>
        <v>0</v>
      </c>
      <c r="AL60" s="79">
        <f ca="1">AB60*活动投放!$I$34</f>
        <v>0</v>
      </c>
      <c r="AN60" s="29">
        <f t="shared" si="14"/>
        <v>90</v>
      </c>
      <c r="AO60" s="101">
        <f ca="1">IFERROR(AE60/活动投放!AA60,0)</f>
        <v>1.263157894736842</v>
      </c>
      <c r="AP60" s="101">
        <f ca="1">IFERROR(AF60/活动投放!AB60,0)</f>
        <v>1.0434782608695652</v>
      </c>
      <c r="AQ60" s="101">
        <f ca="1">IFERROR(AG60/活动投放!AC60,0)</f>
        <v>8.5714285714285712</v>
      </c>
      <c r="AR60" s="101">
        <f ca="1">IFERROR(AH60/活动投放!AD60,0)</f>
        <v>4.2857142857142856</v>
      </c>
      <c r="AS60" s="101">
        <f ca="1">IFERROR(AI60/活动投放!AE60,0)</f>
        <v>3</v>
      </c>
      <c r="AT60" s="101">
        <f ca="1">IFERROR(AJ60/活动投放!AF60,0)</f>
        <v>3</v>
      </c>
      <c r="AU60" s="101">
        <f ca="1">IFERROR(AK60/活动投放!AG60,0)</f>
        <v>0</v>
      </c>
      <c r="AV60" s="101">
        <f ca="1">IFERROR(AL60/活动投放!AH60,0)</f>
        <v>0</v>
      </c>
    </row>
    <row r="61" spans="24:48" x14ac:dyDescent="0.15">
      <c r="X61" s="29">
        <f>基础状态预估!C61</f>
        <v>105</v>
      </c>
      <c r="Y61" s="46">
        <f>基础状态预估!D61</f>
        <v>69.333680194119751</v>
      </c>
      <c r="Z61" s="5">
        <f t="shared" ca="1" si="15"/>
        <v>67.5</v>
      </c>
      <c r="AA61" s="5">
        <f t="shared" ca="1" si="16"/>
        <v>22.5</v>
      </c>
      <c r="AB61" s="5">
        <f t="shared" ca="1" si="17"/>
        <v>0</v>
      </c>
      <c r="AC61" s="5">
        <f t="shared" ca="1" si="18"/>
        <v>45</v>
      </c>
      <c r="AD61" s="5">
        <f t="shared" ca="1" si="19"/>
        <v>0</v>
      </c>
      <c r="AE61" s="5">
        <f t="shared" ca="1" si="20"/>
        <v>3000</v>
      </c>
      <c r="AF61" s="5">
        <f t="shared" ca="1" si="21"/>
        <v>1500</v>
      </c>
      <c r="AG61" s="79">
        <f ca="1">AC61+Z61*活动投放!$D$32</f>
        <v>78.75</v>
      </c>
      <c r="AH61" s="79">
        <f ca="1">Z61*活动投放!$E$32</f>
        <v>33.75</v>
      </c>
      <c r="AI61" s="79">
        <f ca="1">AD61+AA61*活动投放!$F$33</f>
        <v>15.749999999999998</v>
      </c>
      <c r="AJ61" s="79">
        <f ca="1">AA61*活动投放!$G$33</f>
        <v>6.75</v>
      </c>
      <c r="AK61" s="79">
        <f ca="1">AB61*活动投放!$H$34</f>
        <v>0</v>
      </c>
      <c r="AL61" s="79">
        <f ca="1">AB61*活动投放!$I$34</f>
        <v>0</v>
      </c>
      <c r="AN61" s="29">
        <f t="shared" si="14"/>
        <v>105</v>
      </c>
      <c r="AO61" s="101">
        <f ca="1">IFERROR(AE61/活动投放!AA61,0)</f>
        <v>1.2</v>
      </c>
      <c r="AP61" s="101">
        <f ca="1">IFERROR(AF61/活动投放!AB61,0)</f>
        <v>0.967741935483871</v>
      </c>
      <c r="AQ61" s="101">
        <f ca="1">IFERROR(AG61/活动投放!AC61,0)</f>
        <v>9.264705882352942</v>
      </c>
      <c r="AR61" s="101">
        <f ca="1">IFERROR(AH61/活动投放!AD61,0)</f>
        <v>3.9705882352941178</v>
      </c>
      <c r="AS61" s="101">
        <f ca="1">IFERROR(AI61/活动投放!AE61,0)</f>
        <v>2.8125</v>
      </c>
      <c r="AT61" s="101">
        <f ca="1">IFERROR(AJ61/活动投放!AF61,0)</f>
        <v>2.8125</v>
      </c>
      <c r="AU61" s="101">
        <f ca="1">IFERROR(AK61/活动投放!AG61,0)</f>
        <v>0</v>
      </c>
      <c r="AV61" s="101">
        <f ca="1">IFERROR(AL61/活动投放!AH61,0)</f>
        <v>0</v>
      </c>
    </row>
    <row r="62" spans="24:48" x14ac:dyDescent="0.15">
      <c r="X62" s="29">
        <f>基础状态预估!C62</f>
        <v>120</v>
      </c>
      <c r="Y62" s="46">
        <f>基础状态预估!D62</f>
        <v>71.230067506391322</v>
      </c>
      <c r="Z62" s="5">
        <f t="shared" ca="1" si="15"/>
        <v>75</v>
      </c>
      <c r="AA62" s="5">
        <f t="shared" ca="1" si="16"/>
        <v>30</v>
      </c>
      <c r="AB62" s="5">
        <f t="shared" ca="1" si="17"/>
        <v>0</v>
      </c>
      <c r="AC62" s="5">
        <f t="shared" ca="1" si="18"/>
        <v>60</v>
      </c>
      <c r="AD62" s="5">
        <f t="shared" ca="1" si="19"/>
        <v>0</v>
      </c>
      <c r="AE62" s="5">
        <f t="shared" ca="1" si="20"/>
        <v>3600</v>
      </c>
      <c r="AF62" s="5">
        <f t="shared" ca="1" si="21"/>
        <v>1800</v>
      </c>
      <c r="AG62" s="79">
        <f ca="1">AC62+Z62*活动投放!$D$32</f>
        <v>97.5</v>
      </c>
      <c r="AH62" s="79">
        <f ca="1">Z62*活动投放!$E$32</f>
        <v>37.5</v>
      </c>
      <c r="AI62" s="79">
        <f ca="1">AD62+AA62*活动投放!$F$33</f>
        <v>21</v>
      </c>
      <c r="AJ62" s="79">
        <f ca="1">AA62*活动投放!$G$33</f>
        <v>9</v>
      </c>
      <c r="AK62" s="79">
        <f ca="1">AB62*活动投放!$H$34</f>
        <v>0</v>
      </c>
      <c r="AL62" s="79">
        <f ca="1">AB62*活动投放!$I$34</f>
        <v>0</v>
      </c>
      <c r="AN62" s="29">
        <f t="shared" si="14"/>
        <v>120</v>
      </c>
      <c r="AO62" s="101">
        <f ca="1">IFERROR(AE62/活动投放!AA62,0)</f>
        <v>1.1612903225806452</v>
      </c>
      <c r="AP62" s="101">
        <f ca="1">IFERROR(AF62/活动投放!AB62,0)</f>
        <v>0.92307692307692313</v>
      </c>
      <c r="AQ62" s="101">
        <f ca="1">IFERROR(AG62/活动投放!AC62,0)</f>
        <v>9.75</v>
      </c>
      <c r="AR62" s="101">
        <f ca="1">IFERROR(AH62/活动投放!AD62,0)</f>
        <v>3.75</v>
      </c>
      <c r="AS62" s="101">
        <f ca="1">IFERROR(AI62/活动投放!AE62,0)</f>
        <v>2.7272727272727275</v>
      </c>
      <c r="AT62" s="101">
        <f ca="1">IFERROR(AJ62/活动投放!AF62,0)</f>
        <v>2.7272727272727275</v>
      </c>
      <c r="AU62" s="101">
        <f ca="1">IFERROR(AK62/活动投放!AG62,0)</f>
        <v>0</v>
      </c>
      <c r="AV62" s="101">
        <f ca="1">IFERROR(AL62/活动投放!AH62,0)</f>
        <v>0</v>
      </c>
    </row>
    <row r="63" spans="24:48" x14ac:dyDescent="0.15">
      <c r="X63" s="29">
        <f>基础状态预估!C63</f>
        <v>150</v>
      </c>
      <c r="Y63" s="46">
        <f>基础状态预估!D63</f>
        <v>74.456724480300707</v>
      </c>
      <c r="Z63" s="5">
        <f t="shared" ca="1" si="15"/>
        <v>75</v>
      </c>
      <c r="AA63" s="5">
        <f t="shared" ca="1" si="16"/>
        <v>60</v>
      </c>
      <c r="AB63" s="5">
        <f t="shared" ca="1" si="17"/>
        <v>0</v>
      </c>
      <c r="AC63" s="5">
        <f t="shared" ca="1" si="18"/>
        <v>90</v>
      </c>
      <c r="AD63" s="5">
        <f t="shared" ca="1" si="19"/>
        <v>0</v>
      </c>
      <c r="AE63" s="5">
        <f t="shared" ca="1" si="20"/>
        <v>5100</v>
      </c>
      <c r="AF63" s="5">
        <f t="shared" ca="1" si="21"/>
        <v>2550</v>
      </c>
      <c r="AG63" s="79">
        <f ca="1">AC63+Z63*活动投放!$D$32</f>
        <v>127.5</v>
      </c>
      <c r="AH63" s="79">
        <f ca="1">Z63*活动投放!$E$32</f>
        <v>37.5</v>
      </c>
      <c r="AI63" s="79">
        <f ca="1">AD63+AA63*活动投放!$F$33</f>
        <v>42</v>
      </c>
      <c r="AJ63" s="79">
        <f ca="1">AA63*活动投放!$G$33</f>
        <v>18</v>
      </c>
      <c r="AK63" s="79">
        <f ca="1">AB63*活动投放!$H$34</f>
        <v>0</v>
      </c>
      <c r="AL63" s="79">
        <f ca="1">AB63*活动投放!$I$34</f>
        <v>0</v>
      </c>
      <c r="AN63" s="29">
        <f t="shared" si="14"/>
        <v>150</v>
      </c>
      <c r="AO63" s="101">
        <f ca="1">IFERROR(AE63/活动投放!AA63,0)</f>
        <v>1.1333333333333333</v>
      </c>
      <c r="AP63" s="101">
        <f ca="1">IFERROR(AF63/活动投放!AB63,0)</f>
        <v>0.89473684210526316</v>
      </c>
      <c r="AQ63" s="101">
        <f ca="1">IFERROR(AG63/活动投放!AC63,0)</f>
        <v>9.8076923076923084</v>
      </c>
      <c r="AR63" s="101">
        <f ca="1">IFERROR(AH63/活动投放!AD63,0)</f>
        <v>2.8846153846153846</v>
      </c>
      <c r="AS63" s="101">
        <f ca="1">IFERROR(AI63/活动投放!AE63,0)</f>
        <v>3.1578947368421053</v>
      </c>
      <c r="AT63" s="101">
        <f ca="1">IFERROR(AJ63/活动投放!AF63,0)</f>
        <v>3.1578947368421053</v>
      </c>
      <c r="AU63" s="101">
        <f ca="1">IFERROR(AK63/活动投放!AG63,0)</f>
        <v>0</v>
      </c>
      <c r="AV63" s="101">
        <f ca="1">IFERROR(AL63/活动投放!AH63,0)</f>
        <v>0</v>
      </c>
    </row>
    <row r="64" spans="24:48" x14ac:dyDescent="0.15">
      <c r="X64" s="29">
        <f>基础状态预估!C64</f>
        <v>180</v>
      </c>
      <c r="Y64" s="46">
        <f>基础状态预估!D64</f>
        <v>77.06778397927944</v>
      </c>
      <c r="Z64" s="5">
        <f t="shared" ca="1" si="15"/>
        <v>75</v>
      </c>
      <c r="AA64" s="5">
        <f t="shared" ca="1" si="16"/>
        <v>90</v>
      </c>
      <c r="AB64" s="5">
        <f t="shared" ca="1" si="17"/>
        <v>0</v>
      </c>
      <c r="AC64" s="5">
        <f t="shared" ca="1" si="18"/>
        <v>120</v>
      </c>
      <c r="AD64" s="5">
        <f t="shared" ca="1" si="19"/>
        <v>0</v>
      </c>
      <c r="AE64" s="5">
        <f t="shared" ca="1" si="20"/>
        <v>6600</v>
      </c>
      <c r="AF64" s="5">
        <f t="shared" ca="1" si="21"/>
        <v>3300</v>
      </c>
      <c r="AG64" s="79">
        <f ca="1">AC64+Z64*活动投放!$D$32</f>
        <v>157.5</v>
      </c>
      <c r="AH64" s="79">
        <f ca="1">Z64*活动投放!$E$32</f>
        <v>37.5</v>
      </c>
      <c r="AI64" s="79">
        <f ca="1">AD64+AA64*活动投放!$F$33</f>
        <v>62.999999999999993</v>
      </c>
      <c r="AJ64" s="79">
        <f ca="1">AA64*活动投放!$G$33</f>
        <v>27</v>
      </c>
      <c r="AK64" s="79">
        <f ca="1">AB64*活动投放!$H$34</f>
        <v>0</v>
      </c>
      <c r="AL64" s="79">
        <f ca="1">AB64*活动投放!$I$34</f>
        <v>0</v>
      </c>
      <c r="AN64" s="29">
        <f t="shared" si="14"/>
        <v>180</v>
      </c>
      <c r="AO64" s="101">
        <f ca="1">IFERROR(AE64/活动投放!AA64,0)</f>
        <v>1.0819672131147542</v>
      </c>
      <c r="AP64" s="101">
        <f ca="1">IFERROR(AF64/活动投放!AB64,0)</f>
        <v>0.8571428571428571</v>
      </c>
      <c r="AQ64" s="101">
        <f ca="1">IFERROR(AG64/活动投放!AC64,0)</f>
        <v>9.84375</v>
      </c>
      <c r="AR64" s="101">
        <f ca="1">IFERROR(AH64/活动投放!AD64,0)</f>
        <v>2.34375</v>
      </c>
      <c r="AS64" s="101">
        <f ca="1">IFERROR(AI64/活动投放!AE64,0)</f>
        <v>3.103448275862069</v>
      </c>
      <c r="AT64" s="101">
        <f ca="1">IFERROR(AJ64/活动投放!AF64,0)</f>
        <v>3.1034482758620694</v>
      </c>
      <c r="AU64" s="101">
        <f ca="1">IFERROR(AK64/活动投放!AG64,0)</f>
        <v>0</v>
      </c>
      <c r="AV64" s="101">
        <f ca="1">IFERROR(AL64/活动投放!AH64,0)</f>
        <v>0</v>
      </c>
    </row>
    <row r="65" spans="24:48" x14ac:dyDescent="0.15">
      <c r="X65" s="29">
        <f>基础状态预估!C65</f>
        <v>210</v>
      </c>
      <c r="Y65" s="46">
        <f>基础状态预估!D65</f>
        <v>79.261304112721092</v>
      </c>
      <c r="Z65" s="5">
        <f t="shared" ca="1" si="15"/>
        <v>75</v>
      </c>
      <c r="AA65" s="5">
        <f t="shared" ca="1" si="16"/>
        <v>120</v>
      </c>
      <c r="AB65" s="5">
        <f t="shared" ca="1" si="17"/>
        <v>0</v>
      </c>
      <c r="AC65" s="5">
        <f t="shared" ca="1" si="18"/>
        <v>150</v>
      </c>
      <c r="AD65" s="5">
        <f t="shared" ca="1" si="19"/>
        <v>0</v>
      </c>
      <c r="AE65" s="5">
        <f t="shared" ca="1" si="20"/>
        <v>8100</v>
      </c>
      <c r="AF65" s="5">
        <f t="shared" ca="1" si="21"/>
        <v>4050</v>
      </c>
      <c r="AG65" s="79">
        <f ca="1">AC65+Z65*活动投放!$D$32</f>
        <v>187.5</v>
      </c>
      <c r="AH65" s="79">
        <f ca="1">Z65*活动投放!$E$32</f>
        <v>37.5</v>
      </c>
      <c r="AI65" s="79">
        <f ca="1">AD65+AA65*活动投放!$F$33</f>
        <v>84</v>
      </c>
      <c r="AJ65" s="79">
        <f ca="1">AA65*活动投放!$G$33</f>
        <v>36</v>
      </c>
      <c r="AK65" s="79">
        <f ca="1">AB65*活动投放!$H$34</f>
        <v>0</v>
      </c>
      <c r="AL65" s="79">
        <f ca="1">AB65*活动投放!$I$34</f>
        <v>0</v>
      </c>
      <c r="AN65" s="29">
        <f t="shared" si="14"/>
        <v>210</v>
      </c>
      <c r="AO65" s="101">
        <f ca="1">IFERROR(AE65/活动投放!AA65,0)</f>
        <v>1.051948051948052</v>
      </c>
      <c r="AP65" s="101">
        <f ca="1">IFERROR(AF65/活动投放!AB65,0)</f>
        <v>0.83505154639175261</v>
      </c>
      <c r="AQ65" s="101">
        <f ca="1">IFERROR(AG65/活动投放!AC65,0)</f>
        <v>9.8684210526315788</v>
      </c>
      <c r="AR65" s="101">
        <f ca="1">IFERROR(AH65/活动投放!AD65,0)</f>
        <v>1.9736842105263157</v>
      </c>
      <c r="AS65" s="101">
        <f ca="1">IFERROR(AI65/活动投放!AE65,0)</f>
        <v>3.0769230769230771</v>
      </c>
      <c r="AT65" s="101">
        <f ca="1">IFERROR(AJ65/活动投放!AF65,0)</f>
        <v>3.0769230769230771</v>
      </c>
      <c r="AU65" s="101">
        <f ca="1">IFERROR(AK65/活动投放!AG65,0)</f>
        <v>0</v>
      </c>
      <c r="AV65" s="101">
        <f ca="1">IFERROR(AL65/活动投放!AH65,0)</f>
        <v>0</v>
      </c>
    </row>
    <row r="66" spans="24:48" x14ac:dyDescent="0.15">
      <c r="X66" s="29">
        <f>基础状态预估!C66</f>
        <v>240</v>
      </c>
      <c r="Y66" s="46">
        <f>基础状态预估!D66</f>
        <v>81.216820623674849</v>
      </c>
      <c r="Z66" s="5">
        <f t="shared" ca="1" si="15"/>
        <v>75</v>
      </c>
      <c r="AA66" s="5">
        <f t="shared" ca="1" si="16"/>
        <v>150</v>
      </c>
      <c r="AB66" s="5">
        <f t="shared" ca="1" si="17"/>
        <v>0</v>
      </c>
      <c r="AC66" s="5">
        <f t="shared" ca="1" si="18"/>
        <v>180</v>
      </c>
      <c r="AD66" s="5">
        <f t="shared" ca="1" si="19"/>
        <v>0</v>
      </c>
      <c r="AE66" s="5">
        <f t="shared" ca="1" si="20"/>
        <v>9600</v>
      </c>
      <c r="AF66" s="5">
        <f t="shared" ca="1" si="21"/>
        <v>4800</v>
      </c>
      <c r="AG66" s="79">
        <f ca="1">AC66+Z66*活动投放!$D$32</f>
        <v>217.5</v>
      </c>
      <c r="AH66" s="79">
        <f ca="1">Z66*活动投放!$E$32</f>
        <v>37.5</v>
      </c>
      <c r="AI66" s="79">
        <f ca="1">AD66+AA66*活动投放!$F$33</f>
        <v>105</v>
      </c>
      <c r="AJ66" s="79">
        <f ca="1">AA66*活动投放!$G$33</f>
        <v>45</v>
      </c>
      <c r="AK66" s="79">
        <f ca="1">AB66*活动投放!$H$34</f>
        <v>0</v>
      </c>
      <c r="AL66" s="79">
        <f ca="1">AB66*活动投放!$I$34</f>
        <v>0</v>
      </c>
      <c r="AN66" s="29">
        <f t="shared" si="14"/>
        <v>240</v>
      </c>
      <c r="AO66" s="101">
        <f ca="1">IFERROR(AE66/活动投放!AA66,0)</f>
        <v>1.0105263157894737</v>
      </c>
      <c r="AP66" s="101">
        <f ca="1">IFERROR(AF66/活动投放!AB66,0)</f>
        <v>0.79338842975206614</v>
      </c>
      <c r="AQ66" s="101">
        <f ca="1">IFERROR(AG66/活动投放!AC66,0)</f>
        <v>9.8863636363636367</v>
      </c>
      <c r="AR66" s="101">
        <f ca="1">IFERROR(AH66/活动投放!AD66,0)</f>
        <v>1.7045454545454546</v>
      </c>
      <c r="AS66" s="101">
        <f ca="1">IFERROR(AI66/活动投放!AE66,0)</f>
        <v>3.0612244897959187</v>
      </c>
      <c r="AT66" s="101">
        <f ca="1">IFERROR(AJ66/活动投放!AF66,0)</f>
        <v>3.0612244897959187</v>
      </c>
      <c r="AU66" s="101">
        <f ca="1">IFERROR(AK66/活动投放!AG66,0)</f>
        <v>0</v>
      </c>
      <c r="AV66" s="101">
        <f ca="1">IFERROR(AL66/活动投放!AH66,0)</f>
        <v>0</v>
      </c>
    </row>
    <row r="67" spans="24:48" x14ac:dyDescent="0.15">
      <c r="X67" s="29">
        <f>基础状态预估!C67</f>
        <v>270</v>
      </c>
      <c r="Y67" s="46">
        <f>基础状态预估!D67</f>
        <v>82.916268958926821</v>
      </c>
      <c r="Z67" s="5">
        <f t="shared" ca="1" si="15"/>
        <v>75</v>
      </c>
      <c r="AA67" s="5">
        <f t="shared" ca="1" si="16"/>
        <v>177</v>
      </c>
      <c r="AB67" s="5">
        <f t="shared" ca="1" si="17"/>
        <v>3</v>
      </c>
      <c r="AC67" s="5">
        <f t="shared" ca="1" si="18"/>
        <v>180</v>
      </c>
      <c r="AD67" s="5">
        <f t="shared" ca="1" si="19"/>
        <v>30</v>
      </c>
      <c r="AE67" s="5">
        <f t="shared" ca="1" si="20"/>
        <v>11400</v>
      </c>
      <c r="AF67" s="5">
        <f t="shared" ca="1" si="21"/>
        <v>5700</v>
      </c>
      <c r="AG67" s="79">
        <f ca="1">AC67+Z67*活动投放!$D$32</f>
        <v>217.5</v>
      </c>
      <c r="AH67" s="79">
        <f ca="1">Z67*活动投放!$E$32</f>
        <v>37.5</v>
      </c>
      <c r="AI67" s="79">
        <f ca="1">AD67+AA67*活动投放!$F$33</f>
        <v>153.89999999999998</v>
      </c>
      <c r="AJ67" s="79">
        <f ca="1">AA67*活动投放!$G$33</f>
        <v>53.1</v>
      </c>
      <c r="AK67" s="79">
        <f ca="1">AB67*活动投放!$H$34</f>
        <v>2.7</v>
      </c>
      <c r="AL67" s="79">
        <f ca="1">AB67*活动投放!$I$34</f>
        <v>0.30000000000000004</v>
      </c>
      <c r="AN67" s="29">
        <f t="shared" si="14"/>
        <v>270</v>
      </c>
      <c r="AO67" s="101">
        <f ca="1">IFERROR(AE67/活动投放!AA67,0)</f>
        <v>1.0088495575221239</v>
      </c>
      <c r="AP67" s="101">
        <f ca="1">IFERROR(AF67/活动投放!AB67,0)</f>
        <v>0.78620689655172415</v>
      </c>
      <c r="AQ67" s="101">
        <f ca="1">IFERROR(AG67/活动投放!AC67,0)</f>
        <v>8.6999999999999993</v>
      </c>
      <c r="AR67" s="101">
        <f ca="1">IFERROR(AH67/活动投放!AD67,0)</f>
        <v>1.5</v>
      </c>
      <c r="AS67" s="101">
        <f ca="1">IFERROR(AI67/活动投放!AE67,0)</f>
        <v>3.7263922518159802</v>
      </c>
      <c r="AT67" s="101">
        <f ca="1">IFERROR(AJ67/活动投放!AF67,0)</f>
        <v>3</v>
      </c>
      <c r="AU67" s="101">
        <f ca="1">IFERROR(AK67/活动投放!AG67,0)</f>
        <v>0.75</v>
      </c>
      <c r="AV67" s="101">
        <f ca="1">IFERROR(AL67/活动投放!AH67,0)</f>
        <v>0.75000000000000011</v>
      </c>
    </row>
    <row r="68" spans="24:48" x14ac:dyDescent="0.15">
      <c r="X68" s="29">
        <f>基础状态预估!C68</f>
        <v>300</v>
      </c>
      <c r="Y68" s="46">
        <f>基础状态预估!D68</f>
        <v>84.427173250438543</v>
      </c>
      <c r="Z68" s="5">
        <f t="shared" ca="1" si="15"/>
        <v>75</v>
      </c>
      <c r="AA68" s="5">
        <f t="shared" ca="1" si="16"/>
        <v>204</v>
      </c>
      <c r="AB68" s="5">
        <f t="shared" ca="1" si="17"/>
        <v>6</v>
      </c>
      <c r="AC68" s="5">
        <f t="shared" ca="1" si="18"/>
        <v>180</v>
      </c>
      <c r="AD68" s="5">
        <f t="shared" ca="1" si="19"/>
        <v>60</v>
      </c>
      <c r="AE68" s="5">
        <f t="shared" ca="1" si="20"/>
        <v>13200</v>
      </c>
      <c r="AF68" s="5">
        <f t="shared" ca="1" si="21"/>
        <v>6600</v>
      </c>
      <c r="AG68" s="79">
        <f ca="1">AC68+Z68*活动投放!$D$32</f>
        <v>217.5</v>
      </c>
      <c r="AH68" s="79">
        <f ca="1">Z68*活动投放!$E$32</f>
        <v>37.5</v>
      </c>
      <c r="AI68" s="79">
        <f ca="1">AD68+AA68*活动投放!$F$33</f>
        <v>202.79999999999998</v>
      </c>
      <c r="AJ68" s="79">
        <f ca="1">AA68*活动投放!$G$33</f>
        <v>61.199999999999996</v>
      </c>
      <c r="AK68" s="79">
        <f ca="1">AB68*活动投放!$H$34</f>
        <v>5.4</v>
      </c>
      <c r="AL68" s="79">
        <f ca="1">AB68*活动投放!$I$34</f>
        <v>0.60000000000000009</v>
      </c>
      <c r="AN68" s="29">
        <f t="shared" si="14"/>
        <v>300</v>
      </c>
      <c r="AO68" s="101">
        <f ca="1">IFERROR(AE68/活动投放!AA68,0)</f>
        <v>0.99248120300751874</v>
      </c>
      <c r="AP68" s="101">
        <f ca="1">IFERROR(AF68/活动投放!AB68,0)</f>
        <v>0.77192982456140347</v>
      </c>
      <c r="AQ68" s="101">
        <f ca="1">IFERROR(AG68/活动投放!AC68,0)</f>
        <v>7.7678571428571432</v>
      </c>
      <c r="AR68" s="101">
        <f ca="1">IFERROR(AH68/活动投放!AD68,0)</f>
        <v>1.3392857142857142</v>
      </c>
      <c r="AS68" s="101">
        <f ca="1">IFERROR(AI68/活动投放!AE68,0)</f>
        <v>4.1987577639751548</v>
      </c>
      <c r="AT68" s="101">
        <f ca="1">IFERROR(AJ68/活动投放!AF68,0)</f>
        <v>2.9565217391304346</v>
      </c>
      <c r="AU68" s="101">
        <f ca="1">IFERROR(AK68/活动投放!AG68,0)</f>
        <v>0.75</v>
      </c>
      <c r="AV68" s="101">
        <f ca="1">IFERROR(AL68/活动投放!AH68,0)</f>
        <v>0.75000000000000011</v>
      </c>
    </row>
    <row r="69" spans="24:48" x14ac:dyDescent="0.15">
      <c r="X69" s="29">
        <f>基础状态预估!C69</f>
        <v>360</v>
      </c>
      <c r="Y69" s="46">
        <f>基础状态预估!D69</f>
        <v>87.064762367263285</v>
      </c>
      <c r="Z69" s="5">
        <f t="shared" ca="1" si="15"/>
        <v>75</v>
      </c>
      <c r="AA69" s="5">
        <f t="shared" ca="1" si="16"/>
        <v>252</v>
      </c>
      <c r="AB69" s="5">
        <f t="shared" ca="1" si="17"/>
        <v>18</v>
      </c>
      <c r="AC69" s="5">
        <f t="shared" ca="1" si="18"/>
        <v>180</v>
      </c>
      <c r="AD69" s="5">
        <f t="shared" ca="1" si="19"/>
        <v>120</v>
      </c>
      <c r="AE69" s="5">
        <f t="shared" ca="1" si="20"/>
        <v>17400</v>
      </c>
      <c r="AF69" s="5">
        <f t="shared" ca="1" si="21"/>
        <v>8700</v>
      </c>
      <c r="AG69" s="79">
        <f ca="1">AC69+Z69*活动投放!$D$32</f>
        <v>217.5</v>
      </c>
      <c r="AH69" s="79">
        <f ca="1">Z69*活动投放!$E$32</f>
        <v>37.5</v>
      </c>
      <c r="AI69" s="79">
        <f ca="1">AD69+AA69*活动投放!$F$33</f>
        <v>296.39999999999998</v>
      </c>
      <c r="AJ69" s="79">
        <f ca="1">AA69*活动投放!$G$33</f>
        <v>75.599999999999994</v>
      </c>
      <c r="AK69" s="79">
        <f ca="1">AB69*活动投放!$H$34</f>
        <v>16.2</v>
      </c>
      <c r="AL69" s="79">
        <f ca="1">AB69*活动投放!$I$34</f>
        <v>1.8</v>
      </c>
      <c r="AN69" s="29">
        <f t="shared" si="14"/>
        <v>360</v>
      </c>
      <c r="AO69" s="101">
        <f ca="1">IFERROR(AE69/活动投放!AA69,0)</f>
        <v>0.98305084745762716</v>
      </c>
      <c r="AP69" s="101">
        <f ca="1">IFERROR(AF69/活动投放!AB69,0)</f>
        <v>0.76651982378854622</v>
      </c>
      <c r="AQ69" s="101">
        <f ca="1">IFERROR(AG69/活动投放!AC69,0)</f>
        <v>6.3970588235294121</v>
      </c>
      <c r="AR69" s="101">
        <f ca="1">IFERROR(AH69/活动投放!AD69,0)</f>
        <v>1.1029411764705883</v>
      </c>
      <c r="AS69" s="101">
        <f ca="1">IFERROR(AI69/活动投放!AE69,0)</f>
        <v>4.757624398073836</v>
      </c>
      <c r="AT69" s="101">
        <f ca="1">IFERROR(AJ69/活动投放!AF69,0)</f>
        <v>2.8314606741573032</v>
      </c>
      <c r="AU69" s="101">
        <f ca="1">IFERROR(AK69/活动投放!AG69,0)</f>
        <v>0.89999999999999991</v>
      </c>
      <c r="AV69" s="101">
        <f ca="1">IFERROR(AL69/活动投放!AH69,0)</f>
        <v>0.9</v>
      </c>
    </row>
    <row r="70" spans="24:48" x14ac:dyDescent="0.15">
      <c r="X70" s="29">
        <f>基础状态预估!C70</f>
        <v>420</v>
      </c>
      <c r="Y70" s="46">
        <f>基础状态预估!D70</f>
        <v>89.311817863093353</v>
      </c>
      <c r="Z70" s="5">
        <f t="shared" ca="1" si="15"/>
        <v>75</v>
      </c>
      <c r="AA70" s="5">
        <f t="shared" ca="1" si="16"/>
        <v>300</v>
      </c>
      <c r="AB70" s="5">
        <f t="shared" ca="1" si="17"/>
        <v>30</v>
      </c>
      <c r="AC70" s="5">
        <f t="shared" ca="1" si="18"/>
        <v>180</v>
      </c>
      <c r="AD70" s="5">
        <f t="shared" ca="1" si="19"/>
        <v>180</v>
      </c>
      <c r="AE70" s="5">
        <f t="shared" ca="1" si="20"/>
        <v>21600</v>
      </c>
      <c r="AF70" s="5">
        <f t="shared" ca="1" si="21"/>
        <v>10800</v>
      </c>
      <c r="AG70" s="79">
        <f ca="1">AC70+Z70*活动投放!$D$32</f>
        <v>217.5</v>
      </c>
      <c r="AH70" s="79">
        <f ca="1">Z70*活动投放!$E$32</f>
        <v>37.5</v>
      </c>
      <c r="AI70" s="79">
        <f ca="1">AD70+AA70*活动投放!$F$33</f>
        <v>390</v>
      </c>
      <c r="AJ70" s="79">
        <f ca="1">AA70*活动投放!$G$33</f>
        <v>90</v>
      </c>
      <c r="AK70" s="79">
        <f ca="1">AB70*活动投放!$H$34</f>
        <v>27</v>
      </c>
      <c r="AL70" s="79">
        <f ca="1">AB70*活动投放!$I$34</f>
        <v>3</v>
      </c>
      <c r="AN70" s="29">
        <f t="shared" si="14"/>
        <v>420</v>
      </c>
      <c r="AO70" s="101">
        <f ca="1">IFERROR(AE70/活动投放!AA70,0)</f>
        <v>0.96</v>
      </c>
      <c r="AP70" s="101">
        <f ca="1">IFERROR(AF70/活动投放!AB70,0)</f>
        <v>0.74226804123711343</v>
      </c>
      <c r="AQ70" s="101">
        <f ca="1">IFERROR(AG70/活动投放!AC70,0)</f>
        <v>5.4375</v>
      </c>
      <c r="AR70" s="101">
        <f ca="1">IFERROR(AH70/活动投放!AD70,0)</f>
        <v>0.9375</v>
      </c>
      <c r="AS70" s="101">
        <f ca="1">IFERROR(AI70/活动投放!AE70,0)</f>
        <v>5.1114023591087809</v>
      </c>
      <c r="AT70" s="101">
        <f ca="1">IFERROR(AJ70/活动投放!AF70,0)</f>
        <v>2.7522935779816518</v>
      </c>
      <c r="AU70" s="101">
        <f ca="1">IFERROR(AK70/活动投放!AG70,0)</f>
        <v>0.83333333333333337</v>
      </c>
      <c r="AV70" s="101">
        <f ca="1">IFERROR(AL70/活动投放!AH70,0)</f>
        <v>0.83333333333333326</v>
      </c>
    </row>
    <row r="71" spans="24:48" x14ac:dyDescent="0.15">
      <c r="X71" s="29">
        <f>基础状态预估!C71</f>
        <v>480</v>
      </c>
      <c r="Y71" s="46">
        <f>基础状态预估!D71</f>
        <v>91.317295791340641</v>
      </c>
      <c r="Z71" s="5">
        <f t="shared" ca="1" si="15"/>
        <v>75</v>
      </c>
      <c r="AA71" s="5">
        <f t="shared" ca="1" si="16"/>
        <v>342</v>
      </c>
      <c r="AB71" s="5">
        <f t="shared" ca="1" si="17"/>
        <v>48</v>
      </c>
      <c r="AC71" s="5">
        <f t="shared" ca="1" si="18"/>
        <v>180</v>
      </c>
      <c r="AD71" s="5">
        <f t="shared" ca="1" si="19"/>
        <v>240</v>
      </c>
      <c r="AE71" s="5">
        <f t="shared" ca="1" si="20"/>
        <v>26400</v>
      </c>
      <c r="AF71" s="5">
        <f t="shared" ca="1" si="21"/>
        <v>13200</v>
      </c>
      <c r="AG71" s="79">
        <f ca="1">AC71+Z71*活动投放!$D$32</f>
        <v>217.5</v>
      </c>
      <c r="AH71" s="79">
        <f ca="1">Z71*活动投放!$E$32</f>
        <v>37.5</v>
      </c>
      <c r="AI71" s="79">
        <f ca="1">AD71+AA71*活动投放!$F$33</f>
        <v>479.4</v>
      </c>
      <c r="AJ71" s="79">
        <f ca="1">AA71*活动投放!$G$33</f>
        <v>102.6</v>
      </c>
      <c r="AK71" s="79">
        <f ca="1">AB71*活动投放!$H$34</f>
        <v>43.2</v>
      </c>
      <c r="AL71" s="79">
        <f ca="1">AB71*活动投放!$I$34</f>
        <v>4.8000000000000007</v>
      </c>
      <c r="AN71" s="29">
        <f t="shared" si="14"/>
        <v>480</v>
      </c>
      <c r="AO71" s="101">
        <f ca="1">IFERROR(AE71/活动投放!AA71,0)</f>
        <v>0.95306859205776173</v>
      </c>
      <c r="AP71" s="101">
        <f ca="1">IFERROR(AF71/活动投放!AB71,0)</f>
        <v>0.73537604456824512</v>
      </c>
      <c r="AQ71" s="101">
        <f ca="1">IFERROR(AG71/活动投放!AC71,0)</f>
        <v>4.7282608695652177</v>
      </c>
      <c r="AR71" s="101">
        <f ca="1">IFERROR(AH71/活动投放!AD71,0)</f>
        <v>0.81521739130434778</v>
      </c>
      <c r="AS71" s="101">
        <f ca="1">IFERROR(AI71/活动投放!AE71,0)</f>
        <v>5.308970099667774</v>
      </c>
      <c r="AT71" s="101">
        <f ca="1">IFERROR(AJ71/活动投放!AF71,0)</f>
        <v>2.6511627906976747</v>
      </c>
      <c r="AU71" s="101">
        <f ca="1">IFERROR(AK71/活动投放!AG71,0)</f>
        <v>0.85714285714285721</v>
      </c>
      <c r="AV71" s="101">
        <f ca="1">IFERROR(AL71/活动投放!AH71,0)</f>
        <v>0.85714285714285721</v>
      </c>
    </row>
    <row r="72" spans="24:48" x14ac:dyDescent="0.15">
      <c r="X72" s="29">
        <f>基础状态预估!C72</f>
        <v>540</v>
      </c>
      <c r="Y72" s="46">
        <f>基础状态预估!D72</f>
        <v>93.043666179806593</v>
      </c>
      <c r="Z72" s="5">
        <f t="shared" ca="1" si="15"/>
        <v>75</v>
      </c>
      <c r="AA72" s="5">
        <f t="shared" ca="1" si="16"/>
        <v>384</v>
      </c>
      <c r="AB72" s="5">
        <f t="shared" ca="1" si="17"/>
        <v>66</v>
      </c>
      <c r="AC72" s="5">
        <f t="shared" ca="1" si="18"/>
        <v>180</v>
      </c>
      <c r="AD72" s="5">
        <f t="shared" ca="1" si="19"/>
        <v>300</v>
      </c>
      <c r="AE72" s="5">
        <f t="shared" ca="1" si="20"/>
        <v>31200</v>
      </c>
      <c r="AF72" s="5">
        <f t="shared" ca="1" si="21"/>
        <v>15600</v>
      </c>
      <c r="AG72" s="79">
        <f ca="1">AC72+Z72*活动投放!$D$32</f>
        <v>217.5</v>
      </c>
      <c r="AH72" s="79">
        <f ca="1">Z72*活动投放!$E$32</f>
        <v>37.5</v>
      </c>
      <c r="AI72" s="79">
        <f ca="1">AD72+AA72*活动投放!$F$33</f>
        <v>568.79999999999995</v>
      </c>
      <c r="AJ72" s="79">
        <f ca="1">AA72*活动投放!$G$33</f>
        <v>115.19999999999999</v>
      </c>
      <c r="AK72" s="79">
        <f ca="1">AB72*活动投放!$H$34</f>
        <v>59.4</v>
      </c>
      <c r="AL72" s="79">
        <f ca="1">AB72*活动投放!$I$34</f>
        <v>6.6000000000000005</v>
      </c>
      <c r="AN72" s="29">
        <f t="shared" si="14"/>
        <v>540</v>
      </c>
      <c r="AO72" s="101">
        <f ca="1">IFERROR(AE72/活动投放!AA72,0)</f>
        <v>0.93693693693693691</v>
      </c>
      <c r="AP72" s="101">
        <f ca="1">IFERROR(AF72/活动投放!AB72,0)</f>
        <v>0.72389791183294661</v>
      </c>
      <c r="AQ72" s="101">
        <f ca="1">IFERROR(AG72/活动投放!AC72,0)</f>
        <v>4.1826923076923075</v>
      </c>
      <c r="AR72" s="101">
        <f ca="1">IFERROR(AH72/活动投放!AD72,0)</f>
        <v>0.72115384615384615</v>
      </c>
      <c r="AS72" s="101">
        <f ca="1">IFERROR(AI72/活动投放!AE72,0)</f>
        <v>5.4534995206136143</v>
      </c>
      <c r="AT72" s="101">
        <f ca="1">IFERROR(AJ72/活动投放!AF72,0)</f>
        <v>2.5771812080536911</v>
      </c>
      <c r="AU72" s="101">
        <f ca="1">IFERROR(AK72/活动投放!AG72,0)</f>
        <v>0.82499999999999996</v>
      </c>
      <c r="AV72" s="101">
        <f ca="1">IFERROR(AL72/活动投放!AH72,0)</f>
        <v>0.82500000000000007</v>
      </c>
    </row>
    <row r="73" spans="24:48" x14ac:dyDescent="0.15">
      <c r="X73" s="29">
        <f>基础状态预估!C73</f>
        <v>600</v>
      </c>
      <c r="Y73" s="46">
        <f>基础状态预估!D73</f>
        <v>94.566182978175902</v>
      </c>
      <c r="Z73" s="5">
        <f t="shared" ca="1" si="15"/>
        <v>75</v>
      </c>
      <c r="AA73" s="5">
        <f t="shared" ca="1" si="16"/>
        <v>420</v>
      </c>
      <c r="AB73" s="5">
        <f t="shared" ca="1" si="17"/>
        <v>90</v>
      </c>
      <c r="AC73" s="5">
        <f t="shared" ca="1" si="18"/>
        <v>180</v>
      </c>
      <c r="AD73" s="5">
        <f t="shared" ca="1" si="19"/>
        <v>360</v>
      </c>
      <c r="AE73" s="5">
        <f t="shared" ca="1" si="20"/>
        <v>36600</v>
      </c>
      <c r="AF73" s="5">
        <f t="shared" ca="1" si="21"/>
        <v>18600</v>
      </c>
      <c r="AG73" s="79">
        <f ca="1">AC73+Z73*活动投放!$D$32</f>
        <v>217.5</v>
      </c>
      <c r="AH73" s="79">
        <f ca="1">Z73*活动投放!$E$32</f>
        <v>37.5</v>
      </c>
      <c r="AI73" s="79">
        <f ca="1">AD73+AA73*活动投放!$F$33</f>
        <v>654</v>
      </c>
      <c r="AJ73" s="79">
        <f ca="1">AA73*活动投放!$G$33</f>
        <v>126</v>
      </c>
      <c r="AK73" s="79">
        <f ca="1">AB73*活动投放!$H$34</f>
        <v>81</v>
      </c>
      <c r="AL73" s="79">
        <f ca="1">AB73*活动投放!$I$34</f>
        <v>9</v>
      </c>
      <c r="AN73" s="29">
        <f t="shared" si="14"/>
        <v>600</v>
      </c>
      <c r="AO73" s="101">
        <f ca="1">IFERROR(AE73/活动投放!AA73,0)</f>
        <v>0.94087403598971719</v>
      </c>
      <c r="AP73" s="101">
        <f ca="1">IFERROR(AF73/活动投放!AB73,0)</f>
        <v>0.73956262425447317</v>
      </c>
      <c r="AQ73" s="101">
        <f ca="1">IFERROR(AG73/活动投放!AC73,0)</f>
        <v>3.75</v>
      </c>
      <c r="AR73" s="101">
        <f ca="1">IFERROR(AH73/活动投放!AD73,0)</f>
        <v>0.64655172413793105</v>
      </c>
      <c r="AS73" s="101">
        <f ca="1">IFERROR(AI73/活动投放!AE73,0)</f>
        <v>5.5283178360101441</v>
      </c>
      <c r="AT73" s="101">
        <f ca="1">IFERROR(AJ73/活动投放!AF73,0)</f>
        <v>2.4852071005917162</v>
      </c>
      <c r="AU73" s="101">
        <f ca="1">IFERROR(AK73/活动投放!AG73,0)</f>
        <v>0.86538461538461531</v>
      </c>
      <c r="AV73" s="101">
        <f ca="1">IFERROR(AL73/活动投放!AH73,0)</f>
        <v>0.86538461538461531</v>
      </c>
    </row>
    <row r="74" spans="24:48" x14ac:dyDescent="0.15">
      <c r="X74" s="29">
        <f>基础状态预估!C74</f>
        <v>660</v>
      </c>
      <c r="Y74" s="46">
        <f>基础状态预估!D74</f>
        <v>95.975804150655222</v>
      </c>
      <c r="Z74" s="5">
        <f t="shared" ca="1" si="15"/>
        <v>75</v>
      </c>
      <c r="AA74" s="5">
        <f t="shared" ca="1" si="16"/>
        <v>456</v>
      </c>
      <c r="AB74" s="5">
        <f t="shared" ca="1" si="17"/>
        <v>114</v>
      </c>
      <c r="AC74" s="5">
        <f t="shared" ca="1" si="18"/>
        <v>180</v>
      </c>
      <c r="AD74" s="5">
        <f t="shared" ca="1" si="19"/>
        <v>420</v>
      </c>
      <c r="AE74" s="5">
        <f t="shared" ca="1" si="20"/>
        <v>42000</v>
      </c>
      <c r="AF74" s="5">
        <f t="shared" ca="1" si="21"/>
        <v>21600</v>
      </c>
      <c r="AG74" s="79">
        <f ca="1">AC74+Z74*活动投放!$D$32</f>
        <v>217.5</v>
      </c>
      <c r="AH74" s="79">
        <f ca="1">Z74*活动投放!$E$32</f>
        <v>37.5</v>
      </c>
      <c r="AI74" s="79">
        <f ca="1">AD74+AA74*活动投放!$F$33</f>
        <v>739.2</v>
      </c>
      <c r="AJ74" s="79">
        <f ca="1">AA74*活动投放!$G$33</f>
        <v>136.79999999999998</v>
      </c>
      <c r="AK74" s="79">
        <f ca="1">AB74*活动投放!$H$34</f>
        <v>102.60000000000001</v>
      </c>
      <c r="AL74" s="79">
        <f ca="1">AB74*活动投放!$I$34</f>
        <v>11.4</v>
      </c>
      <c r="AN74" s="29">
        <f t="shared" si="14"/>
        <v>660</v>
      </c>
      <c r="AO74" s="101">
        <f ca="1">IFERROR(AE74/活动投放!AA74,0)</f>
        <v>0.93541202672605794</v>
      </c>
      <c r="AP74" s="101">
        <f ca="1">IFERROR(AF74/活动投放!AB74,0)</f>
        <v>0.74099485420240141</v>
      </c>
      <c r="AQ74" s="101">
        <f ca="1">IFERROR(AG74/活动投放!AC74,0)</f>
        <v>3.3984375</v>
      </c>
      <c r="AR74" s="101">
        <f ca="1">IFERROR(AH74/活动投放!AD74,0)</f>
        <v>0.5859375</v>
      </c>
      <c r="AS74" s="101">
        <f ca="1">IFERROR(AI74/活动投放!AE74,0)</f>
        <v>5.5873015873015888</v>
      </c>
      <c r="AT74" s="101">
        <f ca="1">IFERROR(AJ74/活动投放!AF74,0)</f>
        <v>2.4126984126984126</v>
      </c>
      <c r="AU74" s="101">
        <f ca="1">IFERROR(AK74/活动投放!AG74,0)</f>
        <v>0.86363636363636376</v>
      </c>
      <c r="AV74" s="101">
        <f ca="1">IFERROR(AL74/活动投放!AH74,0)</f>
        <v>0.86363636363636365</v>
      </c>
    </row>
    <row r="75" spans="24:48" x14ac:dyDescent="0.15">
      <c r="X75" s="29">
        <f>基础状态预估!C75</f>
        <v>720</v>
      </c>
      <c r="Y75" s="46">
        <f>基础状态预估!D75</f>
        <v>97.233430615704805</v>
      </c>
      <c r="Z75" s="5">
        <f t="shared" ca="1" si="15"/>
        <v>75</v>
      </c>
      <c r="AA75" s="5">
        <f t="shared" ca="1" si="16"/>
        <v>492</v>
      </c>
      <c r="AB75" s="5">
        <f t="shared" ca="1" si="17"/>
        <v>138</v>
      </c>
      <c r="AC75" s="5">
        <f t="shared" ca="1" si="18"/>
        <v>180</v>
      </c>
      <c r="AD75" s="5">
        <f t="shared" ca="1" si="19"/>
        <v>480</v>
      </c>
      <c r="AE75" s="5">
        <f t="shared" ca="1" si="20"/>
        <v>47400</v>
      </c>
      <c r="AF75" s="5">
        <f t="shared" ca="1" si="21"/>
        <v>24600</v>
      </c>
      <c r="AG75" s="79">
        <f ca="1">AC75+Z75*活动投放!$D$32</f>
        <v>217.5</v>
      </c>
      <c r="AH75" s="79">
        <f ca="1">Z75*活动投放!$E$32</f>
        <v>37.5</v>
      </c>
      <c r="AI75" s="79">
        <f ca="1">AD75+AA75*活动投放!$F$33</f>
        <v>824.4</v>
      </c>
      <c r="AJ75" s="79">
        <f ca="1">AA75*活动投放!$G$33</f>
        <v>147.6</v>
      </c>
      <c r="AK75" s="79">
        <f ca="1">AB75*活动投放!$H$34</f>
        <v>124.2</v>
      </c>
      <c r="AL75" s="79">
        <f ca="1">AB75*活动投放!$I$34</f>
        <v>13.8</v>
      </c>
      <c r="AN75" s="29">
        <f t="shared" si="14"/>
        <v>720</v>
      </c>
      <c r="AO75" s="101">
        <f ca="1">IFERROR(AE75/活动投放!AA75,0)</f>
        <v>0.93123772102161095</v>
      </c>
      <c r="AP75" s="101">
        <f ca="1">IFERROR(AF75/活动投放!AB75,0)</f>
        <v>0.74208144796380093</v>
      </c>
      <c r="AQ75" s="101">
        <f ca="1">IFERROR(AG75/活动投放!AC75,0)</f>
        <v>3.1071428571428572</v>
      </c>
      <c r="AR75" s="101">
        <f ca="1">IFERROR(AH75/活动投放!AD75,0)</f>
        <v>0.5357142857142857</v>
      </c>
      <c r="AS75" s="101">
        <f ca="1">IFERROR(AI75/活动投放!AE75,0)</f>
        <v>5.6349965823650043</v>
      </c>
      <c r="AT75" s="101">
        <f ca="1">IFERROR(AJ75/活动投放!AF75,0)</f>
        <v>2.3540669856459329</v>
      </c>
      <c r="AU75" s="101">
        <f ca="1">IFERROR(AK75/活动投放!AG75,0)</f>
        <v>0.86250000000000004</v>
      </c>
      <c r="AV75" s="101">
        <f ca="1">IFERROR(AL75/活动投放!AH75,0)</f>
        <v>0.86250000000000004</v>
      </c>
    </row>
    <row r="76" spans="24:48" x14ac:dyDescent="0.15">
      <c r="X76" s="29">
        <f>基础状态预估!C76</f>
        <v>780</v>
      </c>
      <c r="Y76" s="46">
        <f>基础状态预估!D76</f>
        <v>98.349886009806795</v>
      </c>
      <c r="Z76" s="5">
        <f t="shared" ca="1" si="15"/>
        <v>75</v>
      </c>
      <c r="AA76" s="5">
        <f t="shared" ca="1" si="16"/>
        <v>528</v>
      </c>
      <c r="AB76" s="5">
        <f t="shared" ca="1" si="17"/>
        <v>162</v>
      </c>
      <c r="AC76" s="5">
        <f t="shared" ca="1" si="18"/>
        <v>180</v>
      </c>
      <c r="AD76" s="5">
        <f t="shared" ca="1" si="19"/>
        <v>540</v>
      </c>
      <c r="AE76" s="5">
        <f t="shared" ca="1" si="20"/>
        <v>52800</v>
      </c>
      <c r="AF76" s="5">
        <f t="shared" ca="1" si="21"/>
        <v>27600</v>
      </c>
      <c r="AG76" s="79">
        <f ca="1">AC76+Z76*活动投放!$D$32</f>
        <v>217.5</v>
      </c>
      <c r="AH76" s="79">
        <f ca="1">Z76*活动投放!$E$32</f>
        <v>37.5</v>
      </c>
      <c r="AI76" s="79">
        <f ca="1">AD76+AA76*活动投放!$F$33</f>
        <v>909.59999999999991</v>
      </c>
      <c r="AJ76" s="79">
        <f ca="1">AA76*活动投放!$G$33</f>
        <v>158.4</v>
      </c>
      <c r="AK76" s="79">
        <f ca="1">AB76*活动投放!$H$34</f>
        <v>145.80000000000001</v>
      </c>
      <c r="AL76" s="79">
        <f ca="1">AB76*活动投放!$I$34</f>
        <v>16.2</v>
      </c>
      <c r="AN76" s="29">
        <f t="shared" si="14"/>
        <v>780</v>
      </c>
      <c r="AO76" s="101">
        <f ca="1">IFERROR(AE76/活动投放!AA76,0)</f>
        <v>0.92794376098418274</v>
      </c>
      <c r="AP76" s="101">
        <f ca="1">IFERROR(AF76/活动投放!AB76,0)</f>
        <v>0.74293405114401079</v>
      </c>
      <c r="AQ76" s="101">
        <f ca="1">IFERROR(AG76/活动投放!AC76,0)</f>
        <v>2.861842105263158</v>
      </c>
      <c r="AR76" s="101">
        <f ca="1">IFERROR(AH76/活动投放!AD76,0)</f>
        <v>0.49342105263157893</v>
      </c>
      <c r="AS76" s="101">
        <f ca="1">IFERROR(AI76/活动投放!AE76,0)</f>
        <v>5.6743605739238925</v>
      </c>
      <c r="AT76" s="101">
        <f ca="1">IFERROR(AJ76/活动投放!AF76,0)</f>
        <v>2.3056768558951966</v>
      </c>
      <c r="AU76" s="101">
        <f ca="1">IFERROR(AK76/活动投放!AG76,0)</f>
        <v>0.86170212765957444</v>
      </c>
      <c r="AV76" s="101">
        <f ca="1">IFERROR(AL76/活动投放!AH76,0)</f>
        <v>0.86170212765957444</v>
      </c>
    </row>
    <row r="77" spans="24:48" x14ac:dyDescent="0.15">
      <c r="X77" s="29">
        <f>基础状态预估!C77</f>
        <v>840</v>
      </c>
      <c r="Y77" s="46">
        <f>基础状态预估!D77</f>
        <v>99.398994483715043</v>
      </c>
      <c r="Z77" s="5">
        <f t="shared" ca="1" si="15"/>
        <v>75</v>
      </c>
      <c r="AA77" s="5">
        <f t="shared" ca="1" si="16"/>
        <v>558</v>
      </c>
      <c r="AB77" s="5">
        <f t="shared" ca="1" si="17"/>
        <v>192</v>
      </c>
      <c r="AC77" s="5">
        <f t="shared" ca="1" si="18"/>
        <v>180</v>
      </c>
      <c r="AD77" s="5">
        <f t="shared" ca="1" si="19"/>
        <v>600</v>
      </c>
      <c r="AE77" s="5">
        <f t="shared" ca="1" si="20"/>
        <v>58800</v>
      </c>
      <c r="AF77" s="5">
        <f t="shared" ca="1" si="21"/>
        <v>31200</v>
      </c>
      <c r="AG77" s="79">
        <f ca="1">AC77+Z77*活动投放!$D$32</f>
        <v>217.5</v>
      </c>
      <c r="AH77" s="79">
        <f ca="1">Z77*活动投放!$E$32</f>
        <v>37.5</v>
      </c>
      <c r="AI77" s="79">
        <f ca="1">AD77+AA77*活动投放!$F$33</f>
        <v>990.59999999999991</v>
      </c>
      <c r="AJ77" s="79">
        <f ca="1">AA77*活动投放!$G$33</f>
        <v>167.4</v>
      </c>
      <c r="AK77" s="79">
        <f ca="1">AB77*活动投放!$H$34</f>
        <v>172.8</v>
      </c>
      <c r="AL77" s="79">
        <f ca="1">AB77*活动投放!$I$34</f>
        <v>19.200000000000003</v>
      </c>
      <c r="AN77" s="29">
        <f t="shared" si="14"/>
        <v>840</v>
      </c>
      <c r="AO77" s="101">
        <f ca="1">IFERROR(AE77/活动投放!AA77,0)</f>
        <v>0.92890995260663511</v>
      </c>
      <c r="AP77" s="101">
        <f ca="1">IFERROR(AF77/活动投放!AB77,0)</f>
        <v>0.75453446191051998</v>
      </c>
      <c r="AQ77" s="101">
        <f ca="1">IFERROR(AG77/活动投放!AC77,0)</f>
        <v>2.6524390243902438</v>
      </c>
      <c r="AR77" s="101">
        <f ca="1">IFERROR(AH77/活动投放!AD77,0)</f>
        <v>0.45731707317073172</v>
      </c>
      <c r="AS77" s="101">
        <f ca="1">IFERROR(AI77/活动投放!AE77,0)</f>
        <v>5.6833046471600692</v>
      </c>
      <c r="AT77" s="101">
        <f ca="1">IFERROR(AJ77/活动投放!AF77,0)</f>
        <v>2.2409638554216866</v>
      </c>
      <c r="AU77" s="101">
        <f ca="1">IFERROR(AK77/活动投放!AG77,0)</f>
        <v>0.8727272727272728</v>
      </c>
      <c r="AV77" s="101">
        <f ca="1">IFERROR(AL77/活动投放!AH77,0)</f>
        <v>0.87272727272727291</v>
      </c>
    </row>
    <row r="78" spans="24:48" x14ac:dyDescent="0.15">
      <c r="X78" s="29">
        <f>基础状态预估!C78</f>
        <v>900</v>
      </c>
      <c r="Y78" s="46">
        <f>基础状态预估!D78</f>
        <v>100.38607135362956</v>
      </c>
      <c r="Z78" s="5">
        <f t="shared" ca="1" si="15"/>
        <v>75</v>
      </c>
      <c r="AA78" s="5">
        <f t="shared" ca="1" si="16"/>
        <v>588</v>
      </c>
      <c r="AB78" s="5">
        <f t="shared" ca="1" si="17"/>
        <v>222</v>
      </c>
      <c r="AC78" s="5">
        <f t="shared" ca="1" si="18"/>
        <v>180</v>
      </c>
      <c r="AD78" s="5">
        <f t="shared" ca="1" si="19"/>
        <v>660</v>
      </c>
      <c r="AE78" s="5">
        <f t="shared" ca="1" si="20"/>
        <v>64800</v>
      </c>
      <c r="AF78" s="5">
        <f t="shared" ca="1" si="21"/>
        <v>34800</v>
      </c>
      <c r="AG78" s="79">
        <f ca="1">AC78+Z78*活动投放!$D$32</f>
        <v>217.5</v>
      </c>
      <c r="AH78" s="79">
        <f ca="1">Z78*活动投放!$E$32</f>
        <v>37.5</v>
      </c>
      <c r="AI78" s="79">
        <f ca="1">AD78+AA78*活动投放!$F$33</f>
        <v>1071.5999999999999</v>
      </c>
      <c r="AJ78" s="79">
        <f ca="1">AA78*活动投放!$G$33</f>
        <v>176.4</v>
      </c>
      <c r="AK78" s="79">
        <f ca="1">AB78*活动投放!$H$34</f>
        <v>199.8</v>
      </c>
      <c r="AL78" s="79">
        <f ca="1">AB78*活动投放!$I$34</f>
        <v>22.200000000000003</v>
      </c>
      <c r="AN78" s="29">
        <f t="shared" si="14"/>
        <v>900</v>
      </c>
      <c r="AO78" s="101">
        <f ca="1">IFERROR(AE78/活动投放!AA78,0)</f>
        <v>0.92969870875179339</v>
      </c>
      <c r="AP78" s="101">
        <f ca="1">IFERROR(AF78/活动投放!AB78,0)</f>
        <v>0.7639956092206367</v>
      </c>
      <c r="AQ78" s="101">
        <f ca="1">IFERROR(AG78/活动投放!AC78,0)</f>
        <v>2.4715909090909092</v>
      </c>
      <c r="AR78" s="101">
        <f ca="1">IFERROR(AH78/活动投放!AD78,0)</f>
        <v>0.42613636363636365</v>
      </c>
      <c r="AS78" s="101">
        <f ca="1">IFERROR(AI78/活动投放!AE78,0)</f>
        <v>5.6909187466808282</v>
      </c>
      <c r="AT78" s="101">
        <f ca="1">IFERROR(AJ78/活动投放!AF78,0)</f>
        <v>2.1858736059479553</v>
      </c>
      <c r="AU78" s="101">
        <f ca="1">IFERROR(AK78/活动投放!AG78,0)</f>
        <v>0.88095238095238093</v>
      </c>
      <c r="AV78" s="101">
        <f ca="1">IFERROR(AL78/活动投放!AH78,0)</f>
        <v>0.88095238095238093</v>
      </c>
    </row>
    <row r="79" spans="24:48" x14ac:dyDescent="0.15">
      <c r="X79" s="29">
        <f>基础状态预估!C79</f>
        <v>1020</v>
      </c>
      <c r="Y79" s="46">
        <f>基础状态预估!D79</f>
        <v>102.22764429032095</v>
      </c>
      <c r="Z79" s="5">
        <f t="shared" ca="1" si="15"/>
        <v>75</v>
      </c>
      <c r="AA79" s="5">
        <f t="shared" ca="1" si="16"/>
        <v>648</v>
      </c>
      <c r="AB79" s="5">
        <f t="shared" ca="1" si="17"/>
        <v>282</v>
      </c>
      <c r="AC79" s="5">
        <f t="shared" ca="1" si="18"/>
        <v>180</v>
      </c>
      <c r="AD79" s="5">
        <f t="shared" ca="1" si="19"/>
        <v>780</v>
      </c>
      <c r="AE79" s="5">
        <f t="shared" ca="1" si="20"/>
        <v>76800</v>
      </c>
      <c r="AF79" s="5">
        <f t="shared" ca="1" si="21"/>
        <v>42000</v>
      </c>
      <c r="AG79" s="79">
        <f ca="1">AC79+Z79*活动投放!$D$32</f>
        <v>217.5</v>
      </c>
      <c r="AH79" s="79">
        <f ca="1">Z79*活动投放!$E$32</f>
        <v>37.5</v>
      </c>
      <c r="AI79" s="79">
        <f ca="1">AD79+AA79*活动投放!$F$33</f>
        <v>1233.5999999999999</v>
      </c>
      <c r="AJ79" s="79">
        <f ca="1">AA79*活动投放!$G$33</f>
        <v>194.4</v>
      </c>
      <c r="AK79" s="79">
        <f ca="1">AB79*活动投放!$H$34</f>
        <v>253.8</v>
      </c>
      <c r="AL79" s="79">
        <f ca="1">AB79*活动投放!$I$34</f>
        <v>28.200000000000003</v>
      </c>
      <c r="AN79" s="29">
        <f t="shared" si="14"/>
        <v>1020</v>
      </c>
      <c r="AO79" s="101">
        <f ca="1">IFERROR(AE79/活动投放!AA79,0)</f>
        <v>0.92196878751500599</v>
      </c>
      <c r="AP79" s="101">
        <f ca="1">IFERROR(AF79/活动投放!AB79,0)</f>
        <v>0.77276908923643051</v>
      </c>
      <c r="AQ79" s="101">
        <f ca="1">IFERROR(AG79/活动投放!AC79,0)</f>
        <v>2.1749999999999998</v>
      </c>
      <c r="AR79" s="101">
        <f ca="1">IFERROR(AH79/活动投放!AD79,0)</f>
        <v>0.375</v>
      </c>
      <c r="AS79" s="101">
        <f ca="1">IFERROR(AI79/活动投放!AE79,0)</f>
        <v>5.7031900138696257</v>
      </c>
      <c r="AT79" s="101">
        <f ca="1">IFERROR(AJ79/活动投放!AF79,0)</f>
        <v>2.0970873786407767</v>
      </c>
      <c r="AU79" s="101">
        <f ca="1">IFERROR(AK79/活动投放!AG79,0)</f>
        <v>0.87037037037037035</v>
      </c>
      <c r="AV79" s="101">
        <f ca="1">IFERROR(AL79/活动投放!AH79,0)</f>
        <v>0.87037037037037046</v>
      </c>
    </row>
    <row r="80" spans="24:48" x14ac:dyDescent="0.15">
      <c r="X80" s="29">
        <f>基础状态预估!C80</f>
        <v>1140</v>
      </c>
      <c r="Y80" s="46">
        <f>基础状态预估!D80</f>
        <v>103.86099440914086</v>
      </c>
      <c r="Z80" s="5">
        <f t="shared" ca="1" si="15"/>
        <v>75</v>
      </c>
      <c r="AA80" s="5">
        <f t="shared" ca="1" si="16"/>
        <v>696</v>
      </c>
      <c r="AB80" s="5">
        <f t="shared" ca="1" si="17"/>
        <v>354</v>
      </c>
      <c r="AC80" s="5">
        <f t="shared" ca="1" si="18"/>
        <v>180</v>
      </c>
      <c r="AD80" s="5">
        <f t="shared" ca="1" si="19"/>
        <v>900</v>
      </c>
      <c r="AE80" s="5">
        <f t="shared" ca="1" si="20"/>
        <v>91200</v>
      </c>
      <c r="AF80" s="5">
        <f t="shared" ca="1" si="21"/>
        <v>50400</v>
      </c>
      <c r="AG80" s="79">
        <f ca="1">AC80+Z80*活动投放!$D$32</f>
        <v>217.5</v>
      </c>
      <c r="AH80" s="79">
        <f ca="1">Z80*活动投放!$E$32</f>
        <v>37.5</v>
      </c>
      <c r="AI80" s="79">
        <f ca="1">AD80+AA80*活动投放!$F$33</f>
        <v>1387.2</v>
      </c>
      <c r="AJ80" s="79">
        <f ca="1">AA80*活动投放!$G$33</f>
        <v>208.79999999999998</v>
      </c>
      <c r="AK80" s="79">
        <f ca="1">AB80*活动投放!$H$34</f>
        <v>318.60000000000002</v>
      </c>
      <c r="AL80" s="79">
        <f ca="1">AB80*活动投放!$I$34</f>
        <v>35.4</v>
      </c>
      <c r="AN80" s="29">
        <f t="shared" si="14"/>
        <v>1140</v>
      </c>
      <c r="AO80" s="101">
        <f ca="1">IFERROR(AE80/活动投放!AA80,0)</f>
        <v>0.94117647058823528</v>
      </c>
      <c r="AP80" s="101">
        <f ca="1">IFERROR(AF80/活动投放!AB80,0)</f>
        <v>0.79809976247030878</v>
      </c>
      <c r="AQ80" s="101">
        <f ca="1">IFERROR(AG80/活动投放!AC80,0)</f>
        <v>1.9419642857142858</v>
      </c>
      <c r="AR80" s="101">
        <f ca="1">IFERROR(AH80/活动投放!AD80,0)</f>
        <v>0.33482142857142855</v>
      </c>
      <c r="AS80" s="101">
        <f ca="1">IFERROR(AI80/活动投放!AE80,0)</f>
        <v>5.6782644289807616</v>
      </c>
      <c r="AT80" s="101">
        <f ca="1">IFERROR(AJ80/活动投放!AF80,0)</f>
        <v>1.9942693409742118</v>
      </c>
      <c r="AU80" s="101">
        <f ca="1">IFERROR(AK80/活动投放!AG80,0)</f>
        <v>0.89393939393939392</v>
      </c>
      <c r="AV80" s="101">
        <f ca="1">IFERROR(AL80/活动投放!AH80,0)</f>
        <v>0.89393939393939392</v>
      </c>
    </row>
    <row r="81" spans="24:48" x14ac:dyDescent="0.15">
      <c r="X81" s="29">
        <f>基础状态预估!C81</f>
        <v>1260</v>
      </c>
      <c r="Y81" s="46">
        <f>基础状态预估!D81</f>
        <v>105.28054430059714</v>
      </c>
      <c r="Z81" s="5">
        <f t="shared" ca="1" si="15"/>
        <v>75</v>
      </c>
      <c r="AA81" s="5">
        <f t="shared" ca="1" si="16"/>
        <v>744</v>
      </c>
      <c r="AB81" s="5">
        <f t="shared" ca="1" si="17"/>
        <v>426</v>
      </c>
      <c r="AC81" s="5">
        <f t="shared" ca="1" si="18"/>
        <v>180</v>
      </c>
      <c r="AD81" s="5">
        <f t="shared" ca="1" si="19"/>
        <v>1020</v>
      </c>
      <c r="AE81" s="5">
        <f t="shared" ca="1" si="20"/>
        <v>105600</v>
      </c>
      <c r="AF81" s="5">
        <f t="shared" ca="1" si="21"/>
        <v>58800</v>
      </c>
      <c r="AG81" s="79">
        <f ca="1">AC81+Z81*活动投放!$D$32</f>
        <v>217.5</v>
      </c>
      <c r="AH81" s="79">
        <f ca="1">Z81*活动投放!$E$32</f>
        <v>37.5</v>
      </c>
      <c r="AI81" s="79">
        <f ca="1">AD81+AA81*活动投放!$F$33</f>
        <v>1540.8</v>
      </c>
      <c r="AJ81" s="79">
        <f ca="1">AA81*活动投放!$G$33</f>
        <v>223.2</v>
      </c>
      <c r="AK81" s="79">
        <f ca="1">AB81*活动投放!$H$34</f>
        <v>383.40000000000003</v>
      </c>
      <c r="AL81" s="79">
        <f ca="1">AB81*活动投放!$I$34</f>
        <v>42.6</v>
      </c>
      <c r="AN81" s="29">
        <f t="shared" si="14"/>
        <v>1260</v>
      </c>
      <c r="AO81" s="101">
        <f ca="1">IFERROR(AE81/活动投放!AA81,0)</f>
        <v>0.94878706199460916</v>
      </c>
      <c r="AP81" s="101">
        <f ca="1">IFERROR(AF81/活动投放!AB81,0)</f>
        <v>0.80824742268041239</v>
      </c>
      <c r="AQ81" s="101">
        <f ca="1">IFERROR(AG81/活动投放!AC81,0)</f>
        <v>1.7540322580645162</v>
      </c>
      <c r="AR81" s="101">
        <f ca="1">IFERROR(AH81/活动投放!AD81,0)</f>
        <v>0.30241935483870969</v>
      </c>
      <c r="AS81" s="101">
        <f ca="1">IFERROR(AI81/活动投放!AE81,0)</f>
        <v>5.6584649283878079</v>
      </c>
      <c r="AT81" s="101">
        <f ca="1">IFERROR(AJ81/活动投放!AF81,0)</f>
        <v>1.9125964010282777</v>
      </c>
      <c r="AU81" s="101">
        <f ca="1">IFERROR(AK81/活动投放!AG81,0)</f>
        <v>0.89495798319327735</v>
      </c>
      <c r="AV81" s="101">
        <f ca="1">IFERROR(AL81/活动投放!AH81,0)</f>
        <v>0.89495798319327735</v>
      </c>
    </row>
    <row r="82" spans="24:48" x14ac:dyDescent="0.15">
      <c r="X82" s="29">
        <f>基础状态预估!C82</f>
        <v>1380</v>
      </c>
      <c r="Y82" s="46">
        <f>基础状态预估!D82</f>
        <v>106.5877808636499</v>
      </c>
      <c r="Z82" s="5">
        <f t="shared" ca="1" si="15"/>
        <v>75</v>
      </c>
      <c r="AA82" s="5">
        <f t="shared" ca="1" si="16"/>
        <v>792</v>
      </c>
      <c r="AB82" s="5">
        <f t="shared" ca="1" si="17"/>
        <v>498</v>
      </c>
      <c r="AC82" s="5">
        <f t="shared" ca="1" si="18"/>
        <v>180</v>
      </c>
      <c r="AD82" s="5">
        <f t="shared" ca="1" si="19"/>
        <v>1140</v>
      </c>
      <c r="AE82" s="5">
        <f t="shared" ca="1" si="20"/>
        <v>120000</v>
      </c>
      <c r="AF82" s="5">
        <f t="shared" ca="1" si="21"/>
        <v>67200</v>
      </c>
      <c r="AG82" s="79">
        <f ca="1">AC82+Z82*活动投放!$D$32</f>
        <v>217.5</v>
      </c>
      <c r="AH82" s="79">
        <f ca="1">Z82*活动投放!$E$32</f>
        <v>37.5</v>
      </c>
      <c r="AI82" s="79">
        <f ca="1">AD82+AA82*活动投放!$F$33</f>
        <v>1694.4</v>
      </c>
      <c r="AJ82" s="79">
        <f ca="1">AA82*活动投放!$G$33</f>
        <v>237.6</v>
      </c>
      <c r="AK82" s="79">
        <f ca="1">AB82*活动投放!$H$34</f>
        <v>448.2</v>
      </c>
      <c r="AL82" s="79">
        <f ca="1">AB82*活动投放!$I$34</f>
        <v>49.800000000000004</v>
      </c>
      <c r="AN82" s="29">
        <f t="shared" si="14"/>
        <v>1380</v>
      </c>
      <c r="AO82" s="101">
        <f ca="1">IFERROR(AE82/活动投放!AA82,0)</f>
        <v>0.95465393794749398</v>
      </c>
      <c r="AP82" s="101">
        <f ca="1">IFERROR(AF82/活动投放!AB82,0)</f>
        <v>0.81602914389799641</v>
      </c>
      <c r="AQ82" s="101">
        <f ca="1">IFERROR(AG82/活动投放!AC82,0)</f>
        <v>1.599264705882353</v>
      </c>
      <c r="AR82" s="101">
        <f ca="1">IFERROR(AH82/活动投放!AD82,0)</f>
        <v>0.27573529411764708</v>
      </c>
      <c r="AS82" s="101">
        <f ca="1">IFERROR(AI82/活动投放!AE82,0)</f>
        <v>5.6423576423576431</v>
      </c>
      <c r="AT82" s="101">
        <f ca="1">IFERROR(AJ82/活动投放!AF82,0)</f>
        <v>1.8461538461538463</v>
      </c>
      <c r="AU82" s="101">
        <f ca="1">IFERROR(AK82/活动投放!AG82,0)</f>
        <v>0.89568345323740994</v>
      </c>
      <c r="AV82" s="101">
        <f ca="1">IFERROR(AL82/活动投放!AH82,0)</f>
        <v>0.89568345323741017</v>
      </c>
    </row>
    <row r="83" spans="24:48" x14ac:dyDescent="0.15">
      <c r="X83" s="29">
        <f>基础状态预估!C83</f>
        <v>1500</v>
      </c>
      <c r="Y83" s="46">
        <f>基础状态预估!D83</f>
        <v>107.79548237561555</v>
      </c>
      <c r="Z83" s="5">
        <f t="shared" ca="1" si="15"/>
        <v>75</v>
      </c>
      <c r="AA83" s="5">
        <f t="shared" ca="1" si="16"/>
        <v>840</v>
      </c>
      <c r="AB83" s="5">
        <f t="shared" ca="1" si="17"/>
        <v>570</v>
      </c>
      <c r="AC83" s="5">
        <f t="shared" ca="1" si="18"/>
        <v>180</v>
      </c>
      <c r="AD83" s="5">
        <f t="shared" ca="1" si="19"/>
        <v>1260</v>
      </c>
      <c r="AE83" s="5">
        <f t="shared" ca="1" si="20"/>
        <v>134400</v>
      </c>
      <c r="AF83" s="5">
        <f t="shared" ca="1" si="21"/>
        <v>75600</v>
      </c>
      <c r="AG83" s="79">
        <f ca="1">AC83+Z83*活动投放!$D$32</f>
        <v>217.5</v>
      </c>
      <c r="AH83" s="79">
        <f ca="1">Z83*活动投放!$E$32</f>
        <v>37.5</v>
      </c>
      <c r="AI83" s="79">
        <f ca="1">AD83+AA83*活动投放!$F$33</f>
        <v>1848</v>
      </c>
      <c r="AJ83" s="79">
        <f ca="1">AA83*活动投放!$G$33</f>
        <v>252</v>
      </c>
      <c r="AK83" s="79">
        <f ca="1">AB83*活动投放!$H$34</f>
        <v>513</v>
      </c>
      <c r="AL83" s="79">
        <f ca="1">AB83*活动投放!$I$34</f>
        <v>57</v>
      </c>
      <c r="AN83" s="29">
        <f t="shared" si="14"/>
        <v>1500</v>
      </c>
      <c r="AO83" s="101">
        <f ca="1">IFERROR(AE83/活动投放!AA83,0)</f>
        <v>0.95386799148332146</v>
      </c>
      <c r="AP83" s="101">
        <f ca="1">IFERROR(AF83/活动投放!AB83,0)</f>
        <v>0.81862479696805635</v>
      </c>
      <c r="AQ83" s="101">
        <f ca="1">IFERROR(AG83/活动投放!AC83,0)</f>
        <v>1.4695945945945945</v>
      </c>
      <c r="AR83" s="101">
        <f ca="1">IFERROR(AH83/活动投放!AD83,0)</f>
        <v>0.2533783783783784</v>
      </c>
      <c r="AS83" s="101">
        <f ca="1">IFERROR(AI83/活动投放!AE83,0)</f>
        <v>5.6289978678038386</v>
      </c>
      <c r="AT83" s="101">
        <f ca="1">IFERROR(AJ83/活动投放!AF83,0)</f>
        <v>1.791044776119403</v>
      </c>
      <c r="AU83" s="101">
        <f ca="1">IFERROR(AK83/活动投放!AG83,0)</f>
        <v>0.8850931677018633</v>
      </c>
      <c r="AV83" s="101">
        <f ca="1">IFERROR(AL83/活动投放!AH83,0)</f>
        <v>0.8850931677018633</v>
      </c>
    </row>
    <row r="84" spans="24:48" x14ac:dyDescent="0.15">
      <c r="X84" s="29">
        <f>基础状态预估!C84</f>
        <v>1800</v>
      </c>
      <c r="Y84" s="46">
        <f>基础状态预估!D84</f>
        <v>110.45909768117225</v>
      </c>
      <c r="Z84" s="5">
        <f t="shared" ca="1" si="15"/>
        <v>75</v>
      </c>
      <c r="AA84" s="5">
        <f t="shared" ca="1" si="16"/>
        <v>960</v>
      </c>
      <c r="AB84" s="5">
        <f t="shared" ca="1" si="17"/>
        <v>750</v>
      </c>
      <c r="AC84" s="5">
        <f t="shared" ca="1" si="18"/>
        <v>180</v>
      </c>
      <c r="AD84" s="5">
        <f t="shared" ca="1" si="19"/>
        <v>1560</v>
      </c>
      <c r="AE84" s="5">
        <f t="shared" ca="1" si="20"/>
        <v>170400</v>
      </c>
      <c r="AF84" s="5">
        <f t="shared" ca="1" si="21"/>
        <v>96600</v>
      </c>
      <c r="AG84" s="79">
        <f ca="1">AC84+Z84*活动投放!$D$32</f>
        <v>217.5</v>
      </c>
      <c r="AH84" s="79">
        <f ca="1">Z84*活动投放!$E$32</f>
        <v>37.5</v>
      </c>
      <c r="AI84" s="79">
        <f ca="1">AD84+AA84*活动投放!$F$33</f>
        <v>2232</v>
      </c>
      <c r="AJ84" s="79">
        <f ca="1">AA84*活动投放!$G$33</f>
        <v>288</v>
      </c>
      <c r="AK84" s="79">
        <f ca="1">AB84*活动投放!$H$34</f>
        <v>675</v>
      </c>
      <c r="AL84" s="79">
        <f ca="1">AB84*活动投放!$I$34</f>
        <v>75</v>
      </c>
      <c r="AN84" s="29">
        <f t="shared" si="14"/>
        <v>1800</v>
      </c>
      <c r="AO84" s="101">
        <f ca="1">IFERROR(AE84/活动投放!AA84,0)</f>
        <v>0.95248742314141976</v>
      </c>
      <c r="AP84" s="101">
        <f ca="1">IFERROR(AF84/活动投放!AB84,0)</f>
        <v>0.82317852577758843</v>
      </c>
      <c r="AQ84" s="101">
        <f ca="1">IFERROR(AG84/活动投放!AC84,0)</f>
        <v>1.2219101123595506</v>
      </c>
      <c r="AR84" s="101">
        <f ca="1">IFERROR(AH84/活动投放!AD84,0)</f>
        <v>0.21067415730337077</v>
      </c>
      <c r="AS84" s="101">
        <f ca="1">IFERROR(AI84/活动投放!AE84,0)</f>
        <v>5.6038162189304552</v>
      </c>
      <c r="AT84" s="101">
        <f ca="1">IFERROR(AJ84/活动投放!AF84,0)</f>
        <v>1.687170474516696</v>
      </c>
      <c r="AU84" s="101">
        <f ca="1">IFERROR(AK84/活动投放!AG84,0)</f>
        <v>0.86805555555555558</v>
      </c>
      <c r="AV84" s="101">
        <f ca="1">IFERROR(AL84/活动投放!AH84,0)</f>
        <v>0.86805555555555547</v>
      </c>
    </row>
    <row r="85" spans="24:48" x14ac:dyDescent="0.15">
      <c r="X85" s="29">
        <f>基础状态预估!C85</f>
        <v>2100</v>
      </c>
      <c r="Y85" s="46">
        <f>基础状态预估!D85</f>
        <v>112.6575750662045</v>
      </c>
      <c r="Z85" s="5">
        <f t="shared" ca="1" si="15"/>
        <v>75</v>
      </c>
      <c r="AA85" s="5">
        <f t="shared" ca="1" si="16"/>
        <v>1080</v>
      </c>
      <c r="AB85" s="5">
        <f t="shared" ca="1" si="17"/>
        <v>930</v>
      </c>
      <c r="AC85" s="5">
        <f t="shared" ca="1" si="18"/>
        <v>180</v>
      </c>
      <c r="AD85" s="5">
        <f t="shared" ca="1" si="19"/>
        <v>1860</v>
      </c>
      <c r="AE85" s="5">
        <f t="shared" ca="1" si="20"/>
        <v>206400</v>
      </c>
      <c r="AF85" s="5">
        <f t="shared" ca="1" si="21"/>
        <v>117600</v>
      </c>
      <c r="AG85" s="79">
        <f ca="1">AC85+Z85*活动投放!$D$32</f>
        <v>217.5</v>
      </c>
      <c r="AH85" s="79">
        <f ca="1">Z85*活动投放!$E$32</f>
        <v>37.5</v>
      </c>
      <c r="AI85" s="79">
        <f ca="1">AD85+AA85*活动投放!$F$33</f>
        <v>2616</v>
      </c>
      <c r="AJ85" s="79">
        <f ca="1">AA85*活动投放!$G$33</f>
        <v>324</v>
      </c>
      <c r="AK85" s="79">
        <f ca="1">AB85*活动投放!$H$34</f>
        <v>837</v>
      </c>
      <c r="AL85" s="79">
        <f ca="1">AB85*活动投放!$I$34</f>
        <v>93</v>
      </c>
      <c r="AN85" s="29">
        <f t="shared" si="14"/>
        <v>2100</v>
      </c>
      <c r="AO85" s="101">
        <f ca="1">IFERROR(AE85/活动投放!AA85,0)</f>
        <v>0.94289629968021926</v>
      </c>
      <c r="AP85" s="101">
        <f ca="1">IFERROR(AF85/活动投放!AB85,0)</f>
        <v>0.82036972445064527</v>
      </c>
      <c r="AQ85" s="101">
        <f ca="1">IFERROR(AG85/活动投放!AC85,0)</f>
        <v>1.0456730769230769</v>
      </c>
      <c r="AR85" s="101">
        <f ca="1">IFERROR(AH85/活动投放!AD85,0)</f>
        <v>0.18028846153846154</v>
      </c>
      <c r="AS85" s="101">
        <f ca="1">IFERROR(AI85/活动投放!AE85,0)</f>
        <v>5.5861627162075598</v>
      </c>
      <c r="AT85" s="101">
        <f ca="1">IFERROR(AJ85/活动投放!AF85,0)</f>
        <v>1.6143497757847534</v>
      </c>
      <c r="AU85" s="101">
        <f ca="1">IFERROR(AK85/活动投放!AG85,0)</f>
        <v>0.84239130434782605</v>
      </c>
      <c r="AV85" s="101">
        <f ca="1">IFERROR(AL85/活动投放!AH85,0)</f>
        <v>0.84239130434782605</v>
      </c>
    </row>
    <row r="86" spans="24:48" x14ac:dyDescent="0.15">
      <c r="X86" s="29">
        <f>基础状态预估!C86</f>
        <v>2400</v>
      </c>
      <c r="Y86" s="46">
        <f>基础状态预估!D86</f>
        <v>114.60231372852645</v>
      </c>
      <c r="Z86" s="5">
        <f t="shared" ca="1" si="15"/>
        <v>75</v>
      </c>
      <c r="AA86" s="5">
        <f t="shared" ca="1" si="16"/>
        <v>1200</v>
      </c>
      <c r="AB86" s="5">
        <f t="shared" ca="1" si="17"/>
        <v>1110</v>
      </c>
      <c r="AC86" s="5">
        <f t="shared" ca="1" si="18"/>
        <v>180</v>
      </c>
      <c r="AD86" s="5">
        <f t="shared" ca="1" si="19"/>
        <v>2160</v>
      </c>
      <c r="AE86" s="5">
        <f t="shared" ca="1" si="20"/>
        <v>242400</v>
      </c>
      <c r="AF86" s="5">
        <f t="shared" ca="1" si="21"/>
        <v>138600</v>
      </c>
      <c r="AG86" s="79">
        <f ca="1">AC86+Z86*活动投放!$D$32</f>
        <v>217.5</v>
      </c>
      <c r="AH86" s="79">
        <f ca="1">Z86*活动投放!$E$32</f>
        <v>37.5</v>
      </c>
      <c r="AI86" s="79">
        <f ca="1">AD86+AA86*活动投放!$F$33</f>
        <v>3000</v>
      </c>
      <c r="AJ86" s="79">
        <f ca="1">AA86*活动投放!$G$33</f>
        <v>360</v>
      </c>
      <c r="AK86" s="79">
        <f ca="1">AB86*活动投放!$H$34</f>
        <v>999</v>
      </c>
      <c r="AL86" s="79">
        <f ca="1">AB86*活动投放!$I$34</f>
        <v>111</v>
      </c>
      <c r="AN86" s="29">
        <f t="shared" si="14"/>
        <v>2400</v>
      </c>
      <c r="AO86" s="101">
        <f ca="1">IFERROR(AE86/活动投放!AA86,0)</f>
        <v>0.9290916059793024</v>
      </c>
      <c r="AP86" s="101">
        <f ca="1">IFERROR(AF86/活动投放!AB86,0)</f>
        <v>0.80887073241902541</v>
      </c>
      <c r="AQ86" s="101">
        <f ca="1">IFERROR(AG86/活动投放!AC86,0)</f>
        <v>0.91386554621848737</v>
      </c>
      <c r="AR86" s="101">
        <f ca="1">IFERROR(AH86/活动投放!AD86,0)</f>
        <v>0.15756302521008403</v>
      </c>
      <c r="AS86" s="101">
        <f ca="1">IFERROR(AI86/活动投放!AE86,0)</f>
        <v>5.573100501579046</v>
      </c>
      <c r="AT86" s="101">
        <f ca="1">IFERROR(AJ86/活动投放!AF86,0)</f>
        <v>1.5604681404421328</v>
      </c>
      <c r="AU86" s="101">
        <f ca="1">IFERROR(AK86/活动投放!AG86,0)</f>
        <v>0.81378299120234598</v>
      </c>
      <c r="AV86" s="101">
        <f ca="1">IFERROR(AL86/活动投放!AH86,0)</f>
        <v>0.81378299120234598</v>
      </c>
    </row>
    <row r="87" spans="24:48" x14ac:dyDescent="0.15">
      <c r="X87" s="29">
        <f>基础状态预估!C87</f>
        <v>2700</v>
      </c>
      <c r="Y87" s="46">
        <f>基础状态预估!D87</f>
        <v>116.33278549477166</v>
      </c>
      <c r="Z87" s="5">
        <f t="shared" ca="1" si="15"/>
        <v>75</v>
      </c>
      <c r="AA87" s="5">
        <f t="shared" ca="1" si="16"/>
        <v>1320</v>
      </c>
      <c r="AB87" s="5">
        <f t="shared" ca="1" si="17"/>
        <v>1290</v>
      </c>
      <c r="AC87" s="5">
        <f t="shared" ca="1" si="18"/>
        <v>180</v>
      </c>
      <c r="AD87" s="5">
        <f t="shared" ca="1" si="19"/>
        <v>2460</v>
      </c>
      <c r="AE87" s="5">
        <f t="shared" ca="1" si="20"/>
        <v>278400</v>
      </c>
      <c r="AF87" s="5">
        <f t="shared" ca="1" si="21"/>
        <v>159600</v>
      </c>
      <c r="AG87" s="79">
        <f ca="1">AC87+Z87*活动投放!$D$32</f>
        <v>217.5</v>
      </c>
      <c r="AH87" s="79">
        <f ca="1">Z87*活动投放!$E$32</f>
        <v>37.5</v>
      </c>
      <c r="AI87" s="79">
        <f ca="1">AD87+AA87*活动投放!$F$33</f>
        <v>3384</v>
      </c>
      <c r="AJ87" s="79">
        <f ca="1">AA87*活动投放!$G$33</f>
        <v>396</v>
      </c>
      <c r="AK87" s="79">
        <f ca="1">AB87*活动投放!$H$34</f>
        <v>1161</v>
      </c>
      <c r="AL87" s="79">
        <f ca="1">AB87*活动投放!$I$34</f>
        <v>129</v>
      </c>
      <c r="AN87" s="29">
        <f t="shared" si="14"/>
        <v>2700</v>
      </c>
      <c r="AO87" s="101">
        <f ca="1">IFERROR(AE87/活动投放!AA87,0)</f>
        <v>0.91911521954440412</v>
      </c>
      <c r="AP87" s="101">
        <f ca="1">IFERROR(AF87/活动投放!AB87,0)</f>
        <v>0.800601956358164</v>
      </c>
      <c r="AQ87" s="101">
        <f ca="1">IFERROR(AG87/活动投放!AC87,0)</f>
        <v>0.81156716417910446</v>
      </c>
      <c r="AR87" s="101">
        <f ca="1">IFERROR(AH87/活动投放!AD87,0)</f>
        <v>0.13992537313432835</v>
      </c>
      <c r="AS87" s="101">
        <f ca="1">IFERROR(AI87/活动投放!AE87,0)</f>
        <v>5.5630445503863228</v>
      </c>
      <c r="AT87" s="101">
        <f ca="1">IFERROR(AJ87/活动投放!AF87,0)</f>
        <v>1.518987341772152</v>
      </c>
      <c r="AU87" s="101">
        <f ca="1">IFERROR(AK87/活动投放!AG87,0)</f>
        <v>0.79433497536945807</v>
      </c>
      <c r="AV87" s="101">
        <f ca="1">IFERROR(AL87/活动投放!AH87,0)</f>
        <v>0.79433497536945807</v>
      </c>
    </row>
    <row r="88" spans="24:48" x14ac:dyDescent="0.15">
      <c r="X88" s="29">
        <f>基础状态预估!C88</f>
        <v>3000</v>
      </c>
      <c r="Y88" s="46">
        <f>基础状态预估!D88</f>
        <v>117.85065637558189</v>
      </c>
      <c r="Z88" s="5">
        <f t="shared" ca="1" si="15"/>
        <v>75</v>
      </c>
      <c r="AA88" s="5">
        <f t="shared" ca="1" si="16"/>
        <v>1440</v>
      </c>
      <c r="AB88" s="5">
        <f t="shared" ca="1" si="17"/>
        <v>1470</v>
      </c>
      <c r="AC88" s="5">
        <f t="shared" ca="1" si="18"/>
        <v>180</v>
      </c>
      <c r="AD88" s="5">
        <f t="shared" ca="1" si="19"/>
        <v>2760</v>
      </c>
      <c r="AE88" s="5">
        <f t="shared" ca="1" si="20"/>
        <v>314400</v>
      </c>
      <c r="AF88" s="5">
        <f t="shared" ca="1" si="21"/>
        <v>180600</v>
      </c>
      <c r="AG88" s="79">
        <f ca="1">AC88+Z88*活动投放!$D$32</f>
        <v>217.5</v>
      </c>
      <c r="AH88" s="79">
        <f ca="1">Z88*活动投放!$E$32</f>
        <v>37.5</v>
      </c>
      <c r="AI88" s="79">
        <f ca="1">AD88+AA88*活动投放!$F$33</f>
        <v>3768</v>
      </c>
      <c r="AJ88" s="79">
        <f ca="1">AA88*活动投放!$G$33</f>
        <v>432</v>
      </c>
      <c r="AK88" s="79">
        <f ca="1">AB88*活动投放!$H$34</f>
        <v>1323</v>
      </c>
      <c r="AL88" s="79">
        <f ca="1">AB88*活动投放!$I$34</f>
        <v>147</v>
      </c>
      <c r="AN88" s="29">
        <f t="shared" si="14"/>
        <v>3000</v>
      </c>
      <c r="AO88" s="101">
        <f ca="1">IFERROR(AE88/活动投放!AA88,0)</f>
        <v>0.91156857060017393</v>
      </c>
      <c r="AP88" s="101">
        <f ca="1">IFERROR(AF88/活动投放!AB88,0)</f>
        <v>0.79436991422916203</v>
      </c>
      <c r="AQ88" s="101">
        <f ca="1">IFERROR(AG88/活动投放!AC88,0)</f>
        <v>0.72986577181208057</v>
      </c>
      <c r="AR88" s="101">
        <f ca="1">IFERROR(AH88/活动投放!AD88,0)</f>
        <v>0.12583892617449666</v>
      </c>
      <c r="AS88" s="101">
        <f ca="1">IFERROR(AI88/活动投放!AE88,0)</f>
        <v>5.5550641309155244</v>
      </c>
      <c r="AT88" s="101">
        <f ca="1">IFERROR(AJ88/活动投放!AF88,0)</f>
        <v>1.4860681114551084</v>
      </c>
      <c r="AU88" s="101">
        <f ca="1">IFERROR(AK88/活动投放!AG88,0)</f>
        <v>0.78025477707006363</v>
      </c>
      <c r="AV88" s="101">
        <f ca="1">IFERROR(AL88/活动投放!AH88,0)</f>
        <v>0.78025477707006363</v>
      </c>
    </row>
    <row r="89" spans="24:48" x14ac:dyDescent="0.15">
      <c r="X89" s="29">
        <f>基础状态预估!C89</f>
        <v>3300</v>
      </c>
      <c r="Y89" s="46">
        <f>基础状态预估!D89</f>
        <v>119.21088872323202</v>
      </c>
      <c r="Z89" s="5">
        <f t="shared" ca="1" si="15"/>
        <v>75</v>
      </c>
      <c r="AA89" s="5">
        <f t="shared" ca="1" si="16"/>
        <v>1560</v>
      </c>
      <c r="AB89" s="5">
        <f t="shared" ca="1" si="17"/>
        <v>1650</v>
      </c>
      <c r="AC89" s="5">
        <f t="shared" ca="1" si="18"/>
        <v>180</v>
      </c>
      <c r="AD89" s="5">
        <f t="shared" ca="1" si="19"/>
        <v>3060</v>
      </c>
      <c r="AE89" s="5">
        <f t="shared" ca="1" si="20"/>
        <v>350400</v>
      </c>
      <c r="AF89" s="5">
        <f t="shared" ca="1" si="21"/>
        <v>201600</v>
      </c>
      <c r="AG89" s="79">
        <f ca="1">AC89+Z89*活动投放!$D$32</f>
        <v>217.5</v>
      </c>
      <c r="AH89" s="79">
        <f ca="1">Z89*活动投放!$E$32</f>
        <v>37.5</v>
      </c>
      <c r="AI89" s="79">
        <f ca="1">AD89+AA89*活动投放!$F$33</f>
        <v>4152</v>
      </c>
      <c r="AJ89" s="79">
        <f ca="1">AA89*活动投放!$G$33</f>
        <v>468</v>
      </c>
      <c r="AK89" s="79">
        <f ca="1">AB89*活动投放!$H$34</f>
        <v>1485</v>
      </c>
      <c r="AL89" s="79">
        <f ca="1">AB89*活动投放!$I$34</f>
        <v>165</v>
      </c>
      <c r="AN89" s="29">
        <f t="shared" si="14"/>
        <v>3300</v>
      </c>
      <c r="AO89" s="101">
        <f ca="1">IFERROR(AE89/活动投放!AA89,0)</f>
        <v>0.90566037735849059</v>
      </c>
      <c r="AP89" s="101">
        <f ca="1">IFERROR(AF89/活动投放!AB89,0)</f>
        <v>0.7895046015273155</v>
      </c>
      <c r="AQ89" s="101">
        <f ca="1">IFERROR(AG89/活动投放!AC89,0)</f>
        <v>0.66310975609756095</v>
      </c>
      <c r="AR89" s="101">
        <f ca="1">IFERROR(AH89/活动投放!AD89,0)</f>
        <v>0.11432926829268293</v>
      </c>
      <c r="AS89" s="101">
        <f ca="1">IFERROR(AI89/活动投放!AE89,0)</f>
        <v>5.5485767740211145</v>
      </c>
      <c r="AT89" s="101">
        <f ca="1">IFERROR(AJ89/活动投放!AF89,0)</f>
        <v>1.4593077642656689</v>
      </c>
      <c r="AU89" s="101">
        <f ca="1">IFERROR(AK89/活动投放!AG89,0)</f>
        <v>0.76958955223880587</v>
      </c>
      <c r="AV89" s="101">
        <f ca="1">IFERROR(AL89/活动投放!AH89,0)</f>
        <v>0.76958955223880599</v>
      </c>
    </row>
    <row r="90" spans="24:48" x14ac:dyDescent="0.15">
      <c r="X90" s="29">
        <f>基础状态预估!C90</f>
        <v>3600</v>
      </c>
      <c r="Y90" s="46">
        <f>基础状态预估!D90</f>
        <v>120.46417102385924</v>
      </c>
      <c r="Z90" s="5">
        <f t="shared" ca="1" si="15"/>
        <v>75</v>
      </c>
      <c r="AA90" s="5">
        <f t="shared" ca="1" si="16"/>
        <v>1680</v>
      </c>
      <c r="AB90" s="5">
        <f t="shared" ca="1" si="17"/>
        <v>1830</v>
      </c>
      <c r="AC90" s="5">
        <f t="shared" ca="1" si="18"/>
        <v>180</v>
      </c>
      <c r="AD90" s="5">
        <f t="shared" ca="1" si="19"/>
        <v>3360</v>
      </c>
      <c r="AE90" s="5">
        <f t="shared" ca="1" si="20"/>
        <v>386400</v>
      </c>
      <c r="AF90" s="5">
        <f t="shared" ca="1" si="21"/>
        <v>222600</v>
      </c>
      <c r="AG90" s="79">
        <f ca="1">AC90+Z90*活动投放!$D$32</f>
        <v>217.5</v>
      </c>
      <c r="AH90" s="79">
        <f ca="1">Z90*活动投放!$E$32</f>
        <v>37.5</v>
      </c>
      <c r="AI90" s="79">
        <f ca="1">AD90+AA90*活动投放!$F$33</f>
        <v>4536</v>
      </c>
      <c r="AJ90" s="79">
        <f ca="1">AA90*活动投放!$G$33</f>
        <v>504</v>
      </c>
      <c r="AK90" s="79">
        <f ca="1">AB90*活动投放!$H$34</f>
        <v>1647</v>
      </c>
      <c r="AL90" s="79">
        <f ca="1">AB90*活动投放!$I$34</f>
        <v>183</v>
      </c>
      <c r="AN90" s="29">
        <f t="shared" si="14"/>
        <v>3600</v>
      </c>
      <c r="AO90" s="101">
        <f ca="1">IFERROR(AE90/活动投放!AA90,0)</f>
        <v>0.90090930286780135</v>
      </c>
      <c r="AP90" s="101">
        <f ca="1">IFERROR(AF90/活动投放!AB90,0)</f>
        <v>0.78560084700899946</v>
      </c>
      <c r="AQ90" s="101">
        <f ca="1">IFERROR(AG90/活动投放!AC90,0)</f>
        <v>0.60754189944134074</v>
      </c>
      <c r="AR90" s="101">
        <f ca="1">IFERROR(AH90/活动投放!AD90,0)</f>
        <v>0.10474860335195531</v>
      </c>
      <c r="AS90" s="101">
        <f ca="1">IFERROR(AI90/活动投放!AE90,0)</f>
        <v>5.5431993156544062</v>
      </c>
      <c r="AT90" s="101">
        <f ca="1">IFERROR(AJ90/活动投放!AF90,0)</f>
        <v>1.437125748502994</v>
      </c>
      <c r="AU90" s="101">
        <f ca="1">IFERROR(AK90/活动投放!AG90,0)</f>
        <v>0.76123128119800332</v>
      </c>
      <c r="AV90" s="101">
        <f ca="1">IFERROR(AL90/活动投放!AH90,0)</f>
        <v>0.76123128119800332</v>
      </c>
    </row>
    <row r="91" spans="24:48" x14ac:dyDescent="0.15">
      <c r="X91" s="29">
        <f>基础状态预估!C91</f>
        <v>3900</v>
      </c>
      <c r="Y91" s="46">
        <f>基础状态预估!D91</f>
        <v>121.65302977187105</v>
      </c>
      <c r="Z91" s="5">
        <f t="shared" ca="1" si="15"/>
        <v>75</v>
      </c>
      <c r="AA91" s="5">
        <f t="shared" ca="1" si="16"/>
        <v>1800</v>
      </c>
      <c r="AB91" s="5">
        <f t="shared" ca="1" si="17"/>
        <v>2010</v>
      </c>
      <c r="AC91" s="5">
        <f t="shared" ca="1" si="18"/>
        <v>180</v>
      </c>
      <c r="AD91" s="5">
        <f t="shared" ca="1" si="19"/>
        <v>3660</v>
      </c>
      <c r="AE91" s="5">
        <f t="shared" ca="1" si="20"/>
        <v>422400</v>
      </c>
      <c r="AF91" s="5">
        <f t="shared" ca="1" si="21"/>
        <v>243600</v>
      </c>
      <c r="AG91" s="79">
        <f ca="1">AC91+Z91*活动投放!$D$32</f>
        <v>217.5</v>
      </c>
      <c r="AH91" s="79">
        <f ca="1">Z91*活动投放!$E$32</f>
        <v>37.5</v>
      </c>
      <c r="AI91" s="79">
        <f ca="1">AD91+AA91*活动投放!$F$33</f>
        <v>4920</v>
      </c>
      <c r="AJ91" s="79">
        <f ca="1">AA91*活动投放!$G$33</f>
        <v>540</v>
      </c>
      <c r="AK91" s="79">
        <f ca="1">AB91*活动投放!$H$34</f>
        <v>1809</v>
      </c>
      <c r="AL91" s="79">
        <f ca="1">AB91*活动投放!$I$34</f>
        <v>201</v>
      </c>
      <c r="AN91" s="29">
        <f t="shared" si="14"/>
        <v>3900</v>
      </c>
      <c r="AO91" s="101">
        <f ca="1">IFERROR(AE91/活动投放!AA91,0)</f>
        <v>0.89700573370142278</v>
      </c>
      <c r="AP91" s="101">
        <f ca="1">IFERROR(AF91/活动投放!AB91,0)</f>
        <v>0.78239922916332105</v>
      </c>
      <c r="AQ91" s="101">
        <f ca="1">IFERROR(AG91/活动投放!AC91,0)</f>
        <v>0.56056701030927836</v>
      </c>
      <c r="AR91" s="101">
        <f ca="1">IFERROR(AH91/活动投放!AD91,0)</f>
        <v>9.6649484536082478E-2</v>
      </c>
      <c r="AS91" s="101">
        <f ca="1">IFERROR(AI91/活动投放!AE91,0)</f>
        <v>5.5386693684566026</v>
      </c>
      <c r="AT91" s="101">
        <f ca="1">IFERROR(AJ91/活动投放!AF91,0)</f>
        <v>1.4184397163120568</v>
      </c>
      <c r="AU91" s="101">
        <f ca="1">IFERROR(AK91/活动投放!AG91,0)</f>
        <v>0.75450450450450457</v>
      </c>
      <c r="AV91" s="101">
        <f ca="1">IFERROR(AL91/活动投放!AH91,0)</f>
        <v>0.75450450450450446</v>
      </c>
    </row>
    <row r="92" spans="24:48" x14ac:dyDescent="0.15">
      <c r="X92" s="29">
        <f>基础状态预估!C92</f>
        <v>4200</v>
      </c>
      <c r="Y92" s="46">
        <f>基础状态预估!D92</f>
        <v>122.73490799469288</v>
      </c>
      <c r="Z92" s="5">
        <f t="shared" ca="1" si="15"/>
        <v>75</v>
      </c>
      <c r="AA92" s="5">
        <f t="shared" ca="1" si="16"/>
        <v>1920</v>
      </c>
      <c r="AB92" s="5">
        <f t="shared" ca="1" si="17"/>
        <v>2190</v>
      </c>
      <c r="AC92" s="5">
        <f t="shared" ca="1" si="18"/>
        <v>180</v>
      </c>
      <c r="AD92" s="5">
        <f t="shared" ca="1" si="19"/>
        <v>3960</v>
      </c>
      <c r="AE92" s="5">
        <f t="shared" ca="1" si="20"/>
        <v>458400</v>
      </c>
      <c r="AF92" s="5">
        <f t="shared" ca="1" si="21"/>
        <v>264600</v>
      </c>
      <c r="AG92" s="79">
        <f ca="1">AC92+Z92*活动投放!$D$32</f>
        <v>217.5</v>
      </c>
      <c r="AH92" s="79">
        <f ca="1">Z92*活动投放!$E$32</f>
        <v>37.5</v>
      </c>
      <c r="AI92" s="79">
        <f ca="1">AD92+AA92*活动投放!$F$33</f>
        <v>5304</v>
      </c>
      <c r="AJ92" s="79">
        <f ca="1">AA92*活动投放!$G$33</f>
        <v>576</v>
      </c>
      <c r="AK92" s="79">
        <f ca="1">AB92*活动投放!$H$34</f>
        <v>1971</v>
      </c>
      <c r="AL92" s="79">
        <f ca="1">AB92*活动投放!$I$34</f>
        <v>219</v>
      </c>
      <c r="AN92" s="29">
        <f t="shared" si="14"/>
        <v>4200</v>
      </c>
      <c r="AO92" s="101">
        <f ca="1">IFERROR(AE92/活动投放!AA92,0)</f>
        <v>0.89374147007213878</v>
      </c>
      <c r="AP92" s="101">
        <f ca="1">IFERROR(AF92/活动投放!AB92,0)</f>
        <v>0.77972594666273753</v>
      </c>
      <c r="AQ92" s="101">
        <f ca="1">IFERROR(AG92/活动投放!AC92,0)</f>
        <v>0.52033492822966509</v>
      </c>
      <c r="AR92" s="101">
        <f ca="1">IFERROR(AH92/活动投放!AD92,0)</f>
        <v>8.9712918660287078E-2</v>
      </c>
      <c r="AS92" s="101">
        <f ca="1">IFERROR(AI92/活动投放!AE92,0)</f>
        <v>5.5348012104768864</v>
      </c>
      <c r="AT92" s="101">
        <f ca="1">IFERROR(AJ92/活动投放!AF92,0)</f>
        <v>1.4024835646457268</v>
      </c>
      <c r="AU92" s="101">
        <f ca="1">IFERROR(AK92/活动投放!AG92,0)</f>
        <v>0.74897400820793436</v>
      </c>
      <c r="AV92" s="101">
        <f ca="1">IFERROR(AL92/活动投放!AH92,0)</f>
        <v>0.74897400820793425</v>
      </c>
    </row>
    <row r="93" spans="24:48" x14ac:dyDescent="0.15">
      <c r="X93" s="29">
        <f>基础状态预估!C93</f>
        <v>4500</v>
      </c>
      <c r="Y93" s="46">
        <f>基础状态预估!D93</f>
        <v>123.70999272209546</v>
      </c>
      <c r="Z93" s="5">
        <f t="shared" ca="1" si="15"/>
        <v>75</v>
      </c>
      <c r="AA93" s="5">
        <f t="shared" ca="1" si="16"/>
        <v>2040</v>
      </c>
      <c r="AB93" s="5">
        <f t="shared" ca="1" si="17"/>
        <v>2370</v>
      </c>
      <c r="AC93" s="5">
        <f t="shared" ca="1" si="18"/>
        <v>180</v>
      </c>
      <c r="AD93" s="5">
        <f t="shared" ca="1" si="19"/>
        <v>4260</v>
      </c>
      <c r="AE93" s="5">
        <f t="shared" ca="1" si="20"/>
        <v>494400</v>
      </c>
      <c r="AF93" s="5">
        <f t="shared" ca="1" si="21"/>
        <v>285600</v>
      </c>
      <c r="AG93" s="79">
        <f ca="1">AC93+Z93*活动投放!$D$32</f>
        <v>217.5</v>
      </c>
      <c r="AH93" s="79">
        <f ca="1">Z93*活动投放!$E$32</f>
        <v>37.5</v>
      </c>
      <c r="AI93" s="79">
        <f ca="1">AD93+AA93*活动投放!$F$33</f>
        <v>5688</v>
      </c>
      <c r="AJ93" s="79">
        <f ca="1">AA93*活动投放!$G$33</f>
        <v>612</v>
      </c>
      <c r="AK93" s="79">
        <f ca="1">AB93*活动投放!$H$34</f>
        <v>2133</v>
      </c>
      <c r="AL93" s="79">
        <f ca="1">AB93*活动投放!$I$34</f>
        <v>237</v>
      </c>
      <c r="AN93" s="29">
        <f t="shared" si="14"/>
        <v>4500</v>
      </c>
      <c r="AO93" s="101">
        <f ca="1">IFERROR(AE93/活动投放!AA93,0)</f>
        <v>0.89097134618850238</v>
      </c>
      <c r="AP93" s="101">
        <f ca="1">IFERROR(AF93/活动投放!AB93,0)</f>
        <v>0.77746018783176807</v>
      </c>
      <c r="AQ93" s="101">
        <f ca="1">IFERROR(AG93/活动投放!AC93,0)</f>
        <v>0.48549107142857145</v>
      </c>
      <c r="AR93" s="101">
        <f ca="1">IFERROR(AH93/活动投放!AD93,0)</f>
        <v>8.3705357142857137E-2</v>
      </c>
      <c r="AS93" s="101">
        <f ca="1">IFERROR(AI93/活动投放!AE93,0)</f>
        <v>5.5314596907517268</v>
      </c>
      <c r="AT93" s="101">
        <f ca="1">IFERROR(AJ93/活动投放!AF93,0)</f>
        <v>1.3886997957794418</v>
      </c>
      <c r="AU93" s="101">
        <f ca="1">IFERROR(AK93/活动投放!AG93,0)</f>
        <v>0.7443467336683417</v>
      </c>
      <c r="AV93" s="101">
        <f ca="1">IFERROR(AL93/活动投放!AH93,0)</f>
        <v>0.74434673366834159</v>
      </c>
    </row>
    <row r="94" spans="24:48" x14ac:dyDescent="0.15">
      <c r="X94" s="29">
        <f>基础状态预估!C94</f>
        <v>4800</v>
      </c>
      <c r="Y94" s="46">
        <f>基础状态预估!D94</f>
        <v>124.63695716337583</v>
      </c>
      <c r="Z94" s="5">
        <f t="shared" ca="1" si="15"/>
        <v>75</v>
      </c>
      <c r="AA94" s="5">
        <f t="shared" ca="1" si="16"/>
        <v>2160</v>
      </c>
      <c r="AB94" s="5">
        <f t="shared" ca="1" si="17"/>
        <v>2550</v>
      </c>
      <c r="AC94" s="5">
        <f t="shared" ca="1" si="18"/>
        <v>180</v>
      </c>
      <c r="AD94" s="5">
        <f t="shared" ca="1" si="19"/>
        <v>4560</v>
      </c>
      <c r="AE94" s="5">
        <f t="shared" ca="1" si="20"/>
        <v>530400</v>
      </c>
      <c r="AF94" s="5">
        <f t="shared" ca="1" si="21"/>
        <v>306600</v>
      </c>
      <c r="AG94" s="79">
        <f ca="1">AC94+Z94*活动投放!$D$32</f>
        <v>217.5</v>
      </c>
      <c r="AH94" s="79">
        <f ca="1">Z94*活动投放!$E$32</f>
        <v>37.5</v>
      </c>
      <c r="AI94" s="79">
        <f ca="1">AD94+AA94*活动投放!$F$33</f>
        <v>6072</v>
      </c>
      <c r="AJ94" s="79">
        <f ca="1">AA94*活动投放!$G$33</f>
        <v>648</v>
      </c>
      <c r="AK94" s="79">
        <f ca="1">AB94*活动投放!$H$34</f>
        <v>2295</v>
      </c>
      <c r="AL94" s="79">
        <f ca="1">AB94*活动投放!$I$34</f>
        <v>255</v>
      </c>
      <c r="AN94" s="29">
        <f t="shared" si="14"/>
        <v>4800</v>
      </c>
      <c r="AO94" s="101">
        <f ca="1">IFERROR(AE94/活动投放!AA94,0)</f>
        <v>0.88859105377785219</v>
      </c>
      <c r="AP94" s="101">
        <f ca="1">IFERROR(AF94/活动投放!AB94,0)</f>
        <v>0.77551536613127603</v>
      </c>
      <c r="AQ94" s="101">
        <f ca="1">IFERROR(AG94/活动投放!AC94,0)</f>
        <v>0.45502092050209203</v>
      </c>
      <c r="AR94" s="101">
        <f ca="1">IFERROR(AH94/活动投放!AD94,0)</f>
        <v>7.8451882845188281E-2</v>
      </c>
      <c r="AS94" s="101">
        <f ca="1">IFERROR(AI94/活动投放!AE94,0)</f>
        <v>5.5285441136301561</v>
      </c>
      <c r="AT94" s="101">
        <f ca="1">IFERROR(AJ94/活动投放!AF94,0)</f>
        <v>1.3766730401529637</v>
      </c>
      <c r="AU94" s="101">
        <f ca="1">IFERROR(AK94/活动投放!AG94,0)</f>
        <v>0.74041811846689898</v>
      </c>
      <c r="AV94" s="101">
        <f ca="1">IFERROR(AL94/活动投放!AH94,0)</f>
        <v>0.74041811846689887</v>
      </c>
    </row>
    <row r="95" spans="24:48" x14ac:dyDescent="0.15">
      <c r="X95" s="29">
        <f>基础状态预估!C95</f>
        <v>65535</v>
      </c>
      <c r="Y95" s="46">
        <f>基础状态预估!D95</f>
        <v>160</v>
      </c>
      <c r="Z95" s="5">
        <f t="shared" ca="1" si="15"/>
        <v>75</v>
      </c>
      <c r="AA95" s="5">
        <f t="shared" ca="1" si="16"/>
        <v>26454</v>
      </c>
      <c r="AB95" s="5">
        <f t="shared" ca="1" si="17"/>
        <v>38991</v>
      </c>
      <c r="AC95" s="5">
        <f t="shared" ca="1" si="18"/>
        <v>180</v>
      </c>
      <c r="AD95" s="5">
        <f t="shared" ca="1" si="19"/>
        <v>65295</v>
      </c>
      <c r="AE95" s="5">
        <f t="shared" ca="1" si="20"/>
        <v>7818600</v>
      </c>
      <c r="AF95" s="5">
        <f t="shared" ca="1" si="21"/>
        <v>4558050</v>
      </c>
      <c r="AG95" s="79">
        <f ca="1">AC95+Z95*活动投放!$D$32</f>
        <v>217.5</v>
      </c>
      <c r="AH95" s="79">
        <f ca="1">Z95*活动投放!$E$32</f>
        <v>37.5</v>
      </c>
      <c r="AI95" s="79">
        <f ca="1">AD95+AA95*活动投放!$F$33</f>
        <v>83812.800000000003</v>
      </c>
      <c r="AJ95" s="79">
        <f ca="1">AA95*活动投放!$G$33</f>
        <v>7936.2</v>
      </c>
      <c r="AK95" s="79">
        <f ca="1">AB95*活动投放!$H$34</f>
        <v>35091.9</v>
      </c>
      <c r="AL95" s="79">
        <f ca="1">AB95*活动投放!$I$34</f>
        <v>3899.1000000000004</v>
      </c>
      <c r="AN95" s="29">
        <f t="shared" si="14"/>
        <v>65535</v>
      </c>
      <c r="AO95" s="101">
        <f ca="1">IFERROR(AE95/活动投放!AA95,0)</f>
        <v>0.85920569682850167</v>
      </c>
      <c r="AP95" s="101">
        <f ca="1">IFERROR(AF95/活动投放!AB95,0)</f>
        <v>0.75166351965303146</v>
      </c>
      <c r="AQ95" s="101">
        <f ca="1">IFERROR(AG95/活动投放!AC95,0)</f>
        <v>3.3198504159352819E-2</v>
      </c>
      <c r="AR95" s="101">
        <f ca="1">IFERROR(AH95/活动投放!AD95,0)</f>
        <v>5.7238800274746239E-3</v>
      </c>
      <c r="AS95" s="101">
        <f ca="1">IFERROR(AI95/活动投放!AE95,0)</f>
        <v>5.4887948761607888</v>
      </c>
      <c r="AT95" s="101">
        <f ca="1">IFERROR(AJ95/活动投放!AF95,0)</f>
        <v>1.2127074355918217</v>
      </c>
      <c r="AU95" s="101">
        <f ca="1">IFERROR(AK95/活动投放!AG95,0)</f>
        <v>0.69526221001765309</v>
      </c>
      <c r="AV95" s="101">
        <f ca="1">IFERROR(AL95/活动投放!AH95,0)</f>
        <v>0.69526221001765309</v>
      </c>
    </row>
    <row r="97" spans="24:48" x14ac:dyDescent="0.15">
      <c r="X97" s="32" t="s">
        <v>19</v>
      </c>
      <c r="Y97" s="48"/>
      <c r="Z97" s="85" t="s">
        <v>120</v>
      </c>
      <c r="AA97" s="95"/>
      <c r="AB97" s="95"/>
      <c r="AC97" s="95"/>
      <c r="AD97" s="95"/>
      <c r="AE97" s="95"/>
      <c r="AF97" s="86"/>
      <c r="AG97" s="84" t="s">
        <v>121</v>
      </c>
      <c r="AH97" s="84"/>
      <c r="AI97" s="84"/>
      <c r="AJ97" s="84"/>
      <c r="AK97" s="84"/>
      <c r="AL97" s="84"/>
      <c r="AN97" s="29" t="str">
        <f t="shared" ref="AN97:AN98" si="22">X97</f>
        <v>中r</v>
      </c>
      <c r="AO97" s="100" t="s">
        <v>222</v>
      </c>
      <c r="AP97" s="100"/>
      <c r="AQ97" s="100"/>
      <c r="AR97" s="100"/>
      <c r="AS97" s="100"/>
      <c r="AT97" s="100"/>
      <c r="AU97" s="100"/>
      <c r="AV97" s="100"/>
    </row>
    <row r="98" spans="24:48" x14ac:dyDescent="0.15">
      <c r="X98" s="27" t="s">
        <v>31</v>
      </c>
      <c r="Y98" s="45" t="s">
        <v>25</v>
      </c>
      <c r="Z98" s="79" t="s">
        <v>108</v>
      </c>
      <c r="AA98" s="79" t="s">
        <v>110</v>
      </c>
      <c r="AB98" s="79" t="s">
        <v>112</v>
      </c>
      <c r="AC98" s="79" t="s">
        <v>221</v>
      </c>
      <c r="AD98" s="79" t="s">
        <v>220</v>
      </c>
      <c r="AE98" s="79" t="s">
        <v>114</v>
      </c>
      <c r="AF98" s="79" t="s">
        <v>116</v>
      </c>
      <c r="AG98" s="79" t="s">
        <v>26</v>
      </c>
      <c r="AH98" s="79" t="s">
        <v>38</v>
      </c>
      <c r="AI98" s="79" t="s">
        <v>27</v>
      </c>
      <c r="AJ98" s="79" t="s">
        <v>29</v>
      </c>
      <c r="AK98" s="79" t="s">
        <v>28</v>
      </c>
      <c r="AL98" s="79" t="s">
        <v>43</v>
      </c>
      <c r="AN98" s="29" t="str">
        <f t="shared" si="22"/>
        <v>预期天数</v>
      </c>
      <c r="AO98" s="101" t="s">
        <v>114</v>
      </c>
      <c r="AP98" s="101" t="s">
        <v>116</v>
      </c>
      <c r="AQ98" s="101" t="s">
        <v>26</v>
      </c>
      <c r="AR98" s="101" t="s">
        <v>38</v>
      </c>
      <c r="AS98" s="101" t="s">
        <v>27</v>
      </c>
      <c r="AT98" s="101" t="s">
        <v>29</v>
      </c>
      <c r="AU98" s="101" t="s">
        <v>28</v>
      </c>
      <c r="AV98" s="101" t="s">
        <v>43</v>
      </c>
    </row>
    <row r="99" spans="24:48" x14ac:dyDescent="0.15">
      <c r="X99" s="29">
        <f>基础状态预估!C99</f>
        <v>15</v>
      </c>
      <c r="Y99" s="46">
        <f>基础状态预估!D99</f>
        <v>44.442238853326032</v>
      </c>
      <c r="Z99" s="11">
        <f ca="1">IFERROR(SUMIF($K$6:$U$6,Z$10,INDEX($K$7:$U$16,MATCH($Y99,$H$7:$H$16,1),1)),0)*$X99*$C$3</f>
        <v>15</v>
      </c>
      <c r="AA99" s="11">
        <f t="shared" ref="AA99:AF99" ca="1" si="23">IFERROR(SUMIF($K$6:$U$6,AA$10,INDEX($K$7:$U$16,MATCH($Y99,$H$7:$H$16,1),1)),0)*$X99*$C$3</f>
        <v>0</v>
      </c>
      <c r="AB99" s="11">
        <f t="shared" ca="1" si="23"/>
        <v>0</v>
      </c>
      <c r="AC99" s="11">
        <f t="shared" ca="1" si="23"/>
        <v>0</v>
      </c>
      <c r="AD99" s="11">
        <f t="shared" ca="1" si="23"/>
        <v>0</v>
      </c>
      <c r="AE99" s="11">
        <f t="shared" ca="1" si="23"/>
        <v>300</v>
      </c>
      <c r="AF99" s="11">
        <f t="shared" ca="1" si="23"/>
        <v>150</v>
      </c>
      <c r="AG99" s="79">
        <f ca="1">AC99+Z99*活动投放!$D$32</f>
        <v>7.5</v>
      </c>
      <c r="AH99" s="79">
        <f ca="1">Z99*活动投放!$E$32</f>
        <v>7.5</v>
      </c>
      <c r="AI99" s="79">
        <f ca="1">AD99+AA99*活动投放!$F$33</f>
        <v>0</v>
      </c>
      <c r="AJ99" s="79">
        <f ca="1">AA99*活动投放!$G$33</f>
        <v>0</v>
      </c>
      <c r="AK99" s="79">
        <f ca="1">AB99*活动投放!$H$34</f>
        <v>0</v>
      </c>
      <c r="AL99" s="79">
        <f ca="1">AB99*活动投放!$I$34</f>
        <v>0</v>
      </c>
      <c r="AN99" s="29">
        <f>X99</f>
        <v>15</v>
      </c>
      <c r="AO99" s="101">
        <f ca="1">IFERROR(AE99/活动投放!AA99,0)</f>
        <v>3</v>
      </c>
      <c r="AP99" s="101">
        <f ca="1">IFERROR(AF99/活动投放!AB99,0)</f>
        <v>3</v>
      </c>
      <c r="AQ99" s="101">
        <f ca="1">IFERROR(AG99/活动投放!AC99,0)</f>
        <v>15</v>
      </c>
      <c r="AR99" s="101">
        <f ca="1">IFERROR(AH99/活动投放!AD99,0)</f>
        <v>15</v>
      </c>
      <c r="AS99" s="101">
        <f ca="1">IFERROR(AI99/活动投放!AE99,0)</f>
        <v>0</v>
      </c>
      <c r="AT99" s="101">
        <f ca="1">IFERROR(AJ99/活动投放!AF99,0)</f>
        <v>0</v>
      </c>
      <c r="AU99" s="101">
        <f ca="1">IFERROR(AK99/活动投放!AG99,0)</f>
        <v>0</v>
      </c>
      <c r="AV99" s="101">
        <f ca="1">IFERROR(AL99/活动投放!AH99,0)</f>
        <v>0</v>
      </c>
    </row>
    <row r="100" spans="24:48" x14ac:dyDescent="0.15">
      <c r="X100" s="29">
        <f>基础状态预估!C100</f>
        <v>30</v>
      </c>
      <c r="Y100" s="46">
        <f>基础状态预估!D100</f>
        <v>54.213705787583436</v>
      </c>
      <c r="Z100" s="5">
        <f ca="1">IFERROR(SUMIF($K$6:$U$6,Z$10,INDEX($K$7:$U$16,MATCH($Y100,$H$7:$H$16,1),1)),0)*($X100-$X99)*$C$3+Z99</f>
        <v>30</v>
      </c>
      <c r="AA100" s="5">
        <f t="shared" ref="AA100:AF100" ca="1" si="24">IFERROR(SUMIF($K$6:$U$6,AA$10,INDEX($K$7:$U$16,MATCH($Y100,$H$7:$H$16,1),1)),0)*($X100-$X99)*$C$3+AA99</f>
        <v>0</v>
      </c>
      <c r="AB100" s="5">
        <f t="shared" ca="1" si="24"/>
        <v>0</v>
      </c>
      <c r="AC100" s="5">
        <f t="shared" ca="1" si="24"/>
        <v>0</v>
      </c>
      <c r="AD100" s="5">
        <f t="shared" ca="1" si="24"/>
        <v>0</v>
      </c>
      <c r="AE100" s="5">
        <f t="shared" ca="1" si="24"/>
        <v>750</v>
      </c>
      <c r="AF100" s="5">
        <f t="shared" ca="1" si="24"/>
        <v>375</v>
      </c>
      <c r="AG100" s="79">
        <f ca="1">AC100+Z100*活动投放!$D$32</f>
        <v>15</v>
      </c>
      <c r="AH100" s="79">
        <f ca="1">Z100*活动投放!$E$32</f>
        <v>15</v>
      </c>
      <c r="AI100" s="79">
        <f ca="1">AD100+AA100*活动投放!$F$33</f>
        <v>0</v>
      </c>
      <c r="AJ100" s="79">
        <f ca="1">AA100*活动投放!$G$33</f>
        <v>0</v>
      </c>
      <c r="AK100" s="79">
        <f ca="1">AB100*活动投放!$H$34</f>
        <v>0</v>
      </c>
      <c r="AL100" s="79">
        <f ca="1">AB100*活动投放!$I$34</f>
        <v>0</v>
      </c>
      <c r="AN100" s="29">
        <f t="shared" ref="AN100:AN139" si="25">X100</f>
        <v>30</v>
      </c>
      <c r="AO100" s="101">
        <f ca="1">IFERROR(AE100/活动投放!AA100,0)</f>
        <v>1.875</v>
      </c>
      <c r="AP100" s="101">
        <f ca="1">IFERROR(AF100/活动投放!AB100,0)</f>
        <v>1.5</v>
      </c>
      <c r="AQ100" s="101">
        <f ca="1">IFERROR(AG100/活动投放!AC100,0)</f>
        <v>7.5</v>
      </c>
      <c r="AR100" s="101">
        <f ca="1">IFERROR(AH100/活动投放!AD100,0)</f>
        <v>7.5</v>
      </c>
      <c r="AS100" s="101">
        <f ca="1">IFERROR(AI100/活动投放!AE100,0)</f>
        <v>0</v>
      </c>
      <c r="AT100" s="101">
        <f ca="1">IFERROR(AJ100/活动投放!AF100,0)</f>
        <v>0</v>
      </c>
      <c r="AU100" s="101">
        <f ca="1">IFERROR(AK100/活动投放!AG100,0)</f>
        <v>0</v>
      </c>
      <c r="AV100" s="101">
        <f ca="1">IFERROR(AL100/活动投放!AH100,0)</f>
        <v>0</v>
      </c>
    </row>
    <row r="101" spans="24:48" x14ac:dyDescent="0.15">
      <c r="X101" s="29">
        <f>基础状态预估!C101</f>
        <v>45</v>
      </c>
      <c r="Y101" s="46">
        <f>基础状态预估!D101</f>
        <v>60.086674688654931</v>
      </c>
      <c r="Z101" s="5">
        <f t="shared" ref="Z101:Z139" ca="1" si="26">IFERROR(SUMIF($K$6:$U$6,Z$10,INDEX($K$7:$U$16,MATCH($Y101,$H$7:$H$16,1),1)),0)*($X101-$X100)*$C$3+Z100</f>
        <v>45</v>
      </c>
      <c r="AA101" s="5">
        <f t="shared" ref="AA101:AA139" ca="1" si="27">IFERROR(SUMIF($K$6:$U$6,AA$10,INDEX($K$7:$U$16,MATCH($Y101,$H$7:$H$16,1),1)),0)*($X101-$X100)*$C$3+AA100</f>
        <v>0</v>
      </c>
      <c r="AB101" s="5">
        <f t="shared" ref="AB101:AB139" ca="1" si="28">IFERROR(SUMIF($K$6:$U$6,AB$10,INDEX($K$7:$U$16,MATCH($Y101,$H$7:$H$16,1),1)),0)*($X101-$X100)*$C$3+AB100</f>
        <v>0</v>
      </c>
      <c r="AC101" s="5">
        <f t="shared" ref="AC101:AC139" ca="1" si="29">IFERROR(SUMIF($K$6:$U$6,AC$10,INDEX($K$7:$U$16,MATCH($Y101,$H$7:$H$16,1),1)),0)*($X101-$X100)*$C$3+AC100</f>
        <v>0</v>
      </c>
      <c r="AD101" s="5">
        <f t="shared" ref="AD101:AD139" ca="1" si="30">IFERROR(SUMIF($K$6:$U$6,AD$10,INDEX($K$7:$U$16,MATCH($Y101,$H$7:$H$16,1),1)),0)*($X101-$X100)*$C$3+AD100</f>
        <v>0</v>
      </c>
      <c r="AE101" s="5">
        <f t="shared" ref="AE101:AE139" ca="1" si="31">IFERROR(SUMIF($K$6:$U$6,AE$10,INDEX($K$7:$U$16,MATCH($Y101,$H$7:$H$16,1),1)),0)*($X101-$X100)*$C$3+AE100</f>
        <v>1200</v>
      </c>
      <c r="AF101" s="5">
        <f t="shared" ref="AF101:AF139" ca="1" si="32">IFERROR(SUMIF($K$6:$U$6,AF$10,INDEX($K$7:$U$16,MATCH($Y101,$H$7:$H$16,1),1)),0)*($X101-$X100)*$C$3+AF100</f>
        <v>600</v>
      </c>
      <c r="AG101" s="79">
        <f ca="1">AC101+Z101*活动投放!$D$32</f>
        <v>22.5</v>
      </c>
      <c r="AH101" s="79">
        <f ca="1">Z101*活动投放!$E$32</f>
        <v>22.5</v>
      </c>
      <c r="AI101" s="79">
        <f ca="1">AD101+AA101*活动投放!$F$33</f>
        <v>0</v>
      </c>
      <c r="AJ101" s="79">
        <f ca="1">AA101*活动投放!$G$33</f>
        <v>0</v>
      </c>
      <c r="AK101" s="79">
        <f ca="1">AB101*活动投放!$H$34</f>
        <v>0</v>
      </c>
      <c r="AL101" s="79">
        <f ca="1">AB101*活动投放!$I$34</f>
        <v>0</v>
      </c>
      <c r="AN101" s="29">
        <f t="shared" si="25"/>
        <v>45</v>
      </c>
      <c r="AO101" s="101">
        <f ca="1">IFERROR(AE101/活动投放!AA101,0)</f>
        <v>1.5</v>
      </c>
      <c r="AP101" s="101">
        <f ca="1">IFERROR(AF101/活动投放!AB101,0)</f>
        <v>1.2</v>
      </c>
      <c r="AQ101" s="101">
        <f ca="1">IFERROR(AG101/活动投放!AC101,0)</f>
        <v>6.4285714285714288</v>
      </c>
      <c r="AR101" s="101">
        <f ca="1">IFERROR(AH101/活动投放!AD101,0)</f>
        <v>6.4285714285714288</v>
      </c>
      <c r="AS101" s="101">
        <f ca="1">IFERROR(AI101/活动投放!AE101,0)</f>
        <v>0</v>
      </c>
      <c r="AT101" s="101">
        <f ca="1">IFERROR(AJ101/活动投放!AF101,0)</f>
        <v>0</v>
      </c>
      <c r="AU101" s="101">
        <f ca="1">IFERROR(AK101/活动投放!AG101,0)</f>
        <v>0</v>
      </c>
      <c r="AV101" s="101">
        <f ca="1">IFERROR(AL101/活动投放!AH101,0)</f>
        <v>0</v>
      </c>
    </row>
    <row r="102" spans="24:48" x14ac:dyDescent="0.15">
      <c r="X102" s="29">
        <f>基础状态预估!C102</f>
        <v>60</v>
      </c>
      <c r="Y102" s="46">
        <f>基础状态预估!D102</f>
        <v>64.14304723627319</v>
      </c>
      <c r="Z102" s="5">
        <f t="shared" ca="1" si="26"/>
        <v>52.5</v>
      </c>
      <c r="AA102" s="5">
        <f t="shared" ca="1" si="27"/>
        <v>7.5</v>
      </c>
      <c r="AB102" s="5">
        <f t="shared" ca="1" si="28"/>
        <v>0</v>
      </c>
      <c r="AC102" s="5">
        <f t="shared" ca="1" si="29"/>
        <v>15</v>
      </c>
      <c r="AD102" s="5">
        <f t="shared" ca="1" si="30"/>
        <v>0</v>
      </c>
      <c r="AE102" s="5">
        <f t="shared" ca="1" si="31"/>
        <v>1800</v>
      </c>
      <c r="AF102" s="5">
        <f t="shared" ca="1" si="32"/>
        <v>900</v>
      </c>
      <c r="AG102" s="79">
        <f ca="1">AC102+Z102*活动投放!$D$32</f>
        <v>41.25</v>
      </c>
      <c r="AH102" s="79">
        <f ca="1">Z102*活动投放!$E$32</f>
        <v>26.25</v>
      </c>
      <c r="AI102" s="79">
        <f ca="1">AD102+AA102*活动投放!$F$33</f>
        <v>5.25</v>
      </c>
      <c r="AJ102" s="79">
        <f ca="1">AA102*活动投放!$G$33</f>
        <v>2.25</v>
      </c>
      <c r="AK102" s="79">
        <f ca="1">AB102*活动投放!$H$34</f>
        <v>0</v>
      </c>
      <c r="AL102" s="79">
        <f ca="1">AB102*活动投放!$I$34</f>
        <v>0</v>
      </c>
      <c r="AN102" s="29">
        <f t="shared" si="25"/>
        <v>60</v>
      </c>
      <c r="AO102" s="101">
        <f ca="1">IFERROR(AE102/活动投放!AA102,0)</f>
        <v>1.3846153846153846</v>
      </c>
      <c r="AP102" s="101">
        <f ca="1">IFERROR(AF102/活动投放!AB102,0)</f>
        <v>1.125</v>
      </c>
      <c r="AQ102" s="101">
        <f ca="1">IFERROR(AG102/活动投放!AC102,0)</f>
        <v>8.25</v>
      </c>
      <c r="AR102" s="101">
        <f ca="1">IFERROR(AH102/活动投放!AD102,0)</f>
        <v>5.25</v>
      </c>
      <c r="AS102" s="101">
        <f ca="1">IFERROR(AI102/活动投放!AE102,0)</f>
        <v>2.5000000000000004</v>
      </c>
      <c r="AT102" s="101">
        <f ca="1">IFERROR(AJ102/活动投放!AF102,0)</f>
        <v>2.5000000000000004</v>
      </c>
      <c r="AU102" s="101">
        <f ca="1">IFERROR(AK102/活动投放!AG102,0)</f>
        <v>0</v>
      </c>
      <c r="AV102" s="101">
        <f ca="1">IFERROR(AL102/活动投放!AH102,0)</f>
        <v>0</v>
      </c>
    </row>
    <row r="103" spans="24:48" x14ac:dyDescent="0.15">
      <c r="X103" s="29">
        <f>基础状态预估!C103</f>
        <v>75</v>
      </c>
      <c r="Y103" s="46">
        <f>基础状态预估!D103</f>
        <v>67.344310856946692</v>
      </c>
      <c r="Z103" s="5">
        <f t="shared" ca="1" si="26"/>
        <v>60</v>
      </c>
      <c r="AA103" s="5">
        <f t="shared" ca="1" si="27"/>
        <v>15</v>
      </c>
      <c r="AB103" s="5">
        <f t="shared" ca="1" si="28"/>
        <v>0</v>
      </c>
      <c r="AC103" s="5">
        <f t="shared" ca="1" si="29"/>
        <v>30</v>
      </c>
      <c r="AD103" s="5">
        <f t="shared" ca="1" si="30"/>
        <v>0</v>
      </c>
      <c r="AE103" s="5">
        <f t="shared" ca="1" si="31"/>
        <v>2400</v>
      </c>
      <c r="AF103" s="5">
        <f t="shared" ca="1" si="32"/>
        <v>1200</v>
      </c>
      <c r="AG103" s="79">
        <f ca="1">AC103+Z103*活动投放!$D$32</f>
        <v>60</v>
      </c>
      <c r="AH103" s="79">
        <f ca="1">Z103*活动投放!$E$32</f>
        <v>30</v>
      </c>
      <c r="AI103" s="79">
        <f ca="1">AD103+AA103*活动投放!$F$33</f>
        <v>10.5</v>
      </c>
      <c r="AJ103" s="79">
        <f ca="1">AA103*活动投放!$G$33</f>
        <v>4.5</v>
      </c>
      <c r="AK103" s="79">
        <f ca="1">AB103*活动投放!$H$34</f>
        <v>0</v>
      </c>
      <c r="AL103" s="79">
        <f ca="1">AB103*活动投放!$I$34</f>
        <v>0</v>
      </c>
      <c r="AN103" s="29">
        <f t="shared" si="25"/>
        <v>75</v>
      </c>
      <c r="AO103" s="101">
        <f ca="1">IFERROR(AE103/活动投放!AA103,0)</f>
        <v>1.263157894736842</v>
      </c>
      <c r="AP103" s="101">
        <f ca="1">IFERROR(AF103/活动投放!AB103,0)</f>
        <v>1</v>
      </c>
      <c r="AQ103" s="101">
        <f ca="1">IFERROR(AG103/活动投放!AC103,0)</f>
        <v>9.2307692307692299</v>
      </c>
      <c r="AR103" s="101">
        <f ca="1">IFERROR(AH103/活动投放!AD103,0)</f>
        <v>4.615384615384615</v>
      </c>
      <c r="AS103" s="101">
        <f ca="1">IFERROR(AI103/活动投放!AE103,0)</f>
        <v>2.5000000000000004</v>
      </c>
      <c r="AT103" s="101">
        <f ca="1">IFERROR(AJ103/活动投放!AF103,0)</f>
        <v>2.5000000000000004</v>
      </c>
      <c r="AU103" s="101">
        <f ca="1">IFERROR(AK103/活动投放!AG103,0)</f>
        <v>0</v>
      </c>
      <c r="AV103" s="101">
        <f ca="1">IFERROR(AL103/活动投放!AH103,0)</f>
        <v>0</v>
      </c>
    </row>
    <row r="104" spans="24:48" x14ac:dyDescent="0.15">
      <c r="X104" s="29">
        <f>基础状态预估!C104</f>
        <v>90</v>
      </c>
      <c r="Y104" s="46">
        <f>基础状态预估!D104</f>
        <v>69.982855616450394</v>
      </c>
      <c r="Z104" s="5">
        <f t="shared" ca="1" si="26"/>
        <v>67.5</v>
      </c>
      <c r="AA104" s="5">
        <f t="shared" ca="1" si="27"/>
        <v>22.5</v>
      </c>
      <c r="AB104" s="5">
        <f t="shared" ca="1" si="28"/>
        <v>0</v>
      </c>
      <c r="AC104" s="5">
        <f t="shared" ca="1" si="29"/>
        <v>45</v>
      </c>
      <c r="AD104" s="5">
        <f t="shared" ca="1" si="30"/>
        <v>0</v>
      </c>
      <c r="AE104" s="5">
        <f t="shared" ca="1" si="31"/>
        <v>3000</v>
      </c>
      <c r="AF104" s="5">
        <f t="shared" ca="1" si="32"/>
        <v>1500</v>
      </c>
      <c r="AG104" s="79">
        <f ca="1">AC104+Z104*活动投放!$D$32</f>
        <v>78.75</v>
      </c>
      <c r="AH104" s="79">
        <f ca="1">Z104*活动投放!$E$32</f>
        <v>33.75</v>
      </c>
      <c r="AI104" s="79">
        <f ca="1">AD104+AA104*活动投放!$F$33</f>
        <v>15.749999999999998</v>
      </c>
      <c r="AJ104" s="79">
        <f ca="1">AA104*活动投放!$G$33</f>
        <v>6.75</v>
      </c>
      <c r="AK104" s="79">
        <f ca="1">AB104*活动投放!$H$34</f>
        <v>0</v>
      </c>
      <c r="AL104" s="79">
        <f ca="1">AB104*活动投放!$I$34</f>
        <v>0</v>
      </c>
      <c r="AN104" s="29">
        <f t="shared" si="25"/>
        <v>90</v>
      </c>
      <c r="AO104" s="101">
        <f ca="1">IFERROR(AE104/活动投放!AA104,0)</f>
        <v>1.1538461538461537</v>
      </c>
      <c r="AP104" s="101">
        <f ca="1">IFERROR(AF104/活动投放!AB104,0)</f>
        <v>0.90909090909090906</v>
      </c>
      <c r="AQ104" s="101">
        <f ca="1">IFERROR(AG104/活动投放!AC104,0)</f>
        <v>9.84375</v>
      </c>
      <c r="AR104" s="101">
        <f ca="1">IFERROR(AH104/活动投放!AD104,0)</f>
        <v>4.21875</v>
      </c>
      <c r="AS104" s="101">
        <f ca="1">IFERROR(AI104/活动投放!AE104,0)</f>
        <v>2.2499999999999996</v>
      </c>
      <c r="AT104" s="101">
        <f ca="1">IFERROR(AJ104/活动投放!AF104,0)</f>
        <v>2.25</v>
      </c>
      <c r="AU104" s="101">
        <f ca="1">IFERROR(AK104/活动投放!AG104,0)</f>
        <v>0</v>
      </c>
      <c r="AV104" s="101">
        <f ca="1">IFERROR(AL104/活动投放!AH104,0)</f>
        <v>0</v>
      </c>
    </row>
    <row r="105" spans="24:48" x14ac:dyDescent="0.15">
      <c r="X105" s="29">
        <f>基础状态预估!C105</f>
        <v>105</v>
      </c>
      <c r="Y105" s="46">
        <f>基础状态预估!D105</f>
        <v>72.23150684883845</v>
      </c>
      <c r="Z105" s="5">
        <f t="shared" ca="1" si="26"/>
        <v>67.5</v>
      </c>
      <c r="AA105" s="5">
        <f t="shared" ca="1" si="27"/>
        <v>37.5</v>
      </c>
      <c r="AB105" s="5">
        <f t="shared" ca="1" si="28"/>
        <v>0</v>
      </c>
      <c r="AC105" s="5">
        <f t="shared" ca="1" si="29"/>
        <v>60</v>
      </c>
      <c r="AD105" s="5">
        <f t="shared" ca="1" si="30"/>
        <v>0</v>
      </c>
      <c r="AE105" s="5">
        <f t="shared" ca="1" si="31"/>
        <v>3750</v>
      </c>
      <c r="AF105" s="5">
        <f t="shared" ca="1" si="32"/>
        <v>1875</v>
      </c>
      <c r="AG105" s="79">
        <f ca="1">AC105+Z105*活动投放!$D$32</f>
        <v>93.75</v>
      </c>
      <c r="AH105" s="79">
        <f ca="1">Z105*活动投放!$E$32</f>
        <v>33.75</v>
      </c>
      <c r="AI105" s="79">
        <f ca="1">AD105+AA105*活动投放!$F$33</f>
        <v>26.25</v>
      </c>
      <c r="AJ105" s="79">
        <f ca="1">AA105*活动投放!$G$33</f>
        <v>11.25</v>
      </c>
      <c r="AK105" s="79">
        <f ca="1">AB105*活动投放!$H$34</f>
        <v>0</v>
      </c>
      <c r="AL105" s="79">
        <f ca="1">AB105*活动投放!$I$34</f>
        <v>0</v>
      </c>
      <c r="AN105" s="29">
        <f t="shared" si="25"/>
        <v>105</v>
      </c>
      <c r="AO105" s="101">
        <f ca="1">IFERROR(AE105/活动投放!AA105,0)</f>
        <v>1.1363636363636365</v>
      </c>
      <c r="AP105" s="101">
        <f ca="1">IFERROR(AF105/活动投放!AB105,0)</f>
        <v>0.8928571428571429</v>
      </c>
      <c r="AQ105" s="101">
        <f ca="1">IFERROR(AG105/活动投放!AC105,0)</f>
        <v>9.8684210526315788</v>
      </c>
      <c r="AR105" s="101">
        <f ca="1">IFERROR(AH105/活动投放!AD105,0)</f>
        <v>3.5526315789473686</v>
      </c>
      <c r="AS105" s="101">
        <f ca="1">IFERROR(AI105/活动投放!AE105,0)</f>
        <v>2.6785714285714288</v>
      </c>
      <c r="AT105" s="101">
        <f ca="1">IFERROR(AJ105/活动投放!AF105,0)</f>
        <v>2.6785714285714284</v>
      </c>
      <c r="AU105" s="101">
        <f ca="1">IFERROR(AK105/活动投放!AG105,0)</f>
        <v>0</v>
      </c>
      <c r="AV105" s="101">
        <f ca="1">IFERROR(AL105/活动投放!AH105,0)</f>
        <v>0</v>
      </c>
    </row>
    <row r="106" spans="24:48" x14ac:dyDescent="0.15">
      <c r="X106" s="29">
        <f>基础状态预估!C106</f>
        <v>120</v>
      </c>
      <c r="Y106" s="46">
        <f>基础状态预估!D106</f>
        <v>74.149428238300118</v>
      </c>
      <c r="Z106" s="5">
        <f t="shared" ca="1" si="26"/>
        <v>67.5</v>
      </c>
      <c r="AA106" s="5">
        <f t="shared" ca="1" si="27"/>
        <v>52.5</v>
      </c>
      <c r="AB106" s="5">
        <f t="shared" ca="1" si="28"/>
        <v>0</v>
      </c>
      <c r="AC106" s="5">
        <f t="shared" ca="1" si="29"/>
        <v>75</v>
      </c>
      <c r="AD106" s="5">
        <f t="shared" ca="1" si="30"/>
        <v>0</v>
      </c>
      <c r="AE106" s="5">
        <f t="shared" ca="1" si="31"/>
        <v>4500</v>
      </c>
      <c r="AF106" s="5">
        <f t="shared" ca="1" si="32"/>
        <v>2250</v>
      </c>
      <c r="AG106" s="79">
        <f ca="1">AC106+Z106*活动投放!$D$32</f>
        <v>108.75</v>
      </c>
      <c r="AH106" s="79">
        <f ca="1">Z106*活动投放!$E$32</f>
        <v>33.75</v>
      </c>
      <c r="AI106" s="79">
        <f ca="1">AD106+AA106*活动投放!$F$33</f>
        <v>36.75</v>
      </c>
      <c r="AJ106" s="79">
        <f ca="1">AA106*活动投放!$G$33</f>
        <v>15.75</v>
      </c>
      <c r="AK106" s="79">
        <f ca="1">AB106*活动投放!$H$34</f>
        <v>0</v>
      </c>
      <c r="AL106" s="79">
        <f ca="1">AB106*活动投放!$I$34</f>
        <v>0</v>
      </c>
      <c r="AN106" s="29">
        <f t="shared" si="25"/>
        <v>120</v>
      </c>
      <c r="AO106" s="101">
        <f ca="1">IFERROR(AE106/活动投放!AA106,0)</f>
        <v>1.0975609756097562</v>
      </c>
      <c r="AP106" s="101">
        <f ca="1">IFERROR(AF106/活动投放!AB106,0)</f>
        <v>0.86538461538461542</v>
      </c>
      <c r="AQ106" s="101">
        <f ca="1">IFERROR(AG106/活动投放!AC106,0)</f>
        <v>9.8863636363636367</v>
      </c>
      <c r="AR106" s="101">
        <f ca="1">IFERROR(AH106/活动投放!AD106,0)</f>
        <v>3.0681818181818183</v>
      </c>
      <c r="AS106" s="101">
        <f ca="1">IFERROR(AI106/活动投放!AE106,0)</f>
        <v>2.7631578947368425</v>
      </c>
      <c r="AT106" s="101">
        <f ca="1">IFERROR(AJ106/活动投放!AF106,0)</f>
        <v>2.763157894736842</v>
      </c>
      <c r="AU106" s="101">
        <f ca="1">IFERROR(AK106/活动投放!AG106,0)</f>
        <v>0</v>
      </c>
      <c r="AV106" s="101">
        <f ca="1">IFERROR(AL106/活动投放!AH106,0)</f>
        <v>0</v>
      </c>
    </row>
    <row r="107" spans="24:48" x14ac:dyDescent="0.15">
      <c r="X107" s="29">
        <f>基础状态预估!C107</f>
        <v>150</v>
      </c>
      <c r="Y107" s="46">
        <f>基础状态预估!D107</f>
        <v>77.324097991611154</v>
      </c>
      <c r="Z107" s="5">
        <f t="shared" ca="1" si="26"/>
        <v>67.5</v>
      </c>
      <c r="AA107" s="5">
        <f t="shared" ca="1" si="27"/>
        <v>82.5</v>
      </c>
      <c r="AB107" s="5">
        <f t="shared" ca="1" si="28"/>
        <v>0</v>
      </c>
      <c r="AC107" s="5">
        <f t="shared" ca="1" si="29"/>
        <v>105</v>
      </c>
      <c r="AD107" s="5">
        <f t="shared" ca="1" si="30"/>
        <v>0</v>
      </c>
      <c r="AE107" s="5">
        <f t="shared" ca="1" si="31"/>
        <v>6000</v>
      </c>
      <c r="AF107" s="5">
        <f t="shared" ca="1" si="32"/>
        <v>3000</v>
      </c>
      <c r="AG107" s="79">
        <f ca="1">AC107+Z107*活动投放!$D$32</f>
        <v>138.75</v>
      </c>
      <c r="AH107" s="79">
        <f ca="1">Z107*活动投放!$E$32</f>
        <v>33.75</v>
      </c>
      <c r="AI107" s="79">
        <f ca="1">AD107+AA107*活动投放!$F$33</f>
        <v>57.749999999999993</v>
      </c>
      <c r="AJ107" s="79">
        <f ca="1">AA107*活动投放!$G$33</f>
        <v>24.75</v>
      </c>
      <c r="AK107" s="79">
        <f ca="1">AB107*活动投放!$H$34</f>
        <v>0</v>
      </c>
      <c r="AL107" s="79">
        <f ca="1">AB107*活动投放!$I$34</f>
        <v>0</v>
      </c>
      <c r="AN107" s="29">
        <f t="shared" si="25"/>
        <v>150</v>
      </c>
      <c r="AO107" s="101">
        <f ca="1">IFERROR(AE107/活动投放!AA107,0)</f>
        <v>1.0169491525423728</v>
      </c>
      <c r="AP107" s="101">
        <f ca="1">IFERROR(AF107/活动投放!AB107,0)</f>
        <v>0.78947368421052633</v>
      </c>
      <c r="AQ107" s="101">
        <f ca="1">IFERROR(AG107/活动投放!AC107,0)</f>
        <v>9.9107142857142865</v>
      </c>
      <c r="AR107" s="101">
        <f ca="1">IFERROR(AH107/活动投放!AD107,0)</f>
        <v>2.4107142857142856</v>
      </c>
      <c r="AS107" s="101">
        <f ca="1">IFERROR(AI107/活动投放!AE107,0)</f>
        <v>2.8448275862068968</v>
      </c>
      <c r="AT107" s="101">
        <f ca="1">IFERROR(AJ107/活动投放!AF107,0)</f>
        <v>2.8448275862068968</v>
      </c>
      <c r="AU107" s="101">
        <f ca="1">IFERROR(AK107/活动投放!AG107,0)</f>
        <v>0</v>
      </c>
      <c r="AV107" s="101">
        <f ca="1">IFERROR(AL107/活动投放!AH107,0)</f>
        <v>0</v>
      </c>
    </row>
    <row r="108" spans="24:48" x14ac:dyDescent="0.15">
      <c r="X108" s="29">
        <f>基础状态预估!C108</f>
        <v>180</v>
      </c>
      <c r="Y108" s="46">
        <f>基础状态预估!D108</f>
        <v>79.97103607409106</v>
      </c>
      <c r="Z108" s="5">
        <f t="shared" ca="1" si="26"/>
        <v>67.5</v>
      </c>
      <c r="AA108" s="5">
        <f t="shared" ca="1" si="27"/>
        <v>112.5</v>
      </c>
      <c r="AB108" s="5">
        <f t="shared" ca="1" si="28"/>
        <v>0</v>
      </c>
      <c r="AC108" s="5">
        <f t="shared" ca="1" si="29"/>
        <v>135</v>
      </c>
      <c r="AD108" s="5">
        <f t="shared" ca="1" si="30"/>
        <v>0</v>
      </c>
      <c r="AE108" s="5">
        <f t="shared" ca="1" si="31"/>
        <v>7500</v>
      </c>
      <c r="AF108" s="5">
        <f t="shared" ca="1" si="32"/>
        <v>3750</v>
      </c>
      <c r="AG108" s="79">
        <f ca="1">AC108+Z108*活动投放!$D$32</f>
        <v>168.75</v>
      </c>
      <c r="AH108" s="79">
        <f ca="1">Z108*活动投放!$E$32</f>
        <v>33.75</v>
      </c>
      <c r="AI108" s="79">
        <f ca="1">AD108+AA108*活动投放!$F$33</f>
        <v>78.75</v>
      </c>
      <c r="AJ108" s="79">
        <f ca="1">AA108*活动投放!$G$33</f>
        <v>33.75</v>
      </c>
      <c r="AK108" s="79">
        <f ca="1">AB108*活动投放!$H$34</f>
        <v>0</v>
      </c>
      <c r="AL108" s="79">
        <f ca="1">AB108*活动投放!$I$34</f>
        <v>0</v>
      </c>
      <c r="AN108" s="29">
        <f t="shared" si="25"/>
        <v>180</v>
      </c>
      <c r="AO108" s="101">
        <f ca="1">IFERROR(AE108/活动投放!AA108,0)</f>
        <v>0.97402597402597402</v>
      </c>
      <c r="AP108" s="101">
        <f ca="1">IFERROR(AF108/活动投放!AB108,0)</f>
        <v>0.75</v>
      </c>
      <c r="AQ108" s="101">
        <f ca="1">IFERROR(AG108/活动投放!AC108,0)</f>
        <v>9.9264705882352935</v>
      </c>
      <c r="AR108" s="101">
        <f ca="1">IFERROR(AH108/活动投放!AD108,0)</f>
        <v>1.9852941176470589</v>
      </c>
      <c r="AS108" s="101">
        <f ca="1">IFERROR(AI108/活动投放!AE108,0)</f>
        <v>2.884615384615385</v>
      </c>
      <c r="AT108" s="101">
        <f ca="1">IFERROR(AJ108/活动投放!AF108,0)</f>
        <v>2.8846153846153846</v>
      </c>
      <c r="AU108" s="101">
        <f ca="1">IFERROR(AK108/活动投放!AG108,0)</f>
        <v>0</v>
      </c>
      <c r="AV108" s="101">
        <f ca="1">IFERROR(AL108/活动投放!AH108,0)</f>
        <v>0</v>
      </c>
    </row>
    <row r="109" spans="24:48" x14ac:dyDescent="0.15">
      <c r="X109" s="29">
        <f>基础状态预估!C109</f>
        <v>210</v>
      </c>
      <c r="Y109" s="46">
        <f>基础状态预估!D109</f>
        <v>82.238672852681816</v>
      </c>
      <c r="Z109" s="5">
        <f t="shared" ca="1" si="26"/>
        <v>67.5</v>
      </c>
      <c r="AA109" s="5">
        <f t="shared" ca="1" si="27"/>
        <v>139.5</v>
      </c>
      <c r="AB109" s="5">
        <f t="shared" ca="1" si="28"/>
        <v>3</v>
      </c>
      <c r="AC109" s="5">
        <f t="shared" ca="1" si="29"/>
        <v>135</v>
      </c>
      <c r="AD109" s="5">
        <f t="shared" ca="1" si="30"/>
        <v>30</v>
      </c>
      <c r="AE109" s="5">
        <f t="shared" ca="1" si="31"/>
        <v>9300</v>
      </c>
      <c r="AF109" s="5">
        <f t="shared" ca="1" si="32"/>
        <v>4650</v>
      </c>
      <c r="AG109" s="79">
        <f ca="1">AC109+Z109*活动投放!$D$32</f>
        <v>168.75</v>
      </c>
      <c r="AH109" s="79">
        <f ca="1">Z109*活动投放!$E$32</f>
        <v>33.75</v>
      </c>
      <c r="AI109" s="79">
        <f ca="1">AD109+AA109*活动投放!$F$33</f>
        <v>127.64999999999999</v>
      </c>
      <c r="AJ109" s="79">
        <f ca="1">AA109*活动投放!$G$33</f>
        <v>41.85</v>
      </c>
      <c r="AK109" s="79">
        <f ca="1">AB109*活动投放!$H$34</f>
        <v>2.7</v>
      </c>
      <c r="AL109" s="79">
        <f ca="1">AB109*活动投放!$I$34</f>
        <v>0.30000000000000004</v>
      </c>
      <c r="AN109" s="29">
        <f t="shared" si="25"/>
        <v>210</v>
      </c>
      <c r="AO109" s="101">
        <f ca="1">IFERROR(AE109/活动投放!AA109,0)</f>
        <v>0.95876288659793818</v>
      </c>
      <c r="AP109" s="101">
        <f ca="1">IFERROR(AF109/活动投放!AB109,0)</f>
        <v>0.73809523809523814</v>
      </c>
      <c r="AQ109" s="101">
        <f ca="1">IFERROR(AG109/活动投放!AC109,0)</f>
        <v>8.4375</v>
      </c>
      <c r="AR109" s="101">
        <f ca="1">IFERROR(AH109/活动投放!AD109,0)</f>
        <v>1.6875</v>
      </c>
      <c r="AS109" s="101">
        <f ca="1">IFERROR(AI109/活动投放!AE109,0)</f>
        <v>3.7215743440233235</v>
      </c>
      <c r="AT109" s="101">
        <f ca="1">IFERROR(AJ109/活动投放!AF109,0)</f>
        <v>2.8469387755102042</v>
      </c>
      <c r="AU109" s="101">
        <f ca="1">IFERROR(AK109/活动投放!AG109,0)</f>
        <v>0.375</v>
      </c>
      <c r="AV109" s="101">
        <f ca="1">IFERROR(AL109/活动投放!AH109,0)</f>
        <v>0.37500000000000006</v>
      </c>
    </row>
    <row r="110" spans="24:48" x14ac:dyDescent="0.15">
      <c r="X110" s="29">
        <f>基础状态预估!C110</f>
        <v>240</v>
      </c>
      <c r="Y110" s="46">
        <f>基础状态预估!D110</f>
        <v>84.163908914135135</v>
      </c>
      <c r="Z110" s="5">
        <f t="shared" ca="1" si="26"/>
        <v>67.5</v>
      </c>
      <c r="AA110" s="5">
        <f t="shared" ca="1" si="27"/>
        <v>163.5</v>
      </c>
      <c r="AB110" s="5">
        <f t="shared" ca="1" si="28"/>
        <v>9</v>
      </c>
      <c r="AC110" s="5">
        <f t="shared" ca="1" si="29"/>
        <v>135</v>
      </c>
      <c r="AD110" s="5">
        <f t="shared" ca="1" si="30"/>
        <v>60</v>
      </c>
      <c r="AE110" s="5">
        <f t="shared" ca="1" si="31"/>
        <v>11400</v>
      </c>
      <c r="AF110" s="5">
        <f t="shared" ca="1" si="32"/>
        <v>5700</v>
      </c>
      <c r="AG110" s="79">
        <f ca="1">AC110+Z110*活动投放!$D$32</f>
        <v>168.75</v>
      </c>
      <c r="AH110" s="79">
        <f ca="1">Z110*活动投放!$E$32</f>
        <v>33.75</v>
      </c>
      <c r="AI110" s="79">
        <f ca="1">AD110+AA110*活动投放!$F$33</f>
        <v>174.45</v>
      </c>
      <c r="AJ110" s="79">
        <f ca="1">AA110*活动投放!$G$33</f>
        <v>49.05</v>
      </c>
      <c r="AK110" s="79">
        <f ca="1">AB110*活动投放!$H$34</f>
        <v>8.1</v>
      </c>
      <c r="AL110" s="79">
        <f ca="1">AB110*活动投放!$I$34</f>
        <v>0.9</v>
      </c>
      <c r="AN110" s="29">
        <f t="shared" si="25"/>
        <v>240</v>
      </c>
      <c r="AO110" s="101">
        <f ca="1">IFERROR(AE110/活动投放!AA110,0)</f>
        <v>0.95798319327731096</v>
      </c>
      <c r="AP110" s="101">
        <f ca="1">IFERROR(AF110/活动投放!AB110,0)</f>
        <v>0.74025974025974028</v>
      </c>
      <c r="AQ110" s="101">
        <f ca="1">IFERROR(AG110/活动投放!AC110,0)</f>
        <v>7.3369565217391308</v>
      </c>
      <c r="AR110" s="101">
        <f ca="1">IFERROR(AH110/活动投放!AD110,0)</f>
        <v>1.4673913043478262</v>
      </c>
      <c r="AS110" s="101">
        <f ca="1">IFERROR(AI110/活动投放!AE110,0)</f>
        <v>4.2239709443099276</v>
      </c>
      <c r="AT110" s="101">
        <f ca="1">IFERROR(AJ110/活动投放!AF110,0)</f>
        <v>2.7711864406779663</v>
      </c>
      <c r="AU110" s="101">
        <f ca="1">IFERROR(AK110/活动投放!AG110,0)</f>
        <v>0.64285714285714279</v>
      </c>
      <c r="AV110" s="101">
        <f ca="1">IFERROR(AL110/活动投放!AH110,0)</f>
        <v>0.64285714285714279</v>
      </c>
    </row>
    <row r="111" spans="24:48" x14ac:dyDescent="0.15">
      <c r="X111" s="29">
        <f>基础状态预估!C111</f>
        <v>270</v>
      </c>
      <c r="Y111" s="46">
        <f>基础状态预估!D111</f>
        <v>85.878108880436827</v>
      </c>
      <c r="Z111" s="5">
        <f t="shared" ca="1" si="26"/>
        <v>67.5</v>
      </c>
      <c r="AA111" s="5">
        <f t="shared" ca="1" si="27"/>
        <v>187.5</v>
      </c>
      <c r="AB111" s="5">
        <f t="shared" ca="1" si="28"/>
        <v>15</v>
      </c>
      <c r="AC111" s="5">
        <f t="shared" ca="1" si="29"/>
        <v>135</v>
      </c>
      <c r="AD111" s="5">
        <f t="shared" ca="1" si="30"/>
        <v>90</v>
      </c>
      <c r="AE111" s="5">
        <f t="shared" ca="1" si="31"/>
        <v>13500</v>
      </c>
      <c r="AF111" s="5">
        <f t="shared" ca="1" si="32"/>
        <v>6750</v>
      </c>
      <c r="AG111" s="79">
        <f ca="1">AC111+Z111*活动投放!$D$32</f>
        <v>168.75</v>
      </c>
      <c r="AH111" s="79">
        <f ca="1">Z111*活动投放!$E$32</f>
        <v>33.75</v>
      </c>
      <c r="AI111" s="79">
        <f ca="1">AD111+AA111*活动投放!$F$33</f>
        <v>221.25</v>
      </c>
      <c r="AJ111" s="79">
        <f ca="1">AA111*活动投放!$G$33</f>
        <v>56.25</v>
      </c>
      <c r="AK111" s="79">
        <f ca="1">AB111*活动投放!$H$34</f>
        <v>13.5</v>
      </c>
      <c r="AL111" s="79">
        <f ca="1">AB111*活动投放!$I$34</f>
        <v>1.5</v>
      </c>
      <c r="AN111" s="29">
        <f t="shared" si="25"/>
        <v>270</v>
      </c>
      <c r="AO111" s="101">
        <f ca="1">IFERROR(AE111/活动投放!AA111,0)</f>
        <v>0.95744680851063835</v>
      </c>
      <c r="AP111" s="101">
        <f ca="1">IFERROR(AF111/活动投放!AB111,0)</f>
        <v>0.74175824175824179</v>
      </c>
      <c r="AQ111" s="101">
        <f ca="1">IFERROR(AG111/活动投放!AC111,0)</f>
        <v>6.490384615384615</v>
      </c>
      <c r="AR111" s="101">
        <f ca="1">IFERROR(AH111/活动投放!AD111,0)</f>
        <v>1.2980769230769231</v>
      </c>
      <c r="AS111" s="101">
        <f ca="1">IFERROR(AI111/活动投放!AE111,0)</f>
        <v>4.5807453416149073</v>
      </c>
      <c r="AT111" s="101">
        <f ca="1">IFERROR(AJ111/活动投放!AF111,0)</f>
        <v>2.7173913043478262</v>
      </c>
      <c r="AU111" s="101">
        <f ca="1">IFERROR(AK111/活动投放!AG111,0)</f>
        <v>0.75</v>
      </c>
      <c r="AV111" s="101">
        <f ca="1">IFERROR(AL111/活动投放!AH111,0)</f>
        <v>0.75</v>
      </c>
    </row>
    <row r="112" spans="24:48" x14ac:dyDescent="0.15">
      <c r="X112" s="29">
        <f>基础状态预估!C112</f>
        <v>300</v>
      </c>
      <c r="Y112" s="46">
        <f>基础状态预估!D112</f>
        <v>87.370536081129359</v>
      </c>
      <c r="Z112" s="5">
        <f t="shared" ca="1" si="26"/>
        <v>67.5</v>
      </c>
      <c r="AA112" s="5">
        <f t="shared" ca="1" si="27"/>
        <v>208.5</v>
      </c>
      <c r="AB112" s="5">
        <f t="shared" ca="1" si="28"/>
        <v>24</v>
      </c>
      <c r="AC112" s="5">
        <f t="shared" ca="1" si="29"/>
        <v>135</v>
      </c>
      <c r="AD112" s="5">
        <f t="shared" ca="1" si="30"/>
        <v>120</v>
      </c>
      <c r="AE112" s="5">
        <f t="shared" ca="1" si="31"/>
        <v>15900</v>
      </c>
      <c r="AF112" s="5">
        <f t="shared" ca="1" si="32"/>
        <v>7950</v>
      </c>
      <c r="AG112" s="79">
        <f ca="1">AC112+Z112*活动投放!$D$32</f>
        <v>168.75</v>
      </c>
      <c r="AH112" s="79">
        <f ca="1">Z112*活动投放!$E$32</f>
        <v>33.75</v>
      </c>
      <c r="AI112" s="79">
        <f ca="1">AD112+AA112*活动投放!$F$33</f>
        <v>265.95</v>
      </c>
      <c r="AJ112" s="79">
        <f ca="1">AA112*活动投放!$G$33</f>
        <v>62.55</v>
      </c>
      <c r="AK112" s="79">
        <f ca="1">AB112*活动投放!$H$34</f>
        <v>21.6</v>
      </c>
      <c r="AL112" s="79">
        <f ca="1">AB112*活动投放!$I$34</f>
        <v>2.4000000000000004</v>
      </c>
      <c r="AN112" s="29">
        <f t="shared" si="25"/>
        <v>300</v>
      </c>
      <c r="AO112" s="101">
        <f ca="1">IFERROR(AE112/活动投放!AA112,0)</f>
        <v>0.96363636363636362</v>
      </c>
      <c r="AP112" s="101">
        <f ca="1">IFERROR(AF112/活动投放!AB112,0)</f>
        <v>0.7429906542056075</v>
      </c>
      <c r="AQ112" s="101">
        <f ca="1">IFERROR(AG112/活动投放!AC112,0)</f>
        <v>5.818965517241379</v>
      </c>
      <c r="AR112" s="101">
        <f ca="1">IFERROR(AH112/活动投放!AD112,0)</f>
        <v>1.1637931034482758</v>
      </c>
      <c r="AS112" s="101">
        <f ca="1">IFERROR(AI112/活动投放!AE112,0)</f>
        <v>4.8092224231464735</v>
      </c>
      <c r="AT112" s="101">
        <f ca="1">IFERROR(AJ112/活动投放!AF112,0)</f>
        <v>2.6392405063291138</v>
      </c>
      <c r="AU112" s="101">
        <f ca="1">IFERROR(AK112/活动投放!AG112,0)</f>
        <v>0.85714285714285721</v>
      </c>
      <c r="AV112" s="101">
        <f ca="1">IFERROR(AL112/活动投放!AH112,0)</f>
        <v>0.85714285714285721</v>
      </c>
    </row>
    <row r="113" spans="24:48" x14ac:dyDescent="0.15">
      <c r="X113" s="29">
        <f>基础状态预估!C113</f>
        <v>360</v>
      </c>
      <c r="Y113" s="46">
        <f>基础状态预估!D113</f>
        <v>90.241691698216215</v>
      </c>
      <c r="Z113" s="5">
        <f t="shared" ca="1" si="26"/>
        <v>67.5</v>
      </c>
      <c r="AA113" s="5">
        <f t="shared" ca="1" si="27"/>
        <v>250.5</v>
      </c>
      <c r="AB113" s="5">
        <f t="shared" ca="1" si="28"/>
        <v>42</v>
      </c>
      <c r="AC113" s="5">
        <f t="shared" ca="1" si="29"/>
        <v>135</v>
      </c>
      <c r="AD113" s="5">
        <f t="shared" ca="1" si="30"/>
        <v>180</v>
      </c>
      <c r="AE113" s="5">
        <f t="shared" ca="1" si="31"/>
        <v>20700</v>
      </c>
      <c r="AF113" s="5">
        <f t="shared" ca="1" si="32"/>
        <v>10350</v>
      </c>
      <c r="AG113" s="79">
        <f ca="1">AC113+Z113*活动投放!$D$32</f>
        <v>168.75</v>
      </c>
      <c r="AH113" s="79">
        <f ca="1">Z113*活动投放!$E$32</f>
        <v>33.75</v>
      </c>
      <c r="AI113" s="79">
        <f ca="1">AD113+AA113*活动投放!$F$33</f>
        <v>355.35</v>
      </c>
      <c r="AJ113" s="79">
        <f ca="1">AA113*活动投放!$G$33</f>
        <v>75.149999999999991</v>
      </c>
      <c r="AK113" s="79">
        <f ca="1">AB113*活动投放!$H$34</f>
        <v>37.800000000000004</v>
      </c>
      <c r="AL113" s="79">
        <f ca="1">AB113*活动投放!$I$34</f>
        <v>4.2</v>
      </c>
      <c r="AN113" s="29">
        <f t="shared" si="25"/>
        <v>360</v>
      </c>
      <c r="AO113" s="101">
        <f ca="1">IFERROR(AE113/活动投放!AA113,0)</f>
        <v>0.93665158371040724</v>
      </c>
      <c r="AP113" s="101">
        <f ca="1">IFERROR(AF113/活动投放!AB113,0)</f>
        <v>0.72377622377622375</v>
      </c>
      <c r="AQ113" s="101">
        <f ca="1">IFERROR(AG113/活动投放!AC113,0)</f>
        <v>4.8214285714285712</v>
      </c>
      <c r="AR113" s="101">
        <f ca="1">IFERROR(AH113/活动投放!AD113,0)</f>
        <v>0.9642857142857143</v>
      </c>
      <c r="AS113" s="101">
        <f ca="1">IFERROR(AI113/活动投放!AE113,0)</f>
        <v>5.1277056277056285</v>
      </c>
      <c r="AT113" s="101">
        <f ca="1">IFERROR(AJ113/活动投放!AF113,0)</f>
        <v>2.5303030303030303</v>
      </c>
      <c r="AU113" s="101">
        <f ca="1">IFERROR(AK113/活动投放!AG113,0)</f>
        <v>0.80769230769230771</v>
      </c>
      <c r="AV113" s="101">
        <f ca="1">IFERROR(AL113/活动投放!AH113,0)</f>
        <v>0.80769230769230771</v>
      </c>
    </row>
    <row r="114" spans="24:48" x14ac:dyDescent="0.15">
      <c r="X114" s="29">
        <f>基础状态预估!C114</f>
        <v>420</v>
      </c>
      <c r="Y114" s="46">
        <f>基础状态预估!D114</f>
        <v>92.520930542961992</v>
      </c>
      <c r="Z114" s="5">
        <f t="shared" ca="1" si="26"/>
        <v>67.5</v>
      </c>
      <c r="AA114" s="5">
        <f t="shared" ca="1" si="27"/>
        <v>286.5</v>
      </c>
      <c r="AB114" s="5">
        <f t="shared" ca="1" si="28"/>
        <v>66</v>
      </c>
      <c r="AC114" s="5">
        <f t="shared" ca="1" si="29"/>
        <v>135</v>
      </c>
      <c r="AD114" s="5">
        <f t="shared" ca="1" si="30"/>
        <v>240</v>
      </c>
      <c r="AE114" s="5">
        <f t="shared" ca="1" si="31"/>
        <v>26100</v>
      </c>
      <c r="AF114" s="5">
        <f t="shared" ca="1" si="32"/>
        <v>13350</v>
      </c>
      <c r="AG114" s="79">
        <f ca="1">AC114+Z114*活动投放!$D$32</f>
        <v>168.75</v>
      </c>
      <c r="AH114" s="79">
        <f ca="1">Z114*活动投放!$E$32</f>
        <v>33.75</v>
      </c>
      <c r="AI114" s="79">
        <f ca="1">AD114+AA114*活动投放!$F$33</f>
        <v>440.54999999999995</v>
      </c>
      <c r="AJ114" s="79">
        <f ca="1">AA114*活动投放!$G$33</f>
        <v>85.95</v>
      </c>
      <c r="AK114" s="79">
        <f ca="1">AB114*活动投放!$H$34</f>
        <v>59.4</v>
      </c>
      <c r="AL114" s="79">
        <f ca="1">AB114*活动投放!$I$34</f>
        <v>6.6000000000000005</v>
      </c>
      <c r="AN114" s="29">
        <f t="shared" si="25"/>
        <v>420</v>
      </c>
      <c r="AO114" s="101">
        <f ca="1">IFERROR(AE114/活动投放!AA114,0)</f>
        <v>0.92882562277580072</v>
      </c>
      <c r="AP114" s="101">
        <f ca="1">IFERROR(AF114/活动投放!AB114,0)</f>
        <v>0.72950819672131151</v>
      </c>
      <c r="AQ114" s="101">
        <f ca="1">IFERROR(AG114/活动投放!AC114,0)</f>
        <v>4.1158536585365857</v>
      </c>
      <c r="AR114" s="101">
        <f ca="1">IFERROR(AH114/活动投放!AD114,0)</f>
        <v>0.82317073170731703</v>
      </c>
      <c r="AS114" s="101">
        <f ca="1">IFERROR(AI114/活动投放!AE114,0)</f>
        <v>5.2887154861944774</v>
      </c>
      <c r="AT114" s="101">
        <f ca="1">IFERROR(AJ114/活动投放!AF114,0)</f>
        <v>2.4075630252100844</v>
      </c>
      <c r="AU114" s="101">
        <f ca="1">IFERROR(AK114/活动投放!AG114,0)</f>
        <v>0.82499999999999996</v>
      </c>
      <c r="AV114" s="101">
        <f ca="1">IFERROR(AL114/活动投放!AH114,0)</f>
        <v>0.82500000000000007</v>
      </c>
    </row>
    <row r="115" spans="24:48" x14ac:dyDescent="0.15">
      <c r="X115" s="29">
        <f>基础状态预估!C115</f>
        <v>480</v>
      </c>
      <c r="Y115" s="46">
        <f>基础状态预估!D115</f>
        <v>94.499876682726793</v>
      </c>
      <c r="Z115" s="5">
        <f t="shared" ca="1" si="26"/>
        <v>67.5</v>
      </c>
      <c r="AA115" s="5">
        <f t="shared" ca="1" si="27"/>
        <v>322.5</v>
      </c>
      <c r="AB115" s="5">
        <f t="shared" ca="1" si="28"/>
        <v>90</v>
      </c>
      <c r="AC115" s="5">
        <f t="shared" ca="1" si="29"/>
        <v>135</v>
      </c>
      <c r="AD115" s="5">
        <f t="shared" ca="1" si="30"/>
        <v>300</v>
      </c>
      <c r="AE115" s="5">
        <f t="shared" ca="1" si="31"/>
        <v>31500</v>
      </c>
      <c r="AF115" s="5">
        <f t="shared" ca="1" si="32"/>
        <v>16350</v>
      </c>
      <c r="AG115" s="79">
        <f ca="1">AC115+Z115*活动投放!$D$32</f>
        <v>168.75</v>
      </c>
      <c r="AH115" s="79">
        <f ca="1">Z115*活动投放!$E$32</f>
        <v>33.75</v>
      </c>
      <c r="AI115" s="79">
        <f ca="1">AD115+AA115*活动投放!$F$33</f>
        <v>525.75</v>
      </c>
      <c r="AJ115" s="79">
        <f ca="1">AA115*活动投放!$G$33</f>
        <v>96.75</v>
      </c>
      <c r="AK115" s="79">
        <f ca="1">AB115*活动投放!$H$34</f>
        <v>81</v>
      </c>
      <c r="AL115" s="79">
        <f ca="1">AB115*活动投放!$I$34</f>
        <v>9</v>
      </c>
      <c r="AN115" s="29">
        <f t="shared" si="25"/>
        <v>480</v>
      </c>
      <c r="AO115" s="101">
        <f ca="1">IFERROR(AE115/活动投放!AA115,0)</f>
        <v>0.92375366568914952</v>
      </c>
      <c r="AP115" s="101">
        <f ca="1">IFERROR(AF115/活动投放!AB115,0)</f>
        <v>0.73318385650224216</v>
      </c>
      <c r="AQ115" s="101">
        <f ca="1">IFERROR(AG115/活动投放!AC115,0)</f>
        <v>3.5904255319148937</v>
      </c>
      <c r="AR115" s="101">
        <f ca="1">IFERROR(AH115/活动投放!AD115,0)</f>
        <v>0.71808510638297873</v>
      </c>
      <c r="AS115" s="101">
        <f ca="1">IFERROR(AI115/活动投放!AE115,0)</f>
        <v>5.4033915724563206</v>
      </c>
      <c r="AT115" s="101">
        <f ca="1">IFERROR(AJ115/活动投放!AF115,0)</f>
        <v>2.3201438848920866</v>
      </c>
      <c r="AU115" s="101">
        <f ca="1">IFERROR(AK115/活动投放!AG115,0)</f>
        <v>0.83333333333333326</v>
      </c>
      <c r="AV115" s="101">
        <f ca="1">IFERROR(AL115/活动投放!AH115,0)</f>
        <v>0.83333333333333326</v>
      </c>
    </row>
    <row r="116" spans="24:48" x14ac:dyDescent="0.15">
      <c r="X116" s="29">
        <f>基础状态预估!C116</f>
        <v>540</v>
      </c>
      <c r="Y116" s="46">
        <f>基础状态预估!D116</f>
        <v>96.254819565842766</v>
      </c>
      <c r="Z116" s="5">
        <f t="shared" ca="1" si="26"/>
        <v>67.5</v>
      </c>
      <c r="AA116" s="5">
        <f t="shared" ca="1" si="27"/>
        <v>352.5</v>
      </c>
      <c r="AB116" s="5">
        <f t="shared" ca="1" si="28"/>
        <v>120</v>
      </c>
      <c r="AC116" s="5">
        <f t="shared" ca="1" si="29"/>
        <v>135</v>
      </c>
      <c r="AD116" s="5">
        <f t="shared" ca="1" si="30"/>
        <v>360</v>
      </c>
      <c r="AE116" s="5">
        <f t="shared" ca="1" si="31"/>
        <v>37500</v>
      </c>
      <c r="AF116" s="5">
        <f t="shared" ca="1" si="32"/>
        <v>19950</v>
      </c>
      <c r="AG116" s="79">
        <f ca="1">AC116+Z116*活动投放!$D$32</f>
        <v>168.75</v>
      </c>
      <c r="AH116" s="79">
        <f ca="1">Z116*活动投放!$E$32</f>
        <v>33.75</v>
      </c>
      <c r="AI116" s="79">
        <f ca="1">AD116+AA116*活动投放!$F$33</f>
        <v>606.75</v>
      </c>
      <c r="AJ116" s="79">
        <f ca="1">AA116*活动投放!$G$33</f>
        <v>105.75</v>
      </c>
      <c r="AK116" s="79">
        <f ca="1">AB116*活动投放!$H$34</f>
        <v>108</v>
      </c>
      <c r="AL116" s="79">
        <f ca="1">AB116*活动投放!$I$34</f>
        <v>12</v>
      </c>
      <c r="AN116" s="29">
        <f t="shared" si="25"/>
        <v>540</v>
      </c>
      <c r="AO116" s="101">
        <f ca="1">IFERROR(AE116/活动投放!AA116,0)</f>
        <v>0.92592592592592593</v>
      </c>
      <c r="AP116" s="101">
        <f ca="1">IFERROR(AF116/活动投放!AB116,0)</f>
        <v>0.75283018867924534</v>
      </c>
      <c r="AQ116" s="101">
        <f ca="1">IFERROR(AG116/活动投放!AC116,0)</f>
        <v>3.1839622641509435</v>
      </c>
      <c r="AR116" s="101">
        <f ca="1">IFERROR(AH116/活动投放!AD116,0)</f>
        <v>0.6367924528301887</v>
      </c>
      <c r="AS116" s="101">
        <f ca="1">IFERROR(AI116/活动投放!AE116,0)</f>
        <v>5.4514824797843664</v>
      </c>
      <c r="AT116" s="101">
        <f ca="1">IFERROR(AJ116/活动投放!AF116,0)</f>
        <v>2.216981132075472</v>
      </c>
      <c r="AU116" s="101">
        <f ca="1">IFERROR(AK116/活动投放!AG116,0)</f>
        <v>0.8571428571428571</v>
      </c>
      <c r="AV116" s="101">
        <f ca="1">IFERROR(AL116/活动投放!AH116,0)</f>
        <v>0.8571428571428571</v>
      </c>
    </row>
    <row r="117" spans="24:48" x14ac:dyDescent="0.15">
      <c r="X117" s="29">
        <f>基础状态预估!C117</f>
        <v>600</v>
      </c>
      <c r="Y117" s="46">
        <f>基础状态预估!D117</f>
        <v>97.702742999048837</v>
      </c>
      <c r="Z117" s="5">
        <f t="shared" ca="1" si="26"/>
        <v>67.5</v>
      </c>
      <c r="AA117" s="5">
        <f t="shared" ca="1" si="27"/>
        <v>382.5</v>
      </c>
      <c r="AB117" s="5">
        <f t="shared" ca="1" si="28"/>
        <v>150</v>
      </c>
      <c r="AC117" s="5">
        <f t="shared" ca="1" si="29"/>
        <v>135</v>
      </c>
      <c r="AD117" s="5">
        <f t="shared" ca="1" si="30"/>
        <v>420</v>
      </c>
      <c r="AE117" s="5">
        <f t="shared" ca="1" si="31"/>
        <v>43500</v>
      </c>
      <c r="AF117" s="5">
        <f t="shared" ca="1" si="32"/>
        <v>23550</v>
      </c>
      <c r="AG117" s="79">
        <f ca="1">AC117+Z117*活动投放!$D$32</f>
        <v>168.75</v>
      </c>
      <c r="AH117" s="79">
        <f ca="1">Z117*活动投放!$E$32</f>
        <v>33.75</v>
      </c>
      <c r="AI117" s="79">
        <f ca="1">AD117+AA117*活动投放!$F$33</f>
        <v>687.75</v>
      </c>
      <c r="AJ117" s="79">
        <f ca="1">AA117*活动投放!$G$33</f>
        <v>114.75</v>
      </c>
      <c r="AK117" s="79">
        <f ca="1">AB117*活动投放!$H$34</f>
        <v>135</v>
      </c>
      <c r="AL117" s="79">
        <f ca="1">AB117*活动投放!$I$34</f>
        <v>15</v>
      </c>
      <c r="AN117" s="29">
        <f t="shared" si="25"/>
        <v>600</v>
      </c>
      <c r="AO117" s="101">
        <f ca="1">IFERROR(AE117/活动投放!AA117,0)</f>
        <v>0.91966173361522197</v>
      </c>
      <c r="AP117" s="101">
        <f ca="1">IFERROR(AF117/活动投放!AB117,0)</f>
        <v>0.76213592233009708</v>
      </c>
      <c r="AQ117" s="101">
        <f ca="1">IFERROR(AG117/活动投放!AC117,0)</f>
        <v>2.8601694915254239</v>
      </c>
      <c r="AR117" s="101">
        <f ca="1">IFERROR(AH117/活动投放!AD117,0)</f>
        <v>0.57203389830508478</v>
      </c>
      <c r="AS117" s="101">
        <f ca="1">IFERROR(AI117/活动投放!AE117,0)</f>
        <v>5.488826815642458</v>
      </c>
      <c r="AT117" s="101">
        <f ca="1">IFERROR(AJ117/活动投放!AF117,0)</f>
        <v>2.1368715083798886</v>
      </c>
      <c r="AU117" s="101">
        <f ca="1">IFERROR(AK117/活动投放!AG117,0)</f>
        <v>0.85227272727272729</v>
      </c>
      <c r="AV117" s="101">
        <f ca="1">IFERROR(AL117/活动投放!AH117,0)</f>
        <v>0.85227272727272718</v>
      </c>
    </row>
    <row r="118" spans="24:48" x14ac:dyDescent="0.15">
      <c r="X118" s="29">
        <f>基础状态预估!C118</f>
        <v>660</v>
      </c>
      <c r="Y118" s="46">
        <f>基础状态预估!D118</f>
        <v>99.028118033845786</v>
      </c>
      <c r="Z118" s="5">
        <f t="shared" ca="1" si="26"/>
        <v>67.5</v>
      </c>
      <c r="AA118" s="5">
        <f t="shared" ca="1" si="27"/>
        <v>406.5</v>
      </c>
      <c r="AB118" s="5">
        <f t="shared" ca="1" si="28"/>
        <v>186</v>
      </c>
      <c r="AC118" s="5">
        <f t="shared" ca="1" si="29"/>
        <v>135</v>
      </c>
      <c r="AD118" s="5">
        <f t="shared" ca="1" si="30"/>
        <v>480</v>
      </c>
      <c r="AE118" s="5">
        <f t="shared" ca="1" si="31"/>
        <v>50700</v>
      </c>
      <c r="AF118" s="5">
        <f t="shared" ca="1" si="32"/>
        <v>27750</v>
      </c>
      <c r="AG118" s="79">
        <f ca="1">AC118+Z118*活动投放!$D$32</f>
        <v>168.75</v>
      </c>
      <c r="AH118" s="79">
        <f ca="1">Z118*活动投放!$E$32</f>
        <v>33.75</v>
      </c>
      <c r="AI118" s="79">
        <f ca="1">AD118+AA118*活动投放!$F$33</f>
        <v>764.55</v>
      </c>
      <c r="AJ118" s="79">
        <f ca="1">AA118*活动投放!$G$33</f>
        <v>121.94999999999999</v>
      </c>
      <c r="AK118" s="79">
        <f ca="1">AB118*活动投放!$H$34</f>
        <v>167.4</v>
      </c>
      <c r="AL118" s="79">
        <f ca="1">AB118*活动投放!$I$34</f>
        <v>18.600000000000001</v>
      </c>
      <c r="AN118" s="29">
        <f t="shared" si="25"/>
        <v>660</v>
      </c>
      <c r="AO118" s="101">
        <f ca="1">IFERROR(AE118/活动投放!AA118,0)</f>
        <v>0.93715341959334564</v>
      </c>
      <c r="AP118" s="101">
        <f ca="1">IFERROR(AF118/活动投放!AB118,0)</f>
        <v>0.78611898016997173</v>
      </c>
      <c r="AQ118" s="101">
        <f ca="1">IFERROR(AG118/活动投放!AC118,0)</f>
        <v>2.5961538461538463</v>
      </c>
      <c r="AR118" s="101">
        <f ca="1">IFERROR(AH118/活动投放!AD118,0)</f>
        <v>0.51923076923076927</v>
      </c>
      <c r="AS118" s="101">
        <f ca="1">IFERROR(AI118/活动投放!AE118,0)</f>
        <v>5.4885139985642502</v>
      </c>
      <c r="AT118" s="101">
        <f ca="1">IFERROR(AJ118/活动投放!AF118,0)</f>
        <v>2.0427135678391961</v>
      </c>
      <c r="AU118" s="101">
        <f ca="1">IFERROR(AK118/活动投放!AG118,0)</f>
        <v>0.87735849056603776</v>
      </c>
      <c r="AV118" s="101">
        <f ca="1">IFERROR(AL118/活动投放!AH118,0)</f>
        <v>0.87735849056603765</v>
      </c>
    </row>
    <row r="119" spans="24:48" x14ac:dyDescent="0.15">
      <c r="X119" s="29">
        <f>基础状态预估!C119</f>
        <v>720</v>
      </c>
      <c r="Y119" s="46">
        <f>基础状态预估!D119</f>
        <v>100.26856904007842</v>
      </c>
      <c r="Z119" s="5">
        <f t="shared" ca="1" si="26"/>
        <v>67.5</v>
      </c>
      <c r="AA119" s="5">
        <f t="shared" ca="1" si="27"/>
        <v>430.5</v>
      </c>
      <c r="AB119" s="5">
        <f t="shared" ca="1" si="28"/>
        <v>222</v>
      </c>
      <c r="AC119" s="5">
        <f t="shared" ca="1" si="29"/>
        <v>135</v>
      </c>
      <c r="AD119" s="5">
        <f t="shared" ca="1" si="30"/>
        <v>540</v>
      </c>
      <c r="AE119" s="5">
        <f t="shared" ca="1" si="31"/>
        <v>57900</v>
      </c>
      <c r="AF119" s="5">
        <f t="shared" ca="1" si="32"/>
        <v>31950</v>
      </c>
      <c r="AG119" s="79">
        <f ca="1">AC119+Z119*活动投放!$D$32</f>
        <v>168.75</v>
      </c>
      <c r="AH119" s="79">
        <f ca="1">Z119*活动投放!$E$32</f>
        <v>33.75</v>
      </c>
      <c r="AI119" s="79">
        <f ca="1">AD119+AA119*活动投放!$F$33</f>
        <v>841.34999999999991</v>
      </c>
      <c r="AJ119" s="79">
        <f ca="1">AA119*活动投放!$G$33</f>
        <v>129.15</v>
      </c>
      <c r="AK119" s="79">
        <f ca="1">AB119*活动投放!$H$34</f>
        <v>199.8</v>
      </c>
      <c r="AL119" s="79">
        <f ca="1">AB119*活动投放!$I$34</f>
        <v>22.200000000000003</v>
      </c>
      <c r="AN119" s="29">
        <f t="shared" si="25"/>
        <v>720</v>
      </c>
      <c r="AO119" s="101">
        <f ca="1">IFERROR(AE119/活动投放!AA119,0)</f>
        <v>0.94453507340946163</v>
      </c>
      <c r="AP119" s="101">
        <f ca="1">IFERROR(AF119/活动投放!AB119,0)</f>
        <v>0.79675810473815456</v>
      </c>
      <c r="AQ119" s="101">
        <f ca="1">IFERROR(AG119/活动投放!AC119,0)</f>
        <v>2.3767605633802815</v>
      </c>
      <c r="AR119" s="101">
        <f ca="1">IFERROR(AH119/活动投放!AD119,0)</f>
        <v>0.47535211267605632</v>
      </c>
      <c r="AS119" s="101">
        <f ca="1">IFERROR(AI119/活动投放!AE119,0)</f>
        <v>5.4882583170254406</v>
      </c>
      <c r="AT119" s="101">
        <f ca="1">IFERROR(AJ119/活动投放!AF119,0)</f>
        <v>1.9657534246575343</v>
      </c>
      <c r="AU119" s="101">
        <f ca="1">IFERROR(AK119/活动投放!AG119,0)</f>
        <v>0.88095238095238093</v>
      </c>
      <c r="AV119" s="101">
        <f ca="1">IFERROR(AL119/活动投放!AH119,0)</f>
        <v>0.88095238095238093</v>
      </c>
    </row>
    <row r="120" spans="24:48" x14ac:dyDescent="0.15">
      <c r="X120" s="29">
        <f>基础状态预估!C120</f>
        <v>780</v>
      </c>
      <c r="Y120" s="46">
        <f>基础状态预估!D120</f>
        <v>101.47512451488986</v>
      </c>
      <c r="Z120" s="5">
        <f t="shared" ca="1" si="26"/>
        <v>67.5</v>
      </c>
      <c r="AA120" s="5">
        <f t="shared" ca="1" si="27"/>
        <v>454.5</v>
      </c>
      <c r="AB120" s="5">
        <f t="shared" ca="1" si="28"/>
        <v>258</v>
      </c>
      <c r="AC120" s="5">
        <f t="shared" ca="1" si="29"/>
        <v>135</v>
      </c>
      <c r="AD120" s="5">
        <f t="shared" ca="1" si="30"/>
        <v>600</v>
      </c>
      <c r="AE120" s="5">
        <f t="shared" ca="1" si="31"/>
        <v>65100</v>
      </c>
      <c r="AF120" s="5">
        <f t="shared" ca="1" si="32"/>
        <v>36150</v>
      </c>
      <c r="AG120" s="79">
        <f ca="1">AC120+Z120*活动投放!$D$32</f>
        <v>168.75</v>
      </c>
      <c r="AH120" s="79">
        <f ca="1">Z120*活动投放!$E$32</f>
        <v>33.75</v>
      </c>
      <c r="AI120" s="79">
        <f ca="1">AD120+AA120*活动投放!$F$33</f>
        <v>918.15</v>
      </c>
      <c r="AJ120" s="79">
        <f ca="1">AA120*活动投放!$G$33</f>
        <v>136.35</v>
      </c>
      <c r="AK120" s="79">
        <f ca="1">AB120*活动投放!$H$34</f>
        <v>232.20000000000002</v>
      </c>
      <c r="AL120" s="79">
        <f ca="1">AB120*活动投放!$I$34</f>
        <v>25.8</v>
      </c>
      <c r="AN120" s="29">
        <f t="shared" si="25"/>
        <v>780</v>
      </c>
      <c r="AO120" s="101">
        <f ca="1">IFERROR(AE120/活动投放!AA120,0)</f>
        <v>0.95036496350364963</v>
      </c>
      <c r="AP120" s="101">
        <f ca="1">IFERROR(AF120/活动投放!AB120,0)</f>
        <v>0.80512249443207129</v>
      </c>
      <c r="AQ120" s="101">
        <f ca="1">IFERROR(AG120/活动投放!AC120,0)</f>
        <v>2.1915584415584415</v>
      </c>
      <c r="AR120" s="101">
        <f ca="1">IFERROR(AH120/活动投放!AD120,0)</f>
        <v>0.43831168831168832</v>
      </c>
      <c r="AS120" s="101">
        <f ca="1">IFERROR(AI120/活动投放!AE120,0)</f>
        <v>5.4880454273759716</v>
      </c>
      <c r="AT120" s="101">
        <f ca="1">IFERROR(AJ120/活动投放!AF120,0)</f>
        <v>1.901673640167364</v>
      </c>
      <c r="AU120" s="101">
        <f ca="1">IFERROR(AK120/活动投放!AG120,0)</f>
        <v>0.88356164383561642</v>
      </c>
      <c r="AV120" s="101">
        <f ca="1">IFERROR(AL120/活动投放!AH120,0)</f>
        <v>0.88356164383561642</v>
      </c>
    </row>
    <row r="121" spans="24:48" x14ac:dyDescent="0.15">
      <c r="X121" s="29">
        <f>基础状态预估!C121</f>
        <v>840</v>
      </c>
      <c r="Y121" s="46">
        <f>基础状态预估!D121</f>
        <v>102.61094151224314</v>
      </c>
      <c r="Z121" s="5">
        <f t="shared" ca="1" si="26"/>
        <v>67.5</v>
      </c>
      <c r="AA121" s="5">
        <f t="shared" ca="1" si="27"/>
        <v>478.5</v>
      </c>
      <c r="AB121" s="5">
        <f t="shared" ca="1" si="28"/>
        <v>294</v>
      </c>
      <c r="AC121" s="5">
        <f t="shared" ca="1" si="29"/>
        <v>135</v>
      </c>
      <c r="AD121" s="5">
        <f t="shared" ca="1" si="30"/>
        <v>660</v>
      </c>
      <c r="AE121" s="5">
        <f t="shared" ca="1" si="31"/>
        <v>72300</v>
      </c>
      <c r="AF121" s="5">
        <f t="shared" ca="1" si="32"/>
        <v>40350</v>
      </c>
      <c r="AG121" s="79">
        <f ca="1">AC121+Z121*活动投放!$D$32</f>
        <v>168.75</v>
      </c>
      <c r="AH121" s="79">
        <f ca="1">Z121*活动投放!$E$32</f>
        <v>33.75</v>
      </c>
      <c r="AI121" s="79">
        <f ca="1">AD121+AA121*活动投放!$F$33</f>
        <v>994.95</v>
      </c>
      <c r="AJ121" s="79">
        <f ca="1">AA121*活动投放!$G$33</f>
        <v>143.54999999999998</v>
      </c>
      <c r="AK121" s="79">
        <f ca="1">AB121*活动投放!$H$34</f>
        <v>264.60000000000002</v>
      </c>
      <c r="AL121" s="79">
        <f ca="1">AB121*活动投放!$I$34</f>
        <v>29.400000000000002</v>
      </c>
      <c r="AN121" s="29">
        <f t="shared" si="25"/>
        <v>840</v>
      </c>
      <c r="AO121" s="101">
        <f ca="1">IFERROR(AE121/活动投放!AA121,0)</f>
        <v>0.95006570302233906</v>
      </c>
      <c r="AP121" s="101">
        <f ca="1">IFERROR(AF121/活动投放!AB121,0)</f>
        <v>0.80861723446893785</v>
      </c>
      <c r="AQ121" s="101">
        <f ca="1">IFERROR(AG121/活动投放!AC121,0)</f>
        <v>2.0331325301204819</v>
      </c>
      <c r="AR121" s="101">
        <f ca="1">IFERROR(AH121/活动投放!AD121,0)</f>
        <v>0.40662650602409639</v>
      </c>
      <c r="AS121" s="101">
        <f ca="1">IFERROR(AI121/活动投放!AE121,0)</f>
        <v>5.4878654164368461</v>
      </c>
      <c r="AT121" s="101">
        <f ca="1">IFERROR(AJ121/活动投放!AF121,0)</f>
        <v>1.8474903474903472</v>
      </c>
      <c r="AU121" s="101">
        <f ca="1">IFERROR(AK121/活动投放!AG121,0)</f>
        <v>0.875</v>
      </c>
      <c r="AV121" s="101">
        <f ca="1">IFERROR(AL121/活动投放!AH121,0)</f>
        <v>0.875</v>
      </c>
    </row>
    <row r="122" spans="24:48" x14ac:dyDescent="0.15">
      <c r="X122" s="29">
        <f>基础状态预估!C122</f>
        <v>900</v>
      </c>
      <c r="Y122" s="46">
        <f>基础状态预估!D122</f>
        <v>103.60238266350056</v>
      </c>
      <c r="Z122" s="5">
        <f t="shared" ca="1" si="26"/>
        <v>67.5</v>
      </c>
      <c r="AA122" s="5">
        <f t="shared" ca="1" si="27"/>
        <v>502.5</v>
      </c>
      <c r="AB122" s="5">
        <f t="shared" ca="1" si="28"/>
        <v>330</v>
      </c>
      <c r="AC122" s="5">
        <f t="shared" ca="1" si="29"/>
        <v>135</v>
      </c>
      <c r="AD122" s="5">
        <f t="shared" ca="1" si="30"/>
        <v>720</v>
      </c>
      <c r="AE122" s="5">
        <f t="shared" ca="1" si="31"/>
        <v>79500</v>
      </c>
      <c r="AF122" s="5">
        <f t="shared" ca="1" si="32"/>
        <v>44550</v>
      </c>
      <c r="AG122" s="79">
        <f ca="1">AC122+Z122*活动投放!$D$32</f>
        <v>168.75</v>
      </c>
      <c r="AH122" s="79">
        <f ca="1">Z122*活动投放!$E$32</f>
        <v>33.75</v>
      </c>
      <c r="AI122" s="79">
        <f ca="1">AD122+AA122*活动投放!$F$33</f>
        <v>1071.75</v>
      </c>
      <c r="AJ122" s="79">
        <f ca="1">AA122*活动投放!$G$33</f>
        <v>150.75</v>
      </c>
      <c r="AK122" s="79">
        <f ca="1">AB122*活动投放!$H$34</f>
        <v>297</v>
      </c>
      <c r="AL122" s="79">
        <f ca="1">AB122*活动投放!$I$34</f>
        <v>33</v>
      </c>
      <c r="AN122" s="29">
        <f t="shared" si="25"/>
        <v>900</v>
      </c>
      <c r="AO122" s="101">
        <f ca="1">IFERROR(AE122/活动投放!AA122,0)</f>
        <v>0.94982078853046592</v>
      </c>
      <c r="AP122" s="101">
        <f ca="1">IFERROR(AF122/活动投放!AB122,0)</f>
        <v>0.81147540983606559</v>
      </c>
      <c r="AQ122" s="101">
        <f ca="1">IFERROR(AG122/活动投放!AC122,0)</f>
        <v>1.896067415730337</v>
      </c>
      <c r="AR122" s="101">
        <f ca="1">IFERROR(AH122/活动投放!AD122,0)</f>
        <v>0.3792134831460674</v>
      </c>
      <c r="AS122" s="101">
        <f ca="1">IFERROR(AI122/活动投放!AE122,0)</f>
        <v>5.4877112135176658</v>
      </c>
      <c r="AT122" s="101">
        <f ca="1">IFERROR(AJ122/活动投放!AF122,0)</f>
        <v>1.8010752688172043</v>
      </c>
      <c r="AU122" s="101">
        <f ca="1">IFERROR(AK122/活动投放!AG122,0)</f>
        <v>0.86842105263157898</v>
      </c>
      <c r="AV122" s="101">
        <f ca="1">IFERROR(AL122/活动投放!AH122,0)</f>
        <v>0.86842105263157898</v>
      </c>
    </row>
    <row r="123" spans="24:48" x14ac:dyDescent="0.15">
      <c r="X123" s="29">
        <f>基础状态预估!C123</f>
        <v>1020</v>
      </c>
      <c r="Y123" s="46">
        <f>基础状态预估!D123</f>
        <v>105.37513360458028</v>
      </c>
      <c r="Z123" s="5">
        <f t="shared" ca="1" si="26"/>
        <v>67.5</v>
      </c>
      <c r="AA123" s="5">
        <f t="shared" ca="1" si="27"/>
        <v>550.5</v>
      </c>
      <c r="AB123" s="5">
        <f t="shared" ca="1" si="28"/>
        <v>402</v>
      </c>
      <c r="AC123" s="5">
        <f t="shared" ca="1" si="29"/>
        <v>135</v>
      </c>
      <c r="AD123" s="5">
        <f t="shared" ca="1" si="30"/>
        <v>840</v>
      </c>
      <c r="AE123" s="5">
        <f t="shared" ca="1" si="31"/>
        <v>93900</v>
      </c>
      <c r="AF123" s="5">
        <f t="shared" ca="1" si="32"/>
        <v>52950</v>
      </c>
      <c r="AG123" s="79">
        <f ca="1">AC123+Z123*活动投放!$D$32</f>
        <v>168.75</v>
      </c>
      <c r="AH123" s="79">
        <f ca="1">Z123*活动投放!$E$32</f>
        <v>33.75</v>
      </c>
      <c r="AI123" s="79">
        <f ca="1">AD123+AA123*活动投放!$F$33</f>
        <v>1225.3499999999999</v>
      </c>
      <c r="AJ123" s="79">
        <f ca="1">AA123*活动投放!$G$33</f>
        <v>165.15</v>
      </c>
      <c r="AK123" s="79">
        <f ca="1">AB123*活动投放!$H$34</f>
        <v>361.8</v>
      </c>
      <c r="AL123" s="79">
        <f ca="1">AB123*活动投放!$I$34</f>
        <v>40.200000000000003</v>
      </c>
      <c r="AN123" s="29">
        <f t="shared" si="25"/>
        <v>1020</v>
      </c>
      <c r="AO123" s="101">
        <f ca="1">IFERROR(AE123/活动投放!AA123,0)</f>
        <v>0.94944388270980784</v>
      </c>
      <c r="AP123" s="101">
        <f ca="1">IFERROR(AF123/活动投放!AB123,0)</f>
        <v>0.81587057010785824</v>
      </c>
      <c r="AQ123" s="101">
        <f ca="1">IFERROR(AG123/活动投放!AC123,0)</f>
        <v>1.6707920792079207</v>
      </c>
      <c r="AR123" s="101">
        <f ca="1">IFERROR(AH123/活动投放!AD123,0)</f>
        <v>0.33415841584158418</v>
      </c>
      <c r="AS123" s="101">
        <f ca="1">IFERROR(AI123/活动投放!AE123,0)</f>
        <v>5.4874608150470223</v>
      </c>
      <c r="AT123" s="101">
        <f ca="1">IFERROR(AJ123/活动投放!AF123,0)</f>
        <v>1.7257053291536051</v>
      </c>
      <c r="AU123" s="101">
        <f ca="1">IFERROR(AK123/活动投放!AG123,0)</f>
        <v>0.85897435897435903</v>
      </c>
      <c r="AV123" s="101">
        <f ca="1">IFERROR(AL123/活动投放!AH123,0)</f>
        <v>0.85897435897435892</v>
      </c>
    </row>
    <row r="124" spans="24:48" x14ac:dyDescent="0.15">
      <c r="X124" s="29">
        <f>基础状态预估!C124</f>
        <v>1140</v>
      </c>
      <c r="Y124" s="46">
        <f>基础状态预估!D124</f>
        <v>106.97877061452158</v>
      </c>
      <c r="Z124" s="5">
        <f t="shared" ca="1" si="26"/>
        <v>67.5</v>
      </c>
      <c r="AA124" s="5">
        <f t="shared" ca="1" si="27"/>
        <v>598.5</v>
      </c>
      <c r="AB124" s="5">
        <f t="shared" ca="1" si="28"/>
        <v>474</v>
      </c>
      <c r="AC124" s="5">
        <f t="shared" ca="1" si="29"/>
        <v>135</v>
      </c>
      <c r="AD124" s="5">
        <f t="shared" ca="1" si="30"/>
        <v>960</v>
      </c>
      <c r="AE124" s="5">
        <f t="shared" ca="1" si="31"/>
        <v>108300</v>
      </c>
      <c r="AF124" s="5">
        <f t="shared" ca="1" si="32"/>
        <v>61350</v>
      </c>
      <c r="AG124" s="79">
        <f ca="1">AC124+Z124*活动投放!$D$32</f>
        <v>168.75</v>
      </c>
      <c r="AH124" s="79">
        <f ca="1">Z124*活动投放!$E$32</f>
        <v>33.75</v>
      </c>
      <c r="AI124" s="79">
        <f ca="1">AD124+AA124*活动投放!$F$33</f>
        <v>1378.95</v>
      </c>
      <c r="AJ124" s="79">
        <f ca="1">AA124*活动投放!$G$33</f>
        <v>179.54999999999998</v>
      </c>
      <c r="AK124" s="79">
        <f ca="1">AB124*活动投放!$H$34</f>
        <v>426.6</v>
      </c>
      <c r="AL124" s="79">
        <f ca="1">AB124*活动投放!$I$34</f>
        <v>47.400000000000006</v>
      </c>
      <c r="AN124" s="29">
        <f t="shared" si="25"/>
        <v>1140</v>
      </c>
      <c r="AO124" s="101">
        <f ca="1">IFERROR(AE124/活动投放!AA124,0)</f>
        <v>0.94255874673629247</v>
      </c>
      <c r="AP124" s="101">
        <f ca="1">IFERROR(AF124/活动投放!AB124,0)</f>
        <v>0.81474103585657376</v>
      </c>
      <c r="AQ124" s="101">
        <f ca="1">IFERROR(AG124/活动投放!AC124,0)</f>
        <v>1.4933628318584071</v>
      </c>
      <c r="AR124" s="101">
        <f ca="1">IFERROR(AH124/活动投放!AD124,0)</f>
        <v>0.29867256637168144</v>
      </c>
      <c r="AS124" s="101">
        <f ca="1">IFERROR(AI124/活动投放!AE124,0)</f>
        <v>5.4872662156784724</v>
      </c>
      <c r="AT124" s="101">
        <f ca="1">IFERROR(AJ124/活动投放!AF124,0)</f>
        <v>1.6671309192200554</v>
      </c>
      <c r="AU124" s="101">
        <f ca="1">IFERROR(AK124/活动投放!AG124,0)</f>
        <v>0.84042553191489366</v>
      </c>
      <c r="AV124" s="101">
        <f ca="1">IFERROR(AL124/活动投放!AH124,0)</f>
        <v>0.84042553191489366</v>
      </c>
    </row>
    <row r="125" spans="24:48" x14ac:dyDescent="0.15">
      <c r="X125" s="29">
        <f>基础状态预估!C125</f>
        <v>1260</v>
      </c>
      <c r="Y125" s="46">
        <f>基础状态预估!D125</f>
        <v>108.50202374400071</v>
      </c>
      <c r="Z125" s="5">
        <f t="shared" ca="1" si="26"/>
        <v>67.5</v>
      </c>
      <c r="AA125" s="5">
        <f t="shared" ca="1" si="27"/>
        <v>646.5</v>
      </c>
      <c r="AB125" s="5">
        <f t="shared" ca="1" si="28"/>
        <v>546</v>
      </c>
      <c r="AC125" s="5">
        <f t="shared" ca="1" si="29"/>
        <v>135</v>
      </c>
      <c r="AD125" s="5">
        <f t="shared" ca="1" si="30"/>
        <v>1080</v>
      </c>
      <c r="AE125" s="5">
        <f t="shared" ca="1" si="31"/>
        <v>122700</v>
      </c>
      <c r="AF125" s="5">
        <f t="shared" ca="1" si="32"/>
        <v>69750</v>
      </c>
      <c r="AG125" s="79">
        <f ca="1">AC125+Z125*活动投放!$D$32</f>
        <v>168.75</v>
      </c>
      <c r="AH125" s="79">
        <f ca="1">Z125*活动投放!$E$32</f>
        <v>33.75</v>
      </c>
      <c r="AI125" s="79">
        <f ca="1">AD125+AA125*活动投放!$F$33</f>
        <v>1532.55</v>
      </c>
      <c r="AJ125" s="79">
        <f ca="1">AA125*活动投放!$G$33</f>
        <v>193.95</v>
      </c>
      <c r="AK125" s="79">
        <f ca="1">AB125*活动投放!$H$34</f>
        <v>491.40000000000003</v>
      </c>
      <c r="AL125" s="79">
        <f ca="1">AB125*活动投放!$I$34</f>
        <v>54.6</v>
      </c>
      <c r="AN125" s="29">
        <f t="shared" si="25"/>
        <v>1260</v>
      </c>
      <c r="AO125" s="101">
        <f ca="1">IFERROR(AE125/活动投放!AA125,0)</f>
        <v>0.9373567608861727</v>
      </c>
      <c r="AP125" s="101">
        <f ca="1">IFERROR(AF125/活动投放!AB125,0)</f>
        <v>0.81388564760793469</v>
      </c>
      <c r="AQ125" s="101">
        <f ca="1">IFERROR(AG125/活动投放!AC125,0)</f>
        <v>1.35</v>
      </c>
      <c r="AR125" s="101">
        <f ca="1">IFERROR(AH125/活动投放!AD125,0)</f>
        <v>0.27</v>
      </c>
      <c r="AS125" s="101">
        <f ca="1">IFERROR(AI125/活动投放!AE125,0)</f>
        <v>5.487110633727176</v>
      </c>
      <c r="AT125" s="101">
        <f ca="1">IFERROR(AJ125/活动投放!AF125,0)</f>
        <v>1.6203007518796992</v>
      </c>
      <c r="AU125" s="101">
        <f ca="1">IFERROR(AK125/活动投放!AG125,0)</f>
        <v>0.82727272727272738</v>
      </c>
      <c r="AV125" s="101">
        <f ca="1">IFERROR(AL125/活动投放!AH125,0)</f>
        <v>0.82727272727272727</v>
      </c>
    </row>
    <row r="126" spans="24:48" x14ac:dyDescent="0.15">
      <c r="X126" s="29">
        <f>基础状态预估!C126</f>
        <v>1380</v>
      </c>
      <c r="Y126" s="46">
        <f>基础状态预估!D126</f>
        <v>109.8194473820428</v>
      </c>
      <c r="Z126" s="5">
        <f t="shared" ca="1" si="26"/>
        <v>67.5</v>
      </c>
      <c r="AA126" s="5">
        <f t="shared" ca="1" si="27"/>
        <v>694.5</v>
      </c>
      <c r="AB126" s="5">
        <f t="shared" ca="1" si="28"/>
        <v>618</v>
      </c>
      <c r="AC126" s="5">
        <f t="shared" ca="1" si="29"/>
        <v>135</v>
      </c>
      <c r="AD126" s="5">
        <f t="shared" ca="1" si="30"/>
        <v>1200</v>
      </c>
      <c r="AE126" s="5">
        <f t="shared" ca="1" si="31"/>
        <v>137100</v>
      </c>
      <c r="AF126" s="5">
        <f t="shared" ca="1" si="32"/>
        <v>78150</v>
      </c>
      <c r="AG126" s="79">
        <f ca="1">AC126+Z126*活动投放!$D$32</f>
        <v>168.75</v>
      </c>
      <c r="AH126" s="79">
        <f ca="1">Z126*活动投放!$E$32</f>
        <v>33.75</v>
      </c>
      <c r="AI126" s="79">
        <f ca="1">AD126+AA126*活动投放!$F$33</f>
        <v>1686.15</v>
      </c>
      <c r="AJ126" s="79">
        <f ca="1">AA126*活动投放!$G$33</f>
        <v>208.35</v>
      </c>
      <c r="AK126" s="79">
        <f ca="1">AB126*活动投放!$H$34</f>
        <v>556.20000000000005</v>
      </c>
      <c r="AL126" s="79">
        <f ca="1">AB126*活动投放!$I$34</f>
        <v>61.800000000000004</v>
      </c>
      <c r="AN126" s="29">
        <f t="shared" si="25"/>
        <v>1380</v>
      </c>
      <c r="AO126" s="101">
        <f ca="1">IFERROR(AE126/活动投放!AA126,0)</f>
        <v>0.92823290453622209</v>
      </c>
      <c r="AP126" s="101">
        <f ca="1">IFERROR(AF126/活动投放!AB126,0)</f>
        <v>0.80650154798761609</v>
      </c>
      <c r="AQ126" s="101">
        <f ca="1">IFERROR(AG126/活动投放!AC126,0)</f>
        <v>1.2317518248175183</v>
      </c>
      <c r="AR126" s="101">
        <f ca="1">IFERROR(AH126/活动投放!AD126,0)</f>
        <v>0.24635036496350365</v>
      </c>
      <c r="AS126" s="101">
        <f ca="1">IFERROR(AI126/活动投放!AE126,0)</f>
        <v>5.486983403839897</v>
      </c>
      <c r="AT126" s="101">
        <f ca="1">IFERROR(AJ126/活动投放!AF126,0)</f>
        <v>1.5820045558086562</v>
      </c>
      <c r="AU126" s="101">
        <f ca="1">IFERROR(AK126/活动投放!AG126,0)</f>
        <v>0.80890052356020947</v>
      </c>
      <c r="AV126" s="101">
        <f ca="1">IFERROR(AL126/活动投放!AH126,0)</f>
        <v>0.80890052356020947</v>
      </c>
    </row>
    <row r="127" spans="24:48" x14ac:dyDescent="0.15">
      <c r="X127" s="29">
        <f>基础状态预估!C127</f>
        <v>1500</v>
      </c>
      <c r="Y127" s="46">
        <f>基础状态预估!D127</f>
        <v>110.99543397036992</v>
      </c>
      <c r="Z127" s="5">
        <f t="shared" ca="1" si="26"/>
        <v>67.5</v>
      </c>
      <c r="AA127" s="5">
        <f t="shared" ca="1" si="27"/>
        <v>742.5</v>
      </c>
      <c r="AB127" s="5">
        <f t="shared" ca="1" si="28"/>
        <v>690</v>
      </c>
      <c r="AC127" s="5">
        <f t="shared" ca="1" si="29"/>
        <v>135</v>
      </c>
      <c r="AD127" s="5">
        <f t="shared" ca="1" si="30"/>
        <v>1320</v>
      </c>
      <c r="AE127" s="5">
        <f t="shared" ca="1" si="31"/>
        <v>151500</v>
      </c>
      <c r="AF127" s="5">
        <f t="shared" ca="1" si="32"/>
        <v>86550</v>
      </c>
      <c r="AG127" s="79">
        <f ca="1">AC127+Z127*活动投放!$D$32</f>
        <v>168.75</v>
      </c>
      <c r="AH127" s="79">
        <f ca="1">Z127*活动投放!$E$32</f>
        <v>33.75</v>
      </c>
      <c r="AI127" s="79">
        <f ca="1">AD127+AA127*活动投放!$F$33</f>
        <v>1839.75</v>
      </c>
      <c r="AJ127" s="79">
        <f ca="1">AA127*活动投放!$G$33</f>
        <v>222.75</v>
      </c>
      <c r="AK127" s="79">
        <f ca="1">AB127*活动投放!$H$34</f>
        <v>621</v>
      </c>
      <c r="AL127" s="79">
        <f ca="1">AB127*活动投放!$I$34</f>
        <v>69</v>
      </c>
      <c r="AN127" s="29">
        <f t="shared" si="25"/>
        <v>1500</v>
      </c>
      <c r="AO127" s="101">
        <f ca="1">IFERROR(AE127/活动投放!AA127,0)</f>
        <v>0.92097264437689974</v>
      </c>
      <c r="AP127" s="101">
        <f ca="1">IFERROR(AF127/活动投放!AB127,0)</f>
        <v>0.80064754856614251</v>
      </c>
      <c r="AQ127" s="101">
        <f ca="1">IFERROR(AG127/活动投放!AC127,0)</f>
        <v>1.1325503355704698</v>
      </c>
      <c r="AR127" s="101">
        <f ca="1">IFERROR(AH127/活动投放!AD127,0)</f>
        <v>0.22651006711409397</v>
      </c>
      <c r="AS127" s="101">
        <f ca="1">IFERROR(AI127/活动投放!AE127,0)</f>
        <v>5.4868774232031026</v>
      </c>
      <c r="AT127" s="101">
        <f ca="1">IFERROR(AJ127/活动投放!AF127,0)</f>
        <v>1.5501043841336117</v>
      </c>
      <c r="AU127" s="101">
        <f ca="1">IFERROR(AK127/活动投放!AG127,0)</f>
        <v>0.79493087557603681</v>
      </c>
      <c r="AV127" s="101">
        <f ca="1">IFERROR(AL127/活动投放!AH127,0)</f>
        <v>0.79493087557603681</v>
      </c>
    </row>
    <row r="128" spans="24:48" x14ac:dyDescent="0.15">
      <c r="X128" s="29">
        <f>基础状态预估!C128</f>
        <v>1800</v>
      </c>
      <c r="Y128" s="46">
        <f>基础状态预估!D128</f>
        <v>113.61244781532119</v>
      </c>
      <c r="Z128" s="5">
        <f t="shared" ca="1" si="26"/>
        <v>67.5</v>
      </c>
      <c r="AA128" s="5">
        <f t="shared" ca="1" si="27"/>
        <v>862.5</v>
      </c>
      <c r="AB128" s="5">
        <f t="shared" ca="1" si="28"/>
        <v>870</v>
      </c>
      <c r="AC128" s="5">
        <f t="shared" ca="1" si="29"/>
        <v>135</v>
      </c>
      <c r="AD128" s="5">
        <f t="shared" ca="1" si="30"/>
        <v>1620</v>
      </c>
      <c r="AE128" s="5">
        <f t="shared" ca="1" si="31"/>
        <v>187500</v>
      </c>
      <c r="AF128" s="5">
        <f t="shared" ca="1" si="32"/>
        <v>107550</v>
      </c>
      <c r="AG128" s="79">
        <f ca="1">AC128+Z128*活动投放!$D$32</f>
        <v>168.75</v>
      </c>
      <c r="AH128" s="79">
        <f ca="1">Z128*活动投放!$E$32</f>
        <v>33.75</v>
      </c>
      <c r="AI128" s="79">
        <f ca="1">AD128+AA128*活动投放!$F$33</f>
        <v>2223.75</v>
      </c>
      <c r="AJ128" s="79">
        <f ca="1">AA128*活动投放!$G$33</f>
        <v>258.75</v>
      </c>
      <c r="AK128" s="79">
        <f ca="1">AB128*活动投放!$H$34</f>
        <v>783</v>
      </c>
      <c r="AL128" s="79">
        <f ca="1">AB128*活动投放!$I$34</f>
        <v>87</v>
      </c>
      <c r="AN128" s="29">
        <f t="shared" si="25"/>
        <v>1800</v>
      </c>
      <c r="AO128" s="101">
        <f ca="1">IFERROR(AE128/活动投放!AA128,0)</f>
        <v>0.90799031476997583</v>
      </c>
      <c r="AP128" s="101">
        <f ca="1">IFERROR(AF128/活动投放!AB128,0)</f>
        <v>0.79022777369581187</v>
      </c>
      <c r="AQ128" s="101">
        <f ca="1">IFERROR(AG128/活动投放!AC128,0)</f>
        <v>0.94273743016759781</v>
      </c>
      <c r="AR128" s="101">
        <f ca="1">IFERROR(AH128/活动投放!AD128,0)</f>
        <v>0.18854748603351956</v>
      </c>
      <c r="AS128" s="101">
        <f ca="1">IFERROR(AI128/活动投放!AE128,0)</f>
        <v>5.4866765358993348</v>
      </c>
      <c r="AT128" s="101">
        <f ca="1">IFERROR(AJ128/活动投放!AF128,0)</f>
        <v>1.4896373056994821</v>
      </c>
      <c r="AU128" s="101">
        <f ca="1">IFERROR(AK128/活动投放!AG128,0)</f>
        <v>0.77127659574468077</v>
      </c>
      <c r="AV128" s="101">
        <f ca="1">IFERROR(AL128/活动投放!AH128,0)</f>
        <v>0.77127659574468077</v>
      </c>
    </row>
    <row r="129" spans="24:48" x14ac:dyDescent="0.15">
      <c r="X129" s="29">
        <f>基础状态预估!C129</f>
        <v>2100</v>
      </c>
      <c r="Y129" s="46">
        <f>基础状态预估!D129</f>
        <v>115.93576288835948</v>
      </c>
      <c r="Z129" s="5">
        <f t="shared" ca="1" si="26"/>
        <v>67.5</v>
      </c>
      <c r="AA129" s="5">
        <f t="shared" ca="1" si="27"/>
        <v>982.5</v>
      </c>
      <c r="AB129" s="5">
        <f t="shared" ca="1" si="28"/>
        <v>1050</v>
      </c>
      <c r="AC129" s="5">
        <f t="shared" ca="1" si="29"/>
        <v>135</v>
      </c>
      <c r="AD129" s="5">
        <f t="shared" ca="1" si="30"/>
        <v>1920</v>
      </c>
      <c r="AE129" s="5">
        <f t="shared" ca="1" si="31"/>
        <v>223500</v>
      </c>
      <c r="AF129" s="5">
        <f t="shared" ca="1" si="32"/>
        <v>128550</v>
      </c>
      <c r="AG129" s="79">
        <f ca="1">AC129+Z129*活动投放!$D$32</f>
        <v>168.75</v>
      </c>
      <c r="AH129" s="79">
        <f ca="1">Z129*活动投放!$E$32</f>
        <v>33.75</v>
      </c>
      <c r="AI129" s="79">
        <f ca="1">AD129+AA129*活动投放!$F$33</f>
        <v>2607.75</v>
      </c>
      <c r="AJ129" s="79">
        <f ca="1">AA129*活动投放!$G$33</f>
        <v>294.75</v>
      </c>
      <c r="AK129" s="79">
        <f ca="1">AB129*活动投放!$H$34</f>
        <v>945</v>
      </c>
      <c r="AL129" s="79">
        <f ca="1">AB129*活动投放!$I$34</f>
        <v>105</v>
      </c>
      <c r="AN129" s="29">
        <f t="shared" si="25"/>
        <v>2100</v>
      </c>
      <c r="AO129" s="101">
        <f ca="1">IFERROR(AE129/活动投放!AA129,0)</f>
        <v>0.89939637826961771</v>
      </c>
      <c r="AP129" s="101">
        <f ca="1">IFERROR(AF129/活动投放!AB129,0)</f>
        <v>0.78336380255941496</v>
      </c>
      <c r="AQ129" s="101">
        <f ca="1">IFERROR(AG129/活动投放!AC129,0)</f>
        <v>0.8074162679425837</v>
      </c>
      <c r="AR129" s="101">
        <f ca="1">IFERROR(AH129/活动投放!AD129,0)</f>
        <v>0.16148325358851676</v>
      </c>
      <c r="AS129" s="101">
        <f ca="1">IFERROR(AI129/活动投放!AE129,0)</f>
        <v>5.4865348201136133</v>
      </c>
      <c r="AT129" s="101">
        <f ca="1">IFERROR(AJ129/活动投放!AF129,0)</f>
        <v>1.4469808541973492</v>
      </c>
      <c r="AU129" s="101">
        <f ca="1">IFERROR(AK129/活动投放!AG129,0)</f>
        <v>0.75648414985590773</v>
      </c>
      <c r="AV129" s="101">
        <f ca="1">IFERROR(AL129/活动投放!AH129,0)</f>
        <v>0.75648414985590773</v>
      </c>
    </row>
    <row r="130" spans="24:48" x14ac:dyDescent="0.15">
      <c r="X130" s="29">
        <f>基础状态预估!C130</f>
        <v>2400</v>
      </c>
      <c r="Y130" s="46">
        <f>基础状态预估!D130</f>
        <v>117.8398587801079</v>
      </c>
      <c r="Z130" s="5">
        <f t="shared" ca="1" si="26"/>
        <v>67.5</v>
      </c>
      <c r="AA130" s="5">
        <f t="shared" ca="1" si="27"/>
        <v>1102.5</v>
      </c>
      <c r="AB130" s="5">
        <f t="shared" ca="1" si="28"/>
        <v>1230</v>
      </c>
      <c r="AC130" s="5">
        <f t="shared" ca="1" si="29"/>
        <v>135</v>
      </c>
      <c r="AD130" s="5">
        <f t="shared" ca="1" si="30"/>
        <v>2220</v>
      </c>
      <c r="AE130" s="5">
        <f t="shared" ca="1" si="31"/>
        <v>259500</v>
      </c>
      <c r="AF130" s="5">
        <f t="shared" ca="1" si="32"/>
        <v>149550</v>
      </c>
      <c r="AG130" s="79">
        <f ca="1">AC130+Z130*活动投放!$D$32</f>
        <v>168.75</v>
      </c>
      <c r="AH130" s="79">
        <f ca="1">Z130*活动投放!$E$32</f>
        <v>33.75</v>
      </c>
      <c r="AI130" s="79">
        <f ca="1">AD130+AA130*活动投放!$F$33</f>
        <v>2991.75</v>
      </c>
      <c r="AJ130" s="79">
        <f ca="1">AA130*活动投放!$G$33</f>
        <v>330.75</v>
      </c>
      <c r="AK130" s="79">
        <f ca="1">AB130*活动投放!$H$34</f>
        <v>1107</v>
      </c>
      <c r="AL130" s="79">
        <f ca="1">AB130*活动投放!$I$34</f>
        <v>123</v>
      </c>
      <c r="AN130" s="29">
        <f t="shared" si="25"/>
        <v>2400</v>
      </c>
      <c r="AO130" s="101">
        <f ca="1">IFERROR(AE130/活动投放!AA130,0)</f>
        <v>0.89328743545611011</v>
      </c>
      <c r="AP130" s="101">
        <f ca="1">IFERROR(AF130/活动投放!AB130,0)</f>
        <v>0.77850078084331076</v>
      </c>
      <c r="AQ130" s="101">
        <f ca="1">IFERROR(AG130/活动投放!AC130,0)</f>
        <v>0.70606694560669458</v>
      </c>
      <c r="AR130" s="101">
        <f ca="1">IFERROR(AH130/活动投放!AD130,0)</f>
        <v>0.14121338912133891</v>
      </c>
      <c r="AS130" s="101">
        <f ca="1">IFERROR(AI130/活动投放!AE130,0)</f>
        <v>5.486429488355034</v>
      </c>
      <c r="AT130" s="101">
        <f ca="1">IFERROR(AJ130/活动投放!AF130,0)</f>
        <v>1.4152759948652118</v>
      </c>
      <c r="AU130" s="101">
        <f ca="1">IFERROR(AK130/活动投放!AG130,0)</f>
        <v>0.74635922330097082</v>
      </c>
      <c r="AV130" s="101">
        <f ca="1">IFERROR(AL130/活动投放!AH130,0)</f>
        <v>0.74635922330097082</v>
      </c>
    </row>
    <row r="131" spans="24:48" x14ac:dyDescent="0.15">
      <c r="X131" s="29">
        <f>基础状态预估!C131</f>
        <v>2700</v>
      </c>
      <c r="Y131" s="46">
        <f>基础状态预估!D131</f>
        <v>119.50922016248074</v>
      </c>
      <c r="Z131" s="5">
        <f t="shared" ca="1" si="26"/>
        <v>67.5</v>
      </c>
      <c r="AA131" s="5">
        <f t="shared" ca="1" si="27"/>
        <v>1222.5</v>
      </c>
      <c r="AB131" s="5">
        <f t="shared" ca="1" si="28"/>
        <v>1410</v>
      </c>
      <c r="AC131" s="5">
        <f t="shared" ca="1" si="29"/>
        <v>135</v>
      </c>
      <c r="AD131" s="5">
        <f t="shared" ca="1" si="30"/>
        <v>2520</v>
      </c>
      <c r="AE131" s="5">
        <f t="shared" ca="1" si="31"/>
        <v>295500</v>
      </c>
      <c r="AF131" s="5">
        <f t="shared" ca="1" si="32"/>
        <v>170550</v>
      </c>
      <c r="AG131" s="79">
        <f ca="1">AC131+Z131*活动投放!$D$32</f>
        <v>168.75</v>
      </c>
      <c r="AH131" s="79">
        <f ca="1">Z131*活动投放!$E$32</f>
        <v>33.75</v>
      </c>
      <c r="AI131" s="79">
        <f ca="1">AD131+AA131*活动投放!$F$33</f>
        <v>3375.75</v>
      </c>
      <c r="AJ131" s="79">
        <f ca="1">AA131*活动投放!$G$33</f>
        <v>366.75</v>
      </c>
      <c r="AK131" s="79">
        <f ca="1">AB131*活动投放!$H$34</f>
        <v>1269</v>
      </c>
      <c r="AL131" s="79">
        <f ca="1">AB131*活动投放!$I$34</f>
        <v>141</v>
      </c>
      <c r="AN131" s="29">
        <f t="shared" si="25"/>
        <v>2700</v>
      </c>
      <c r="AO131" s="101">
        <f ca="1">IFERROR(AE131/活动投放!AA131,0)</f>
        <v>0.88872180451127825</v>
      </c>
      <c r="AP131" s="101">
        <f ca="1">IFERROR(AF131/活动投放!AB131,0)</f>
        <v>0.77487505679236712</v>
      </c>
      <c r="AQ131" s="101">
        <f ca="1">IFERROR(AG131/活动投放!AC131,0)</f>
        <v>0.62732342007434949</v>
      </c>
      <c r="AR131" s="101">
        <f ca="1">IFERROR(AH131/活动投放!AD131,0)</f>
        <v>0.12546468401486988</v>
      </c>
      <c r="AS131" s="101">
        <f ca="1">IFERROR(AI131/活动投放!AE131,0)</f>
        <v>5.4863481228668949</v>
      </c>
      <c r="AT131" s="101">
        <f ca="1">IFERROR(AJ131/活动投放!AF131,0)</f>
        <v>1.3907849829351537</v>
      </c>
      <c r="AU131" s="101">
        <f ca="1">IFERROR(AK131/活动投放!AG131,0)</f>
        <v>0.73899371069182385</v>
      </c>
      <c r="AV131" s="101">
        <f ca="1">IFERROR(AL131/活动投放!AH131,0)</f>
        <v>0.73899371069182385</v>
      </c>
    </row>
    <row r="132" spans="24:48" x14ac:dyDescent="0.15">
      <c r="X132" s="29">
        <f>基础状态预估!C132</f>
        <v>3000</v>
      </c>
      <c r="Y132" s="46">
        <f>基础状态预估!D132</f>
        <v>121.10344291172865</v>
      </c>
      <c r="Z132" s="5">
        <f t="shared" ca="1" si="26"/>
        <v>67.5</v>
      </c>
      <c r="AA132" s="5">
        <f t="shared" ca="1" si="27"/>
        <v>1342.5</v>
      </c>
      <c r="AB132" s="5">
        <f t="shared" ca="1" si="28"/>
        <v>1590</v>
      </c>
      <c r="AC132" s="5">
        <f t="shared" ca="1" si="29"/>
        <v>135</v>
      </c>
      <c r="AD132" s="5">
        <f t="shared" ca="1" si="30"/>
        <v>2820</v>
      </c>
      <c r="AE132" s="5">
        <f t="shared" ca="1" si="31"/>
        <v>331500</v>
      </c>
      <c r="AF132" s="5">
        <f t="shared" ca="1" si="32"/>
        <v>191550</v>
      </c>
      <c r="AG132" s="79">
        <f ca="1">AC132+Z132*活动投放!$D$32</f>
        <v>168.75</v>
      </c>
      <c r="AH132" s="79">
        <f ca="1">Z132*活动投放!$E$32</f>
        <v>33.75</v>
      </c>
      <c r="AI132" s="79">
        <f ca="1">AD132+AA132*活动投放!$F$33</f>
        <v>3759.75</v>
      </c>
      <c r="AJ132" s="79">
        <f ca="1">AA132*活动投放!$G$33</f>
        <v>402.75</v>
      </c>
      <c r="AK132" s="79">
        <f ca="1">AB132*活动投放!$H$34</f>
        <v>1431</v>
      </c>
      <c r="AL132" s="79">
        <f ca="1">AB132*活动投放!$I$34</f>
        <v>159</v>
      </c>
      <c r="AN132" s="29">
        <f t="shared" si="25"/>
        <v>3000</v>
      </c>
      <c r="AO132" s="101">
        <f ca="1">IFERROR(AE132/活动投放!AA132,0)</f>
        <v>0.88518024032042719</v>
      </c>
      <c r="AP132" s="101">
        <f ca="1">IFERROR(AF132/活动投放!AB132,0)</f>
        <v>0.77206771463119706</v>
      </c>
      <c r="AQ132" s="101">
        <f ca="1">IFERROR(AG132/活动投放!AC132,0)</f>
        <v>0.56438127090301005</v>
      </c>
      <c r="AR132" s="101">
        <f ca="1">IFERROR(AH132/活动投放!AD132,0)</f>
        <v>0.112876254180602</v>
      </c>
      <c r="AS132" s="101">
        <f ca="1">IFERROR(AI132/活动投放!AE132,0)</f>
        <v>5.4862833795418071</v>
      </c>
      <c r="AT132" s="101">
        <f ca="1">IFERROR(AJ132/活动投放!AF132,0)</f>
        <v>1.371297242083759</v>
      </c>
      <c r="AU132" s="101">
        <f ca="1">IFERROR(AK132/活动投放!AG132,0)</f>
        <v>0.73339483394833949</v>
      </c>
      <c r="AV132" s="101">
        <f ca="1">IFERROR(AL132/活动投放!AH132,0)</f>
        <v>0.73339483394833949</v>
      </c>
    </row>
    <row r="133" spans="24:48" x14ac:dyDescent="0.15">
      <c r="X133" s="29">
        <f>基础状态预估!C133</f>
        <v>3300</v>
      </c>
      <c r="Y133" s="46">
        <f>基础状态预估!D133</f>
        <v>122.49249432194588</v>
      </c>
      <c r="Z133" s="5">
        <f t="shared" ca="1" si="26"/>
        <v>67.5</v>
      </c>
      <c r="AA133" s="5">
        <f t="shared" ca="1" si="27"/>
        <v>1462.5</v>
      </c>
      <c r="AB133" s="5">
        <f t="shared" ca="1" si="28"/>
        <v>1770</v>
      </c>
      <c r="AC133" s="5">
        <f t="shared" ca="1" si="29"/>
        <v>135</v>
      </c>
      <c r="AD133" s="5">
        <f t="shared" ca="1" si="30"/>
        <v>3120</v>
      </c>
      <c r="AE133" s="5">
        <f t="shared" ca="1" si="31"/>
        <v>367500</v>
      </c>
      <c r="AF133" s="5">
        <f t="shared" ca="1" si="32"/>
        <v>212550</v>
      </c>
      <c r="AG133" s="79">
        <f ca="1">AC133+Z133*活动投放!$D$32</f>
        <v>168.75</v>
      </c>
      <c r="AH133" s="79">
        <f ca="1">Z133*活动投放!$E$32</f>
        <v>33.75</v>
      </c>
      <c r="AI133" s="79">
        <f ca="1">AD133+AA133*活动投放!$F$33</f>
        <v>4143.75</v>
      </c>
      <c r="AJ133" s="79">
        <f ca="1">AA133*活动投放!$G$33</f>
        <v>438.75</v>
      </c>
      <c r="AK133" s="79">
        <f ca="1">AB133*活动投放!$H$34</f>
        <v>1593</v>
      </c>
      <c r="AL133" s="79">
        <f ca="1">AB133*活动投放!$I$34</f>
        <v>177</v>
      </c>
      <c r="AN133" s="29">
        <f t="shared" si="25"/>
        <v>3300</v>
      </c>
      <c r="AO133" s="101">
        <f ca="1">IFERROR(AE133/活动投放!AA133,0)</f>
        <v>0.88235294117647056</v>
      </c>
      <c r="AP133" s="101">
        <f ca="1">IFERROR(AF133/活动投放!AB133,0)</f>
        <v>0.76982977182180368</v>
      </c>
      <c r="AQ133" s="101">
        <f ca="1">IFERROR(AG133/活动投放!AC133,0)</f>
        <v>0.51291793313069911</v>
      </c>
      <c r="AR133" s="101">
        <f ca="1">IFERROR(AH133/活动投放!AD133,0)</f>
        <v>0.10258358662613981</v>
      </c>
      <c r="AS133" s="101">
        <f ca="1">IFERROR(AI133/活动投放!AE133,0)</f>
        <v>5.4862306368330467</v>
      </c>
      <c r="AT133" s="101">
        <f ca="1">IFERROR(AJ133/活动投放!AF133,0)</f>
        <v>1.3554216867469879</v>
      </c>
      <c r="AU133" s="101">
        <f ca="1">IFERROR(AK133/活动投放!AG133,0)</f>
        <v>0.72899505766062589</v>
      </c>
      <c r="AV133" s="101">
        <f ca="1">IFERROR(AL133/活动投放!AH133,0)</f>
        <v>0.728995057660626</v>
      </c>
    </row>
    <row r="134" spans="24:48" x14ac:dyDescent="0.15">
      <c r="X134" s="29">
        <f>基础状态预估!C134</f>
        <v>3600</v>
      </c>
      <c r="Y134" s="46">
        <f>基础状态预估!D134</f>
        <v>123.71653233872999</v>
      </c>
      <c r="Z134" s="5">
        <f t="shared" ca="1" si="26"/>
        <v>67.5</v>
      </c>
      <c r="AA134" s="5">
        <f t="shared" ca="1" si="27"/>
        <v>1582.5</v>
      </c>
      <c r="AB134" s="5">
        <f t="shared" ca="1" si="28"/>
        <v>1950</v>
      </c>
      <c r="AC134" s="5">
        <f t="shared" ca="1" si="29"/>
        <v>135</v>
      </c>
      <c r="AD134" s="5">
        <f t="shared" ca="1" si="30"/>
        <v>3420</v>
      </c>
      <c r="AE134" s="5">
        <f t="shared" ca="1" si="31"/>
        <v>403500</v>
      </c>
      <c r="AF134" s="5">
        <f t="shared" ca="1" si="32"/>
        <v>233550</v>
      </c>
      <c r="AG134" s="79">
        <f ca="1">AC134+Z134*活动投放!$D$32</f>
        <v>168.75</v>
      </c>
      <c r="AH134" s="79">
        <f ca="1">Z134*活动投放!$E$32</f>
        <v>33.75</v>
      </c>
      <c r="AI134" s="79">
        <f ca="1">AD134+AA134*活动投放!$F$33</f>
        <v>4527.75</v>
      </c>
      <c r="AJ134" s="79">
        <f ca="1">AA134*活动投放!$G$33</f>
        <v>474.75</v>
      </c>
      <c r="AK134" s="79">
        <f ca="1">AB134*活动投放!$H$34</f>
        <v>1755</v>
      </c>
      <c r="AL134" s="79">
        <f ca="1">AB134*活动投放!$I$34</f>
        <v>195</v>
      </c>
      <c r="AN134" s="29">
        <f t="shared" si="25"/>
        <v>3600</v>
      </c>
      <c r="AO134" s="101">
        <f ca="1">IFERROR(AE134/活动投放!AA134,0)</f>
        <v>0.88004362050163576</v>
      </c>
      <c r="AP134" s="101">
        <f ca="1">IFERROR(AF134/活动投放!AB134,0)</f>
        <v>0.76800394607037159</v>
      </c>
      <c r="AQ134" s="101">
        <f ca="1">IFERROR(AG134/活动投放!AC134,0)</f>
        <v>0.47005571030640669</v>
      </c>
      <c r="AR134" s="101">
        <f ca="1">IFERROR(AH134/活动投放!AD134,0)</f>
        <v>9.4011142061281333E-2</v>
      </c>
      <c r="AS134" s="101">
        <f ca="1">IFERROR(AI134/活动投放!AE134,0)</f>
        <v>5.4861868411486734</v>
      </c>
      <c r="AT134" s="101">
        <f ca="1">IFERROR(AJ134/活动投放!AF134,0)</f>
        <v>1.3422391857506362</v>
      </c>
      <c r="AU134" s="101">
        <f ca="1">IFERROR(AK134/活动投放!AG134,0)</f>
        <v>0.72544642857142849</v>
      </c>
      <c r="AV134" s="101">
        <f ca="1">IFERROR(AL134/活动投放!AH134,0)</f>
        <v>0.72544642857142849</v>
      </c>
    </row>
    <row r="135" spans="24:48" x14ac:dyDescent="0.15">
      <c r="X135" s="29">
        <f>基础状态预估!C135</f>
        <v>3900</v>
      </c>
      <c r="Y135" s="46">
        <f>基础状态预估!D135</f>
        <v>124.85102687042894</v>
      </c>
      <c r="Z135" s="5">
        <f t="shared" ca="1" si="26"/>
        <v>67.5</v>
      </c>
      <c r="AA135" s="5">
        <f t="shared" ca="1" si="27"/>
        <v>1702.5</v>
      </c>
      <c r="AB135" s="5">
        <f t="shared" ca="1" si="28"/>
        <v>2130</v>
      </c>
      <c r="AC135" s="5">
        <f t="shared" ca="1" si="29"/>
        <v>135</v>
      </c>
      <c r="AD135" s="5">
        <f t="shared" ca="1" si="30"/>
        <v>3720</v>
      </c>
      <c r="AE135" s="5">
        <f t="shared" ca="1" si="31"/>
        <v>439500</v>
      </c>
      <c r="AF135" s="5">
        <f t="shared" ca="1" si="32"/>
        <v>254550</v>
      </c>
      <c r="AG135" s="79">
        <f ca="1">AC135+Z135*活动投放!$D$32</f>
        <v>168.75</v>
      </c>
      <c r="AH135" s="79">
        <f ca="1">Z135*活动投放!$E$32</f>
        <v>33.75</v>
      </c>
      <c r="AI135" s="79">
        <f ca="1">AD135+AA135*活动投放!$F$33</f>
        <v>4911.75</v>
      </c>
      <c r="AJ135" s="79">
        <f ca="1">AA135*活动投放!$G$33</f>
        <v>510.75</v>
      </c>
      <c r="AK135" s="79">
        <f ca="1">AB135*活动投放!$H$34</f>
        <v>1917</v>
      </c>
      <c r="AL135" s="79">
        <f ca="1">AB135*活动投放!$I$34</f>
        <v>213</v>
      </c>
      <c r="AN135" s="29">
        <f t="shared" si="25"/>
        <v>3900</v>
      </c>
      <c r="AO135" s="101">
        <f ca="1">IFERROR(AE135/活动投放!AA135,0)</f>
        <v>0.87812187812187814</v>
      </c>
      <c r="AP135" s="101">
        <f ca="1">IFERROR(AF135/活动投放!AB135,0)</f>
        <v>0.76648599819331531</v>
      </c>
      <c r="AQ135" s="101">
        <f ca="1">IFERROR(AG135/活动投放!AC135,0)</f>
        <v>0.43380462724935731</v>
      </c>
      <c r="AR135" s="101">
        <f ca="1">IFERROR(AH135/活动投放!AD135,0)</f>
        <v>8.6760925449871462E-2</v>
      </c>
      <c r="AS135" s="101">
        <f ca="1">IFERROR(AI135/活动投放!AE135,0)</f>
        <v>5.4861498938903166</v>
      </c>
      <c r="AT135" s="101">
        <f ca="1">IFERROR(AJ135/活动投放!AF135,0)</f>
        <v>1.3311180609851447</v>
      </c>
      <c r="AU135" s="101">
        <f ca="1">IFERROR(AK135/活动投放!AG135,0)</f>
        <v>0.72252374491180449</v>
      </c>
      <c r="AV135" s="101">
        <f ca="1">IFERROR(AL135/活动投放!AH135,0)</f>
        <v>0.7225237449118046</v>
      </c>
    </row>
    <row r="136" spans="24:48" x14ac:dyDescent="0.15">
      <c r="X136" s="29">
        <f>基础状态预估!C136</f>
        <v>4200</v>
      </c>
      <c r="Y136" s="46">
        <f>基础状态预估!D136</f>
        <v>125.90913935465674</v>
      </c>
      <c r="Z136" s="5">
        <f t="shared" ca="1" si="26"/>
        <v>67.5</v>
      </c>
      <c r="AA136" s="5">
        <f t="shared" ca="1" si="27"/>
        <v>1822.5</v>
      </c>
      <c r="AB136" s="5">
        <f t="shared" ca="1" si="28"/>
        <v>2310</v>
      </c>
      <c r="AC136" s="5">
        <f t="shared" ca="1" si="29"/>
        <v>135</v>
      </c>
      <c r="AD136" s="5">
        <f t="shared" ca="1" si="30"/>
        <v>4020</v>
      </c>
      <c r="AE136" s="5">
        <f t="shared" ca="1" si="31"/>
        <v>475500</v>
      </c>
      <c r="AF136" s="5">
        <f t="shared" ca="1" si="32"/>
        <v>275550</v>
      </c>
      <c r="AG136" s="79">
        <f ca="1">AC136+Z136*活动投放!$D$32</f>
        <v>168.75</v>
      </c>
      <c r="AH136" s="79">
        <f ca="1">Z136*活动投放!$E$32</f>
        <v>33.75</v>
      </c>
      <c r="AI136" s="79">
        <f ca="1">AD136+AA136*活动投放!$F$33</f>
        <v>5295.75</v>
      </c>
      <c r="AJ136" s="79">
        <f ca="1">AA136*活动投放!$G$33</f>
        <v>546.75</v>
      </c>
      <c r="AK136" s="79">
        <f ca="1">AB136*活动投放!$H$34</f>
        <v>2079</v>
      </c>
      <c r="AL136" s="79">
        <f ca="1">AB136*活动投放!$I$34</f>
        <v>231</v>
      </c>
      <c r="AN136" s="29">
        <f t="shared" si="25"/>
        <v>4200</v>
      </c>
      <c r="AO136" s="101">
        <f ca="1">IFERROR(AE136/活动投放!AA136,0)</f>
        <v>0.87649769585253456</v>
      </c>
      <c r="AP136" s="101">
        <f ca="1">IFERROR(AF136/活动投放!AB136,0)</f>
        <v>0.76520410996945298</v>
      </c>
      <c r="AQ136" s="101">
        <f ca="1">IFERROR(AG136/活动投放!AC136,0)</f>
        <v>0.40274463007159905</v>
      </c>
      <c r="AR136" s="101">
        <f ca="1">IFERROR(AH136/活动投放!AD136,0)</f>
        <v>8.0548926014319802E-2</v>
      </c>
      <c r="AS136" s="101">
        <f ca="1">IFERROR(AI136/活动投放!AE136,0)</f>
        <v>5.4861183051900966</v>
      </c>
      <c r="AT136" s="101">
        <f ca="1">IFERROR(AJ136/活动投放!AF136,0)</f>
        <v>1.3216098622189993</v>
      </c>
      <c r="AU136" s="101">
        <f ca="1">IFERROR(AK136/活动投放!AG136,0)</f>
        <v>0.72007481296758102</v>
      </c>
      <c r="AV136" s="101">
        <f ca="1">IFERROR(AL136/活动投放!AH136,0)</f>
        <v>0.72007481296758102</v>
      </c>
    </row>
    <row r="137" spans="24:48" x14ac:dyDescent="0.15">
      <c r="X137" s="29">
        <f>基础状态预估!C137</f>
        <v>4500</v>
      </c>
      <c r="Y137" s="46">
        <f>基础状态预估!D137</f>
        <v>126.96916270090227</v>
      </c>
      <c r="Z137" s="5">
        <f t="shared" ca="1" si="26"/>
        <v>67.5</v>
      </c>
      <c r="AA137" s="5">
        <f t="shared" ca="1" si="27"/>
        <v>1942.5</v>
      </c>
      <c r="AB137" s="5">
        <f t="shared" ca="1" si="28"/>
        <v>2490</v>
      </c>
      <c r="AC137" s="5">
        <f t="shared" ca="1" si="29"/>
        <v>135</v>
      </c>
      <c r="AD137" s="5">
        <f t="shared" ca="1" si="30"/>
        <v>4320</v>
      </c>
      <c r="AE137" s="5">
        <f t="shared" ca="1" si="31"/>
        <v>511500</v>
      </c>
      <c r="AF137" s="5">
        <f t="shared" ca="1" si="32"/>
        <v>296550</v>
      </c>
      <c r="AG137" s="79">
        <f ca="1">AC137+Z137*活动投放!$D$32</f>
        <v>168.75</v>
      </c>
      <c r="AH137" s="79">
        <f ca="1">Z137*活动投放!$E$32</f>
        <v>33.75</v>
      </c>
      <c r="AI137" s="79">
        <f ca="1">AD137+AA137*活动投放!$F$33</f>
        <v>5679.75</v>
      </c>
      <c r="AJ137" s="79">
        <f ca="1">AA137*活动投放!$G$33</f>
        <v>582.75</v>
      </c>
      <c r="AK137" s="79">
        <f ca="1">AB137*活动投放!$H$34</f>
        <v>2241</v>
      </c>
      <c r="AL137" s="79">
        <f ca="1">AB137*活动投放!$I$34</f>
        <v>249</v>
      </c>
      <c r="AN137" s="29">
        <f t="shared" si="25"/>
        <v>4500</v>
      </c>
      <c r="AO137" s="101">
        <f ca="1">IFERROR(AE137/活动投放!AA137,0)</f>
        <v>0.87510692899914455</v>
      </c>
      <c r="AP137" s="101">
        <f ca="1">IFERROR(AF137/活动投放!AB137,0)</f>
        <v>0.76410718886884821</v>
      </c>
      <c r="AQ137" s="101">
        <f ca="1">IFERROR(AG137/活动投放!AC137,0)</f>
        <v>0.37583518930957682</v>
      </c>
      <c r="AR137" s="101">
        <f ca="1">IFERROR(AH137/活动投放!AD137,0)</f>
        <v>7.5167037861915365E-2</v>
      </c>
      <c r="AS137" s="101">
        <f ca="1">IFERROR(AI137/活动投放!AE137,0)</f>
        <v>5.4860909881193862</v>
      </c>
      <c r="AT137" s="101">
        <f ca="1">IFERROR(AJ137/活动投放!AF137,0)</f>
        <v>1.3133874239350913</v>
      </c>
      <c r="AU137" s="101">
        <f ca="1">IFERROR(AK137/活动投放!AG137,0)</f>
        <v>0.71799307958477498</v>
      </c>
      <c r="AV137" s="101">
        <f ca="1">IFERROR(AL137/活动投放!AH137,0)</f>
        <v>0.7179930795847751</v>
      </c>
    </row>
    <row r="138" spans="24:48" x14ac:dyDescent="0.15">
      <c r="X138" s="29">
        <f>基础状态预估!C138</f>
        <v>4800</v>
      </c>
      <c r="Y138" s="46">
        <f>基础状态预估!D138</f>
        <v>127.97984726046715</v>
      </c>
      <c r="Z138" s="5">
        <f t="shared" ca="1" si="26"/>
        <v>67.5</v>
      </c>
      <c r="AA138" s="5">
        <f t="shared" ca="1" si="27"/>
        <v>2062.5</v>
      </c>
      <c r="AB138" s="5">
        <f t="shared" ca="1" si="28"/>
        <v>2670</v>
      </c>
      <c r="AC138" s="5">
        <f t="shared" ca="1" si="29"/>
        <v>135</v>
      </c>
      <c r="AD138" s="5">
        <f t="shared" ca="1" si="30"/>
        <v>4620</v>
      </c>
      <c r="AE138" s="5">
        <f t="shared" ca="1" si="31"/>
        <v>547500</v>
      </c>
      <c r="AF138" s="5">
        <f t="shared" ca="1" si="32"/>
        <v>317550</v>
      </c>
      <c r="AG138" s="79">
        <f ca="1">AC138+Z138*活动投放!$D$32</f>
        <v>168.75</v>
      </c>
      <c r="AH138" s="79">
        <f ca="1">Z138*活动投放!$E$32</f>
        <v>33.75</v>
      </c>
      <c r="AI138" s="79">
        <f ca="1">AD138+AA138*活动投放!$F$33</f>
        <v>6063.75</v>
      </c>
      <c r="AJ138" s="79">
        <f ca="1">AA138*活动投放!$G$33</f>
        <v>618.75</v>
      </c>
      <c r="AK138" s="79">
        <f ca="1">AB138*活动投放!$H$34</f>
        <v>2403</v>
      </c>
      <c r="AL138" s="79">
        <f ca="1">AB138*活动投放!$I$34</f>
        <v>267</v>
      </c>
      <c r="AN138" s="29">
        <f t="shared" si="25"/>
        <v>4800</v>
      </c>
      <c r="AO138" s="101">
        <f ca="1">IFERROR(AE138/活动投放!AA138,0)</f>
        <v>0.87390263367916998</v>
      </c>
      <c r="AP138" s="101">
        <f ca="1">IFERROR(AF138/活动投放!AB138,0)</f>
        <v>0.76315789473684215</v>
      </c>
      <c r="AQ138" s="101">
        <f ca="1">IFERROR(AG138/活动投放!AC138,0)</f>
        <v>0.35229645093945722</v>
      </c>
      <c r="AR138" s="101">
        <f ca="1">IFERROR(AH138/活动投放!AD138,0)</f>
        <v>7.0459290187891446E-2</v>
      </c>
      <c r="AS138" s="101">
        <f ca="1">IFERROR(AI138/活动投放!AE138,0)</f>
        <v>5.4860671310956306</v>
      </c>
      <c r="AT138" s="101">
        <f ca="1">IFERROR(AJ138/活动投放!AF138,0)</f>
        <v>1.3062064597846739</v>
      </c>
      <c r="AU138" s="101">
        <f ca="1">IFERROR(AK138/活动投放!AG138,0)</f>
        <v>0.71620171673819732</v>
      </c>
      <c r="AV138" s="101">
        <f ca="1">IFERROR(AL138/活动投放!AH138,0)</f>
        <v>0.71620171673819744</v>
      </c>
    </row>
    <row r="139" spans="24:48" x14ac:dyDescent="0.15">
      <c r="X139" s="29">
        <f>基础状态预估!C139</f>
        <v>65535</v>
      </c>
      <c r="Y139" s="46">
        <f>基础状态预估!D139</f>
        <v>160</v>
      </c>
      <c r="Z139" s="5">
        <f t="shared" ca="1" si="26"/>
        <v>67.5</v>
      </c>
      <c r="AA139" s="5">
        <f t="shared" ca="1" si="27"/>
        <v>26356.5</v>
      </c>
      <c r="AB139" s="5">
        <f t="shared" ca="1" si="28"/>
        <v>39111</v>
      </c>
      <c r="AC139" s="5">
        <f t="shared" ca="1" si="29"/>
        <v>135</v>
      </c>
      <c r="AD139" s="5">
        <f t="shared" ca="1" si="30"/>
        <v>65355</v>
      </c>
      <c r="AE139" s="5">
        <f t="shared" ca="1" si="31"/>
        <v>7835700</v>
      </c>
      <c r="AF139" s="5">
        <f t="shared" ca="1" si="32"/>
        <v>4569000</v>
      </c>
      <c r="AG139" s="79">
        <f ca="1">AC139+Z139*活动投放!$D$32</f>
        <v>168.75</v>
      </c>
      <c r="AH139" s="79">
        <f ca="1">Z139*活动投放!$E$32</f>
        <v>33.75</v>
      </c>
      <c r="AI139" s="79">
        <f ca="1">AD139+AA139*活动投放!$F$33</f>
        <v>83804.55</v>
      </c>
      <c r="AJ139" s="79">
        <f ca="1">AA139*活动投放!$G$33</f>
        <v>7906.95</v>
      </c>
      <c r="AK139" s="79">
        <f ca="1">AB139*活动投放!$H$34</f>
        <v>35199.9</v>
      </c>
      <c r="AL139" s="79">
        <f ca="1">AB139*活动投放!$I$34</f>
        <v>3911.1000000000004</v>
      </c>
      <c r="AN139" s="29">
        <f t="shared" si="25"/>
        <v>65535</v>
      </c>
      <c r="AO139" s="101">
        <f ca="1">IFERROR(AE139/活动投放!AA139,0)</f>
        <v>0.85829298749096328</v>
      </c>
      <c r="AP139" s="101">
        <f ca="1">IFERROR(AF139/活动投放!AB139,0)</f>
        <v>0.75089979785363292</v>
      </c>
      <c r="AQ139" s="101">
        <f ca="1">IFERROR(AG139/活动投放!AC139,0)</f>
        <v>2.575352918733308E-2</v>
      </c>
      <c r="AR139" s="101">
        <f ca="1">IFERROR(AH139/活动投放!AD139,0)</f>
        <v>5.1507058374666154E-3</v>
      </c>
      <c r="AS139" s="101">
        <f ca="1">IFERROR(AI139/活动投放!AE139,0)</f>
        <v>5.4857398146208638</v>
      </c>
      <c r="AT139" s="101">
        <f ca="1">IFERROR(AJ139/活动投放!AF139,0)</f>
        <v>1.2076842008797655</v>
      </c>
      <c r="AU139" s="101">
        <f ca="1">IFERROR(AK139/活动投放!AG139,0)</f>
        <v>0.69388805109553808</v>
      </c>
      <c r="AV139" s="101">
        <f ca="1">IFERROR(AL139/活动投放!AH139,0)</f>
        <v>0.69388805109553808</v>
      </c>
    </row>
    <row r="141" spans="24:48" x14ac:dyDescent="0.15">
      <c r="X141" s="32" t="s">
        <v>20</v>
      </c>
      <c r="Y141" s="48"/>
      <c r="Z141" s="85" t="s">
        <v>120</v>
      </c>
      <c r="AA141" s="95"/>
      <c r="AB141" s="95"/>
      <c r="AC141" s="95"/>
      <c r="AD141" s="95"/>
      <c r="AE141" s="95"/>
      <c r="AF141" s="86"/>
      <c r="AG141" s="84" t="s">
        <v>121</v>
      </c>
      <c r="AH141" s="84"/>
      <c r="AI141" s="84"/>
      <c r="AJ141" s="84"/>
      <c r="AK141" s="84"/>
      <c r="AL141" s="84"/>
      <c r="AN141" s="29" t="str">
        <f t="shared" ref="AN141:AN142" si="33">X141</f>
        <v>大r</v>
      </c>
      <c r="AO141" s="100" t="s">
        <v>222</v>
      </c>
      <c r="AP141" s="100"/>
      <c r="AQ141" s="100"/>
      <c r="AR141" s="100"/>
      <c r="AS141" s="100"/>
      <c r="AT141" s="100"/>
      <c r="AU141" s="100"/>
      <c r="AV141" s="100"/>
    </row>
    <row r="142" spans="24:48" x14ac:dyDescent="0.15">
      <c r="X142" s="27" t="s">
        <v>31</v>
      </c>
      <c r="Y142" s="45" t="s">
        <v>25</v>
      </c>
      <c r="Z142" s="79" t="s">
        <v>108</v>
      </c>
      <c r="AA142" s="79" t="s">
        <v>110</v>
      </c>
      <c r="AB142" s="79" t="s">
        <v>112</v>
      </c>
      <c r="AC142" s="79" t="s">
        <v>221</v>
      </c>
      <c r="AD142" s="79" t="s">
        <v>220</v>
      </c>
      <c r="AE142" s="79" t="s">
        <v>114</v>
      </c>
      <c r="AF142" s="79" t="s">
        <v>116</v>
      </c>
      <c r="AG142" s="79" t="s">
        <v>26</v>
      </c>
      <c r="AH142" s="79" t="s">
        <v>38</v>
      </c>
      <c r="AI142" s="79" t="s">
        <v>27</v>
      </c>
      <c r="AJ142" s="79" t="s">
        <v>29</v>
      </c>
      <c r="AK142" s="79" t="s">
        <v>28</v>
      </c>
      <c r="AL142" s="79" t="s">
        <v>43</v>
      </c>
      <c r="AN142" s="29" t="str">
        <f t="shared" si="33"/>
        <v>预期天数</v>
      </c>
      <c r="AO142" s="101" t="s">
        <v>114</v>
      </c>
      <c r="AP142" s="101" t="s">
        <v>116</v>
      </c>
      <c r="AQ142" s="101" t="s">
        <v>26</v>
      </c>
      <c r="AR142" s="101" t="s">
        <v>38</v>
      </c>
      <c r="AS142" s="101" t="s">
        <v>27</v>
      </c>
      <c r="AT142" s="101" t="s">
        <v>29</v>
      </c>
      <c r="AU142" s="101" t="s">
        <v>28</v>
      </c>
      <c r="AV142" s="101" t="s">
        <v>43</v>
      </c>
    </row>
    <row r="143" spans="24:48" x14ac:dyDescent="0.15">
      <c r="X143" s="29">
        <f>基础状态预估!C143</f>
        <v>15</v>
      </c>
      <c r="Y143" s="46">
        <f>基础状态预估!D143</f>
        <v>48.731413734867289</v>
      </c>
      <c r="Z143" s="11">
        <f ca="1">IFERROR(SUMIF($K$6:$U$6,Z$10,INDEX($K$7:$U$16,MATCH($Y143,$I$7:$I$16,1),1)),0)*$X143*$C$3</f>
        <v>15</v>
      </c>
      <c r="AA143" s="11">
        <f t="shared" ref="AA143:AF143" ca="1" si="34">IFERROR(SUMIF($K$6:$U$6,AA$10,INDEX($K$7:$U$16,MATCH($Y143,$I$7:$I$16,1),1)),0)*$X143*$C$3</f>
        <v>0</v>
      </c>
      <c r="AB143" s="11">
        <f t="shared" ca="1" si="34"/>
        <v>0</v>
      </c>
      <c r="AC143" s="11">
        <f t="shared" ca="1" si="34"/>
        <v>0</v>
      </c>
      <c r="AD143" s="11">
        <f t="shared" ca="1" si="34"/>
        <v>0</v>
      </c>
      <c r="AE143" s="11">
        <f t="shared" ca="1" si="34"/>
        <v>450</v>
      </c>
      <c r="AF143" s="11">
        <f t="shared" ca="1" si="34"/>
        <v>225</v>
      </c>
      <c r="AG143" s="79">
        <f ca="1">AC143+Z143*活动投放!$D$32</f>
        <v>7.5</v>
      </c>
      <c r="AH143" s="79">
        <f ca="1">Z143*活动投放!$E$32</f>
        <v>7.5</v>
      </c>
      <c r="AI143" s="79">
        <f ca="1">AD143+AA143*活动投放!$F$33</f>
        <v>0</v>
      </c>
      <c r="AJ143" s="79">
        <f ca="1">AA143*活动投放!$G$33</f>
        <v>0</v>
      </c>
      <c r="AK143" s="79">
        <f ca="1">AB143*活动投放!$H$34</f>
        <v>0</v>
      </c>
      <c r="AL143" s="79">
        <f ca="1">AB143*活动投放!$I$34</f>
        <v>0</v>
      </c>
      <c r="AN143" s="29">
        <f>X143</f>
        <v>15</v>
      </c>
      <c r="AO143" s="101">
        <f ca="1">IFERROR(AE143/活动投放!AA143,0)</f>
        <v>1.5</v>
      </c>
      <c r="AP143" s="101">
        <f ca="1">IFERROR(AF143/活动投放!AB143,0)</f>
        <v>1.125</v>
      </c>
      <c r="AQ143" s="101">
        <f ca="1">IFERROR(AG143/活动投放!AC143,0)</f>
        <v>5</v>
      </c>
      <c r="AR143" s="101">
        <f ca="1">IFERROR(AH143/活动投放!AD143,0)</f>
        <v>5</v>
      </c>
      <c r="AS143" s="101">
        <f ca="1">IFERROR(AI143/活动投放!AE143,0)</f>
        <v>0</v>
      </c>
      <c r="AT143" s="101">
        <f ca="1">IFERROR(AJ143/活动投放!AF143,0)</f>
        <v>0</v>
      </c>
      <c r="AU143" s="101">
        <f ca="1">IFERROR(AK143/活动投放!AG143,0)</f>
        <v>0</v>
      </c>
      <c r="AV143" s="101">
        <f ca="1">IFERROR(AL143/活动投放!AH143,0)</f>
        <v>0</v>
      </c>
    </row>
    <row r="144" spans="24:48" x14ac:dyDescent="0.15">
      <c r="X144" s="29">
        <f>基础状态预估!C144</f>
        <v>30</v>
      </c>
      <c r="Y144" s="46">
        <f>基础状态预估!D144</f>
        <v>58.701446767877648</v>
      </c>
      <c r="Z144" s="5">
        <f ca="1">IFERROR(SUMIF($K$6:$U$6,Z$10,INDEX($K$7:$U$16,MATCH($Y144,$I$7:$I$16,1),1)),0)*($X144-$X143)*$C$3+Z143</f>
        <v>30</v>
      </c>
      <c r="AA144" s="5">
        <f t="shared" ref="AA144:AF144" ca="1" si="35">IFERROR(SUMIF($K$6:$U$6,AA$10,INDEX($K$7:$U$16,MATCH($Y144,$I$7:$I$16,1),1)),0)*($X144-$X143)*$C$3+AA143</f>
        <v>0</v>
      </c>
      <c r="AB144" s="5">
        <f t="shared" ca="1" si="35"/>
        <v>0</v>
      </c>
      <c r="AC144" s="5">
        <f t="shared" ca="1" si="35"/>
        <v>0</v>
      </c>
      <c r="AD144" s="5">
        <f t="shared" ca="1" si="35"/>
        <v>0</v>
      </c>
      <c r="AE144" s="5">
        <f t="shared" ca="1" si="35"/>
        <v>900</v>
      </c>
      <c r="AF144" s="5">
        <f t="shared" ca="1" si="35"/>
        <v>450</v>
      </c>
      <c r="AG144" s="79">
        <f ca="1">AC144+Z144*活动投放!$D$32</f>
        <v>15</v>
      </c>
      <c r="AH144" s="79">
        <f ca="1">Z144*活动投放!$E$32</f>
        <v>15</v>
      </c>
      <c r="AI144" s="79">
        <f ca="1">AD144+AA144*活动投放!$F$33</f>
        <v>0</v>
      </c>
      <c r="AJ144" s="79">
        <f ca="1">AA144*活动投放!$G$33</f>
        <v>0</v>
      </c>
      <c r="AK144" s="79">
        <f ca="1">AB144*活动投放!$H$34</f>
        <v>0</v>
      </c>
      <c r="AL144" s="79">
        <f ca="1">AB144*活动投放!$I$34</f>
        <v>0</v>
      </c>
      <c r="AN144" s="29">
        <f t="shared" ref="AN144:AN183" si="36">X144</f>
        <v>30</v>
      </c>
      <c r="AO144" s="101">
        <f ca="1">IFERROR(AE144/活动投放!AA144,0)</f>
        <v>1.2857142857142858</v>
      </c>
      <c r="AP144" s="101">
        <f ca="1">IFERROR(AF144/活动投放!AB144,0)</f>
        <v>1</v>
      </c>
      <c r="AQ144" s="101">
        <f ca="1">IFERROR(AG144/活动投放!AC144,0)</f>
        <v>5</v>
      </c>
      <c r="AR144" s="101">
        <f ca="1">IFERROR(AH144/活动投放!AD144,0)</f>
        <v>5</v>
      </c>
      <c r="AS144" s="101">
        <f ca="1">IFERROR(AI144/活动投放!AE144,0)</f>
        <v>0</v>
      </c>
      <c r="AT144" s="101">
        <f ca="1">IFERROR(AJ144/活动投放!AF144,0)</f>
        <v>0</v>
      </c>
      <c r="AU144" s="101">
        <f ca="1">IFERROR(AK144/活动投放!AG144,0)</f>
        <v>0</v>
      </c>
      <c r="AV144" s="101">
        <f ca="1">IFERROR(AL144/活动投放!AH144,0)</f>
        <v>0</v>
      </c>
    </row>
    <row r="145" spans="24:48" x14ac:dyDescent="0.15">
      <c r="X145" s="29">
        <f>基础状态预估!C145</f>
        <v>45</v>
      </c>
      <c r="Y145" s="46">
        <f>基础状态预估!D145</f>
        <v>64.399012521055653</v>
      </c>
      <c r="Z145" s="5">
        <f t="shared" ref="Z145:Z183" ca="1" si="37">IFERROR(SUMIF($K$6:$U$6,Z$10,INDEX($K$7:$U$16,MATCH($Y145,$I$7:$I$16,1),1)),0)*($X145-$X144)*$C$3+Z144</f>
        <v>37.5</v>
      </c>
      <c r="AA145" s="5">
        <f t="shared" ref="AA145:AA183" ca="1" si="38">IFERROR(SUMIF($K$6:$U$6,AA$10,INDEX($K$7:$U$16,MATCH($Y145,$I$7:$I$16,1),1)),0)*($X145-$X144)*$C$3+AA144</f>
        <v>7.5</v>
      </c>
      <c r="AB145" s="5">
        <f t="shared" ref="AB145:AB183" ca="1" si="39">IFERROR(SUMIF($K$6:$U$6,AB$10,INDEX($K$7:$U$16,MATCH($Y145,$I$7:$I$16,1),1)),0)*($X145-$X144)*$C$3+AB144</f>
        <v>0</v>
      </c>
      <c r="AC145" s="5">
        <f t="shared" ref="AC145:AC183" ca="1" si="40">IFERROR(SUMIF($K$6:$U$6,AC$10,INDEX($K$7:$U$16,MATCH($Y145,$I$7:$I$16,1),1)),0)*($X145-$X144)*$C$3+AC144</f>
        <v>15</v>
      </c>
      <c r="AD145" s="5">
        <f t="shared" ref="AD145:AD183" ca="1" si="41">IFERROR(SUMIF($K$6:$U$6,AD$10,INDEX($K$7:$U$16,MATCH($Y145,$I$7:$I$16,1),1)),0)*($X145-$X144)*$C$3+AD144</f>
        <v>0</v>
      </c>
      <c r="AE145" s="5">
        <f t="shared" ref="AE145:AE183" ca="1" si="42">IFERROR(SUMIF($K$6:$U$6,AE$10,INDEX($K$7:$U$16,MATCH($Y145,$I$7:$I$16,1),1)),0)*($X145-$X144)*$C$3+AE144</f>
        <v>1500</v>
      </c>
      <c r="AF145" s="5">
        <f t="shared" ref="AF145:AF183" ca="1" si="43">IFERROR(SUMIF($K$6:$U$6,AF$10,INDEX($K$7:$U$16,MATCH($Y145,$I$7:$I$16,1),1)),0)*($X145-$X144)*$C$3+AF144</f>
        <v>750</v>
      </c>
      <c r="AG145" s="79">
        <f ca="1">AC145+Z145*活动投放!$D$32</f>
        <v>33.75</v>
      </c>
      <c r="AH145" s="79">
        <f ca="1">Z145*活动投放!$E$32</f>
        <v>18.75</v>
      </c>
      <c r="AI145" s="79">
        <f ca="1">AD145+AA145*活动投放!$F$33</f>
        <v>5.25</v>
      </c>
      <c r="AJ145" s="79">
        <f ca="1">AA145*活动投放!$G$33</f>
        <v>2.25</v>
      </c>
      <c r="AK145" s="79">
        <f ca="1">AB145*活动投放!$H$34</f>
        <v>0</v>
      </c>
      <c r="AL145" s="79">
        <f ca="1">AB145*活动投放!$I$34</f>
        <v>0</v>
      </c>
      <c r="AN145" s="29">
        <f t="shared" si="36"/>
        <v>45</v>
      </c>
      <c r="AO145" s="101">
        <f ca="1">IFERROR(AE145/活动投放!AA145,0)</f>
        <v>1.1538461538461537</v>
      </c>
      <c r="AP145" s="101">
        <f ca="1">IFERROR(AF145/活动投放!AB145,0)</f>
        <v>0.88235294117647056</v>
      </c>
      <c r="AQ145" s="101">
        <f ca="1">IFERROR(AG145/活动投放!AC145,0)</f>
        <v>7.5</v>
      </c>
      <c r="AR145" s="101">
        <f ca="1">IFERROR(AH145/活动投放!AD145,0)</f>
        <v>4.166666666666667</v>
      </c>
      <c r="AS145" s="101">
        <f ca="1">IFERROR(AI145/活动投放!AE145,0)</f>
        <v>1.8750000000000002</v>
      </c>
      <c r="AT145" s="101">
        <f ca="1">IFERROR(AJ145/活动投放!AF145,0)</f>
        <v>1.875</v>
      </c>
      <c r="AU145" s="101">
        <f ca="1">IFERROR(AK145/活动投放!AG145,0)</f>
        <v>0</v>
      </c>
      <c r="AV145" s="101">
        <f ca="1">IFERROR(AL145/活动投放!AH145,0)</f>
        <v>0</v>
      </c>
    </row>
    <row r="146" spans="24:48" x14ac:dyDescent="0.15">
      <c r="X146" s="29">
        <f>基础状态预估!C146</f>
        <v>60</v>
      </c>
      <c r="Y146" s="46">
        <f>基础状态预估!D146</f>
        <v>68.627579426319684</v>
      </c>
      <c r="Z146" s="5">
        <f t="shared" ca="1" si="37"/>
        <v>37.5</v>
      </c>
      <c r="AA146" s="5">
        <f t="shared" ca="1" si="38"/>
        <v>22.5</v>
      </c>
      <c r="AB146" s="5">
        <f t="shared" ca="1" si="39"/>
        <v>0</v>
      </c>
      <c r="AC146" s="5">
        <f t="shared" ca="1" si="40"/>
        <v>30</v>
      </c>
      <c r="AD146" s="5">
        <f t="shared" ca="1" si="41"/>
        <v>0</v>
      </c>
      <c r="AE146" s="5">
        <f t="shared" ca="1" si="42"/>
        <v>2250</v>
      </c>
      <c r="AF146" s="5">
        <f t="shared" ca="1" si="43"/>
        <v>1125</v>
      </c>
      <c r="AG146" s="79">
        <f ca="1">AC146+Z146*活动投放!$D$32</f>
        <v>48.75</v>
      </c>
      <c r="AH146" s="79">
        <f ca="1">Z146*活动投放!$E$32</f>
        <v>18.75</v>
      </c>
      <c r="AI146" s="79">
        <f ca="1">AD146+AA146*活动投放!$F$33</f>
        <v>15.749999999999998</v>
      </c>
      <c r="AJ146" s="79">
        <f ca="1">AA146*活动投放!$G$33</f>
        <v>6.75</v>
      </c>
      <c r="AK146" s="79">
        <f ca="1">AB146*活动投放!$H$34</f>
        <v>0</v>
      </c>
      <c r="AL146" s="79">
        <f ca="1">AB146*活动投放!$I$34</f>
        <v>0</v>
      </c>
      <c r="AN146" s="29">
        <f t="shared" si="36"/>
        <v>60</v>
      </c>
      <c r="AO146" s="101">
        <f ca="1">IFERROR(AE146/活动投放!AA146,0)</f>
        <v>1.125</v>
      </c>
      <c r="AP146" s="101">
        <f ca="1">IFERROR(AF146/活动投放!AB146,0)</f>
        <v>0.86538461538461542</v>
      </c>
      <c r="AQ146" s="101">
        <f ca="1">IFERROR(AG146/活动投放!AC146,0)</f>
        <v>8.125</v>
      </c>
      <c r="AR146" s="101">
        <f ca="1">IFERROR(AH146/活动投放!AD146,0)</f>
        <v>3.125</v>
      </c>
      <c r="AS146" s="101">
        <f ca="1">IFERROR(AI146/活动投放!AE146,0)</f>
        <v>2.8125</v>
      </c>
      <c r="AT146" s="101">
        <f ca="1">IFERROR(AJ146/活动投放!AF146,0)</f>
        <v>2.8125</v>
      </c>
      <c r="AU146" s="101">
        <f ca="1">IFERROR(AK146/活动投放!AG146,0)</f>
        <v>0</v>
      </c>
      <c r="AV146" s="101">
        <f ca="1">IFERROR(AL146/活动投放!AH146,0)</f>
        <v>0</v>
      </c>
    </row>
    <row r="147" spans="24:48" x14ac:dyDescent="0.15">
      <c r="X147" s="29">
        <f>基础状态预估!C147</f>
        <v>75</v>
      </c>
      <c r="Y147" s="46">
        <f>基础状态预估!D147</f>
        <v>71.882008108111634</v>
      </c>
      <c r="Z147" s="5">
        <f t="shared" ca="1" si="37"/>
        <v>37.5</v>
      </c>
      <c r="AA147" s="5">
        <f t="shared" ca="1" si="38"/>
        <v>37.5</v>
      </c>
      <c r="AB147" s="5">
        <f t="shared" ca="1" si="39"/>
        <v>0</v>
      </c>
      <c r="AC147" s="5">
        <f t="shared" ca="1" si="40"/>
        <v>45</v>
      </c>
      <c r="AD147" s="5">
        <f t="shared" ca="1" si="41"/>
        <v>0</v>
      </c>
      <c r="AE147" s="5">
        <f t="shared" ca="1" si="42"/>
        <v>3000</v>
      </c>
      <c r="AF147" s="5">
        <f t="shared" ca="1" si="43"/>
        <v>1500</v>
      </c>
      <c r="AG147" s="79">
        <f ca="1">AC147+Z147*活动投放!$D$32</f>
        <v>63.75</v>
      </c>
      <c r="AH147" s="79">
        <f ca="1">Z147*活动投放!$E$32</f>
        <v>18.75</v>
      </c>
      <c r="AI147" s="79">
        <f ca="1">AD147+AA147*活动投放!$F$33</f>
        <v>26.25</v>
      </c>
      <c r="AJ147" s="79">
        <f ca="1">AA147*活动投放!$G$33</f>
        <v>11.25</v>
      </c>
      <c r="AK147" s="79">
        <f ca="1">AB147*活动投放!$H$34</f>
        <v>0</v>
      </c>
      <c r="AL147" s="79">
        <f ca="1">AB147*活动投放!$I$34</f>
        <v>0</v>
      </c>
      <c r="AN147" s="29">
        <f t="shared" si="36"/>
        <v>75</v>
      </c>
      <c r="AO147" s="101">
        <f ca="1">IFERROR(AE147/活动投放!AA147,0)</f>
        <v>1.0714285714285714</v>
      </c>
      <c r="AP147" s="101">
        <f ca="1">IFERROR(AF147/活动投放!AB147,0)</f>
        <v>0.83333333333333337</v>
      </c>
      <c r="AQ147" s="101">
        <f ca="1">IFERROR(AG147/活动投放!AC147,0)</f>
        <v>8.5</v>
      </c>
      <c r="AR147" s="101">
        <f ca="1">IFERROR(AH147/活动投放!AD147,0)</f>
        <v>2.5</v>
      </c>
      <c r="AS147" s="101">
        <f ca="1">IFERROR(AI147/活动投放!AE147,0)</f>
        <v>2.8846153846153846</v>
      </c>
      <c r="AT147" s="101">
        <f ca="1">IFERROR(AJ147/活动投放!AF147,0)</f>
        <v>2.8846153846153846</v>
      </c>
      <c r="AU147" s="101">
        <f ca="1">IFERROR(AK147/活动投放!AG147,0)</f>
        <v>0</v>
      </c>
      <c r="AV147" s="101">
        <f ca="1">IFERROR(AL147/活动投放!AH147,0)</f>
        <v>0</v>
      </c>
    </row>
    <row r="148" spans="24:48" x14ac:dyDescent="0.15">
      <c r="X148" s="29">
        <f>基础状态预估!C148</f>
        <v>90</v>
      </c>
      <c r="Y148" s="46">
        <f>基础状态预估!D148</f>
        <v>74.493385467679886</v>
      </c>
      <c r="Z148" s="5">
        <f t="shared" ca="1" si="37"/>
        <v>37.5</v>
      </c>
      <c r="AA148" s="5">
        <f t="shared" ca="1" si="38"/>
        <v>52.5</v>
      </c>
      <c r="AB148" s="5">
        <f t="shared" ca="1" si="39"/>
        <v>0</v>
      </c>
      <c r="AC148" s="5">
        <f t="shared" ca="1" si="40"/>
        <v>60</v>
      </c>
      <c r="AD148" s="5">
        <f t="shared" ca="1" si="41"/>
        <v>0</v>
      </c>
      <c r="AE148" s="5">
        <f t="shared" ca="1" si="42"/>
        <v>3750</v>
      </c>
      <c r="AF148" s="5">
        <f t="shared" ca="1" si="43"/>
        <v>1875</v>
      </c>
      <c r="AG148" s="79">
        <f ca="1">AC148+Z148*活动投放!$D$32</f>
        <v>78.75</v>
      </c>
      <c r="AH148" s="79">
        <f ca="1">Z148*活动投放!$E$32</f>
        <v>18.75</v>
      </c>
      <c r="AI148" s="79">
        <f ca="1">AD148+AA148*活动投放!$F$33</f>
        <v>36.75</v>
      </c>
      <c r="AJ148" s="79">
        <f ca="1">AA148*活动投放!$G$33</f>
        <v>15.75</v>
      </c>
      <c r="AK148" s="79">
        <f ca="1">AB148*活动投放!$H$34</f>
        <v>0</v>
      </c>
      <c r="AL148" s="79">
        <f ca="1">AB148*活动投放!$I$34</f>
        <v>0</v>
      </c>
      <c r="AN148" s="29">
        <f t="shared" si="36"/>
        <v>90</v>
      </c>
      <c r="AO148" s="101">
        <f ca="1">IFERROR(AE148/活动投放!AA148,0)</f>
        <v>1.0135135135135136</v>
      </c>
      <c r="AP148" s="101">
        <f ca="1">IFERROR(AF148/活动投放!AB148,0)</f>
        <v>0.78125</v>
      </c>
      <c r="AQ148" s="101">
        <f ca="1">IFERROR(AG148/活动投放!AC148,0)</f>
        <v>8.75</v>
      </c>
      <c r="AR148" s="101">
        <f ca="1">IFERROR(AH148/活动投放!AD148,0)</f>
        <v>2.0833333333333335</v>
      </c>
      <c r="AS148" s="101">
        <f ca="1">IFERROR(AI148/活动投放!AE148,0)</f>
        <v>2.916666666666667</v>
      </c>
      <c r="AT148" s="101">
        <f ca="1">IFERROR(AJ148/活动投放!AF148,0)</f>
        <v>2.916666666666667</v>
      </c>
      <c r="AU148" s="101">
        <f ca="1">IFERROR(AK148/活动投放!AG148,0)</f>
        <v>0</v>
      </c>
      <c r="AV148" s="101">
        <f ca="1">IFERROR(AL148/活动投放!AH148,0)</f>
        <v>0</v>
      </c>
    </row>
    <row r="149" spans="24:48" x14ac:dyDescent="0.15">
      <c r="X149" s="29">
        <f>基础状态预估!C149</f>
        <v>105</v>
      </c>
      <c r="Y149" s="46">
        <f>基础状态预估!D149</f>
        <v>76.672104206565521</v>
      </c>
      <c r="Z149" s="5">
        <f t="shared" ca="1" si="37"/>
        <v>37.5</v>
      </c>
      <c r="AA149" s="5">
        <f t="shared" ca="1" si="38"/>
        <v>66</v>
      </c>
      <c r="AB149" s="5">
        <f t="shared" ca="1" si="39"/>
        <v>1.5</v>
      </c>
      <c r="AC149" s="5">
        <f t="shared" ca="1" si="40"/>
        <v>60</v>
      </c>
      <c r="AD149" s="5">
        <f t="shared" ca="1" si="41"/>
        <v>15</v>
      </c>
      <c r="AE149" s="5">
        <f t="shared" ca="1" si="42"/>
        <v>4650</v>
      </c>
      <c r="AF149" s="5">
        <f t="shared" ca="1" si="43"/>
        <v>2325</v>
      </c>
      <c r="AG149" s="79">
        <f ca="1">AC149+Z149*活动投放!$D$32</f>
        <v>78.75</v>
      </c>
      <c r="AH149" s="79">
        <f ca="1">Z149*活动投放!$E$32</f>
        <v>18.75</v>
      </c>
      <c r="AI149" s="79">
        <f ca="1">AD149+AA149*活动投放!$F$33</f>
        <v>61.199999999999996</v>
      </c>
      <c r="AJ149" s="79">
        <f ca="1">AA149*活动投放!$G$33</f>
        <v>19.8</v>
      </c>
      <c r="AK149" s="79">
        <f ca="1">AB149*活动投放!$H$34</f>
        <v>1.35</v>
      </c>
      <c r="AL149" s="79">
        <f ca="1">AB149*活动投放!$I$34</f>
        <v>0.15000000000000002</v>
      </c>
      <c r="AN149" s="29">
        <f t="shared" si="36"/>
        <v>105</v>
      </c>
      <c r="AO149" s="101">
        <f ca="1">IFERROR(AE149/活动投放!AA149,0)</f>
        <v>1.0108695652173914</v>
      </c>
      <c r="AP149" s="101">
        <f ca="1">IFERROR(AF149/活动投放!AB149,0)</f>
        <v>0.77500000000000002</v>
      </c>
      <c r="AQ149" s="101">
        <f ca="1">IFERROR(AG149/活动投放!AC149,0)</f>
        <v>7.5</v>
      </c>
      <c r="AR149" s="101">
        <f ca="1">IFERROR(AH149/活动投放!AD149,0)</f>
        <v>1.7857142857142858</v>
      </c>
      <c r="AS149" s="101">
        <f ca="1">IFERROR(AI149/活动投放!AE149,0)</f>
        <v>3.8012422360248448</v>
      </c>
      <c r="AT149" s="101">
        <f ca="1">IFERROR(AJ149/活动投放!AF149,0)</f>
        <v>2.8695652173913047</v>
      </c>
      <c r="AU149" s="101">
        <f ca="1">IFERROR(AK149/活动投放!AG149,0)</f>
        <v>0.75</v>
      </c>
      <c r="AV149" s="101">
        <f ca="1">IFERROR(AL149/活动投放!AH149,0)</f>
        <v>0.75000000000000011</v>
      </c>
    </row>
    <row r="150" spans="24:48" x14ac:dyDescent="0.15">
      <c r="X150" s="29">
        <f>基础状态预估!C150</f>
        <v>120</v>
      </c>
      <c r="Y150" s="46">
        <f>基础状态预估!D150</f>
        <v>78.608065926757661</v>
      </c>
      <c r="Z150" s="5">
        <f t="shared" ca="1" si="37"/>
        <v>37.5</v>
      </c>
      <c r="AA150" s="5">
        <f t="shared" ca="1" si="38"/>
        <v>79.5</v>
      </c>
      <c r="AB150" s="5">
        <f t="shared" ca="1" si="39"/>
        <v>3</v>
      </c>
      <c r="AC150" s="5">
        <f t="shared" ca="1" si="40"/>
        <v>60</v>
      </c>
      <c r="AD150" s="5">
        <f t="shared" ca="1" si="41"/>
        <v>30</v>
      </c>
      <c r="AE150" s="5">
        <f t="shared" ca="1" si="42"/>
        <v>5550</v>
      </c>
      <c r="AF150" s="5">
        <f t="shared" ca="1" si="43"/>
        <v>2775</v>
      </c>
      <c r="AG150" s="79">
        <f ca="1">AC150+Z150*活动投放!$D$32</f>
        <v>78.75</v>
      </c>
      <c r="AH150" s="79">
        <f ca="1">Z150*活动投放!$E$32</f>
        <v>18.75</v>
      </c>
      <c r="AI150" s="79">
        <f ca="1">AD150+AA150*活动投放!$F$33</f>
        <v>85.65</v>
      </c>
      <c r="AJ150" s="79">
        <f ca="1">AA150*活动投放!$G$33</f>
        <v>23.849999999999998</v>
      </c>
      <c r="AK150" s="79">
        <f ca="1">AB150*活动投放!$H$34</f>
        <v>2.7</v>
      </c>
      <c r="AL150" s="79">
        <f ca="1">AB150*活动投放!$I$34</f>
        <v>0.30000000000000004</v>
      </c>
      <c r="AN150" s="29">
        <f t="shared" si="36"/>
        <v>120</v>
      </c>
      <c r="AO150" s="101">
        <f ca="1">IFERROR(AE150/活动投放!AA150,0)</f>
        <v>0.9910714285714286</v>
      </c>
      <c r="AP150" s="101">
        <f ca="1">IFERROR(AF150/活动投放!AB150,0)</f>
        <v>0.76027397260273977</v>
      </c>
      <c r="AQ150" s="101">
        <f ca="1">IFERROR(AG150/活动投放!AC150,0)</f>
        <v>6.5625</v>
      </c>
      <c r="AR150" s="101">
        <f ca="1">IFERROR(AH150/活动投放!AD150,0)</f>
        <v>1.5625</v>
      </c>
      <c r="AS150" s="101">
        <f ca="1">IFERROR(AI150/活动投放!AE150,0)</f>
        <v>4.3698979591836746</v>
      </c>
      <c r="AT150" s="101">
        <f ca="1">IFERROR(AJ150/活动投放!AF150,0)</f>
        <v>2.839285714285714</v>
      </c>
      <c r="AU150" s="101">
        <f ca="1">IFERROR(AK150/活动投放!AG150,0)</f>
        <v>0.75</v>
      </c>
      <c r="AV150" s="101">
        <f ca="1">IFERROR(AL150/活动投放!AH150,0)</f>
        <v>0.75000000000000011</v>
      </c>
    </row>
    <row r="151" spans="24:48" x14ac:dyDescent="0.15">
      <c r="X151" s="29">
        <f>基础状态预估!C151</f>
        <v>150</v>
      </c>
      <c r="Y151" s="46">
        <f>基础状态预估!D151</f>
        <v>81.919202803497143</v>
      </c>
      <c r="Z151" s="5">
        <f t="shared" ca="1" si="37"/>
        <v>37.5</v>
      </c>
      <c r="AA151" s="5">
        <f t="shared" ca="1" si="38"/>
        <v>103.5</v>
      </c>
      <c r="AB151" s="5">
        <f t="shared" ca="1" si="39"/>
        <v>9</v>
      </c>
      <c r="AC151" s="5">
        <f t="shared" ca="1" si="40"/>
        <v>60</v>
      </c>
      <c r="AD151" s="5">
        <f t="shared" ca="1" si="41"/>
        <v>60</v>
      </c>
      <c r="AE151" s="5">
        <f t="shared" ca="1" si="42"/>
        <v>7650</v>
      </c>
      <c r="AF151" s="5">
        <f t="shared" ca="1" si="43"/>
        <v>3825</v>
      </c>
      <c r="AG151" s="79">
        <f ca="1">AC151+Z151*活动投放!$D$32</f>
        <v>78.75</v>
      </c>
      <c r="AH151" s="79">
        <f ca="1">Z151*活动投放!$E$32</f>
        <v>18.75</v>
      </c>
      <c r="AI151" s="79">
        <f ca="1">AD151+AA151*活动投放!$F$33</f>
        <v>132.44999999999999</v>
      </c>
      <c r="AJ151" s="79">
        <f ca="1">AA151*活动投放!$G$33</f>
        <v>31.049999999999997</v>
      </c>
      <c r="AK151" s="79">
        <f ca="1">AB151*活动投放!$H$34</f>
        <v>8.1</v>
      </c>
      <c r="AL151" s="79">
        <f ca="1">AB151*活动投放!$I$34</f>
        <v>0.9</v>
      </c>
      <c r="AN151" s="29">
        <f t="shared" si="36"/>
        <v>150</v>
      </c>
      <c r="AO151" s="101">
        <f ca="1">IFERROR(AE151/活动投放!AA151,0)</f>
        <v>0.95625000000000004</v>
      </c>
      <c r="AP151" s="101">
        <f ca="1">IFERROR(AF151/活动投放!AB151,0)</f>
        <v>0.72857142857142854</v>
      </c>
      <c r="AQ151" s="101">
        <f ca="1">IFERROR(AG151/活动投放!AC151,0)</f>
        <v>5.25</v>
      </c>
      <c r="AR151" s="101">
        <f ca="1">IFERROR(AH151/活动投放!AD151,0)</f>
        <v>1.25</v>
      </c>
      <c r="AS151" s="101">
        <f ca="1">IFERROR(AI151/活动投放!AE151,0)</f>
        <v>4.9793233082706765</v>
      </c>
      <c r="AT151" s="101">
        <f ca="1">IFERROR(AJ151/活动投放!AF151,0)</f>
        <v>2.7236842105263155</v>
      </c>
      <c r="AU151" s="101">
        <f ca="1">IFERROR(AK151/活动投放!AG151,0)</f>
        <v>0.74999999999999989</v>
      </c>
      <c r="AV151" s="101">
        <f ca="1">IFERROR(AL151/活动投放!AH151,0)</f>
        <v>0.74999999999999989</v>
      </c>
    </row>
    <row r="152" spans="24:48" x14ac:dyDescent="0.15">
      <c r="X152" s="29">
        <f>基础状态预估!C152</f>
        <v>180</v>
      </c>
      <c r="Y152" s="46">
        <f>基础状态预估!D152</f>
        <v>84.557504671530296</v>
      </c>
      <c r="Z152" s="5">
        <f t="shared" ca="1" si="37"/>
        <v>37.5</v>
      </c>
      <c r="AA152" s="5">
        <f t="shared" ca="1" si="38"/>
        <v>124.5</v>
      </c>
      <c r="AB152" s="5">
        <f t="shared" ca="1" si="39"/>
        <v>18</v>
      </c>
      <c r="AC152" s="5">
        <f t="shared" ca="1" si="40"/>
        <v>60</v>
      </c>
      <c r="AD152" s="5">
        <f t="shared" ca="1" si="41"/>
        <v>90</v>
      </c>
      <c r="AE152" s="5">
        <f t="shared" ca="1" si="42"/>
        <v>10050</v>
      </c>
      <c r="AF152" s="5">
        <f t="shared" ca="1" si="43"/>
        <v>5025</v>
      </c>
      <c r="AG152" s="79">
        <f ca="1">AC152+Z152*活动投放!$D$32</f>
        <v>78.75</v>
      </c>
      <c r="AH152" s="79">
        <f ca="1">Z152*活动投放!$E$32</f>
        <v>18.75</v>
      </c>
      <c r="AI152" s="79">
        <f ca="1">AD152+AA152*活动投放!$F$33</f>
        <v>177.14999999999998</v>
      </c>
      <c r="AJ152" s="79">
        <f ca="1">AA152*活动投放!$G$33</f>
        <v>37.35</v>
      </c>
      <c r="AK152" s="79">
        <f ca="1">AB152*活动投放!$H$34</f>
        <v>16.2</v>
      </c>
      <c r="AL152" s="79">
        <f ca="1">AB152*活动投放!$I$34</f>
        <v>1.8</v>
      </c>
      <c r="AN152" s="29">
        <f t="shared" si="36"/>
        <v>180</v>
      </c>
      <c r="AO152" s="101">
        <f ca="1">IFERROR(AE152/活动投放!AA152,0)</f>
        <v>0.94811320754716977</v>
      </c>
      <c r="AP152" s="101">
        <f ca="1">IFERROR(AF152/活动投放!AB152,0)</f>
        <v>0.7230215827338129</v>
      </c>
      <c r="AQ152" s="101">
        <f ca="1">IFERROR(AG152/活动投放!AC152,0)</f>
        <v>4.375</v>
      </c>
      <c r="AR152" s="101">
        <f ca="1">IFERROR(AH152/活动投放!AD152,0)</f>
        <v>1.0416666666666667</v>
      </c>
      <c r="AS152" s="101">
        <f ca="1">IFERROR(AI152/活动投放!AE152,0)</f>
        <v>5.2723214285714288</v>
      </c>
      <c r="AT152" s="101">
        <f ca="1">IFERROR(AJ152/活动投放!AF152,0)</f>
        <v>2.5937500000000004</v>
      </c>
      <c r="AU152" s="101">
        <f ca="1">IFERROR(AK152/活动投放!AG152,0)</f>
        <v>0.81818181818181812</v>
      </c>
      <c r="AV152" s="101">
        <f ca="1">IFERROR(AL152/活动投放!AH152,0)</f>
        <v>0.81818181818181812</v>
      </c>
    </row>
    <row r="153" spans="24:48" x14ac:dyDescent="0.15">
      <c r="X153" s="29">
        <f>基础状态预估!C153</f>
        <v>210</v>
      </c>
      <c r="Y153" s="46">
        <f>基础状态预估!D153</f>
        <v>86.804267332174788</v>
      </c>
      <c r="Z153" s="5">
        <f t="shared" ca="1" si="37"/>
        <v>37.5</v>
      </c>
      <c r="AA153" s="5">
        <f t="shared" ca="1" si="38"/>
        <v>142.5</v>
      </c>
      <c r="AB153" s="5">
        <f t="shared" ca="1" si="39"/>
        <v>30</v>
      </c>
      <c r="AC153" s="5">
        <f t="shared" ca="1" si="40"/>
        <v>60</v>
      </c>
      <c r="AD153" s="5">
        <f t="shared" ca="1" si="41"/>
        <v>120</v>
      </c>
      <c r="AE153" s="5">
        <f t="shared" ca="1" si="42"/>
        <v>12750</v>
      </c>
      <c r="AF153" s="5">
        <f t="shared" ca="1" si="43"/>
        <v>6525</v>
      </c>
      <c r="AG153" s="79">
        <f ca="1">AC153+Z153*活动投放!$D$32</f>
        <v>78.75</v>
      </c>
      <c r="AH153" s="79">
        <f ca="1">Z153*活动投放!$E$32</f>
        <v>18.75</v>
      </c>
      <c r="AI153" s="79">
        <f ca="1">AD153+AA153*活动投放!$F$33</f>
        <v>219.75</v>
      </c>
      <c r="AJ153" s="79">
        <f ca="1">AA153*活动投放!$G$33</f>
        <v>42.75</v>
      </c>
      <c r="AK153" s="79">
        <f ca="1">AB153*活动投放!$H$34</f>
        <v>27</v>
      </c>
      <c r="AL153" s="79">
        <f ca="1">AB153*活动投放!$I$34</f>
        <v>3</v>
      </c>
      <c r="AN153" s="29">
        <f t="shared" si="36"/>
        <v>210</v>
      </c>
      <c r="AO153" s="101">
        <f ca="1">IFERROR(AE153/活动投放!AA153,0)</f>
        <v>0.95149253731343286</v>
      </c>
      <c r="AP153" s="101">
        <f ca="1">IFERROR(AF153/活动投放!AB153,0)</f>
        <v>0.74571428571428566</v>
      </c>
      <c r="AQ153" s="101">
        <f ca="1">IFERROR(AG153/活动投放!AC153,0)</f>
        <v>3.75</v>
      </c>
      <c r="AR153" s="101">
        <f ca="1">IFERROR(AH153/活动投放!AD153,0)</f>
        <v>0.8928571428571429</v>
      </c>
      <c r="AS153" s="101">
        <f ca="1">IFERROR(AI153/活动投放!AE153,0)</f>
        <v>5.4125615763546806</v>
      </c>
      <c r="AT153" s="101">
        <f ca="1">IFERROR(AJ153/活动投放!AF153,0)</f>
        <v>2.4568965517241383</v>
      </c>
      <c r="AU153" s="101">
        <f ca="1">IFERROR(AK153/活动投放!AG153,0)</f>
        <v>0.88235294117647056</v>
      </c>
      <c r="AV153" s="101">
        <f ca="1">IFERROR(AL153/活动投放!AH153,0)</f>
        <v>0.88235294117647045</v>
      </c>
    </row>
    <row r="154" spans="24:48" x14ac:dyDescent="0.15">
      <c r="X154" s="29">
        <f>基础状态预估!C154</f>
        <v>240</v>
      </c>
      <c r="Y154" s="46">
        <f>基础状态预估!D154</f>
        <v>88.978258962579233</v>
      </c>
      <c r="Z154" s="5">
        <f t="shared" ca="1" si="37"/>
        <v>37.5</v>
      </c>
      <c r="AA154" s="5">
        <f t="shared" ca="1" si="38"/>
        <v>160.5</v>
      </c>
      <c r="AB154" s="5">
        <f t="shared" ca="1" si="39"/>
        <v>42</v>
      </c>
      <c r="AC154" s="5">
        <f t="shared" ca="1" si="40"/>
        <v>60</v>
      </c>
      <c r="AD154" s="5">
        <f t="shared" ca="1" si="41"/>
        <v>150</v>
      </c>
      <c r="AE154" s="5">
        <f t="shared" ca="1" si="42"/>
        <v>15450</v>
      </c>
      <c r="AF154" s="5">
        <f t="shared" ca="1" si="43"/>
        <v>8025</v>
      </c>
      <c r="AG154" s="79">
        <f ca="1">AC154+Z154*活动投放!$D$32</f>
        <v>78.75</v>
      </c>
      <c r="AH154" s="79">
        <f ca="1">Z154*活动投放!$E$32</f>
        <v>18.75</v>
      </c>
      <c r="AI154" s="79">
        <f ca="1">AD154+AA154*活动投放!$F$33</f>
        <v>262.35000000000002</v>
      </c>
      <c r="AJ154" s="79">
        <f ca="1">AA154*活动投放!$G$33</f>
        <v>48.15</v>
      </c>
      <c r="AK154" s="79">
        <f ca="1">AB154*活动投放!$H$34</f>
        <v>37.800000000000004</v>
      </c>
      <c r="AL154" s="79">
        <f ca="1">AB154*活动投放!$I$34</f>
        <v>4.2</v>
      </c>
      <c r="AN154" s="29">
        <f t="shared" si="36"/>
        <v>240</v>
      </c>
      <c r="AO154" s="101">
        <f ca="1">IFERROR(AE154/活动投放!AA154,0)</f>
        <v>0.94207317073170727</v>
      </c>
      <c r="AP154" s="101">
        <f ca="1">IFERROR(AF154/活动投放!AB154,0)</f>
        <v>0.74651162790697678</v>
      </c>
      <c r="AQ154" s="101">
        <f ca="1">IFERROR(AG154/活动投放!AC154,0)</f>
        <v>3.28125</v>
      </c>
      <c r="AR154" s="101">
        <f ca="1">IFERROR(AH154/活动投放!AD154,0)</f>
        <v>0.78125</v>
      </c>
      <c r="AS154" s="101">
        <f ca="1">IFERROR(AI154/活动投放!AE154,0)</f>
        <v>5.5115546218487408</v>
      </c>
      <c r="AT154" s="101">
        <f ca="1">IFERROR(AJ154/活动投放!AF154,0)</f>
        <v>2.3602941176470589</v>
      </c>
      <c r="AU154" s="101">
        <f ca="1">IFERROR(AK154/活动投放!AG154,0)</f>
        <v>0.875</v>
      </c>
      <c r="AV154" s="101">
        <f ca="1">IFERROR(AL154/活动投放!AH154,0)</f>
        <v>0.87499999999999989</v>
      </c>
    </row>
    <row r="155" spans="24:48" x14ac:dyDescent="0.15">
      <c r="X155" s="29">
        <f>基础状态预估!C155</f>
        <v>270</v>
      </c>
      <c r="Y155" s="46">
        <f>基础状态预估!D155</f>
        <v>90.852534040676616</v>
      </c>
      <c r="Z155" s="5">
        <f t="shared" ca="1" si="37"/>
        <v>37.5</v>
      </c>
      <c r="AA155" s="5">
        <f t="shared" ca="1" si="38"/>
        <v>175.5</v>
      </c>
      <c r="AB155" s="5">
        <f t="shared" ca="1" si="39"/>
        <v>57</v>
      </c>
      <c r="AC155" s="5">
        <f t="shared" ca="1" si="40"/>
        <v>60</v>
      </c>
      <c r="AD155" s="5">
        <f t="shared" ca="1" si="41"/>
        <v>180</v>
      </c>
      <c r="AE155" s="5">
        <f t="shared" ca="1" si="42"/>
        <v>18450</v>
      </c>
      <c r="AF155" s="5">
        <f t="shared" ca="1" si="43"/>
        <v>9825</v>
      </c>
      <c r="AG155" s="79">
        <f ca="1">AC155+Z155*活动投放!$D$32</f>
        <v>78.75</v>
      </c>
      <c r="AH155" s="79">
        <f ca="1">Z155*活动投放!$E$32</f>
        <v>18.75</v>
      </c>
      <c r="AI155" s="79">
        <f ca="1">AD155+AA155*活动投放!$F$33</f>
        <v>302.85000000000002</v>
      </c>
      <c r="AJ155" s="79">
        <f ca="1">AA155*活动投放!$G$33</f>
        <v>52.65</v>
      </c>
      <c r="AK155" s="79">
        <f ca="1">AB155*活动投放!$H$34</f>
        <v>51.300000000000004</v>
      </c>
      <c r="AL155" s="79">
        <f ca="1">AB155*活动投放!$I$34</f>
        <v>5.7</v>
      </c>
      <c r="AN155" s="29">
        <f t="shared" si="36"/>
        <v>270</v>
      </c>
      <c r="AO155" s="101">
        <f ca="1">IFERROR(AE155/活动投放!AA155,0)</f>
        <v>0.94132653061224492</v>
      </c>
      <c r="AP155" s="101">
        <f ca="1">IFERROR(AF155/活动投放!AB155,0)</f>
        <v>0.7645914396887159</v>
      </c>
      <c r="AQ155" s="101">
        <f ca="1">IFERROR(AG155/活动投放!AC155,0)</f>
        <v>2.9166666666666665</v>
      </c>
      <c r="AR155" s="101">
        <f ca="1">IFERROR(AH155/活动投放!AD155,0)</f>
        <v>0.69444444444444442</v>
      </c>
      <c r="AS155" s="101">
        <f ca="1">IFERROR(AI155/活动投放!AE155,0)</f>
        <v>5.5467032967032974</v>
      </c>
      <c r="AT155" s="101">
        <f ca="1">IFERROR(AJ155/活动投放!AF155,0)</f>
        <v>2.25</v>
      </c>
      <c r="AU155" s="101">
        <f ca="1">IFERROR(AK155/活动投放!AG155,0)</f>
        <v>0.890625</v>
      </c>
      <c r="AV155" s="101">
        <f ca="1">IFERROR(AL155/活动投放!AH155,0)</f>
        <v>0.890625</v>
      </c>
    </row>
    <row r="156" spans="24:48" x14ac:dyDescent="0.15">
      <c r="X156" s="29">
        <f>基础状态预估!C156</f>
        <v>300</v>
      </c>
      <c r="Y156" s="46">
        <f>基础状态预估!D156</f>
        <v>92.422409073065808</v>
      </c>
      <c r="Z156" s="5">
        <f t="shared" ca="1" si="37"/>
        <v>37.5</v>
      </c>
      <c r="AA156" s="5">
        <f t="shared" ca="1" si="38"/>
        <v>190.5</v>
      </c>
      <c r="AB156" s="5">
        <f t="shared" ca="1" si="39"/>
        <v>72</v>
      </c>
      <c r="AC156" s="5">
        <f t="shared" ca="1" si="40"/>
        <v>60</v>
      </c>
      <c r="AD156" s="5">
        <f t="shared" ca="1" si="41"/>
        <v>210</v>
      </c>
      <c r="AE156" s="5">
        <f t="shared" ca="1" si="42"/>
        <v>21450</v>
      </c>
      <c r="AF156" s="5">
        <f t="shared" ca="1" si="43"/>
        <v>11625</v>
      </c>
      <c r="AG156" s="79">
        <f ca="1">AC156+Z156*活动投放!$D$32</f>
        <v>78.75</v>
      </c>
      <c r="AH156" s="79">
        <f ca="1">Z156*活动投放!$E$32</f>
        <v>18.75</v>
      </c>
      <c r="AI156" s="79">
        <f ca="1">AD156+AA156*活动投放!$F$33</f>
        <v>343.35</v>
      </c>
      <c r="AJ156" s="79">
        <f ca="1">AA156*活动投放!$G$33</f>
        <v>57.15</v>
      </c>
      <c r="AK156" s="79">
        <f ca="1">AB156*活动投放!$H$34</f>
        <v>64.8</v>
      </c>
      <c r="AL156" s="79">
        <f ca="1">AB156*活动投放!$I$34</f>
        <v>7.2</v>
      </c>
      <c r="AN156" s="29">
        <f t="shared" si="36"/>
        <v>300</v>
      </c>
      <c r="AO156" s="101">
        <f ca="1">IFERROR(AE156/活动投放!AA156,0)</f>
        <v>0.93260869565217386</v>
      </c>
      <c r="AP156" s="101">
        <f ca="1">IFERROR(AF156/活动投放!AB156,0)</f>
        <v>0.77242524916943522</v>
      </c>
      <c r="AQ156" s="101">
        <f ca="1">IFERROR(AG156/活动投放!AC156,0)</f>
        <v>2.625</v>
      </c>
      <c r="AR156" s="101">
        <f ca="1">IFERROR(AH156/活动投放!AD156,0)</f>
        <v>0.625</v>
      </c>
      <c r="AS156" s="101">
        <f ca="1">IFERROR(AI156/活动投放!AE156,0)</f>
        <v>5.5738636363636376</v>
      </c>
      <c r="AT156" s="101">
        <f ca="1">IFERROR(AJ156/活动投放!AF156,0)</f>
        <v>2.1647727272727275</v>
      </c>
      <c r="AU156" s="101">
        <f ca="1">IFERROR(AK156/活动投放!AG156,0)</f>
        <v>0.87804878048780488</v>
      </c>
      <c r="AV156" s="101">
        <f ca="1">IFERROR(AL156/活动投放!AH156,0)</f>
        <v>0.87804878048780477</v>
      </c>
    </row>
    <row r="157" spans="24:48" x14ac:dyDescent="0.15">
      <c r="X157" s="29">
        <f>基础状态预估!C157</f>
        <v>360</v>
      </c>
      <c r="Y157" s="46">
        <f>基础状态预估!D157</f>
        <v>95.182038399947245</v>
      </c>
      <c r="Z157" s="5">
        <f t="shared" ca="1" si="37"/>
        <v>37.5</v>
      </c>
      <c r="AA157" s="5">
        <f t="shared" ca="1" si="38"/>
        <v>214.5</v>
      </c>
      <c r="AB157" s="5">
        <f t="shared" ca="1" si="39"/>
        <v>108</v>
      </c>
      <c r="AC157" s="5">
        <f t="shared" ca="1" si="40"/>
        <v>60</v>
      </c>
      <c r="AD157" s="5">
        <f t="shared" ca="1" si="41"/>
        <v>270</v>
      </c>
      <c r="AE157" s="5">
        <f t="shared" ca="1" si="42"/>
        <v>28650</v>
      </c>
      <c r="AF157" s="5">
        <f t="shared" ca="1" si="43"/>
        <v>15825</v>
      </c>
      <c r="AG157" s="79">
        <f ca="1">AC157+Z157*活动投放!$D$32</f>
        <v>78.75</v>
      </c>
      <c r="AH157" s="79">
        <f ca="1">Z157*活动投放!$E$32</f>
        <v>18.75</v>
      </c>
      <c r="AI157" s="79">
        <f ca="1">AD157+AA157*活动投放!$F$33</f>
        <v>420.15</v>
      </c>
      <c r="AJ157" s="79">
        <f ca="1">AA157*活动投放!$G$33</f>
        <v>64.349999999999994</v>
      </c>
      <c r="AK157" s="79">
        <f ca="1">AB157*活动投放!$H$34</f>
        <v>97.2</v>
      </c>
      <c r="AL157" s="79">
        <f ca="1">AB157*活动投放!$I$34</f>
        <v>10.8</v>
      </c>
      <c r="AN157" s="29">
        <f t="shared" si="36"/>
        <v>360</v>
      </c>
      <c r="AO157" s="101">
        <f ca="1">IFERROR(AE157/活动投放!AA157,0)</f>
        <v>0.94867549668874174</v>
      </c>
      <c r="AP157" s="101">
        <f ca="1">IFERROR(AF157/活动投放!AB157,0)</f>
        <v>0.79722921914357681</v>
      </c>
      <c r="AQ157" s="101">
        <f ca="1">IFERROR(AG157/活动投放!AC157,0)</f>
        <v>2.1875</v>
      </c>
      <c r="AR157" s="101">
        <f ca="1">IFERROR(AH157/活动投放!AD157,0)</f>
        <v>0.52083333333333337</v>
      </c>
      <c r="AS157" s="101">
        <f ca="1">IFERROR(AI157/活动投放!AE157,0)</f>
        <v>5.5575396825396828</v>
      </c>
      <c r="AT157" s="101">
        <f ca="1">IFERROR(AJ157/活动投放!AF157,0)</f>
        <v>1.9861111111111109</v>
      </c>
      <c r="AU157" s="101">
        <f ca="1">IFERROR(AK157/活动投放!AG157,0)</f>
        <v>0.88524590163934436</v>
      </c>
      <c r="AV157" s="101">
        <f ca="1">IFERROR(AL157/活动投放!AH157,0)</f>
        <v>0.88524590163934425</v>
      </c>
    </row>
    <row r="158" spans="24:48" x14ac:dyDescent="0.15">
      <c r="X158" s="29">
        <f>基础状态预估!C158</f>
        <v>420</v>
      </c>
      <c r="Y158" s="46">
        <f>基础状态预估!D158</f>
        <v>97.317333988949088</v>
      </c>
      <c r="Z158" s="5">
        <f t="shared" ca="1" si="37"/>
        <v>37.5</v>
      </c>
      <c r="AA158" s="5">
        <f t="shared" ca="1" si="38"/>
        <v>238.5</v>
      </c>
      <c r="AB158" s="5">
        <f t="shared" ca="1" si="39"/>
        <v>144</v>
      </c>
      <c r="AC158" s="5">
        <f t="shared" ca="1" si="40"/>
        <v>60</v>
      </c>
      <c r="AD158" s="5">
        <f t="shared" ca="1" si="41"/>
        <v>330</v>
      </c>
      <c r="AE158" s="5">
        <f t="shared" ca="1" si="42"/>
        <v>35850</v>
      </c>
      <c r="AF158" s="5">
        <f t="shared" ca="1" si="43"/>
        <v>20025</v>
      </c>
      <c r="AG158" s="79">
        <f ca="1">AC158+Z158*活动投放!$D$32</f>
        <v>78.75</v>
      </c>
      <c r="AH158" s="79">
        <f ca="1">Z158*活动投放!$E$32</f>
        <v>18.75</v>
      </c>
      <c r="AI158" s="79">
        <f ca="1">AD158+AA158*活动投放!$F$33</f>
        <v>496.95</v>
      </c>
      <c r="AJ158" s="79">
        <f ca="1">AA158*活动投放!$G$33</f>
        <v>71.55</v>
      </c>
      <c r="AK158" s="79">
        <f ca="1">AB158*活动投放!$H$34</f>
        <v>129.6</v>
      </c>
      <c r="AL158" s="79">
        <f ca="1">AB158*活动投放!$I$34</f>
        <v>14.4</v>
      </c>
      <c r="AN158" s="29">
        <f t="shared" si="36"/>
        <v>420</v>
      </c>
      <c r="AO158" s="101">
        <f ca="1">IFERROR(AE158/活动投放!AA158,0)</f>
        <v>0.94841269841269837</v>
      </c>
      <c r="AP158" s="101">
        <f ca="1">IFERROR(AF158/活动投放!AB158,0)</f>
        <v>0.80583501006036218</v>
      </c>
      <c r="AQ158" s="101">
        <f ca="1">IFERROR(AG158/活动投放!AC158,0)</f>
        <v>1.875</v>
      </c>
      <c r="AR158" s="101">
        <f ca="1">IFERROR(AH158/活动投放!AD158,0)</f>
        <v>0.44642857142857145</v>
      </c>
      <c r="AS158" s="101">
        <f ca="1">IFERROR(AI158/活动投放!AE158,0)</f>
        <v>5.5463169642857144</v>
      </c>
      <c r="AT158" s="101">
        <f ca="1">IFERROR(AJ158/活动投放!AF158,0)</f>
        <v>1.86328125</v>
      </c>
      <c r="AU158" s="101">
        <f ca="1">IFERROR(AK158/活动投放!AG158,0)</f>
        <v>0.8674698795180722</v>
      </c>
      <c r="AV158" s="101">
        <f ca="1">IFERROR(AL158/活动投放!AH158,0)</f>
        <v>0.8674698795180722</v>
      </c>
    </row>
    <row r="159" spans="24:48" x14ac:dyDescent="0.15">
      <c r="X159" s="29">
        <f>基础状态预估!C159</f>
        <v>480</v>
      </c>
      <c r="Y159" s="46">
        <f>基础状态预估!D159</f>
        <v>99.140144664710178</v>
      </c>
      <c r="Z159" s="5">
        <f t="shared" ca="1" si="37"/>
        <v>37.5</v>
      </c>
      <c r="AA159" s="5">
        <f t="shared" ca="1" si="38"/>
        <v>262.5</v>
      </c>
      <c r="AB159" s="5">
        <f t="shared" ca="1" si="39"/>
        <v>180</v>
      </c>
      <c r="AC159" s="5">
        <f t="shared" ca="1" si="40"/>
        <v>60</v>
      </c>
      <c r="AD159" s="5">
        <f t="shared" ca="1" si="41"/>
        <v>390</v>
      </c>
      <c r="AE159" s="5">
        <f t="shared" ca="1" si="42"/>
        <v>43050</v>
      </c>
      <c r="AF159" s="5">
        <f t="shared" ca="1" si="43"/>
        <v>24225</v>
      </c>
      <c r="AG159" s="79">
        <f ca="1">AC159+Z159*活动投放!$D$32</f>
        <v>78.75</v>
      </c>
      <c r="AH159" s="79">
        <f ca="1">Z159*活动投放!$E$32</f>
        <v>18.75</v>
      </c>
      <c r="AI159" s="79">
        <f ca="1">AD159+AA159*活动投放!$F$33</f>
        <v>573.75</v>
      </c>
      <c r="AJ159" s="79">
        <f ca="1">AA159*活动投放!$G$33</f>
        <v>78.75</v>
      </c>
      <c r="AK159" s="79">
        <f ca="1">AB159*活动投放!$H$34</f>
        <v>162</v>
      </c>
      <c r="AL159" s="79">
        <f ca="1">AB159*活动投放!$I$34</f>
        <v>18</v>
      </c>
      <c r="AN159" s="29">
        <f t="shared" si="36"/>
        <v>480</v>
      </c>
      <c r="AO159" s="101">
        <f ca="1">IFERROR(AE159/活动投放!AA159,0)</f>
        <v>0.94823788546255505</v>
      </c>
      <c r="AP159" s="101">
        <f ca="1">IFERROR(AF159/活动投放!AB159,0)</f>
        <v>0.81155778894472363</v>
      </c>
      <c r="AQ159" s="101">
        <f ca="1">IFERROR(AG159/活动投放!AC159,0)</f>
        <v>1.640625</v>
      </c>
      <c r="AR159" s="101">
        <f ca="1">IFERROR(AH159/活动投放!AD159,0)</f>
        <v>0.390625</v>
      </c>
      <c r="AS159" s="101">
        <f ca="1">IFERROR(AI159/活动投放!AE159,0)</f>
        <v>5.5381274131274134</v>
      </c>
      <c r="AT159" s="101">
        <f ca="1">IFERROR(AJ159/活动投放!AF159,0)</f>
        <v>1.7736486486486487</v>
      </c>
      <c r="AU159" s="101">
        <f ca="1">IFERROR(AK159/活动投放!AG159,0)</f>
        <v>0.8571428571428571</v>
      </c>
      <c r="AV159" s="101">
        <f ca="1">IFERROR(AL159/活动投放!AH159,0)</f>
        <v>0.8571428571428571</v>
      </c>
    </row>
    <row r="160" spans="24:48" x14ac:dyDescent="0.15">
      <c r="X160" s="29">
        <f>基础状态预估!C160</f>
        <v>540</v>
      </c>
      <c r="Y160" s="46">
        <f>基础状态预估!D160</f>
        <v>100.94083826848818</v>
      </c>
      <c r="Z160" s="5">
        <f t="shared" ca="1" si="37"/>
        <v>37.5</v>
      </c>
      <c r="AA160" s="5">
        <f t="shared" ca="1" si="38"/>
        <v>286.5</v>
      </c>
      <c r="AB160" s="5">
        <f t="shared" ca="1" si="39"/>
        <v>216</v>
      </c>
      <c r="AC160" s="5">
        <f t="shared" ca="1" si="40"/>
        <v>60</v>
      </c>
      <c r="AD160" s="5">
        <f t="shared" ca="1" si="41"/>
        <v>450</v>
      </c>
      <c r="AE160" s="5">
        <f t="shared" ca="1" si="42"/>
        <v>50250</v>
      </c>
      <c r="AF160" s="5">
        <f t="shared" ca="1" si="43"/>
        <v>28425</v>
      </c>
      <c r="AG160" s="79">
        <f ca="1">AC160+Z160*活动投放!$D$32</f>
        <v>78.75</v>
      </c>
      <c r="AH160" s="79">
        <f ca="1">Z160*活动投放!$E$32</f>
        <v>18.75</v>
      </c>
      <c r="AI160" s="79">
        <f ca="1">AD160+AA160*活动投放!$F$33</f>
        <v>650.54999999999995</v>
      </c>
      <c r="AJ160" s="79">
        <f ca="1">AA160*活动投放!$G$33</f>
        <v>85.95</v>
      </c>
      <c r="AK160" s="79">
        <f ca="1">AB160*活动投放!$H$34</f>
        <v>194.4</v>
      </c>
      <c r="AL160" s="79">
        <f ca="1">AB160*活动投放!$I$34</f>
        <v>21.6</v>
      </c>
      <c r="AN160" s="29">
        <f t="shared" si="36"/>
        <v>540</v>
      </c>
      <c r="AO160" s="101">
        <f ca="1">IFERROR(AE160/活动投放!AA160,0)</f>
        <v>0.9410112359550562</v>
      </c>
      <c r="AP160" s="101">
        <f ca="1">IFERROR(AF160/活动投放!AB160,0)</f>
        <v>0.81098430813124112</v>
      </c>
      <c r="AQ160" s="101">
        <f ca="1">IFERROR(AG160/活动投放!AC160,0)</f>
        <v>1.4583333333333333</v>
      </c>
      <c r="AR160" s="101">
        <f ca="1">IFERROR(AH160/活动投放!AD160,0)</f>
        <v>0.34722222222222221</v>
      </c>
      <c r="AS160" s="101">
        <f ca="1">IFERROR(AI160/活动投放!AE160,0)</f>
        <v>5.5318877551020407</v>
      </c>
      <c r="AT160" s="101">
        <f ca="1">IFERROR(AJ160/活动投放!AF160,0)</f>
        <v>1.705357142857143</v>
      </c>
      <c r="AU160" s="101">
        <f ca="1">IFERROR(AK160/活动投放!AG160,0)</f>
        <v>0.83720930232558133</v>
      </c>
      <c r="AV160" s="101">
        <f ca="1">IFERROR(AL160/活动投放!AH160,0)</f>
        <v>0.83720930232558144</v>
      </c>
    </row>
    <row r="161" spans="24:48" x14ac:dyDescent="0.15">
      <c r="X161" s="29">
        <f>基础状态预估!C161</f>
        <v>600</v>
      </c>
      <c r="Y161" s="46">
        <f>基础状态预估!D161</f>
        <v>102.53646170914388</v>
      </c>
      <c r="Z161" s="5">
        <f t="shared" ca="1" si="37"/>
        <v>37.5</v>
      </c>
      <c r="AA161" s="5">
        <f t="shared" ca="1" si="38"/>
        <v>310.5</v>
      </c>
      <c r="AB161" s="5">
        <f t="shared" ca="1" si="39"/>
        <v>252</v>
      </c>
      <c r="AC161" s="5">
        <f t="shared" ca="1" si="40"/>
        <v>60</v>
      </c>
      <c r="AD161" s="5">
        <f t="shared" ca="1" si="41"/>
        <v>510</v>
      </c>
      <c r="AE161" s="5">
        <f t="shared" ca="1" si="42"/>
        <v>57450</v>
      </c>
      <c r="AF161" s="5">
        <f t="shared" ca="1" si="43"/>
        <v>32625</v>
      </c>
      <c r="AG161" s="79">
        <f ca="1">AC161+Z161*活动投放!$D$32</f>
        <v>78.75</v>
      </c>
      <c r="AH161" s="79">
        <f ca="1">Z161*活动投放!$E$32</f>
        <v>18.75</v>
      </c>
      <c r="AI161" s="79">
        <f ca="1">AD161+AA161*活动投放!$F$33</f>
        <v>727.35</v>
      </c>
      <c r="AJ161" s="79">
        <f ca="1">AA161*活动投放!$G$33</f>
        <v>93.149999999999991</v>
      </c>
      <c r="AK161" s="79">
        <f ca="1">AB161*活动投放!$H$34</f>
        <v>226.8</v>
      </c>
      <c r="AL161" s="79">
        <f ca="1">AB161*活动投放!$I$34</f>
        <v>25.200000000000003</v>
      </c>
      <c r="AN161" s="29">
        <f t="shared" si="36"/>
        <v>600</v>
      </c>
      <c r="AO161" s="101">
        <f ca="1">IFERROR(AE161/活动投放!AA161,0)</f>
        <v>0.93566775244299671</v>
      </c>
      <c r="AP161" s="101">
        <f ca="1">IFERROR(AF161/活动投放!AB161,0)</f>
        <v>0.81055900621118016</v>
      </c>
      <c r="AQ161" s="101">
        <f ca="1">IFERROR(AG161/活动投放!AC161,0)</f>
        <v>1.3125</v>
      </c>
      <c r="AR161" s="101">
        <f ca="1">IFERROR(AH161/活动投放!AD161,0)</f>
        <v>0.3125</v>
      </c>
      <c r="AS161" s="101">
        <f ca="1">IFERROR(AI161/活动投放!AE161,0)</f>
        <v>5.5269756838905781</v>
      </c>
      <c r="AT161" s="101">
        <f ca="1">IFERROR(AJ161/活动投放!AF161,0)</f>
        <v>1.6515957446808509</v>
      </c>
      <c r="AU161" s="101">
        <f ca="1">IFERROR(AK161/活动投放!AG161,0)</f>
        <v>0.82352941176470584</v>
      </c>
      <c r="AV161" s="101">
        <f ca="1">IFERROR(AL161/活动投放!AH161,0)</f>
        <v>0.82352941176470595</v>
      </c>
    </row>
    <row r="162" spans="24:48" x14ac:dyDescent="0.15">
      <c r="X162" s="29">
        <f>基础状态预估!C162</f>
        <v>660</v>
      </c>
      <c r="Y162" s="46">
        <f>基础状态预估!D162</f>
        <v>103.88940348646028</v>
      </c>
      <c r="Z162" s="5">
        <f t="shared" ca="1" si="37"/>
        <v>37.5</v>
      </c>
      <c r="AA162" s="5">
        <f t="shared" ca="1" si="38"/>
        <v>334.5</v>
      </c>
      <c r="AB162" s="5">
        <f t="shared" ca="1" si="39"/>
        <v>288</v>
      </c>
      <c r="AC162" s="5">
        <f t="shared" ca="1" si="40"/>
        <v>60</v>
      </c>
      <c r="AD162" s="5">
        <f t="shared" ca="1" si="41"/>
        <v>570</v>
      </c>
      <c r="AE162" s="5">
        <f t="shared" ca="1" si="42"/>
        <v>64650</v>
      </c>
      <c r="AF162" s="5">
        <f t="shared" ca="1" si="43"/>
        <v>36825</v>
      </c>
      <c r="AG162" s="79">
        <f ca="1">AC162+Z162*活动投放!$D$32</f>
        <v>78.75</v>
      </c>
      <c r="AH162" s="79">
        <f ca="1">Z162*活动投放!$E$32</f>
        <v>18.75</v>
      </c>
      <c r="AI162" s="79">
        <f ca="1">AD162+AA162*活动投放!$F$33</f>
        <v>804.15</v>
      </c>
      <c r="AJ162" s="79">
        <f ca="1">AA162*活动投放!$G$33</f>
        <v>100.35</v>
      </c>
      <c r="AK162" s="79">
        <f ca="1">AB162*活动投放!$H$34</f>
        <v>259.2</v>
      </c>
      <c r="AL162" s="79">
        <f ca="1">AB162*活动投放!$I$34</f>
        <v>28.8</v>
      </c>
      <c r="AN162" s="29">
        <f t="shared" si="36"/>
        <v>660</v>
      </c>
      <c r="AO162" s="101">
        <f ca="1">IFERROR(AE162/活动投放!AA162,0)</f>
        <v>0.92621776504297992</v>
      </c>
      <c r="AP162" s="101">
        <f ca="1">IFERROR(AF162/活动投放!AB162,0)</f>
        <v>0.80316248636859322</v>
      </c>
      <c r="AQ162" s="101">
        <f ca="1">IFERROR(AG162/活动投放!AC162,0)</f>
        <v>1.1931818181818181</v>
      </c>
      <c r="AR162" s="101">
        <f ca="1">IFERROR(AH162/活动投放!AD162,0)</f>
        <v>0.28409090909090912</v>
      </c>
      <c r="AS162" s="101">
        <f ca="1">IFERROR(AI162/活动投放!AE162,0)</f>
        <v>5.5230082417582418</v>
      </c>
      <c r="AT162" s="101">
        <f ca="1">IFERROR(AJ162/活动投放!AF162,0)</f>
        <v>1.6081730769230769</v>
      </c>
      <c r="AU162" s="101">
        <f ca="1">IFERROR(AK162/活动投放!AG162,0)</f>
        <v>0.8044692737430168</v>
      </c>
      <c r="AV162" s="101">
        <f ca="1">IFERROR(AL162/活动投放!AH162,0)</f>
        <v>0.80446927374301669</v>
      </c>
    </row>
    <row r="163" spans="24:48" x14ac:dyDescent="0.15">
      <c r="X163" s="29">
        <f>基础状态预估!C163</f>
        <v>720</v>
      </c>
      <c r="Y163" s="46">
        <f>基础状态预估!D163</f>
        <v>105.12617440644733</v>
      </c>
      <c r="Z163" s="5">
        <f t="shared" ca="1" si="37"/>
        <v>37.5</v>
      </c>
      <c r="AA163" s="5">
        <f t="shared" ca="1" si="38"/>
        <v>358.5</v>
      </c>
      <c r="AB163" s="5">
        <f t="shared" ca="1" si="39"/>
        <v>324</v>
      </c>
      <c r="AC163" s="5">
        <f t="shared" ca="1" si="40"/>
        <v>60</v>
      </c>
      <c r="AD163" s="5">
        <f t="shared" ca="1" si="41"/>
        <v>630</v>
      </c>
      <c r="AE163" s="5">
        <f t="shared" ca="1" si="42"/>
        <v>71850</v>
      </c>
      <c r="AF163" s="5">
        <f t="shared" ca="1" si="43"/>
        <v>41025</v>
      </c>
      <c r="AG163" s="79">
        <f ca="1">AC163+Z163*活动投放!$D$32</f>
        <v>78.75</v>
      </c>
      <c r="AH163" s="79">
        <f ca="1">Z163*活动投放!$E$32</f>
        <v>18.75</v>
      </c>
      <c r="AI163" s="79">
        <f ca="1">AD163+AA163*活动投放!$F$33</f>
        <v>880.95</v>
      </c>
      <c r="AJ163" s="79">
        <f ca="1">AA163*活动投放!$G$33</f>
        <v>107.55</v>
      </c>
      <c r="AK163" s="79">
        <f ca="1">AB163*活动投放!$H$34</f>
        <v>291.60000000000002</v>
      </c>
      <c r="AL163" s="79">
        <f ca="1">AB163*活动投放!$I$34</f>
        <v>32.4</v>
      </c>
      <c r="AN163" s="29">
        <f t="shared" si="36"/>
        <v>720</v>
      </c>
      <c r="AO163" s="101">
        <f ca="1">IFERROR(AE163/活动投放!AA163,0)</f>
        <v>0.91879795396419439</v>
      </c>
      <c r="AP163" s="101">
        <f ca="1">IFERROR(AF163/活动投放!AB163,0)</f>
        <v>0.79737609329446069</v>
      </c>
      <c r="AQ163" s="101">
        <f ca="1">IFERROR(AG163/活动投放!AC163,0)</f>
        <v>1.09375</v>
      </c>
      <c r="AR163" s="101">
        <f ca="1">IFERROR(AH163/活动投放!AD163,0)</f>
        <v>0.26041666666666669</v>
      </c>
      <c r="AS163" s="101">
        <f ca="1">IFERROR(AI163/活动投放!AE163,0)</f>
        <v>5.5197368421052637</v>
      </c>
      <c r="AT163" s="101">
        <f ca="1">IFERROR(AJ163/活动投放!AF163,0)</f>
        <v>1.5723684210526316</v>
      </c>
      <c r="AU163" s="101">
        <f ca="1">IFERROR(AK163/活动投放!AG163,0)</f>
        <v>0.79024390243902443</v>
      </c>
      <c r="AV163" s="101">
        <f ca="1">IFERROR(AL163/活动投放!AH163,0)</f>
        <v>0.79024390243902431</v>
      </c>
    </row>
    <row r="164" spans="24:48" x14ac:dyDescent="0.15">
      <c r="X164" s="29">
        <f>基础状态预估!C164</f>
        <v>780</v>
      </c>
      <c r="Y164" s="46">
        <f>基础状态预估!D164</f>
        <v>106.30192050618264</v>
      </c>
      <c r="Z164" s="5">
        <f t="shared" ca="1" si="37"/>
        <v>37.5</v>
      </c>
      <c r="AA164" s="5">
        <f t="shared" ca="1" si="38"/>
        <v>382.5</v>
      </c>
      <c r="AB164" s="5">
        <f t="shared" ca="1" si="39"/>
        <v>360</v>
      </c>
      <c r="AC164" s="5">
        <f t="shared" ca="1" si="40"/>
        <v>60</v>
      </c>
      <c r="AD164" s="5">
        <f t="shared" ca="1" si="41"/>
        <v>690</v>
      </c>
      <c r="AE164" s="5">
        <f t="shared" ca="1" si="42"/>
        <v>79050</v>
      </c>
      <c r="AF164" s="5">
        <f t="shared" ca="1" si="43"/>
        <v>45225</v>
      </c>
      <c r="AG164" s="79">
        <f ca="1">AC164+Z164*活动投放!$D$32</f>
        <v>78.75</v>
      </c>
      <c r="AH164" s="79">
        <f ca="1">Z164*活动投放!$E$32</f>
        <v>18.75</v>
      </c>
      <c r="AI164" s="79">
        <f ca="1">AD164+AA164*活动投放!$F$33</f>
        <v>957.75</v>
      </c>
      <c r="AJ164" s="79">
        <f ca="1">AA164*活动投放!$G$33</f>
        <v>114.75</v>
      </c>
      <c r="AK164" s="79">
        <f ca="1">AB164*活动投放!$H$34</f>
        <v>324</v>
      </c>
      <c r="AL164" s="79">
        <f ca="1">AB164*活动投放!$I$34</f>
        <v>36</v>
      </c>
      <c r="AN164" s="29">
        <f t="shared" si="36"/>
        <v>780</v>
      </c>
      <c r="AO164" s="101">
        <f ca="1">IFERROR(AE164/活动投放!AA164,0)</f>
        <v>0.91281755196304848</v>
      </c>
      <c r="AP164" s="101">
        <f ca="1">IFERROR(AF164/活动投放!AB164,0)</f>
        <v>0.7927256792287467</v>
      </c>
      <c r="AQ164" s="101">
        <f ca="1">IFERROR(AG164/活动投放!AC164,0)</f>
        <v>1.0096153846153846</v>
      </c>
      <c r="AR164" s="101">
        <f ca="1">IFERROR(AH164/活动投放!AD164,0)</f>
        <v>0.24038461538461539</v>
      </c>
      <c r="AS164" s="101">
        <f ca="1">IFERROR(AI164/活动投放!AE164,0)</f>
        <v>5.5169930875576041</v>
      </c>
      <c r="AT164" s="101">
        <f ca="1">IFERROR(AJ164/活动投放!AF164,0)</f>
        <v>1.5423387096774195</v>
      </c>
      <c r="AU164" s="101">
        <f ca="1">IFERROR(AK164/活动投放!AG164,0)</f>
        <v>0.77922077922077915</v>
      </c>
      <c r="AV164" s="101">
        <f ca="1">IFERROR(AL164/活动投放!AH164,0)</f>
        <v>0.77922077922077915</v>
      </c>
    </row>
    <row r="165" spans="24:48" x14ac:dyDescent="0.15">
      <c r="X165" s="29">
        <f>基础状态预估!C165</f>
        <v>840</v>
      </c>
      <c r="Y165" s="46">
        <f>基础状态预估!D165</f>
        <v>107.429678558787</v>
      </c>
      <c r="Z165" s="5">
        <f t="shared" ca="1" si="37"/>
        <v>37.5</v>
      </c>
      <c r="AA165" s="5">
        <f t="shared" ca="1" si="38"/>
        <v>406.5</v>
      </c>
      <c r="AB165" s="5">
        <f t="shared" ca="1" si="39"/>
        <v>396</v>
      </c>
      <c r="AC165" s="5">
        <f t="shared" ca="1" si="40"/>
        <v>60</v>
      </c>
      <c r="AD165" s="5">
        <f t="shared" ca="1" si="41"/>
        <v>750</v>
      </c>
      <c r="AE165" s="5">
        <f t="shared" ca="1" si="42"/>
        <v>86250</v>
      </c>
      <c r="AF165" s="5">
        <f t="shared" ca="1" si="43"/>
        <v>49425</v>
      </c>
      <c r="AG165" s="79">
        <f ca="1">AC165+Z165*活动投放!$D$32</f>
        <v>78.75</v>
      </c>
      <c r="AH165" s="79">
        <f ca="1">Z165*活动投放!$E$32</f>
        <v>18.75</v>
      </c>
      <c r="AI165" s="79">
        <f ca="1">AD165+AA165*活动投放!$F$33</f>
        <v>1034.55</v>
      </c>
      <c r="AJ165" s="79">
        <f ca="1">AA165*活动投放!$G$33</f>
        <v>121.94999999999999</v>
      </c>
      <c r="AK165" s="79">
        <f ca="1">AB165*活动投放!$H$34</f>
        <v>356.40000000000003</v>
      </c>
      <c r="AL165" s="79">
        <f ca="1">AB165*活动投放!$I$34</f>
        <v>39.6</v>
      </c>
      <c r="AN165" s="29">
        <f t="shared" si="36"/>
        <v>840</v>
      </c>
      <c r="AO165" s="101">
        <f ca="1">IFERROR(AE165/活动投放!AA165,0)</f>
        <v>0.90789473684210531</v>
      </c>
      <c r="AP165" s="101">
        <f ca="1">IFERROR(AF165/活动投放!AB165,0)</f>
        <v>0.78890662410215484</v>
      </c>
      <c r="AQ165" s="101">
        <f ca="1">IFERROR(AG165/活动投放!AC165,0)</f>
        <v>0.9375</v>
      </c>
      <c r="AR165" s="101">
        <f ca="1">IFERROR(AH165/活动投放!AD165,0)</f>
        <v>0.22321428571428573</v>
      </c>
      <c r="AS165" s="101">
        <f ca="1">IFERROR(AI165/活动投放!AE165,0)</f>
        <v>5.5146588486140722</v>
      </c>
      <c r="AT165" s="101">
        <f ca="1">IFERROR(AJ165/活动投放!AF165,0)</f>
        <v>1.5167910447761195</v>
      </c>
      <c r="AU165" s="101">
        <f ca="1">IFERROR(AK165/活动投放!AG165,0)</f>
        <v>0.77042801556420237</v>
      </c>
      <c r="AV165" s="101">
        <f ca="1">IFERROR(AL165/活动投放!AH165,0)</f>
        <v>0.77042801556420226</v>
      </c>
    </row>
    <row r="166" spans="24:48" x14ac:dyDescent="0.15">
      <c r="X166" s="29">
        <f>基础状态预估!C166</f>
        <v>900</v>
      </c>
      <c r="Y166" s="46">
        <f>基础状态预估!D166</f>
        <v>108.47075735973553</v>
      </c>
      <c r="Z166" s="5">
        <f t="shared" ca="1" si="37"/>
        <v>37.5</v>
      </c>
      <c r="AA166" s="5">
        <f t="shared" ca="1" si="38"/>
        <v>430.5</v>
      </c>
      <c r="AB166" s="5">
        <f t="shared" ca="1" si="39"/>
        <v>432</v>
      </c>
      <c r="AC166" s="5">
        <f t="shared" ca="1" si="40"/>
        <v>60</v>
      </c>
      <c r="AD166" s="5">
        <f t="shared" ca="1" si="41"/>
        <v>810</v>
      </c>
      <c r="AE166" s="5">
        <f t="shared" ca="1" si="42"/>
        <v>93450</v>
      </c>
      <c r="AF166" s="5">
        <f t="shared" ca="1" si="43"/>
        <v>53625</v>
      </c>
      <c r="AG166" s="79">
        <f ca="1">AC166+Z166*活动投放!$D$32</f>
        <v>78.75</v>
      </c>
      <c r="AH166" s="79">
        <f ca="1">Z166*活动投放!$E$32</f>
        <v>18.75</v>
      </c>
      <c r="AI166" s="79">
        <f ca="1">AD166+AA166*活动投放!$F$33</f>
        <v>1111.3499999999999</v>
      </c>
      <c r="AJ166" s="79">
        <f ca="1">AA166*活动投放!$G$33</f>
        <v>129.15</v>
      </c>
      <c r="AK166" s="79">
        <f ca="1">AB166*活动投放!$H$34</f>
        <v>388.8</v>
      </c>
      <c r="AL166" s="79">
        <f ca="1">AB166*活动投放!$I$34</f>
        <v>43.2</v>
      </c>
      <c r="AN166" s="29">
        <f t="shared" si="36"/>
        <v>900</v>
      </c>
      <c r="AO166" s="101">
        <f ca="1">IFERROR(AE166/活动投放!AA166,0)</f>
        <v>0.90377176015473892</v>
      </c>
      <c r="AP166" s="101">
        <f ca="1">IFERROR(AF166/活动投放!AB166,0)</f>
        <v>0.7857142857142857</v>
      </c>
      <c r="AQ166" s="101">
        <f ca="1">IFERROR(AG166/活动投放!AC166,0)</f>
        <v>0.875</v>
      </c>
      <c r="AR166" s="101">
        <f ca="1">IFERROR(AH166/活动投放!AD166,0)</f>
        <v>0.20833333333333334</v>
      </c>
      <c r="AS166" s="101">
        <f ca="1">IFERROR(AI166/活动投放!AE166,0)</f>
        <v>5.5126488095238093</v>
      </c>
      <c r="AT166" s="101">
        <f ca="1">IFERROR(AJ166/活动投放!AF166,0)</f>
        <v>1.494791666666667</v>
      </c>
      <c r="AU166" s="101">
        <f ca="1">IFERROR(AK166/活动投放!AG166,0)</f>
        <v>0.76325088339222613</v>
      </c>
      <c r="AV166" s="101">
        <f ca="1">IFERROR(AL166/活动投放!AH166,0)</f>
        <v>0.76325088339222613</v>
      </c>
    </row>
    <row r="167" spans="24:48" x14ac:dyDescent="0.15">
      <c r="X167" s="29">
        <f>基础状态预估!C167</f>
        <v>1020</v>
      </c>
      <c r="Y167" s="46">
        <f>基础状态预估!D167</f>
        <v>110.24744313604209</v>
      </c>
      <c r="Z167" s="5">
        <f t="shared" ca="1" si="37"/>
        <v>37.5</v>
      </c>
      <c r="AA167" s="5">
        <f t="shared" ca="1" si="38"/>
        <v>478.5</v>
      </c>
      <c r="AB167" s="5">
        <f t="shared" ca="1" si="39"/>
        <v>504</v>
      </c>
      <c r="AC167" s="5">
        <f t="shared" ca="1" si="40"/>
        <v>60</v>
      </c>
      <c r="AD167" s="5">
        <f t="shared" ca="1" si="41"/>
        <v>930</v>
      </c>
      <c r="AE167" s="5">
        <f t="shared" ca="1" si="42"/>
        <v>107850</v>
      </c>
      <c r="AF167" s="5">
        <f t="shared" ca="1" si="43"/>
        <v>62025</v>
      </c>
      <c r="AG167" s="79">
        <f ca="1">AC167+Z167*活动投放!$D$32</f>
        <v>78.75</v>
      </c>
      <c r="AH167" s="79">
        <f ca="1">Z167*活动投放!$E$32</f>
        <v>18.75</v>
      </c>
      <c r="AI167" s="79">
        <f ca="1">AD167+AA167*活动投放!$F$33</f>
        <v>1264.95</v>
      </c>
      <c r="AJ167" s="79">
        <f ca="1">AA167*活动投放!$G$33</f>
        <v>143.54999999999998</v>
      </c>
      <c r="AK167" s="79">
        <f ca="1">AB167*活动投放!$H$34</f>
        <v>453.6</v>
      </c>
      <c r="AL167" s="79">
        <f ca="1">AB167*活动投放!$I$34</f>
        <v>50.400000000000006</v>
      </c>
      <c r="AN167" s="29">
        <f t="shared" si="36"/>
        <v>1020</v>
      </c>
      <c r="AO167" s="101">
        <f ca="1">IFERROR(AE167/活动投放!AA167,0)</f>
        <v>0.89725457570715472</v>
      </c>
      <c r="AP167" s="101">
        <f ca="1">IFERROR(AF167/活动投放!AB167,0)</f>
        <v>0.78067967275015737</v>
      </c>
      <c r="AQ167" s="101">
        <f ca="1">IFERROR(AG167/活动投放!AC167,0)</f>
        <v>0.7720588235294118</v>
      </c>
      <c r="AR167" s="101">
        <f ca="1">IFERROR(AH167/活动投放!AD167,0)</f>
        <v>0.18382352941176472</v>
      </c>
      <c r="AS167" s="101">
        <f ca="1">IFERROR(AI167/活动投放!AE167,0)</f>
        <v>5.5093641114982583</v>
      </c>
      <c r="AT167" s="101">
        <f ca="1">IFERROR(AJ167/活动投放!AF167,0)</f>
        <v>1.4588414634146341</v>
      </c>
      <c r="AU167" s="101">
        <f ca="1">IFERROR(AK167/活动投放!AG167,0)</f>
        <v>0.75223880597014925</v>
      </c>
      <c r="AV167" s="101">
        <f ca="1">IFERROR(AL167/活动投放!AH167,0)</f>
        <v>0.75223880597014936</v>
      </c>
    </row>
    <row r="168" spans="24:48" x14ac:dyDescent="0.15">
      <c r="X168" s="29">
        <f>基础状态预估!C168</f>
        <v>1140</v>
      </c>
      <c r="Y168" s="46">
        <f>基础状态预估!D168</f>
        <v>111.80552112822316</v>
      </c>
      <c r="Z168" s="5">
        <f t="shared" ca="1" si="37"/>
        <v>37.5</v>
      </c>
      <c r="AA168" s="5">
        <f t="shared" ca="1" si="38"/>
        <v>526.5</v>
      </c>
      <c r="AB168" s="5">
        <f t="shared" ca="1" si="39"/>
        <v>576</v>
      </c>
      <c r="AC168" s="5">
        <f t="shared" ca="1" si="40"/>
        <v>60</v>
      </c>
      <c r="AD168" s="5">
        <f t="shared" ca="1" si="41"/>
        <v>1050</v>
      </c>
      <c r="AE168" s="5">
        <f t="shared" ca="1" si="42"/>
        <v>122250</v>
      </c>
      <c r="AF168" s="5">
        <f t="shared" ca="1" si="43"/>
        <v>70425</v>
      </c>
      <c r="AG168" s="79">
        <f ca="1">AC168+Z168*活动投放!$D$32</f>
        <v>78.75</v>
      </c>
      <c r="AH168" s="79">
        <f ca="1">Z168*活动投放!$E$32</f>
        <v>18.75</v>
      </c>
      <c r="AI168" s="79">
        <f ca="1">AD168+AA168*活动投放!$F$33</f>
        <v>1418.55</v>
      </c>
      <c r="AJ168" s="79">
        <f ca="1">AA168*活动投放!$G$33</f>
        <v>157.94999999999999</v>
      </c>
      <c r="AK168" s="79">
        <f ca="1">AB168*活动投放!$H$34</f>
        <v>518.4</v>
      </c>
      <c r="AL168" s="79">
        <f ca="1">AB168*活动投放!$I$34</f>
        <v>57.6</v>
      </c>
      <c r="AN168" s="29">
        <f t="shared" si="36"/>
        <v>1140</v>
      </c>
      <c r="AO168" s="101">
        <f ca="1">IFERROR(AE168/活动投放!AA168,0)</f>
        <v>0.89233576642335766</v>
      </c>
      <c r="AP168" s="101">
        <f ca="1">IFERROR(AF168/活动投放!AB168,0)</f>
        <v>0.77688913403199122</v>
      </c>
      <c r="AQ168" s="101">
        <f ca="1">IFERROR(AG168/活动投放!AC168,0)</f>
        <v>0.69078947368421051</v>
      </c>
      <c r="AR168" s="101">
        <f ca="1">IFERROR(AH168/活动投放!AD168,0)</f>
        <v>0.16447368421052633</v>
      </c>
      <c r="AS168" s="101">
        <f ca="1">IFERROR(AI168/活动投放!AE168,0)</f>
        <v>5.5067934782608701</v>
      </c>
      <c r="AT168" s="101">
        <f ca="1">IFERROR(AJ168/活动投放!AF168,0)</f>
        <v>1.4307065217391304</v>
      </c>
      <c r="AU168" s="101">
        <f ca="1">IFERROR(AK168/活动投放!AG168,0)</f>
        <v>0.7441860465116279</v>
      </c>
      <c r="AV168" s="101">
        <f ca="1">IFERROR(AL168/活动投放!AH168,0)</f>
        <v>0.7441860465116279</v>
      </c>
    </row>
    <row r="169" spans="24:48" x14ac:dyDescent="0.15">
      <c r="X169" s="29">
        <f>基础状态预估!C169</f>
        <v>1260</v>
      </c>
      <c r="Y169" s="46">
        <f>基础状态预估!D169</f>
        <v>113.29015465152274</v>
      </c>
      <c r="Z169" s="5">
        <f t="shared" ca="1" si="37"/>
        <v>37.5</v>
      </c>
      <c r="AA169" s="5">
        <f t="shared" ca="1" si="38"/>
        <v>574.5</v>
      </c>
      <c r="AB169" s="5">
        <f t="shared" ca="1" si="39"/>
        <v>648</v>
      </c>
      <c r="AC169" s="5">
        <f t="shared" ca="1" si="40"/>
        <v>60</v>
      </c>
      <c r="AD169" s="5">
        <f t="shared" ca="1" si="41"/>
        <v>1170</v>
      </c>
      <c r="AE169" s="5">
        <f t="shared" ca="1" si="42"/>
        <v>136650</v>
      </c>
      <c r="AF169" s="5">
        <f t="shared" ca="1" si="43"/>
        <v>78825</v>
      </c>
      <c r="AG169" s="79">
        <f ca="1">AC169+Z169*活动投放!$D$32</f>
        <v>78.75</v>
      </c>
      <c r="AH169" s="79">
        <f ca="1">Z169*活动投放!$E$32</f>
        <v>18.75</v>
      </c>
      <c r="AI169" s="79">
        <f ca="1">AD169+AA169*活动投放!$F$33</f>
        <v>1572.15</v>
      </c>
      <c r="AJ169" s="79">
        <f ca="1">AA169*活动投放!$G$33</f>
        <v>172.35</v>
      </c>
      <c r="AK169" s="79">
        <f ca="1">AB169*活动投放!$H$34</f>
        <v>583.20000000000005</v>
      </c>
      <c r="AL169" s="79">
        <f ca="1">AB169*活动投放!$I$34</f>
        <v>64.8</v>
      </c>
      <c r="AN169" s="29">
        <f t="shared" si="36"/>
        <v>1260</v>
      </c>
      <c r="AO169" s="101">
        <f ca="1">IFERROR(AE169/活动投放!AA169,0)</f>
        <v>0.88849154746423931</v>
      </c>
      <c r="AP169" s="101">
        <f ca="1">IFERROR(AF169/活动投放!AB169,0)</f>
        <v>0.77393225331369664</v>
      </c>
      <c r="AQ169" s="101">
        <f ca="1">IFERROR(AG169/活动投放!AC169,0)</f>
        <v>0.625</v>
      </c>
      <c r="AR169" s="101">
        <f ca="1">IFERROR(AH169/活动投放!AD169,0)</f>
        <v>0.14880952380952381</v>
      </c>
      <c r="AS169" s="101">
        <f ca="1">IFERROR(AI169/活动投放!AE169,0)</f>
        <v>5.5047268907563032</v>
      </c>
      <c r="AT169" s="101">
        <f ca="1">IFERROR(AJ169/活动投放!AF169,0)</f>
        <v>1.4080882352941178</v>
      </c>
      <c r="AU169" s="101">
        <f ca="1">IFERROR(AK169/活动投放!AG169,0)</f>
        <v>0.73804100227790437</v>
      </c>
      <c r="AV169" s="101">
        <f ca="1">IFERROR(AL169/活动投放!AH169,0)</f>
        <v>0.73804100227790415</v>
      </c>
    </row>
    <row r="170" spans="24:48" x14ac:dyDescent="0.15">
      <c r="X170" s="29">
        <f>基础状态预估!C170</f>
        <v>1380</v>
      </c>
      <c r="Y170" s="46">
        <f>基础状态预估!D170</f>
        <v>114.69104152791324</v>
      </c>
      <c r="Z170" s="5">
        <f t="shared" ca="1" si="37"/>
        <v>37.5</v>
      </c>
      <c r="AA170" s="5">
        <f t="shared" ca="1" si="38"/>
        <v>622.5</v>
      </c>
      <c r="AB170" s="5">
        <f t="shared" ca="1" si="39"/>
        <v>720</v>
      </c>
      <c r="AC170" s="5">
        <f t="shared" ca="1" si="40"/>
        <v>60</v>
      </c>
      <c r="AD170" s="5">
        <f t="shared" ca="1" si="41"/>
        <v>1290</v>
      </c>
      <c r="AE170" s="5">
        <f t="shared" ca="1" si="42"/>
        <v>151050</v>
      </c>
      <c r="AF170" s="5">
        <f t="shared" ca="1" si="43"/>
        <v>87225</v>
      </c>
      <c r="AG170" s="79">
        <f ca="1">AC170+Z170*活动投放!$D$32</f>
        <v>78.75</v>
      </c>
      <c r="AH170" s="79">
        <f ca="1">Z170*活动投放!$E$32</f>
        <v>18.75</v>
      </c>
      <c r="AI170" s="79">
        <f ca="1">AD170+AA170*活动投放!$F$33</f>
        <v>1725.75</v>
      </c>
      <c r="AJ170" s="79">
        <f ca="1">AA170*活动投放!$G$33</f>
        <v>186.75</v>
      </c>
      <c r="AK170" s="79">
        <f ca="1">AB170*活动投放!$H$34</f>
        <v>648</v>
      </c>
      <c r="AL170" s="79">
        <f ca="1">AB170*活动投放!$I$34</f>
        <v>72</v>
      </c>
      <c r="AN170" s="29">
        <f t="shared" si="36"/>
        <v>1380</v>
      </c>
      <c r="AO170" s="101">
        <f ca="1">IFERROR(AE170/活动投放!AA170,0)</f>
        <v>0.88540445486518171</v>
      </c>
      <c r="AP170" s="101">
        <f ca="1">IFERROR(AF170/活动投放!AB170,0)</f>
        <v>0.77156125608137993</v>
      </c>
      <c r="AQ170" s="101">
        <f ca="1">IFERROR(AG170/活动投放!AC170,0)</f>
        <v>0.57065217391304346</v>
      </c>
      <c r="AR170" s="101">
        <f ca="1">IFERROR(AH170/活动投放!AD170,0)</f>
        <v>0.1358695652173913</v>
      </c>
      <c r="AS170" s="101">
        <f ca="1">IFERROR(AI170/活动投放!AE170,0)</f>
        <v>5.5030293367346941</v>
      </c>
      <c r="AT170" s="101">
        <f ca="1">IFERROR(AJ170/活动投放!AF170,0)</f>
        <v>1.3895089285714286</v>
      </c>
      <c r="AU170" s="101">
        <f ca="1">IFERROR(AK170/活动投放!AG170,0)</f>
        <v>0.73319755600814662</v>
      </c>
      <c r="AV170" s="101">
        <f ca="1">IFERROR(AL170/活动投放!AH170,0)</f>
        <v>0.73319755600814662</v>
      </c>
    </row>
    <row r="171" spans="24:48" x14ac:dyDescent="0.15">
      <c r="X171" s="29">
        <f>基础状态预估!C171</f>
        <v>1500</v>
      </c>
      <c r="Y171" s="46">
        <f>基础状态预估!D171</f>
        <v>115.91094430884056</v>
      </c>
      <c r="Z171" s="5">
        <f t="shared" ca="1" si="37"/>
        <v>37.5</v>
      </c>
      <c r="AA171" s="5">
        <f t="shared" ca="1" si="38"/>
        <v>670.5</v>
      </c>
      <c r="AB171" s="5">
        <f t="shared" ca="1" si="39"/>
        <v>792</v>
      </c>
      <c r="AC171" s="5">
        <f t="shared" ca="1" si="40"/>
        <v>60</v>
      </c>
      <c r="AD171" s="5">
        <f t="shared" ca="1" si="41"/>
        <v>1410</v>
      </c>
      <c r="AE171" s="5">
        <f t="shared" ca="1" si="42"/>
        <v>165450</v>
      </c>
      <c r="AF171" s="5">
        <f t="shared" ca="1" si="43"/>
        <v>95625</v>
      </c>
      <c r="AG171" s="79">
        <f ca="1">AC171+Z171*活动投放!$D$32</f>
        <v>78.75</v>
      </c>
      <c r="AH171" s="79">
        <f ca="1">Z171*活动投放!$E$32</f>
        <v>18.75</v>
      </c>
      <c r="AI171" s="79">
        <f ca="1">AD171+AA171*活动投放!$F$33</f>
        <v>1879.35</v>
      </c>
      <c r="AJ171" s="79">
        <f ca="1">AA171*活动投放!$G$33</f>
        <v>201.15</v>
      </c>
      <c r="AK171" s="79">
        <f ca="1">AB171*活动投放!$H$34</f>
        <v>712.80000000000007</v>
      </c>
      <c r="AL171" s="79">
        <f ca="1">AB171*活动投放!$I$34</f>
        <v>79.2</v>
      </c>
      <c r="AN171" s="29">
        <f t="shared" si="36"/>
        <v>1500</v>
      </c>
      <c r="AO171" s="101">
        <f ca="1">IFERROR(AE171/活动投放!AA171,0)</f>
        <v>0.8828708644610459</v>
      </c>
      <c r="AP171" s="101">
        <f ca="1">IFERROR(AF171/活动投放!AB171,0)</f>
        <v>0.76961770623742454</v>
      </c>
      <c r="AQ171" s="101">
        <f ca="1">IFERROR(AG171/活动投放!AC171,0)</f>
        <v>0.52500000000000002</v>
      </c>
      <c r="AR171" s="101">
        <f ca="1">IFERROR(AH171/活动投放!AD171,0)</f>
        <v>0.125</v>
      </c>
      <c r="AS171" s="101">
        <f ca="1">IFERROR(AI171/活动投放!AE171,0)</f>
        <v>5.5016100702576116</v>
      </c>
      <c r="AT171" s="101">
        <f ca="1">IFERROR(AJ171/活动投放!AF171,0)</f>
        <v>1.3739754098360655</v>
      </c>
      <c r="AU171" s="101">
        <f ca="1">IFERROR(AK171/活动投放!AG171,0)</f>
        <v>0.72928176795580124</v>
      </c>
      <c r="AV171" s="101">
        <f ca="1">IFERROR(AL171/活动投放!AH171,0)</f>
        <v>0.72928176795580102</v>
      </c>
    </row>
    <row r="172" spans="24:48" x14ac:dyDescent="0.15">
      <c r="X172" s="29">
        <f>基础状态预估!C172</f>
        <v>1800</v>
      </c>
      <c r="Y172" s="46">
        <f>基础状态预估!D172</f>
        <v>118.49671008494479</v>
      </c>
      <c r="Z172" s="5">
        <f t="shared" ca="1" si="37"/>
        <v>37.5</v>
      </c>
      <c r="AA172" s="5">
        <f t="shared" ca="1" si="38"/>
        <v>790.5</v>
      </c>
      <c r="AB172" s="5">
        <f t="shared" ca="1" si="39"/>
        <v>972</v>
      </c>
      <c r="AC172" s="5">
        <f t="shared" ca="1" si="40"/>
        <v>60</v>
      </c>
      <c r="AD172" s="5">
        <f t="shared" ca="1" si="41"/>
        <v>1710</v>
      </c>
      <c r="AE172" s="5">
        <f t="shared" ca="1" si="42"/>
        <v>201450</v>
      </c>
      <c r="AF172" s="5">
        <f t="shared" ca="1" si="43"/>
        <v>116625</v>
      </c>
      <c r="AG172" s="79">
        <f ca="1">AC172+Z172*活动投放!$D$32</f>
        <v>78.75</v>
      </c>
      <c r="AH172" s="79">
        <f ca="1">Z172*活动投放!$E$32</f>
        <v>18.75</v>
      </c>
      <c r="AI172" s="79">
        <f ca="1">AD172+AA172*活动投放!$F$33</f>
        <v>2263.35</v>
      </c>
      <c r="AJ172" s="79">
        <f ca="1">AA172*活动投放!$G$33</f>
        <v>237.14999999999998</v>
      </c>
      <c r="AK172" s="79">
        <f ca="1">AB172*活动投放!$H$34</f>
        <v>874.80000000000007</v>
      </c>
      <c r="AL172" s="79">
        <f ca="1">AB172*活动投放!$I$34</f>
        <v>97.2</v>
      </c>
      <c r="AN172" s="29">
        <f t="shared" si="36"/>
        <v>1800</v>
      </c>
      <c r="AO172" s="101">
        <f ca="1">IFERROR(AE172/活动投放!AA172,0)</f>
        <v>0.87816041848299908</v>
      </c>
      <c r="AP172" s="101">
        <f ca="1">IFERROR(AF172/活动投放!AB172,0)</f>
        <v>0.76600985221674878</v>
      </c>
      <c r="AQ172" s="101">
        <f ca="1">IFERROR(AG172/活动投放!AC172,0)</f>
        <v>0.4375</v>
      </c>
      <c r="AR172" s="101">
        <f ca="1">IFERROR(AH172/活动投放!AD172,0)</f>
        <v>0.10416666666666667</v>
      </c>
      <c r="AS172" s="101">
        <f ca="1">IFERROR(AI172/活动投放!AE172,0)</f>
        <v>5.4989067055393592</v>
      </c>
      <c r="AT172" s="101">
        <f ca="1">IFERROR(AJ172/活动投放!AF172,0)</f>
        <v>1.3443877551020407</v>
      </c>
      <c r="AU172" s="101">
        <f ca="1">IFERROR(AK172/活动投放!AG172,0)</f>
        <v>0.72213967310549776</v>
      </c>
      <c r="AV172" s="101">
        <f ca="1">IFERROR(AL172/活动投放!AH172,0)</f>
        <v>0.72213967310549787</v>
      </c>
    </row>
    <row r="173" spans="24:48" x14ac:dyDescent="0.15">
      <c r="X173" s="29">
        <f>基础状态预估!C173</f>
        <v>2100</v>
      </c>
      <c r="Y173" s="46">
        <f>基础状态预估!D173</f>
        <v>120.83470485393194</v>
      </c>
      <c r="Z173" s="5">
        <f t="shared" ca="1" si="37"/>
        <v>37.5</v>
      </c>
      <c r="AA173" s="5">
        <f t="shared" ca="1" si="38"/>
        <v>910.5</v>
      </c>
      <c r="AB173" s="5">
        <f t="shared" ca="1" si="39"/>
        <v>1152</v>
      </c>
      <c r="AC173" s="5">
        <f t="shared" ca="1" si="40"/>
        <v>60</v>
      </c>
      <c r="AD173" s="5">
        <f t="shared" ca="1" si="41"/>
        <v>2010</v>
      </c>
      <c r="AE173" s="5">
        <f t="shared" ca="1" si="42"/>
        <v>237450</v>
      </c>
      <c r="AF173" s="5">
        <f t="shared" ca="1" si="43"/>
        <v>137625</v>
      </c>
      <c r="AG173" s="79">
        <f ca="1">AC173+Z173*活动投放!$D$32</f>
        <v>78.75</v>
      </c>
      <c r="AH173" s="79">
        <f ca="1">Z173*活动投放!$E$32</f>
        <v>18.75</v>
      </c>
      <c r="AI173" s="79">
        <f ca="1">AD173+AA173*活动投放!$F$33</f>
        <v>2647.35</v>
      </c>
      <c r="AJ173" s="79">
        <f ca="1">AA173*活动投放!$G$33</f>
        <v>273.14999999999998</v>
      </c>
      <c r="AK173" s="79">
        <f ca="1">AB173*活动投放!$H$34</f>
        <v>1036.8</v>
      </c>
      <c r="AL173" s="79">
        <f ca="1">AB173*活动投放!$I$34</f>
        <v>115.2</v>
      </c>
      <c r="AN173" s="29">
        <f t="shared" si="36"/>
        <v>2100</v>
      </c>
      <c r="AO173" s="101">
        <f ca="1">IFERROR(AE173/活动投放!AA173,0)</f>
        <v>0.87490788504053063</v>
      </c>
      <c r="AP173" s="101">
        <f ca="1">IFERROR(AF173/活动投放!AB173,0)</f>
        <v>0.76352288488210818</v>
      </c>
      <c r="AQ173" s="101">
        <f ca="1">IFERROR(AG173/活动投放!AC173,0)</f>
        <v>0.375</v>
      </c>
      <c r="AR173" s="101">
        <f ca="1">IFERROR(AH173/活动投放!AD173,0)</f>
        <v>8.9285714285714288E-2</v>
      </c>
      <c r="AS173" s="101">
        <f ca="1">IFERROR(AI173/活动投放!AE173,0)</f>
        <v>5.4969892026578071</v>
      </c>
      <c r="AT173" s="101">
        <f ca="1">IFERROR(AJ173/活动投放!AF173,0)</f>
        <v>1.3234011627906976</v>
      </c>
      <c r="AU173" s="101">
        <f ca="1">IFERROR(AK173/活动投放!AG173,0)</f>
        <v>0.71731008717310074</v>
      </c>
      <c r="AV173" s="101">
        <f ca="1">IFERROR(AL173/活动投放!AH173,0)</f>
        <v>0.71731008717310074</v>
      </c>
    </row>
    <row r="174" spans="24:48" x14ac:dyDescent="0.15">
      <c r="X174" s="29">
        <f>基础状态预估!C174</f>
        <v>2400</v>
      </c>
      <c r="Y174" s="46">
        <f>基础状态预估!D174</f>
        <v>122.7509711734089</v>
      </c>
      <c r="Z174" s="5">
        <f t="shared" ca="1" si="37"/>
        <v>37.5</v>
      </c>
      <c r="AA174" s="5">
        <f t="shared" ca="1" si="38"/>
        <v>1030.5</v>
      </c>
      <c r="AB174" s="5">
        <f t="shared" ca="1" si="39"/>
        <v>1332</v>
      </c>
      <c r="AC174" s="5">
        <f t="shared" ca="1" si="40"/>
        <v>60</v>
      </c>
      <c r="AD174" s="5">
        <f t="shared" ca="1" si="41"/>
        <v>2310</v>
      </c>
      <c r="AE174" s="5">
        <f t="shared" ca="1" si="42"/>
        <v>273450</v>
      </c>
      <c r="AF174" s="5">
        <f t="shared" ca="1" si="43"/>
        <v>158625</v>
      </c>
      <c r="AG174" s="79">
        <f ca="1">AC174+Z174*活动投放!$D$32</f>
        <v>78.75</v>
      </c>
      <c r="AH174" s="79">
        <f ca="1">Z174*活动投放!$E$32</f>
        <v>18.75</v>
      </c>
      <c r="AI174" s="79">
        <f ca="1">AD174+AA174*活动投放!$F$33</f>
        <v>3031.35</v>
      </c>
      <c r="AJ174" s="79">
        <f ca="1">AA174*活动投放!$G$33</f>
        <v>309.14999999999998</v>
      </c>
      <c r="AK174" s="79">
        <f ca="1">AB174*活动投放!$H$34</f>
        <v>1198.8</v>
      </c>
      <c r="AL174" s="79">
        <f ca="1">AB174*活动投放!$I$34</f>
        <v>133.20000000000002</v>
      </c>
      <c r="AN174" s="29">
        <f t="shared" si="36"/>
        <v>2400</v>
      </c>
      <c r="AO174" s="101">
        <f ca="1">IFERROR(AE174/活动投放!AA174,0)</f>
        <v>0.87252712188895976</v>
      </c>
      <c r="AP174" s="101">
        <f ca="1">IFERROR(AF174/活动投放!AB174,0)</f>
        <v>0.76170468187274909</v>
      </c>
      <c r="AQ174" s="101">
        <f ca="1">IFERROR(AG174/活动投放!AC174,0)</f>
        <v>0.328125</v>
      </c>
      <c r="AR174" s="101">
        <f ca="1">IFERROR(AH174/活动投放!AD174,0)</f>
        <v>7.8125E-2</v>
      </c>
      <c r="AS174" s="101">
        <f ca="1">IFERROR(AI174/活动投放!AE174,0)</f>
        <v>5.4955583756345181</v>
      </c>
      <c r="AT174" s="101">
        <f ca="1">IFERROR(AJ174/活动投放!AF174,0)</f>
        <v>1.3077411167512691</v>
      </c>
      <c r="AU174" s="101">
        <f ca="1">IFERROR(AK174/活动投放!AG174,0)</f>
        <v>0.7138263665594855</v>
      </c>
      <c r="AV174" s="101">
        <f ca="1">IFERROR(AL174/活动投放!AH174,0)</f>
        <v>0.7138263665594855</v>
      </c>
    </row>
    <row r="175" spans="24:48" x14ac:dyDescent="0.15">
      <c r="X175" s="29">
        <f>基础状态预估!C175</f>
        <v>2700</v>
      </c>
      <c r="Y175" s="46">
        <f>基础状态预估!D175</f>
        <v>124.39475643772953</v>
      </c>
      <c r="Z175" s="5">
        <f t="shared" ca="1" si="37"/>
        <v>37.5</v>
      </c>
      <c r="AA175" s="5">
        <f t="shared" ca="1" si="38"/>
        <v>1150.5</v>
      </c>
      <c r="AB175" s="5">
        <f t="shared" ca="1" si="39"/>
        <v>1512</v>
      </c>
      <c r="AC175" s="5">
        <f t="shared" ca="1" si="40"/>
        <v>60</v>
      </c>
      <c r="AD175" s="5">
        <f t="shared" ca="1" si="41"/>
        <v>2610</v>
      </c>
      <c r="AE175" s="5">
        <f t="shared" ca="1" si="42"/>
        <v>309450</v>
      </c>
      <c r="AF175" s="5">
        <f t="shared" ca="1" si="43"/>
        <v>179625</v>
      </c>
      <c r="AG175" s="79">
        <f ca="1">AC175+Z175*活动投放!$D$32</f>
        <v>78.75</v>
      </c>
      <c r="AH175" s="79">
        <f ca="1">Z175*活动投放!$E$32</f>
        <v>18.75</v>
      </c>
      <c r="AI175" s="79">
        <f ca="1">AD175+AA175*活动投放!$F$33</f>
        <v>3415.35</v>
      </c>
      <c r="AJ175" s="79">
        <f ca="1">AA175*活动投放!$G$33</f>
        <v>345.15</v>
      </c>
      <c r="AK175" s="79">
        <f ca="1">AB175*活动投放!$H$34</f>
        <v>1360.8</v>
      </c>
      <c r="AL175" s="79">
        <f ca="1">AB175*活动投放!$I$34</f>
        <v>151.20000000000002</v>
      </c>
      <c r="AN175" s="29">
        <f t="shared" si="36"/>
        <v>2700</v>
      </c>
      <c r="AO175" s="101">
        <f ca="1">IFERROR(AE175/活动投放!AA175,0)</f>
        <v>0.87070906021384353</v>
      </c>
      <c r="AP175" s="101">
        <f ca="1">IFERROR(AF175/活动投放!AB175,0)</f>
        <v>0.76031746031746028</v>
      </c>
      <c r="AQ175" s="101">
        <f ca="1">IFERROR(AG175/活动投放!AC175,0)</f>
        <v>0.29166666666666669</v>
      </c>
      <c r="AR175" s="101">
        <f ca="1">IFERROR(AH175/活动投放!AD175,0)</f>
        <v>6.9444444444444448E-2</v>
      </c>
      <c r="AS175" s="101">
        <f ca="1">IFERROR(AI175/活动投放!AE175,0)</f>
        <v>5.4944498069498078</v>
      </c>
      <c r="AT175" s="101">
        <f ca="1">IFERROR(AJ175/活动投放!AF175,0)</f>
        <v>1.2956081081081081</v>
      </c>
      <c r="AU175" s="101">
        <f ca="1">IFERROR(AK175/活动投放!AG175,0)</f>
        <v>0.71119473189087479</v>
      </c>
      <c r="AV175" s="101">
        <f ca="1">IFERROR(AL175/活动投放!AH175,0)</f>
        <v>0.7111947318908749</v>
      </c>
    </row>
    <row r="176" spans="24:48" x14ac:dyDescent="0.15">
      <c r="X176" s="29">
        <f>基础状态预估!C176</f>
        <v>3000</v>
      </c>
      <c r="Y176" s="46">
        <f>基础状态预估!D176</f>
        <v>125.96400788227379</v>
      </c>
      <c r="Z176" s="5">
        <f t="shared" ca="1" si="37"/>
        <v>37.5</v>
      </c>
      <c r="AA176" s="5">
        <f t="shared" ca="1" si="38"/>
        <v>1270.5</v>
      </c>
      <c r="AB176" s="5">
        <f t="shared" ca="1" si="39"/>
        <v>1692</v>
      </c>
      <c r="AC176" s="5">
        <f t="shared" ca="1" si="40"/>
        <v>60</v>
      </c>
      <c r="AD176" s="5">
        <f t="shared" ca="1" si="41"/>
        <v>2910</v>
      </c>
      <c r="AE176" s="5">
        <f t="shared" ca="1" si="42"/>
        <v>345450</v>
      </c>
      <c r="AF176" s="5">
        <f t="shared" ca="1" si="43"/>
        <v>200625</v>
      </c>
      <c r="AG176" s="79">
        <f ca="1">AC176+Z176*活动投放!$D$32</f>
        <v>78.75</v>
      </c>
      <c r="AH176" s="79">
        <f ca="1">Z176*活动投放!$E$32</f>
        <v>18.75</v>
      </c>
      <c r="AI176" s="79">
        <f ca="1">AD176+AA176*活动投放!$F$33</f>
        <v>3799.35</v>
      </c>
      <c r="AJ176" s="79">
        <f ca="1">AA176*活动投放!$G$33</f>
        <v>381.15</v>
      </c>
      <c r="AK176" s="79">
        <f ca="1">AB176*活动投放!$H$34</f>
        <v>1522.8</v>
      </c>
      <c r="AL176" s="79">
        <f ca="1">AB176*活动投放!$I$34</f>
        <v>169.20000000000002</v>
      </c>
      <c r="AN176" s="29">
        <f t="shared" si="36"/>
        <v>3000</v>
      </c>
      <c r="AO176" s="101">
        <f ca="1">IFERROR(AE176/活动投放!AA176,0)</f>
        <v>0.86927528938097631</v>
      </c>
      <c r="AP176" s="101">
        <f ca="1">IFERROR(AF176/活动投放!AB176,0)</f>
        <v>0.75922421948912011</v>
      </c>
      <c r="AQ176" s="101">
        <f ca="1">IFERROR(AG176/活动投放!AC176,0)</f>
        <v>0.26250000000000001</v>
      </c>
      <c r="AR176" s="101">
        <f ca="1">IFERROR(AH176/活动投放!AD176,0)</f>
        <v>6.25E-2</v>
      </c>
      <c r="AS176" s="101">
        <f ca="1">IFERROR(AI176/活动投放!AE176,0)</f>
        <v>5.4935656448814347</v>
      </c>
      <c r="AT176" s="101">
        <f ca="1">IFERROR(AJ176/活动投放!AF176,0)</f>
        <v>1.2859311740890689</v>
      </c>
      <c r="AU176" s="101">
        <f ca="1">IFERROR(AK176/活动投放!AG176,0)</f>
        <v>0.70913663034367136</v>
      </c>
      <c r="AV176" s="101">
        <f ca="1">IFERROR(AL176/活动投放!AH176,0)</f>
        <v>0.70913663034367147</v>
      </c>
    </row>
    <row r="177" spans="24:48" x14ac:dyDescent="0.15">
      <c r="X177" s="29">
        <f>基础状态预估!C177</f>
        <v>3300</v>
      </c>
      <c r="Y177" s="46">
        <f>基础状态预估!D177</f>
        <v>127.44783171112725</v>
      </c>
      <c r="Z177" s="5">
        <f t="shared" ca="1" si="37"/>
        <v>37.5</v>
      </c>
      <c r="AA177" s="5">
        <f t="shared" ca="1" si="38"/>
        <v>1390.5</v>
      </c>
      <c r="AB177" s="5">
        <f t="shared" ca="1" si="39"/>
        <v>1872</v>
      </c>
      <c r="AC177" s="5">
        <f t="shared" ca="1" si="40"/>
        <v>60</v>
      </c>
      <c r="AD177" s="5">
        <f t="shared" ca="1" si="41"/>
        <v>3210</v>
      </c>
      <c r="AE177" s="5">
        <f t="shared" ca="1" si="42"/>
        <v>381450</v>
      </c>
      <c r="AF177" s="5">
        <f t="shared" ca="1" si="43"/>
        <v>221625</v>
      </c>
      <c r="AG177" s="79">
        <f ca="1">AC177+Z177*活动投放!$D$32</f>
        <v>78.75</v>
      </c>
      <c r="AH177" s="79">
        <f ca="1">Z177*活动投放!$E$32</f>
        <v>18.75</v>
      </c>
      <c r="AI177" s="79">
        <f ca="1">AD177+AA177*活动投放!$F$33</f>
        <v>4183.3500000000004</v>
      </c>
      <c r="AJ177" s="79">
        <f ca="1">AA177*活动投放!$G$33</f>
        <v>417.15</v>
      </c>
      <c r="AK177" s="79">
        <f ca="1">AB177*活动投放!$H$34</f>
        <v>1684.8</v>
      </c>
      <c r="AL177" s="79">
        <f ca="1">AB177*活动投放!$I$34</f>
        <v>187.20000000000002</v>
      </c>
      <c r="AN177" s="29">
        <f t="shared" si="36"/>
        <v>3300</v>
      </c>
      <c r="AO177" s="101">
        <f ca="1">IFERROR(AE177/活动投放!AA177,0)</f>
        <v>0.86811561219845246</v>
      </c>
      <c r="AP177" s="101">
        <f ca="1">IFERROR(AF177/活动投放!AB177,0)</f>
        <v>0.75834046193327631</v>
      </c>
      <c r="AQ177" s="101">
        <f ca="1">IFERROR(AG177/活动投放!AC177,0)</f>
        <v>0.23863636363636365</v>
      </c>
      <c r="AR177" s="101">
        <f ca="1">IFERROR(AH177/活动投放!AD177,0)</f>
        <v>5.6818181818181816E-2</v>
      </c>
      <c r="AS177" s="101">
        <f ca="1">IFERROR(AI177/活动投放!AE177,0)</f>
        <v>5.4928440126050431</v>
      </c>
      <c r="AT177" s="101">
        <f ca="1">IFERROR(AJ177/活动投放!AF177,0)</f>
        <v>1.2780330882352942</v>
      </c>
      <c r="AU177" s="101">
        <f ca="1">IFERROR(AK177/活动投放!AG177,0)</f>
        <v>0.70748299319727892</v>
      </c>
      <c r="AV177" s="101">
        <f ca="1">IFERROR(AL177/活动投放!AH177,0)</f>
        <v>0.70748299319727892</v>
      </c>
    </row>
    <row r="178" spans="24:48" x14ac:dyDescent="0.15">
      <c r="X178" s="29">
        <f>基础状态预估!C178</f>
        <v>3600</v>
      </c>
      <c r="Y178" s="46">
        <f>基础状态预估!D178</f>
        <v>128.7020848688999</v>
      </c>
      <c r="Z178" s="5">
        <f t="shared" ca="1" si="37"/>
        <v>37.5</v>
      </c>
      <c r="AA178" s="5">
        <f t="shared" ca="1" si="38"/>
        <v>1510.5</v>
      </c>
      <c r="AB178" s="5">
        <f t="shared" ca="1" si="39"/>
        <v>2052</v>
      </c>
      <c r="AC178" s="5">
        <f t="shared" ca="1" si="40"/>
        <v>60</v>
      </c>
      <c r="AD178" s="5">
        <f t="shared" ca="1" si="41"/>
        <v>3510</v>
      </c>
      <c r="AE178" s="5">
        <f t="shared" ca="1" si="42"/>
        <v>417450</v>
      </c>
      <c r="AF178" s="5">
        <f t="shared" ca="1" si="43"/>
        <v>242625</v>
      </c>
      <c r="AG178" s="79">
        <f ca="1">AC178+Z178*活动投放!$D$32</f>
        <v>78.75</v>
      </c>
      <c r="AH178" s="79">
        <f ca="1">Z178*活动投放!$E$32</f>
        <v>18.75</v>
      </c>
      <c r="AI178" s="79">
        <f ca="1">AD178+AA178*活动投放!$F$33</f>
        <v>4567.3500000000004</v>
      </c>
      <c r="AJ178" s="79">
        <f ca="1">AA178*活动投放!$G$33</f>
        <v>453.15</v>
      </c>
      <c r="AK178" s="79">
        <f ca="1">AB178*活动投放!$H$34</f>
        <v>1846.8</v>
      </c>
      <c r="AL178" s="79">
        <f ca="1">AB178*活动投放!$I$34</f>
        <v>205.20000000000002</v>
      </c>
      <c r="AN178" s="29">
        <f t="shared" si="36"/>
        <v>3600</v>
      </c>
      <c r="AO178" s="101">
        <f ca="1">IFERROR(AE178/活动投放!AA178,0)</f>
        <v>0.86715828832571662</v>
      </c>
      <c r="AP178" s="101">
        <f ca="1">IFERROR(AF178/活动投放!AB178,0)</f>
        <v>0.75761124121779855</v>
      </c>
      <c r="AQ178" s="101">
        <f ca="1">IFERROR(AG178/活动投放!AC178,0)</f>
        <v>0.21875</v>
      </c>
      <c r="AR178" s="101">
        <f ca="1">IFERROR(AH178/活动投放!AD178,0)</f>
        <v>5.2083333333333336E-2</v>
      </c>
      <c r="AS178" s="101">
        <f ca="1">IFERROR(AI178/活动投放!AE178,0)</f>
        <v>5.492243867243868</v>
      </c>
      <c r="AT178" s="101">
        <f ca="1">IFERROR(AJ178/活动投放!AF178,0)</f>
        <v>1.2714646464646464</v>
      </c>
      <c r="AU178" s="101">
        <f ca="1">IFERROR(AK178/活动投放!AG178,0)</f>
        <v>0.70612525808671711</v>
      </c>
      <c r="AV178" s="101">
        <f ca="1">IFERROR(AL178/活动投放!AH178,0)</f>
        <v>0.70612525808671711</v>
      </c>
    </row>
    <row r="179" spans="24:48" x14ac:dyDescent="0.15">
      <c r="X179" s="29">
        <f>基础状态预估!C179</f>
        <v>3900</v>
      </c>
      <c r="Y179" s="46">
        <f>基础状态预估!D179</f>
        <v>129.81302713753013</v>
      </c>
      <c r="Z179" s="5">
        <f t="shared" ca="1" si="37"/>
        <v>37.5</v>
      </c>
      <c r="AA179" s="5">
        <f t="shared" ca="1" si="38"/>
        <v>1630.5</v>
      </c>
      <c r="AB179" s="5">
        <f t="shared" ca="1" si="39"/>
        <v>2232</v>
      </c>
      <c r="AC179" s="5">
        <f t="shared" ca="1" si="40"/>
        <v>60</v>
      </c>
      <c r="AD179" s="5">
        <f t="shared" ca="1" si="41"/>
        <v>3810</v>
      </c>
      <c r="AE179" s="5">
        <f t="shared" ca="1" si="42"/>
        <v>453450</v>
      </c>
      <c r="AF179" s="5">
        <f t="shared" ca="1" si="43"/>
        <v>263625</v>
      </c>
      <c r="AG179" s="79">
        <f ca="1">AC179+Z179*活动投放!$D$32</f>
        <v>78.75</v>
      </c>
      <c r="AH179" s="79">
        <f ca="1">Z179*活动投放!$E$32</f>
        <v>18.75</v>
      </c>
      <c r="AI179" s="79">
        <f ca="1">AD179+AA179*活动投放!$F$33</f>
        <v>4951.3500000000004</v>
      </c>
      <c r="AJ179" s="79">
        <f ca="1">AA179*活动投放!$G$33</f>
        <v>489.15</v>
      </c>
      <c r="AK179" s="79">
        <f ca="1">AB179*活动投放!$H$34</f>
        <v>2008.8</v>
      </c>
      <c r="AL179" s="79">
        <f ca="1">AB179*活动投放!$I$34</f>
        <v>223.20000000000002</v>
      </c>
      <c r="AN179" s="29">
        <f t="shared" si="36"/>
        <v>3900</v>
      </c>
      <c r="AO179" s="101">
        <f ca="1">IFERROR(AE179/活动投放!AA179,0)</f>
        <v>0.86635460450897972</v>
      </c>
      <c r="AP179" s="101">
        <f ca="1">IFERROR(AF179/活动投放!AB179,0)</f>
        <v>0.7569992821249103</v>
      </c>
      <c r="AQ179" s="101">
        <f ca="1">IFERROR(AG179/活动投放!AC179,0)</f>
        <v>0.20192307692307693</v>
      </c>
      <c r="AR179" s="101">
        <f ca="1">IFERROR(AH179/活动投放!AD179,0)</f>
        <v>4.807692307692308E-2</v>
      </c>
      <c r="AS179" s="101">
        <f ca="1">IFERROR(AI179/活动投放!AE179,0)</f>
        <v>5.4917369121561679</v>
      </c>
      <c r="AT179" s="101">
        <f ca="1">IFERROR(AJ179/活动投放!AF179,0)</f>
        <v>1.2659161490683231</v>
      </c>
      <c r="AU179" s="101">
        <f ca="1">IFERROR(AK179/活动投放!AG179,0)</f>
        <v>0.70499052432090958</v>
      </c>
      <c r="AV179" s="101">
        <f ca="1">IFERROR(AL179/活动投放!AH179,0)</f>
        <v>0.70499052432090969</v>
      </c>
    </row>
    <row r="180" spans="24:48" x14ac:dyDescent="0.15">
      <c r="X180" s="29">
        <f>基础状态预估!C180</f>
        <v>4200</v>
      </c>
      <c r="Y180" s="46">
        <f>基础状态预估!D180</f>
        <v>130.84782736484456</v>
      </c>
      <c r="Z180" s="5">
        <f t="shared" ca="1" si="37"/>
        <v>37.5</v>
      </c>
      <c r="AA180" s="5">
        <f t="shared" ca="1" si="38"/>
        <v>1750.5</v>
      </c>
      <c r="AB180" s="5">
        <f t="shared" ca="1" si="39"/>
        <v>2412</v>
      </c>
      <c r="AC180" s="5">
        <f t="shared" ca="1" si="40"/>
        <v>60</v>
      </c>
      <c r="AD180" s="5">
        <f t="shared" ca="1" si="41"/>
        <v>4110</v>
      </c>
      <c r="AE180" s="5">
        <f t="shared" ca="1" si="42"/>
        <v>489450</v>
      </c>
      <c r="AF180" s="5">
        <f t="shared" ca="1" si="43"/>
        <v>284625</v>
      </c>
      <c r="AG180" s="79">
        <f ca="1">AC180+Z180*活动投放!$D$32</f>
        <v>78.75</v>
      </c>
      <c r="AH180" s="79">
        <f ca="1">Z180*活动投放!$E$32</f>
        <v>18.75</v>
      </c>
      <c r="AI180" s="79">
        <f ca="1">AD180+AA180*活动投放!$F$33</f>
        <v>5335.35</v>
      </c>
      <c r="AJ180" s="79">
        <f ca="1">AA180*活动投放!$G$33</f>
        <v>525.15</v>
      </c>
      <c r="AK180" s="79">
        <f ca="1">AB180*活动投放!$H$34</f>
        <v>2170.8000000000002</v>
      </c>
      <c r="AL180" s="79">
        <f ca="1">AB180*活动投放!$I$34</f>
        <v>241.20000000000002</v>
      </c>
      <c r="AN180" s="29">
        <f t="shared" si="36"/>
        <v>4200</v>
      </c>
      <c r="AO180" s="101">
        <f ca="1">IFERROR(AE180/活动投放!AA180,0)</f>
        <v>0.86567032189600279</v>
      </c>
      <c r="AP180" s="101">
        <f ca="1">IFERROR(AF180/活动投放!AB180,0)</f>
        <v>0.75647840531561461</v>
      </c>
      <c r="AQ180" s="101">
        <f ca="1">IFERROR(AG180/活动投放!AC180,0)</f>
        <v>0.1875</v>
      </c>
      <c r="AR180" s="101">
        <f ca="1">IFERROR(AH180/活动投放!AD180,0)</f>
        <v>4.4642857142857144E-2</v>
      </c>
      <c r="AS180" s="101">
        <f ca="1">IFERROR(AI180/活动投放!AE180,0)</f>
        <v>5.4913030053519973</v>
      </c>
      <c r="AT180" s="101">
        <f ca="1">IFERROR(AJ180/活动投放!AF180,0)</f>
        <v>1.2611671469740635</v>
      </c>
      <c r="AU180" s="101">
        <f ca="1">IFERROR(AK180/活动投放!AG180,0)</f>
        <v>0.7040280210157619</v>
      </c>
      <c r="AV180" s="101">
        <f ca="1">IFERROR(AL180/活动投放!AH180,0)</f>
        <v>0.70402802101576178</v>
      </c>
    </row>
    <row r="181" spans="24:48" x14ac:dyDescent="0.15">
      <c r="X181" s="29">
        <f>基础状态预估!C181</f>
        <v>4500</v>
      </c>
      <c r="Y181" s="46">
        <f>基础状态预估!D181</f>
        <v>131.85128063254527</v>
      </c>
      <c r="Z181" s="5">
        <f t="shared" ca="1" si="37"/>
        <v>37.5</v>
      </c>
      <c r="AA181" s="5">
        <f t="shared" ca="1" si="38"/>
        <v>1870.5</v>
      </c>
      <c r="AB181" s="5">
        <f t="shared" ca="1" si="39"/>
        <v>2592</v>
      </c>
      <c r="AC181" s="5">
        <f t="shared" ca="1" si="40"/>
        <v>60</v>
      </c>
      <c r="AD181" s="5">
        <f t="shared" ca="1" si="41"/>
        <v>4410</v>
      </c>
      <c r="AE181" s="5">
        <f t="shared" ca="1" si="42"/>
        <v>525450</v>
      </c>
      <c r="AF181" s="5">
        <f t="shared" ca="1" si="43"/>
        <v>305625</v>
      </c>
      <c r="AG181" s="79">
        <f ca="1">AC181+Z181*活动投放!$D$32</f>
        <v>78.75</v>
      </c>
      <c r="AH181" s="79">
        <f ca="1">Z181*活动投放!$E$32</f>
        <v>18.75</v>
      </c>
      <c r="AI181" s="79">
        <f ca="1">AD181+AA181*活动投放!$F$33</f>
        <v>5719.35</v>
      </c>
      <c r="AJ181" s="79">
        <f ca="1">AA181*活动投放!$G$33</f>
        <v>561.15</v>
      </c>
      <c r="AK181" s="79">
        <f ca="1">AB181*活动投放!$H$34</f>
        <v>2332.8000000000002</v>
      </c>
      <c r="AL181" s="79">
        <f ca="1">AB181*活动投放!$I$34</f>
        <v>259.2</v>
      </c>
      <c r="AN181" s="29">
        <f t="shared" si="36"/>
        <v>4500</v>
      </c>
      <c r="AO181" s="101">
        <f ca="1">IFERROR(AE181/活动投放!AA181,0)</f>
        <v>0.86508067171550873</v>
      </c>
      <c r="AP181" s="101">
        <f ca="1">IFERROR(AF181/活动投放!AB181,0)</f>
        <v>0.75602968460111319</v>
      </c>
      <c r="AQ181" s="101">
        <f ca="1">IFERROR(AG181/活动投放!AC181,0)</f>
        <v>0.17499999999999999</v>
      </c>
      <c r="AR181" s="101">
        <f ca="1">IFERROR(AH181/活动投放!AD181,0)</f>
        <v>4.1666666666666664E-2</v>
      </c>
      <c r="AS181" s="101">
        <f ca="1">IFERROR(AI181/活动投放!AE181,0)</f>
        <v>5.4909274193548399</v>
      </c>
      <c r="AT181" s="101">
        <f ca="1">IFERROR(AJ181/活动投放!AF181,0)</f>
        <v>1.2570564516129032</v>
      </c>
      <c r="AU181" s="101">
        <f ca="1">IFERROR(AK181/活动投放!AG181,0)</f>
        <v>0.70320130222463384</v>
      </c>
      <c r="AV181" s="101">
        <f ca="1">IFERROR(AL181/活动投放!AH181,0)</f>
        <v>0.70320130222463373</v>
      </c>
    </row>
    <row r="182" spans="24:48" x14ac:dyDescent="0.15">
      <c r="X182" s="29">
        <f>基础状态预估!C182</f>
        <v>4800</v>
      </c>
      <c r="Y182" s="46">
        <f>基础状态预估!D182</f>
        <v>132.84279736701905</v>
      </c>
      <c r="Z182" s="5">
        <f t="shared" ca="1" si="37"/>
        <v>37.5</v>
      </c>
      <c r="AA182" s="5">
        <f t="shared" ca="1" si="38"/>
        <v>1990.5</v>
      </c>
      <c r="AB182" s="5">
        <f t="shared" ca="1" si="39"/>
        <v>2772</v>
      </c>
      <c r="AC182" s="5">
        <f t="shared" ca="1" si="40"/>
        <v>60</v>
      </c>
      <c r="AD182" s="5">
        <f t="shared" ca="1" si="41"/>
        <v>4710</v>
      </c>
      <c r="AE182" s="5">
        <f t="shared" ca="1" si="42"/>
        <v>561450</v>
      </c>
      <c r="AF182" s="5">
        <f t="shared" ca="1" si="43"/>
        <v>326625</v>
      </c>
      <c r="AG182" s="79">
        <f ca="1">AC182+Z182*活动投放!$D$32</f>
        <v>78.75</v>
      </c>
      <c r="AH182" s="79">
        <f ca="1">Z182*活动投放!$E$32</f>
        <v>18.75</v>
      </c>
      <c r="AI182" s="79">
        <f ca="1">AD182+AA182*活动投放!$F$33</f>
        <v>6103.35</v>
      </c>
      <c r="AJ182" s="79">
        <f ca="1">AA182*活动投放!$G$33</f>
        <v>597.15</v>
      </c>
      <c r="AK182" s="79">
        <f ca="1">AB182*活动投放!$H$34</f>
        <v>2494.8000000000002</v>
      </c>
      <c r="AL182" s="79">
        <f ca="1">AB182*活动投放!$I$34</f>
        <v>277.2</v>
      </c>
      <c r="AN182" s="29">
        <f t="shared" si="36"/>
        <v>4800</v>
      </c>
      <c r="AO182" s="101">
        <f ca="1">IFERROR(AE182/活动投放!AA182,0)</f>
        <v>0.86456729288574063</v>
      </c>
      <c r="AP182" s="101">
        <f ca="1">IFERROR(AF182/活动投放!AB182,0)</f>
        <v>0.75563909774436089</v>
      </c>
      <c r="AQ182" s="101">
        <f ca="1">IFERROR(AG182/活动投放!AC182,0)</f>
        <v>0.1640625</v>
      </c>
      <c r="AR182" s="101">
        <f ca="1">IFERROR(AH182/活动投放!AD182,0)</f>
        <v>3.90625E-2</v>
      </c>
      <c r="AS182" s="101">
        <f ca="1">IFERROR(AI182/活动投放!AE182,0)</f>
        <v>5.490599136379994</v>
      </c>
      <c r="AT182" s="101">
        <f ca="1">IFERROR(AJ182/活动投放!AF182,0)</f>
        <v>1.253463476070529</v>
      </c>
      <c r="AU182" s="101">
        <f ca="1">IFERROR(AK182/活动投放!AG182,0)</f>
        <v>0.70248352762290933</v>
      </c>
      <c r="AV182" s="101">
        <f ca="1">IFERROR(AL182/活动投放!AH182,0)</f>
        <v>0.70248352762290922</v>
      </c>
    </row>
    <row r="183" spans="24:48" x14ac:dyDescent="0.15">
      <c r="X183" s="29">
        <f>基础状态预估!C183</f>
        <v>65535</v>
      </c>
      <c r="Y183" s="46">
        <f>基础状态预估!D183</f>
        <v>160</v>
      </c>
      <c r="Z183" s="5">
        <f t="shared" ca="1" si="37"/>
        <v>37.5</v>
      </c>
      <c r="AA183" s="5">
        <f t="shared" ca="1" si="38"/>
        <v>26284.5</v>
      </c>
      <c r="AB183" s="5">
        <f t="shared" ca="1" si="39"/>
        <v>39213</v>
      </c>
      <c r="AC183" s="5">
        <f t="shared" ca="1" si="40"/>
        <v>60</v>
      </c>
      <c r="AD183" s="5">
        <f t="shared" ca="1" si="41"/>
        <v>65445</v>
      </c>
      <c r="AE183" s="5">
        <f t="shared" ca="1" si="42"/>
        <v>7849650</v>
      </c>
      <c r="AF183" s="5">
        <f t="shared" ca="1" si="43"/>
        <v>4578075</v>
      </c>
      <c r="AG183" s="79">
        <f ca="1">AC183+Z183*活动投放!$D$32</f>
        <v>78.75</v>
      </c>
      <c r="AH183" s="79">
        <f ca="1">Z183*活动投放!$E$32</f>
        <v>18.75</v>
      </c>
      <c r="AI183" s="79">
        <f ca="1">AD183+AA183*活动投放!$F$33</f>
        <v>83844.149999999994</v>
      </c>
      <c r="AJ183" s="79">
        <f ca="1">AA183*活动投放!$G$33</f>
        <v>7885.3499999999995</v>
      </c>
      <c r="AK183" s="79">
        <f ca="1">AB183*活动投放!$H$34</f>
        <v>35291.700000000004</v>
      </c>
      <c r="AL183" s="79">
        <f ca="1">AB183*活动投放!$I$34</f>
        <v>3921.3</v>
      </c>
      <c r="AN183" s="29">
        <f t="shared" si="36"/>
        <v>65535</v>
      </c>
      <c r="AO183" s="101">
        <f ca="1">IFERROR(AE183/活动投放!AA183,0)</f>
        <v>0.85766965680757845</v>
      </c>
      <c r="AP183" s="101">
        <f ca="1">IFERROR(AF183/活动投放!AB183,0)</f>
        <v>0.75039953449109553</v>
      </c>
      <c r="AQ183" s="101">
        <f ca="1">IFERROR(AG183/活动投放!AC183,0)</f>
        <v>1.2016479743648433E-2</v>
      </c>
      <c r="AR183" s="101">
        <f ca="1">IFERROR(AH183/活动投放!AD183,0)</f>
        <v>2.8610666056305789E-3</v>
      </c>
      <c r="AS183" s="101">
        <f ca="1">IFERROR(AI183/活动投放!AE183,0)</f>
        <v>5.4860695801244512</v>
      </c>
      <c r="AT183" s="101">
        <f ca="1">IFERROR(AJ183/活动投放!AF183,0)</f>
        <v>1.2038886089863967</v>
      </c>
      <c r="AU183" s="101">
        <f ca="1">IFERROR(AK183/活动投放!AG183,0)</f>
        <v>0.69301733736281212</v>
      </c>
      <c r="AV183" s="101">
        <f ca="1">IFERROR(AL183/活动投放!AH183,0)</f>
        <v>0.69301733736281212</v>
      </c>
    </row>
    <row r="185" spans="24:48" x14ac:dyDescent="0.15">
      <c r="X185" s="32" t="s">
        <v>21</v>
      </c>
      <c r="Y185" s="48"/>
      <c r="Z185" s="85" t="s">
        <v>120</v>
      </c>
      <c r="AA185" s="95"/>
      <c r="AB185" s="95"/>
      <c r="AC185" s="95"/>
      <c r="AD185" s="95"/>
      <c r="AE185" s="95"/>
      <c r="AF185" s="86"/>
      <c r="AG185" s="84" t="s">
        <v>121</v>
      </c>
      <c r="AH185" s="84"/>
      <c r="AI185" s="84"/>
      <c r="AJ185" s="84"/>
      <c r="AK185" s="84"/>
      <c r="AL185" s="84"/>
      <c r="AN185" s="29" t="str">
        <f t="shared" ref="AN185:AN186" si="44">X185</f>
        <v>超r</v>
      </c>
      <c r="AO185" s="100" t="s">
        <v>222</v>
      </c>
      <c r="AP185" s="100"/>
      <c r="AQ185" s="100"/>
      <c r="AR185" s="100"/>
      <c r="AS185" s="100"/>
      <c r="AT185" s="100"/>
      <c r="AU185" s="100"/>
      <c r="AV185" s="100"/>
    </row>
    <row r="186" spans="24:48" x14ac:dyDescent="0.15">
      <c r="X186" s="27" t="s">
        <v>31</v>
      </c>
      <c r="Y186" s="45" t="s">
        <v>25</v>
      </c>
      <c r="Z186" s="79" t="s">
        <v>108</v>
      </c>
      <c r="AA186" s="79" t="s">
        <v>110</v>
      </c>
      <c r="AB186" s="79" t="s">
        <v>112</v>
      </c>
      <c r="AC186" s="79" t="s">
        <v>221</v>
      </c>
      <c r="AD186" s="79" t="s">
        <v>220</v>
      </c>
      <c r="AE186" s="79" t="s">
        <v>114</v>
      </c>
      <c r="AF186" s="79" t="s">
        <v>116</v>
      </c>
      <c r="AG186" s="79" t="s">
        <v>26</v>
      </c>
      <c r="AH186" s="79" t="s">
        <v>38</v>
      </c>
      <c r="AI186" s="79" t="s">
        <v>27</v>
      </c>
      <c r="AJ186" s="79" t="s">
        <v>29</v>
      </c>
      <c r="AK186" s="79" t="s">
        <v>28</v>
      </c>
      <c r="AL186" s="79" t="s">
        <v>43</v>
      </c>
      <c r="AN186" s="29" t="str">
        <f t="shared" si="44"/>
        <v>预期天数</v>
      </c>
      <c r="AO186" s="101" t="s">
        <v>114</v>
      </c>
      <c r="AP186" s="101" t="s">
        <v>116</v>
      </c>
      <c r="AQ186" s="101" t="s">
        <v>26</v>
      </c>
      <c r="AR186" s="101" t="s">
        <v>38</v>
      </c>
      <c r="AS186" s="101" t="s">
        <v>27</v>
      </c>
      <c r="AT186" s="101" t="s">
        <v>29</v>
      </c>
      <c r="AU186" s="101" t="s">
        <v>28</v>
      </c>
      <c r="AV186" s="101" t="s">
        <v>43</v>
      </c>
    </row>
    <row r="187" spans="24:48" x14ac:dyDescent="0.15">
      <c r="X187" s="29">
        <f>基础状态预估!C187</f>
        <v>15</v>
      </c>
      <c r="Y187" s="46">
        <f>基础状态预估!D187</f>
        <v>57.176846218996921</v>
      </c>
      <c r="Z187" s="11">
        <f ca="1">IFERROR(SUMIF($K$6:$U$6,Z$10,INDEX($K$7:$U$16,MATCH($Y187,$J$7:$J$16,1),1)),0)*$X187*$C$3</f>
        <v>15</v>
      </c>
      <c r="AA187" s="11">
        <f t="shared" ref="AA187:AF187" ca="1" si="45">IFERROR(SUMIF($K$6:$U$6,AA$10,INDEX($K$7:$U$16,MATCH($Y187,$J$7:$J$16,1),1)),0)*$X187*$C$3</f>
        <v>0</v>
      </c>
      <c r="AB187" s="11">
        <f t="shared" ca="1" si="45"/>
        <v>0</v>
      </c>
      <c r="AC187" s="11">
        <f t="shared" ca="1" si="45"/>
        <v>0</v>
      </c>
      <c r="AD187" s="11">
        <f t="shared" ca="1" si="45"/>
        <v>0</v>
      </c>
      <c r="AE187" s="11">
        <f t="shared" ca="1" si="45"/>
        <v>450</v>
      </c>
      <c r="AF187" s="11">
        <f t="shared" ca="1" si="45"/>
        <v>225</v>
      </c>
      <c r="AG187" s="79">
        <f ca="1">AC187+Z187*活动投放!$D$32</f>
        <v>7.5</v>
      </c>
      <c r="AH187" s="79">
        <f ca="1">Z187*活动投放!$E$32</f>
        <v>7.5</v>
      </c>
      <c r="AI187" s="79">
        <f ca="1">AD187+AA187*活动投放!$F$33</f>
        <v>0</v>
      </c>
      <c r="AJ187" s="79">
        <f ca="1">AA187*活动投放!$G$33</f>
        <v>0</v>
      </c>
      <c r="AK187" s="79">
        <f ca="1">AB187*活动投放!$H$34</f>
        <v>0</v>
      </c>
      <c r="AL187" s="79">
        <f ca="1">AB187*活动投放!$I$34</f>
        <v>0</v>
      </c>
      <c r="AN187" s="29">
        <f>X187</f>
        <v>15</v>
      </c>
      <c r="AO187" s="101">
        <f ca="1">IFERROR(AE187/活动投放!AA187,0)</f>
        <v>1.125</v>
      </c>
      <c r="AP187" s="101">
        <f ca="1">IFERROR(AF187/活动投放!AB187,0)</f>
        <v>0.9</v>
      </c>
      <c r="AQ187" s="101">
        <f ca="1">IFERROR(AG187/活动投放!AC187,0)</f>
        <v>5</v>
      </c>
      <c r="AR187" s="101">
        <f ca="1">IFERROR(AH187/活动投放!AD187,0)</f>
        <v>5</v>
      </c>
      <c r="AS187" s="101">
        <f ca="1">IFERROR(AI187/活动投放!AE187,0)</f>
        <v>0</v>
      </c>
      <c r="AT187" s="101">
        <f ca="1">IFERROR(AJ187/活动投放!AF187,0)</f>
        <v>0</v>
      </c>
      <c r="AU187" s="101">
        <f ca="1">IFERROR(AK187/活动投放!AG187,0)</f>
        <v>0</v>
      </c>
      <c r="AV187" s="101">
        <f ca="1">IFERROR(AL187/活动投放!AH187,0)</f>
        <v>0</v>
      </c>
    </row>
    <row r="188" spans="24:48" x14ac:dyDescent="0.15">
      <c r="X188" s="29">
        <f>基础状态预估!C188</f>
        <v>30</v>
      </c>
      <c r="Y188" s="46">
        <f>基础状态预估!D188</f>
        <v>67.097551508592701</v>
      </c>
      <c r="Z188" s="5">
        <f ca="1">IFERROR(SUMIF($K$6:$U$6,Z$10,INDEX($K$7:$U$16,MATCH($Y188,$J$7:$J$16,1),1)),0)*($X188-$X187)*$C$3+Z187</f>
        <v>15</v>
      </c>
      <c r="AA188" s="5">
        <f t="shared" ref="AA188:AF188" ca="1" si="46">IFERROR(SUMIF($K$6:$U$6,AA$10,INDEX($K$7:$U$16,MATCH($Y188,$J$7:$J$16,1),1)),0)*($X188-$X187)*$C$3+AA187</f>
        <v>15</v>
      </c>
      <c r="AB188" s="5">
        <f t="shared" ca="1" si="46"/>
        <v>0</v>
      </c>
      <c r="AC188" s="5">
        <f t="shared" ca="1" si="46"/>
        <v>15</v>
      </c>
      <c r="AD188" s="5">
        <f t="shared" ca="1" si="46"/>
        <v>0</v>
      </c>
      <c r="AE188" s="5">
        <f t="shared" ca="1" si="46"/>
        <v>1200</v>
      </c>
      <c r="AF188" s="5">
        <f t="shared" ca="1" si="46"/>
        <v>600</v>
      </c>
      <c r="AG188" s="79">
        <f ca="1">AC188+Z188*活动投放!$D$32</f>
        <v>22.5</v>
      </c>
      <c r="AH188" s="79">
        <f ca="1">Z188*活动投放!$E$32</f>
        <v>7.5</v>
      </c>
      <c r="AI188" s="79">
        <f ca="1">AD188+AA188*活动投放!$F$33</f>
        <v>10.5</v>
      </c>
      <c r="AJ188" s="79">
        <f ca="1">AA188*活动投放!$G$33</f>
        <v>4.5</v>
      </c>
      <c r="AK188" s="79">
        <f ca="1">AB188*活动投放!$H$34</f>
        <v>0</v>
      </c>
      <c r="AL188" s="79">
        <f ca="1">AB188*活动投放!$I$34</f>
        <v>0</v>
      </c>
      <c r="AN188" s="29">
        <f t="shared" ref="AN188:AN227" si="47">X188</f>
        <v>30</v>
      </c>
      <c r="AO188" s="101">
        <f ca="1">IFERROR(AE188/活动投放!AA188,0)</f>
        <v>1.0909090909090908</v>
      </c>
      <c r="AP188" s="101">
        <f ca="1">IFERROR(AF188/活动投放!AB188,0)</f>
        <v>0.8571428571428571</v>
      </c>
      <c r="AQ188" s="101">
        <f ca="1">IFERROR(AG188/活动投放!AC188,0)</f>
        <v>7.5</v>
      </c>
      <c r="AR188" s="101">
        <f ca="1">IFERROR(AH188/活动投放!AD188,0)</f>
        <v>2.5</v>
      </c>
      <c r="AS188" s="101">
        <f ca="1">IFERROR(AI188/活动投放!AE188,0)</f>
        <v>3</v>
      </c>
      <c r="AT188" s="101">
        <f ca="1">IFERROR(AJ188/活动投放!AF188,0)</f>
        <v>3</v>
      </c>
      <c r="AU188" s="101">
        <f ca="1">IFERROR(AK188/活动投放!AG188,0)</f>
        <v>0</v>
      </c>
      <c r="AV188" s="101">
        <f ca="1">IFERROR(AL188/活动投放!AH188,0)</f>
        <v>0</v>
      </c>
    </row>
    <row r="189" spans="24:48" x14ac:dyDescent="0.15">
      <c r="X189" s="29">
        <f>基础状态预估!C189</f>
        <v>45</v>
      </c>
      <c r="Y189" s="46">
        <f>基础状态预估!D189</f>
        <v>73.037155126421851</v>
      </c>
      <c r="Z189" s="5">
        <f t="shared" ref="Z189:Z227" ca="1" si="48">IFERROR(SUMIF($K$6:$U$6,Z$10,INDEX($K$7:$U$16,MATCH($Y189,$J$7:$J$16,1),1)),0)*($X189-$X188)*$C$3+Z188</f>
        <v>15</v>
      </c>
      <c r="AA189" s="5">
        <f t="shared" ref="AA189:AA227" ca="1" si="49">IFERROR(SUMIF($K$6:$U$6,AA$10,INDEX($K$7:$U$16,MATCH($Y189,$J$7:$J$16,1),1)),0)*($X189-$X188)*$C$3+AA188</f>
        <v>30</v>
      </c>
      <c r="AB189" s="5">
        <f t="shared" ref="AB189:AB227" ca="1" si="50">IFERROR(SUMIF($K$6:$U$6,AB$10,INDEX($K$7:$U$16,MATCH($Y189,$J$7:$J$16,1),1)),0)*($X189-$X188)*$C$3+AB188</f>
        <v>0</v>
      </c>
      <c r="AC189" s="5">
        <f t="shared" ref="AC189:AC227" ca="1" si="51">IFERROR(SUMIF($K$6:$U$6,AC$10,INDEX($K$7:$U$16,MATCH($Y189,$J$7:$J$16,1),1)),0)*($X189-$X188)*$C$3+AC188</f>
        <v>30</v>
      </c>
      <c r="AD189" s="5">
        <f t="shared" ref="AD189:AD227" ca="1" si="52">IFERROR(SUMIF($K$6:$U$6,AD$10,INDEX($K$7:$U$16,MATCH($Y189,$J$7:$J$16,1),1)),0)*($X189-$X188)*$C$3+AD188</f>
        <v>0</v>
      </c>
      <c r="AE189" s="5">
        <f t="shared" ref="AE189:AE227" ca="1" si="53">IFERROR(SUMIF($K$6:$U$6,AE$10,INDEX($K$7:$U$16,MATCH($Y189,$J$7:$J$16,1),1)),0)*($X189-$X188)*$C$3+AE188</f>
        <v>1950</v>
      </c>
      <c r="AF189" s="5">
        <f t="shared" ref="AF189:AF227" ca="1" si="54">IFERROR(SUMIF($K$6:$U$6,AF$10,INDEX($K$7:$U$16,MATCH($Y189,$J$7:$J$16,1),1)),0)*($X189-$X188)*$C$3+AF188</f>
        <v>975</v>
      </c>
      <c r="AG189" s="79">
        <f ca="1">AC189+Z189*活动投放!$D$32</f>
        <v>37.5</v>
      </c>
      <c r="AH189" s="79">
        <f ca="1">Z189*活动投放!$E$32</f>
        <v>7.5</v>
      </c>
      <c r="AI189" s="79">
        <f ca="1">AD189+AA189*活动投放!$F$33</f>
        <v>21</v>
      </c>
      <c r="AJ189" s="79">
        <f ca="1">AA189*活动投放!$G$33</f>
        <v>9</v>
      </c>
      <c r="AK189" s="79">
        <f ca="1">AB189*活动投放!$H$34</f>
        <v>0</v>
      </c>
      <c r="AL189" s="79">
        <f ca="1">AB189*活动投放!$I$34</f>
        <v>0</v>
      </c>
      <c r="AN189" s="29">
        <f t="shared" si="47"/>
        <v>45</v>
      </c>
      <c r="AO189" s="101">
        <f ca="1">IFERROR(AE189/活动投放!AA189,0)</f>
        <v>0.97499999999999998</v>
      </c>
      <c r="AP189" s="101">
        <f ca="1">IFERROR(AF189/活动投放!AB189,0)</f>
        <v>0.75</v>
      </c>
      <c r="AQ189" s="101">
        <f ca="1">IFERROR(AG189/活动投放!AC189,0)</f>
        <v>8.3333333333333339</v>
      </c>
      <c r="AR189" s="101">
        <f ca="1">IFERROR(AH189/活动投放!AD189,0)</f>
        <v>1.6666666666666667</v>
      </c>
      <c r="AS189" s="101">
        <f ca="1">IFERROR(AI189/活动投放!AE189,0)</f>
        <v>3</v>
      </c>
      <c r="AT189" s="101">
        <f ca="1">IFERROR(AJ189/活动投放!AF189,0)</f>
        <v>3</v>
      </c>
      <c r="AU189" s="101">
        <f ca="1">IFERROR(AK189/活动投放!AG189,0)</f>
        <v>0</v>
      </c>
      <c r="AV189" s="101">
        <f ca="1">IFERROR(AL189/活动投放!AH189,0)</f>
        <v>0</v>
      </c>
    </row>
    <row r="190" spans="24:48" x14ac:dyDescent="0.15">
      <c r="X190" s="29">
        <f>基础状态预估!C190</f>
        <v>60</v>
      </c>
      <c r="Y190" s="46">
        <f>基础状态预估!D190</f>
        <v>77.112805903056142</v>
      </c>
      <c r="Z190" s="5">
        <f t="shared" ca="1" si="48"/>
        <v>15</v>
      </c>
      <c r="AA190" s="5">
        <f t="shared" ca="1" si="49"/>
        <v>43.5</v>
      </c>
      <c r="AB190" s="5">
        <f t="shared" ca="1" si="50"/>
        <v>1.5</v>
      </c>
      <c r="AC190" s="5">
        <f t="shared" ca="1" si="51"/>
        <v>30</v>
      </c>
      <c r="AD190" s="5">
        <f t="shared" ca="1" si="52"/>
        <v>15</v>
      </c>
      <c r="AE190" s="5">
        <f t="shared" ca="1" si="53"/>
        <v>2850</v>
      </c>
      <c r="AF190" s="5">
        <f t="shared" ca="1" si="54"/>
        <v>1425</v>
      </c>
      <c r="AG190" s="79">
        <f ca="1">AC190+Z190*活动投放!$D$32</f>
        <v>37.5</v>
      </c>
      <c r="AH190" s="79">
        <f ca="1">Z190*活动投放!$E$32</f>
        <v>7.5</v>
      </c>
      <c r="AI190" s="79">
        <f ca="1">AD190+AA190*活动投放!$F$33</f>
        <v>45.45</v>
      </c>
      <c r="AJ190" s="79">
        <f ca="1">AA190*活动投放!$G$33</f>
        <v>13.049999999999999</v>
      </c>
      <c r="AK190" s="79">
        <f ca="1">AB190*活动投放!$H$34</f>
        <v>1.35</v>
      </c>
      <c r="AL190" s="79">
        <f ca="1">AB190*活动投放!$I$34</f>
        <v>0.15000000000000002</v>
      </c>
      <c r="AN190" s="29">
        <f t="shared" si="47"/>
        <v>60</v>
      </c>
      <c r="AO190" s="101">
        <f ca="1">IFERROR(AE190/活动投放!AA190,0)</f>
        <v>0.95</v>
      </c>
      <c r="AP190" s="101">
        <f ca="1">IFERROR(AF190/活动投放!AB190,0)</f>
        <v>0.73076923076923073</v>
      </c>
      <c r="AQ190" s="101">
        <f ca="1">IFERROR(AG190/活动投放!AC190,0)</f>
        <v>6.25</v>
      </c>
      <c r="AR190" s="101">
        <f ca="1">IFERROR(AH190/活动投放!AD190,0)</f>
        <v>1.25</v>
      </c>
      <c r="AS190" s="101">
        <f ca="1">IFERROR(AI190/活动投放!AE190,0)</f>
        <v>4.3285714285714292</v>
      </c>
      <c r="AT190" s="101">
        <f ca="1">IFERROR(AJ190/活动投放!AF190,0)</f>
        <v>2.9</v>
      </c>
      <c r="AU190" s="101">
        <f ca="1">IFERROR(AK190/活动投放!AG190,0)</f>
        <v>0.5</v>
      </c>
      <c r="AV190" s="101">
        <f ca="1">IFERROR(AL190/活动投放!AH190,0)</f>
        <v>0.5</v>
      </c>
    </row>
    <row r="191" spans="24:48" x14ac:dyDescent="0.15">
      <c r="X191" s="29">
        <f>基础状态预估!C191</f>
        <v>75</v>
      </c>
      <c r="Y191" s="46">
        <f>基础状态预估!D191</f>
        <v>80.437605572866573</v>
      </c>
      <c r="Z191" s="5">
        <f t="shared" ca="1" si="48"/>
        <v>15</v>
      </c>
      <c r="AA191" s="5">
        <f t="shared" ca="1" si="49"/>
        <v>55.5</v>
      </c>
      <c r="AB191" s="5">
        <f t="shared" ca="1" si="50"/>
        <v>4.5</v>
      </c>
      <c r="AC191" s="5">
        <f t="shared" ca="1" si="51"/>
        <v>30</v>
      </c>
      <c r="AD191" s="5">
        <f t="shared" ca="1" si="52"/>
        <v>30</v>
      </c>
      <c r="AE191" s="5">
        <f t="shared" ca="1" si="53"/>
        <v>3900</v>
      </c>
      <c r="AF191" s="5">
        <f t="shared" ca="1" si="54"/>
        <v>1950</v>
      </c>
      <c r="AG191" s="79">
        <f ca="1">AC191+Z191*活动投放!$D$32</f>
        <v>37.5</v>
      </c>
      <c r="AH191" s="79">
        <f ca="1">Z191*活动投放!$E$32</f>
        <v>7.5</v>
      </c>
      <c r="AI191" s="79">
        <f ca="1">AD191+AA191*活动投放!$F$33</f>
        <v>68.849999999999994</v>
      </c>
      <c r="AJ191" s="79">
        <f ca="1">AA191*活动投放!$G$33</f>
        <v>16.649999999999999</v>
      </c>
      <c r="AK191" s="79">
        <f ca="1">AB191*活动投放!$H$34</f>
        <v>4.05</v>
      </c>
      <c r="AL191" s="79">
        <f ca="1">AB191*活动投放!$I$34</f>
        <v>0.45</v>
      </c>
      <c r="AN191" s="29">
        <f t="shared" si="47"/>
        <v>75</v>
      </c>
      <c r="AO191" s="101">
        <f ca="1">IFERROR(AE191/活动投放!AA191,0)</f>
        <v>0.95121951219512191</v>
      </c>
      <c r="AP191" s="101">
        <f ca="1">IFERROR(AF191/活动投放!AB191,0)</f>
        <v>0.73584905660377353</v>
      </c>
      <c r="AQ191" s="101">
        <f ca="1">IFERROR(AG191/活动投放!AC191,0)</f>
        <v>5</v>
      </c>
      <c r="AR191" s="101">
        <f ca="1">IFERROR(AH191/活动投放!AD191,0)</f>
        <v>1</v>
      </c>
      <c r="AS191" s="101">
        <f ca="1">IFERROR(AI191/活动投放!AE191,0)</f>
        <v>4.9178571428571427</v>
      </c>
      <c r="AT191" s="101">
        <f ca="1">IFERROR(AJ191/活动投放!AF191,0)</f>
        <v>2.7749999999999999</v>
      </c>
      <c r="AU191" s="101">
        <f ca="1">IFERROR(AK191/活动投放!AG191,0)</f>
        <v>0.74999999999999989</v>
      </c>
      <c r="AV191" s="101">
        <f ca="1">IFERROR(AL191/活动投放!AH191,0)</f>
        <v>0.74999999999999989</v>
      </c>
    </row>
    <row r="192" spans="24:48" x14ac:dyDescent="0.15">
      <c r="X192" s="29">
        <f>基础状态预估!C192</f>
        <v>90</v>
      </c>
      <c r="Y192" s="46">
        <f>基础状态预估!D192</f>
        <v>83.124894550960335</v>
      </c>
      <c r="Z192" s="5">
        <f t="shared" ca="1" si="48"/>
        <v>15</v>
      </c>
      <c r="AA192" s="5">
        <f t="shared" ca="1" si="49"/>
        <v>66</v>
      </c>
      <c r="AB192" s="5">
        <f t="shared" ca="1" si="50"/>
        <v>9</v>
      </c>
      <c r="AC192" s="5">
        <f t="shared" ca="1" si="51"/>
        <v>30</v>
      </c>
      <c r="AD192" s="5">
        <f t="shared" ca="1" si="52"/>
        <v>45</v>
      </c>
      <c r="AE192" s="5">
        <f t="shared" ca="1" si="53"/>
        <v>5100</v>
      </c>
      <c r="AF192" s="5">
        <f t="shared" ca="1" si="54"/>
        <v>2550</v>
      </c>
      <c r="AG192" s="79">
        <f ca="1">AC192+Z192*活动投放!$D$32</f>
        <v>37.5</v>
      </c>
      <c r="AH192" s="79">
        <f ca="1">Z192*活动投放!$E$32</f>
        <v>7.5</v>
      </c>
      <c r="AI192" s="79">
        <f ca="1">AD192+AA192*活动投放!$F$33</f>
        <v>91.199999999999989</v>
      </c>
      <c r="AJ192" s="79">
        <f ca="1">AA192*活动投放!$G$33</f>
        <v>19.8</v>
      </c>
      <c r="AK192" s="79">
        <f ca="1">AB192*活动投放!$H$34</f>
        <v>8.1</v>
      </c>
      <c r="AL192" s="79">
        <f ca="1">AB192*活动投放!$I$34</f>
        <v>0.9</v>
      </c>
      <c r="AN192" s="29">
        <f t="shared" si="47"/>
        <v>90</v>
      </c>
      <c r="AO192" s="101">
        <f ca="1">IFERROR(AE192/活动投放!AA192,0)</f>
        <v>0.94444444444444442</v>
      </c>
      <c r="AP192" s="101">
        <f ca="1">IFERROR(AF192/活动投放!AB192,0)</f>
        <v>0.72857142857142854</v>
      </c>
      <c r="AQ192" s="101">
        <f ca="1">IFERROR(AG192/活动投放!AC192,0)</f>
        <v>4.166666666666667</v>
      </c>
      <c r="AR192" s="101">
        <f ca="1">IFERROR(AH192/活动投放!AD192,0)</f>
        <v>0.83333333333333337</v>
      </c>
      <c r="AS192" s="101">
        <f ca="1">IFERROR(AI192/活动投放!AE192,0)</f>
        <v>5.2114285714285709</v>
      </c>
      <c r="AT192" s="101">
        <f ca="1">IFERROR(AJ192/活动投放!AF192,0)</f>
        <v>2.64</v>
      </c>
      <c r="AU192" s="101">
        <f ca="1">IFERROR(AK192/活动投放!AG192,0)</f>
        <v>0.81818181818181812</v>
      </c>
      <c r="AV192" s="101">
        <f ca="1">IFERROR(AL192/活动投放!AH192,0)</f>
        <v>0.81818181818181812</v>
      </c>
    </row>
    <row r="193" spans="24:48" x14ac:dyDescent="0.15">
      <c r="X193" s="29">
        <f>基础状态预估!C193</f>
        <v>105</v>
      </c>
      <c r="Y193" s="46">
        <f>基础状态预估!D193</f>
        <v>85.384431166588271</v>
      </c>
      <c r="Z193" s="5">
        <f t="shared" ca="1" si="48"/>
        <v>15</v>
      </c>
      <c r="AA193" s="5">
        <f t="shared" ca="1" si="49"/>
        <v>75</v>
      </c>
      <c r="AB193" s="5">
        <f t="shared" ca="1" si="50"/>
        <v>15</v>
      </c>
      <c r="AC193" s="5">
        <f t="shared" ca="1" si="51"/>
        <v>30</v>
      </c>
      <c r="AD193" s="5">
        <f t="shared" ca="1" si="52"/>
        <v>60</v>
      </c>
      <c r="AE193" s="5">
        <f t="shared" ca="1" si="53"/>
        <v>6450</v>
      </c>
      <c r="AF193" s="5">
        <f t="shared" ca="1" si="54"/>
        <v>3300</v>
      </c>
      <c r="AG193" s="79">
        <f ca="1">AC193+Z193*活动投放!$D$32</f>
        <v>37.5</v>
      </c>
      <c r="AH193" s="79">
        <f ca="1">Z193*活动投放!$E$32</f>
        <v>7.5</v>
      </c>
      <c r="AI193" s="79">
        <f ca="1">AD193+AA193*活动投放!$F$33</f>
        <v>112.5</v>
      </c>
      <c r="AJ193" s="79">
        <f ca="1">AA193*活动投放!$G$33</f>
        <v>22.5</v>
      </c>
      <c r="AK193" s="79">
        <f ca="1">AB193*活动投放!$H$34</f>
        <v>13.5</v>
      </c>
      <c r="AL193" s="79">
        <f ca="1">AB193*活动投放!$I$34</f>
        <v>1.5</v>
      </c>
      <c r="AN193" s="29">
        <f t="shared" si="47"/>
        <v>105</v>
      </c>
      <c r="AO193" s="101">
        <f ca="1">IFERROR(AE193/活动投放!AA193,0)</f>
        <v>0.94852941176470584</v>
      </c>
      <c r="AP193" s="101">
        <f ca="1">IFERROR(AF193/活动投放!AB193,0)</f>
        <v>0.75</v>
      </c>
      <c r="AQ193" s="101">
        <f ca="1">IFERROR(AG193/活动投放!AC193,0)</f>
        <v>3.5714285714285716</v>
      </c>
      <c r="AR193" s="101">
        <f ca="1">IFERROR(AH193/活动投放!AD193,0)</f>
        <v>0.7142857142857143</v>
      </c>
      <c r="AS193" s="101">
        <f ca="1">IFERROR(AI193/活动投放!AE193,0)</f>
        <v>5.3571428571428568</v>
      </c>
      <c r="AT193" s="101">
        <f ca="1">IFERROR(AJ193/活动投放!AF193,0)</f>
        <v>2.5</v>
      </c>
      <c r="AU193" s="101">
        <f ca="1">IFERROR(AK193/活动投放!AG193,0)</f>
        <v>0.88235294117647056</v>
      </c>
      <c r="AV193" s="101">
        <f ca="1">IFERROR(AL193/活动投放!AH193,0)</f>
        <v>0.88235294117647045</v>
      </c>
    </row>
    <row r="194" spans="24:48" x14ac:dyDescent="0.15">
      <c r="X194" s="29">
        <f>基础状态预估!C194</f>
        <v>120</v>
      </c>
      <c r="Y194" s="46">
        <f>基础状态预估!D194</f>
        <v>87.571414295961461</v>
      </c>
      <c r="Z194" s="5">
        <f t="shared" ca="1" si="48"/>
        <v>15</v>
      </c>
      <c r="AA194" s="5">
        <f t="shared" ca="1" si="49"/>
        <v>84</v>
      </c>
      <c r="AB194" s="5">
        <f t="shared" ca="1" si="50"/>
        <v>21</v>
      </c>
      <c r="AC194" s="5">
        <f t="shared" ca="1" si="51"/>
        <v>30</v>
      </c>
      <c r="AD194" s="5">
        <f t="shared" ca="1" si="52"/>
        <v>75</v>
      </c>
      <c r="AE194" s="5">
        <f t="shared" ca="1" si="53"/>
        <v>7800</v>
      </c>
      <c r="AF194" s="5">
        <f t="shared" ca="1" si="54"/>
        <v>4050</v>
      </c>
      <c r="AG194" s="79">
        <f ca="1">AC194+Z194*活动投放!$D$32</f>
        <v>37.5</v>
      </c>
      <c r="AH194" s="79">
        <f ca="1">Z194*活动投放!$E$32</f>
        <v>7.5</v>
      </c>
      <c r="AI194" s="79">
        <f ca="1">AD194+AA194*活动投放!$F$33</f>
        <v>133.80000000000001</v>
      </c>
      <c r="AJ194" s="79">
        <f ca="1">AA194*活动投放!$G$33</f>
        <v>25.2</v>
      </c>
      <c r="AK194" s="79">
        <f ca="1">AB194*活动投放!$H$34</f>
        <v>18.900000000000002</v>
      </c>
      <c r="AL194" s="79">
        <f ca="1">AB194*活动投放!$I$34</f>
        <v>2.1</v>
      </c>
      <c r="AN194" s="29">
        <f t="shared" si="47"/>
        <v>120</v>
      </c>
      <c r="AO194" s="101">
        <f ca="1">IFERROR(AE194/活动投放!AA194,0)</f>
        <v>0.93975903614457834</v>
      </c>
      <c r="AP194" s="101">
        <f ca="1">IFERROR(AF194/活动投放!AB194,0)</f>
        <v>0.75</v>
      </c>
      <c r="AQ194" s="101">
        <f ca="1">IFERROR(AG194/活动投放!AC194,0)</f>
        <v>3.125</v>
      </c>
      <c r="AR194" s="101">
        <f ca="1">IFERROR(AH194/活动投放!AD194,0)</f>
        <v>0.625</v>
      </c>
      <c r="AS194" s="101">
        <f ca="1">IFERROR(AI194/活动投放!AE194,0)</f>
        <v>5.461224489795919</v>
      </c>
      <c r="AT194" s="101">
        <f ca="1">IFERROR(AJ194/活动投放!AF194,0)</f>
        <v>2.4</v>
      </c>
      <c r="AU194" s="101">
        <f ca="1">IFERROR(AK194/活动投放!AG194,0)</f>
        <v>0.875</v>
      </c>
      <c r="AV194" s="101">
        <f ca="1">IFERROR(AL194/活动投放!AH194,0)</f>
        <v>0.87499999999999989</v>
      </c>
    </row>
    <row r="195" spans="24:48" x14ac:dyDescent="0.15">
      <c r="X195" s="29">
        <f>基础状态预估!C195</f>
        <v>150</v>
      </c>
      <c r="Y195" s="46">
        <f>基础状态预估!D195</f>
        <v>91.216133577135096</v>
      </c>
      <c r="Z195" s="5">
        <f t="shared" ca="1" si="48"/>
        <v>15</v>
      </c>
      <c r="AA195" s="5">
        <f t="shared" ca="1" si="49"/>
        <v>99</v>
      </c>
      <c r="AB195" s="5">
        <f t="shared" ca="1" si="50"/>
        <v>36</v>
      </c>
      <c r="AC195" s="5">
        <f t="shared" ca="1" si="51"/>
        <v>30</v>
      </c>
      <c r="AD195" s="5">
        <f t="shared" ca="1" si="52"/>
        <v>105</v>
      </c>
      <c r="AE195" s="5">
        <f t="shared" ca="1" si="53"/>
        <v>10800</v>
      </c>
      <c r="AF195" s="5">
        <f t="shared" ca="1" si="54"/>
        <v>5850</v>
      </c>
      <c r="AG195" s="79">
        <f ca="1">AC195+Z195*活动投放!$D$32</f>
        <v>37.5</v>
      </c>
      <c r="AH195" s="79">
        <f ca="1">Z195*活动投放!$E$32</f>
        <v>7.5</v>
      </c>
      <c r="AI195" s="79">
        <f ca="1">AD195+AA195*活动投放!$F$33</f>
        <v>174.3</v>
      </c>
      <c r="AJ195" s="79">
        <f ca="1">AA195*活动投放!$G$33</f>
        <v>29.7</v>
      </c>
      <c r="AK195" s="79">
        <f ca="1">AB195*活动投放!$H$34</f>
        <v>32.4</v>
      </c>
      <c r="AL195" s="79">
        <f ca="1">AB195*活动投放!$I$34</f>
        <v>3.6</v>
      </c>
      <c r="AN195" s="29">
        <f t="shared" si="47"/>
        <v>150</v>
      </c>
      <c r="AO195" s="101">
        <f ca="1">IFERROR(AE195/活动投放!AA195,0)</f>
        <v>0.92307692307692313</v>
      </c>
      <c r="AP195" s="101">
        <f ca="1">IFERROR(AF195/活动投放!AB195,0)</f>
        <v>0.76973684210526316</v>
      </c>
      <c r="AQ195" s="101">
        <f ca="1">IFERROR(AG195/活动投放!AC195,0)</f>
        <v>2.5</v>
      </c>
      <c r="AR195" s="101">
        <f ca="1">IFERROR(AH195/活动投放!AD195,0)</f>
        <v>0.5</v>
      </c>
      <c r="AS195" s="101">
        <f ca="1">IFERROR(AI195/活动投放!AE195,0)</f>
        <v>5.5333333333333341</v>
      </c>
      <c r="AT195" s="101">
        <f ca="1">IFERROR(AJ195/活动投放!AF195,0)</f>
        <v>2.1999999999999997</v>
      </c>
      <c r="AU195" s="101">
        <f ca="1">IFERROR(AK195/活动投放!AG195,0)</f>
        <v>0.85714285714285698</v>
      </c>
      <c r="AV195" s="101">
        <f ca="1">IFERROR(AL195/活动投放!AH195,0)</f>
        <v>0.8571428571428571</v>
      </c>
    </row>
    <row r="196" spans="24:48" x14ac:dyDescent="0.15">
      <c r="X196" s="29">
        <f>基础状态预估!C196</f>
        <v>180</v>
      </c>
      <c r="Y196" s="46">
        <f>基础状态预估!D196</f>
        <v>94.027056817114342</v>
      </c>
      <c r="Z196" s="5">
        <f t="shared" ca="1" si="48"/>
        <v>15</v>
      </c>
      <c r="AA196" s="5">
        <f t="shared" ca="1" si="49"/>
        <v>111</v>
      </c>
      <c r="AB196" s="5">
        <f t="shared" ca="1" si="50"/>
        <v>54</v>
      </c>
      <c r="AC196" s="5">
        <f t="shared" ca="1" si="51"/>
        <v>30</v>
      </c>
      <c r="AD196" s="5">
        <f t="shared" ca="1" si="52"/>
        <v>135</v>
      </c>
      <c r="AE196" s="5">
        <f t="shared" ca="1" si="53"/>
        <v>14400</v>
      </c>
      <c r="AF196" s="5">
        <f t="shared" ca="1" si="54"/>
        <v>7950</v>
      </c>
      <c r="AG196" s="79">
        <f ca="1">AC196+Z196*活动投放!$D$32</f>
        <v>37.5</v>
      </c>
      <c r="AH196" s="79">
        <f ca="1">Z196*活动投放!$E$32</f>
        <v>7.5</v>
      </c>
      <c r="AI196" s="79">
        <f ca="1">AD196+AA196*活动投放!$F$33</f>
        <v>212.7</v>
      </c>
      <c r="AJ196" s="79">
        <f ca="1">AA196*活动投放!$G$33</f>
        <v>33.299999999999997</v>
      </c>
      <c r="AK196" s="79">
        <f ca="1">AB196*活动投放!$H$34</f>
        <v>48.6</v>
      </c>
      <c r="AL196" s="79">
        <f ca="1">AB196*活动投放!$I$34</f>
        <v>5.4</v>
      </c>
      <c r="AN196" s="29">
        <f t="shared" si="47"/>
        <v>180</v>
      </c>
      <c r="AO196" s="101">
        <f ca="1">IFERROR(AE196/活动投放!AA196,0)</f>
        <v>0.94117647058823528</v>
      </c>
      <c r="AP196" s="101">
        <f ca="1">IFERROR(AF196/活动投放!AB196,0)</f>
        <v>0.79500000000000004</v>
      </c>
      <c r="AQ196" s="101">
        <f ca="1">IFERROR(AG196/活动投放!AC196,0)</f>
        <v>2.0833333333333335</v>
      </c>
      <c r="AR196" s="101">
        <f ca="1">IFERROR(AH196/活动投放!AD196,0)</f>
        <v>0.41666666666666669</v>
      </c>
      <c r="AS196" s="101">
        <f ca="1">IFERROR(AI196/活动投放!AE196,0)</f>
        <v>5.5246753246753242</v>
      </c>
      <c r="AT196" s="101">
        <f ca="1">IFERROR(AJ196/活动投放!AF196,0)</f>
        <v>2.0181818181818181</v>
      </c>
      <c r="AU196" s="101">
        <f ca="1">IFERROR(AK196/活动投放!AG196,0)</f>
        <v>0.87096774193548387</v>
      </c>
      <c r="AV196" s="101">
        <f ca="1">IFERROR(AL196/活动投放!AH196,0)</f>
        <v>0.87096774193548387</v>
      </c>
    </row>
    <row r="197" spans="24:48" x14ac:dyDescent="0.15">
      <c r="X197" s="29">
        <f>基础状态预估!C197</f>
        <v>210</v>
      </c>
      <c r="Y197" s="46">
        <f>基础状态预估!D197</f>
        <v>96.190942965578103</v>
      </c>
      <c r="Z197" s="5">
        <f t="shared" ca="1" si="48"/>
        <v>15</v>
      </c>
      <c r="AA197" s="5">
        <f t="shared" ca="1" si="49"/>
        <v>123</v>
      </c>
      <c r="AB197" s="5">
        <f t="shared" ca="1" si="50"/>
        <v>72</v>
      </c>
      <c r="AC197" s="5">
        <f t="shared" ca="1" si="51"/>
        <v>30</v>
      </c>
      <c r="AD197" s="5">
        <f t="shared" ca="1" si="52"/>
        <v>165</v>
      </c>
      <c r="AE197" s="5">
        <f t="shared" ca="1" si="53"/>
        <v>18000</v>
      </c>
      <c r="AF197" s="5">
        <f t="shared" ca="1" si="54"/>
        <v>10050</v>
      </c>
      <c r="AG197" s="79">
        <f ca="1">AC197+Z197*活动投放!$D$32</f>
        <v>37.5</v>
      </c>
      <c r="AH197" s="79">
        <f ca="1">Z197*活动投放!$E$32</f>
        <v>7.5</v>
      </c>
      <c r="AI197" s="79">
        <f ca="1">AD197+AA197*活动投放!$F$33</f>
        <v>251.1</v>
      </c>
      <c r="AJ197" s="79">
        <f ca="1">AA197*活动投放!$G$33</f>
        <v>36.9</v>
      </c>
      <c r="AK197" s="79">
        <f ca="1">AB197*活动投放!$H$34</f>
        <v>64.8</v>
      </c>
      <c r="AL197" s="79">
        <f ca="1">AB197*活动投放!$I$34</f>
        <v>7.2</v>
      </c>
      <c r="AN197" s="29">
        <f t="shared" si="47"/>
        <v>210</v>
      </c>
      <c r="AO197" s="101">
        <f ca="1">IFERROR(AE197/活动投放!AA197,0)</f>
        <v>0.94240837696335078</v>
      </c>
      <c r="AP197" s="101">
        <f ca="1">IFERROR(AF197/活动投放!AB197,0)</f>
        <v>0.80400000000000005</v>
      </c>
      <c r="AQ197" s="101">
        <f ca="1">IFERROR(AG197/活动投放!AC197,0)</f>
        <v>1.7857142857142858</v>
      </c>
      <c r="AR197" s="101">
        <f ca="1">IFERROR(AH197/活动投放!AD197,0)</f>
        <v>0.35714285714285715</v>
      </c>
      <c r="AS197" s="101">
        <f ca="1">IFERROR(AI197/活动投放!AE197,0)</f>
        <v>5.5186813186813186</v>
      </c>
      <c r="AT197" s="101">
        <f ca="1">IFERROR(AJ197/活动投放!AF197,0)</f>
        <v>1.8923076923076922</v>
      </c>
      <c r="AU197" s="101">
        <f ca="1">IFERROR(AK197/活动投放!AG197,0)</f>
        <v>0.85714285714285698</v>
      </c>
      <c r="AV197" s="101">
        <f ca="1">IFERROR(AL197/活动投放!AH197,0)</f>
        <v>0.8571428571428571</v>
      </c>
    </row>
    <row r="198" spans="24:48" x14ac:dyDescent="0.15">
      <c r="X198" s="29">
        <f>基础状态预估!C198</f>
        <v>240</v>
      </c>
      <c r="Y198" s="46">
        <f>基础状态预估!D198</f>
        <v>97.955584586719908</v>
      </c>
      <c r="Z198" s="5">
        <f t="shared" ca="1" si="48"/>
        <v>15</v>
      </c>
      <c r="AA198" s="5">
        <f t="shared" ca="1" si="49"/>
        <v>135</v>
      </c>
      <c r="AB198" s="5">
        <f t="shared" ca="1" si="50"/>
        <v>90</v>
      </c>
      <c r="AC198" s="5">
        <f t="shared" ca="1" si="51"/>
        <v>30</v>
      </c>
      <c r="AD198" s="5">
        <f t="shared" ca="1" si="52"/>
        <v>195</v>
      </c>
      <c r="AE198" s="5">
        <f t="shared" ca="1" si="53"/>
        <v>21600</v>
      </c>
      <c r="AF198" s="5">
        <f t="shared" ca="1" si="54"/>
        <v>12150</v>
      </c>
      <c r="AG198" s="79">
        <f ca="1">AC198+Z198*活动投放!$D$32</f>
        <v>37.5</v>
      </c>
      <c r="AH198" s="79">
        <f ca="1">Z198*活动投放!$E$32</f>
        <v>7.5</v>
      </c>
      <c r="AI198" s="79">
        <f ca="1">AD198+AA198*活动投放!$F$33</f>
        <v>289.5</v>
      </c>
      <c r="AJ198" s="79">
        <f ca="1">AA198*活动投放!$G$33</f>
        <v>40.5</v>
      </c>
      <c r="AK198" s="79">
        <f ca="1">AB198*活动投放!$H$34</f>
        <v>81</v>
      </c>
      <c r="AL198" s="79">
        <f ca="1">AB198*活动投放!$I$34</f>
        <v>9</v>
      </c>
      <c r="AN198" s="29">
        <f t="shared" si="47"/>
        <v>240</v>
      </c>
      <c r="AO198" s="101">
        <f ca="1">IFERROR(AE198/活动投放!AA198,0)</f>
        <v>0.94323144104803491</v>
      </c>
      <c r="AP198" s="101">
        <f ca="1">IFERROR(AF198/活动投放!AB198,0)</f>
        <v>0.81</v>
      </c>
      <c r="AQ198" s="101">
        <f ca="1">IFERROR(AG198/活动投放!AC198,0)</f>
        <v>1.5625</v>
      </c>
      <c r="AR198" s="101">
        <f ca="1">IFERROR(AH198/活动投放!AD198,0)</f>
        <v>0.3125</v>
      </c>
      <c r="AS198" s="101">
        <f ca="1">IFERROR(AI198/活动投放!AE198,0)</f>
        <v>5.5142857142857142</v>
      </c>
      <c r="AT198" s="101">
        <f ca="1">IFERROR(AJ198/活动投放!AF198,0)</f>
        <v>1.8</v>
      </c>
      <c r="AU198" s="101">
        <f ca="1">IFERROR(AK198/活动投放!AG198,0)</f>
        <v>0.84905660377358483</v>
      </c>
      <c r="AV198" s="101">
        <f ca="1">IFERROR(AL198/活动投放!AH198,0)</f>
        <v>0.84905660377358483</v>
      </c>
    </row>
    <row r="199" spans="24:48" x14ac:dyDescent="0.15">
      <c r="X199" s="29">
        <f>基础状态预估!C199</f>
        <v>270</v>
      </c>
      <c r="Y199" s="46">
        <f>基础状态预估!D199</f>
        <v>99.721869727346999</v>
      </c>
      <c r="Z199" s="5">
        <f t="shared" ca="1" si="48"/>
        <v>15</v>
      </c>
      <c r="AA199" s="5">
        <f t="shared" ca="1" si="49"/>
        <v>147</v>
      </c>
      <c r="AB199" s="5">
        <f t="shared" ca="1" si="50"/>
        <v>108</v>
      </c>
      <c r="AC199" s="5">
        <f t="shared" ca="1" si="51"/>
        <v>30</v>
      </c>
      <c r="AD199" s="5">
        <f t="shared" ca="1" si="52"/>
        <v>225</v>
      </c>
      <c r="AE199" s="5">
        <f t="shared" ca="1" si="53"/>
        <v>25200</v>
      </c>
      <c r="AF199" s="5">
        <f t="shared" ca="1" si="54"/>
        <v>14250</v>
      </c>
      <c r="AG199" s="79">
        <f ca="1">AC199+Z199*活动投放!$D$32</f>
        <v>37.5</v>
      </c>
      <c r="AH199" s="79">
        <f ca="1">Z199*活动投放!$E$32</f>
        <v>7.5</v>
      </c>
      <c r="AI199" s="79">
        <f ca="1">AD199+AA199*活动投放!$F$33</f>
        <v>327.9</v>
      </c>
      <c r="AJ199" s="79">
        <f ca="1">AA199*活动投放!$G$33</f>
        <v>44.1</v>
      </c>
      <c r="AK199" s="79">
        <f ca="1">AB199*活动投放!$H$34</f>
        <v>97.2</v>
      </c>
      <c r="AL199" s="79">
        <f ca="1">AB199*活动投放!$I$34</f>
        <v>10.8</v>
      </c>
      <c r="AN199" s="29">
        <f t="shared" si="47"/>
        <v>270</v>
      </c>
      <c r="AO199" s="101">
        <f ca="1">IFERROR(AE199/活动投放!AA199,0)</f>
        <v>0.93680297397769519</v>
      </c>
      <c r="AP199" s="101">
        <f ca="1">IFERROR(AF199/活动投放!AB199,0)</f>
        <v>0.80965909090909094</v>
      </c>
      <c r="AQ199" s="101">
        <f ca="1">IFERROR(AG199/活动投放!AC199,0)</f>
        <v>1.3888888888888888</v>
      </c>
      <c r="AR199" s="101">
        <f ca="1">IFERROR(AH199/活动投放!AD199,0)</f>
        <v>0.27777777777777779</v>
      </c>
      <c r="AS199" s="101">
        <f ca="1">IFERROR(AI199/活动投放!AE199,0)</f>
        <v>5.5109243697478991</v>
      </c>
      <c r="AT199" s="101">
        <f ca="1">IFERROR(AJ199/活动投放!AF199,0)</f>
        <v>1.7294117647058824</v>
      </c>
      <c r="AU199" s="101">
        <f ca="1">IFERROR(AK199/活动投放!AG199,0)</f>
        <v>0.83076923076923082</v>
      </c>
      <c r="AV199" s="101">
        <f ca="1">IFERROR(AL199/活动投放!AH199,0)</f>
        <v>0.83076923076923082</v>
      </c>
    </row>
    <row r="200" spans="24:48" x14ac:dyDescent="0.15">
      <c r="X200" s="29">
        <f>基础状态预估!C200</f>
        <v>300</v>
      </c>
      <c r="Y200" s="46">
        <f>基础状态预估!D200</f>
        <v>101.32661435104789</v>
      </c>
      <c r="Z200" s="5">
        <f t="shared" ca="1" si="48"/>
        <v>15</v>
      </c>
      <c r="AA200" s="5">
        <f t="shared" ca="1" si="49"/>
        <v>159</v>
      </c>
      <c r="AB200" s="5">
        <f t="shared" ca="1" si="50"/>
        <v>126</v>
      </c>
      <c r="AC200" s="5">
        <f t="shared" ca="1" si="51"/>
        <v>30</v>
      </c>
      <c r="AD200" s="5">
        <f t="shared" ca="1" si="52"/>
        <v>255</v>
      </c>
      <c r="AE200" s="5">
        <f t="shared" ca="1" si="53"/>
        <v>28800</v>
      </c>
      <c r="AF200" s="5">
        <f t="shared" ca="1" si="54"/>
        <v>16350</v>
      </c>
      <c r="AG200" s="79">
        <f ca="1">AC200+Z200*活动投放!$D$32</f>
        <v>37.5</v>
      </c>
      <c r="AH200" s="79">
        <f ca="1">Z200*活动投放!$E$32</f>
        <v>7.5</v>
      </c>
      <c r="AI200" s="79">
        <f ca="1">AD200+AA200*活动投放!$F$33</f>
        <v>366.3</v>
      </c>
      <c r="AJ200" s="79">
        <f ca="1">AA200*活动投放!$G$33</f>
        <v>47.699999999999996</v>
      </c>
      <c r="AK200" s="79">
        <f ca="1">AB200*活动投放!$H$34</f>
        <v>113.4</v>
      </c>
      <c r="AL200" s="79">
        <f ca="1">AB200*活动投放!$I$34</f>
        <v>12.600000000000001</v>
      </c>
      <c r="AN200" s="29">
        <f t="shared" si="47"/>
        <v>300</v>
      </c>
      <c r="AO200" s="101">
        <f ca="1">IFERROR(AE200/活动投放!AA200,0)</f>
        <v>0.92604501607717038</v>
      </c>
      <c r="AP200" s="101">
        <f ca="1">IFERROR(AF200/活动投放!AB200,0)</f>
        <v>0.80147058823529416</v>
      </c>
      <c r="AQ200" s="101">
        <f ca="1">IFERROR(AG200/活动投放!AC200,0)</f>
        <v>1.25</v>
      </c>
      <c r="AR200" s="101">
        <f ca="1">IFERROR(AH200/活动投放!AD200,0)</f>
        <v>0.25</v>
      </c>
      <c r="AS200" s="101">
        <f ca="1">IFERROR(AI200/活动投放!AE200,0)</f>
        <v>5.5082706766917298</v>
      </c>
      <c r="AT200" s="101">
        <f ca="1">IFERROR(AJ200/活动投放!AF200,0)</f>
        <v>1.6736842105263157</v>
      </c>
      <c r="AU200" s="101">
        <f ca="1">IFERROR(AK200/活动投放!AG200,0)</f>
        <v>0.80769230769230771</v>
      </c>
      <c r="AV200" s="101">
        <f ca="1">IFERROR(AL200/活动投放!AH200,0)</f>
        <v>0.80769230769230771</v>
      </c>
    </row>
    <row r="201" spans="24:48" x14ac:dyDescent="0.15">
      <c r="X201" s="29">
        <f>基础状态预估!C201</f>
        <v>360</v>
      </c>
      <c r="Y201" s="46">
        <f>基础状态预估!D201</f>
        <v>103.97984772466795</v>
      </c>
      <c r="Z201" s="5">
        <f t="shared" ca="1" si="48"/>
        <v>15</v>
      </c>
      <c r="AA201" s="5">
        <f t="shared" ca="1" si="49"/>
        <v>183</v>
      </c>
      <c r="AB201" s="5">
        <f t="shared" ca="1" si="50"/>
        <v>162</v>
      </c>
      <c r="AC201" s="5">
        <f t="shared" ca="1" si="51"/>
        <v>30</v>
      </c>
      <c r="AD201" s="5">
        <f t="shared" ca="1" si="52"/>
        <v>315</v>
      </c>
      <c r="AE201" s="5">
        <f t="shared" ca="1" si="53"/>
        <v>36000</v>
      </c>
      <c r="AF201" s="5">
        <f t="shared" ca="1" si="54"/>
        <v>20550</v>
      </c>
      <c r="AG201" s="79">
        <f ca="1">AC201+Z201*活动投放!$D$32</f>
        <v>37.5</v>
      </c>
      <c r="AH201" s="79">
        <f ca="1">Z201*活动投放!$E$32</f>
        <v>7.5</v>
      </c>
      <c r="AI201" s="79">
        <f ca="1">AD201+AA201*活动投放!$F$33</f>
        <v>443.1</v>
      </c>
      <c r="AJ201" s="79">
        <f ca="1">AA201*活动投放!$G$33</f>
        <v>54.9</v>
      </c>
      <c r="AK201" s="79">
        <f ca="1">AB201*活动投放!$H$34</f>
        <v>145.80000000000001</v>
      </c>
      <c r="AL201" s="79">
        <f ca="1">AB201*活动投放!$I$34</f>
        <v>16.2</v>
      </c>
      <c r="AN201" s="29">
        <f t="shared" si="47"/>
        <v>360</v>
      </c>
      <c r="AO201" s="101">
        <f ca="1">IFERROR(AE201/活动投放!AA201,0)</f>
        <v>0.91139240506329111</v>
      </c>
      <c r="AP201" s="101">
        <f ca="1">IFERROR(AF201/活动投放!AB201,0)</f>
        <v>0.79038461538461535</v>
      </c>
      <c r="AQ201" s="101">
        <f ca="1">IFERROR(AG201/活动投放!AC201,0)</f>
        <v>1.0416666666666667</v>
      </c>
      <c r="AR201" s="101">
        <f ca="1">IFERROR(AH201/活动投放!AD201,0)</f>
        <v>0.20833333333333334</v>
      </c>
      <c r="AS201" s="101">
        <f ca="1">IFERROR(AI201/活动投放!AE201,0)</f>
        <v>5.5043478260869572</v>
      </c>
      <c r="AT201" s="101">
        <f ca="1">IFERROR(AJ201/活动投放!AF201,0)</f>
        <v>1.5913043478260869</v>
      </c>
      <c r="AU201" s="101">
        <f ca="1">IFERROR(AK201/活动投放!AG201,0)</f>
        <v>0.77884615384615385</v>
      </c>
      <c r="AV201" s="101">
        <f ca="1">IFERROR(AL201/活动投放!AH201,0)</f>
        <v>0.77884615384615374</v>
      </c>
    </row>
    <row r="202" spans="24:48" x14ac:dyDescent="0.15">
      <c r="X202" s="29">
        <f>基础状态预估!C202</f>
        <v>420</v>
      </c>
      <c r="Y202" s="46">
        <f>基础状态预估!D202</f>
        <v>106.26808301554426</v>
      </c>
      <c r="Z202" s="5">
        <f t="shared" ca="1" si="48"/>
        <v>15</v>
      </c>
      <c r="AA202" s="5">
        <f t="shared" ca="1" si="49"/>
        <v>207</v>
      </c>
      <c r="AB202" s="5">
        <f t="shared" ca="1" si="50"/>
        <v>198</v>
      </c>
      <c r="AC202" s="5">
        <f t="shared" ca="1" si="51"/>
        <v>30</v>
      </c>
      <c r="AD202" s="5">
        <f t="shared" ca="1" si="52"/>
        <v>375</v>
      </c>
      <c r="AE202" s="5">
        <f t="shared" ca="1" si="53"/>
        <v>43200</v>
      </c>
      <c r="AF202" s="5">
        <f t="shared" ca="1" si="54"/>
        <v>24750</v>
      </c>
      <c r="AG202" s="79">
        <f ca="1">AC202+Z202*活动投放!$D$32</f>
        <v>37.5</v>
      </c>
      <c r="AH202" s="79">
        <f ca="1">Z202*活动投放!$E$32</f>
        <v>7.5</v>
      </c>
      <c r="AI202" s="79">
        <f ca="1">AD202+AA202*活动投放!$F$33</f>
        <v>519.9</v>
      </c>
      <c r="AJ202" s="79">
        <f ca="1">AA202*活动投放!$G$33</f>
        <v>62.099999999999994</v>
      </c>
      <c r="AK202" s="79">
        <f ca="1">AB202*活动投放!$H$34</f>
        <v>178.20000000000002</v>
      </c>
      <c r="AL202" s="79">
        <f ca="1">AB202*活动投放!$I$34</f>
        <v>19.8</v>
      </c>
      <c r="AN202" s="29">
        <f t="shared" si="47"/>
        <v>420</v>
      </c>
      <c r="AO202" s="101">
        <f ca="1">IFERROR(AE202/活动投放!AA202,0)</f>
        <v>0.90187891440501045</v>
      </c>
      <c r="AP202" s="101">
        <f ca="1">IFERROR(AF202/活动投放!AB202,0)</f>
        <v>0.78322784810126578</v>
      </c>
      <c r="AQ202" s="101">
        <f ca="1">IFERROR(AG202/活动投放!AC202,0)</f>
        <v>0.8928571428571429</v>
      </c>
      <c r="AR202" s="101">
        <f ca="1">IFERROR(AH202/活动投放!AD202,0)</f>
        <v>0.17857142857142858</v>
      </c>
      <c r="AS202" s="101">
        <f ca="1">IFERROR(AI202/活动投放!AE202,0)</f>
        <v>5.5015873015873016</v>
      </c>
      <c r="AT202" s="101">
        <f ca="1">IFERROR(AJ202/活动投放!AF202,0)</f>
        <v>1.5333333333333332</v>
      </c>
      <c r="AU202" s="101">
        <f ca="1">IFERROR(AK202/活动投放!AG202,0)</f>
        <v>0.76153846153846161</v>
      </c>
      <c r="AV202" s="101">
        <f ca="1">IFERROR(AL202/活动投放!AH202,0)</f>
        <v>0.76153846153846161</v>
      </c>
    </row>
    <row r="203" spans="24:48" x14ac:dyDescent="0.15">
      <c r="X203" s="29">
        <f>基础状态预估!C203</f>
        <v>480</v>
      </c>
      <c r="Y203" s="46">
        <f>基础状态预估!D203</f>
        <v>108.26512634376826</v>
      </c>
      <c r="Z203" s="5">
        <f t="shared" ca="1" si="48"/>
        <v>15</v>
      </c>
      <c r="AA203" s="5">
        <f t="shared" ca="1" si="49"/>
        <v>231</v>
      </c>
      <c r="AB203" s="5">
        <f t="shared" ca="1" si="50"/>
        <v>234</v>
      </c>
      <c r="AC203" s="5">
        <f t="shared" ca="1" si="51"/>
        <v>30</v>
      </c>
      <c r="AD203" s="5">
        <f t="shared" ca="1" si="52"/>
        <v>435</v>
      </c>
      <c r="AE203" s="5">
        <f t="shared" ca="1" si="53"/>
        <v>50400</v>
      </c>
      <c r="AF203" s="5">
        <f t="shared" ca="1" si="54"/>
        <v>28950</v>
      </c>
      <c r="AG203" s="79">
        <f ca="1">AC203+Z203*活动投放!$D$32</f>
        <v>37.5</v>
      </c>
      <c r="AH203" s="79">
        <f ca="1">Z203*活动投放!$E$32</f>
        <v>7.5</v>
      </c>
      <c r="AI203" s="79">
        <f ca="1">AD203+AA203*活动投放!$F$33</f>
        <v>596.70000000000005</v>
      </c>
      <c r="AJ203" s="79">
        <f ca="1">AA203*活动投放!$G$33</f>
        <v>69.3</v>
      </c>
      <c r="AK203" s="79">
        <f ca="1">AB203*活动投放!$H$34</f>
        <v>210.6</v>
      </c>
      <c r="AL203" s="79">
        <f ca="1">AB203*活动投放!$I$34</f>
        <v>23.400000000000002</v>
      </c>
      <c r="AN203" s="29">
        <f t="shared" si="47"/>
        <v>480</v>
      </c>
      <c r="AO203" s="101">
        <f ca="1">IFERROR(AE203/活动投放!AA203,0)</f>
        <v>0.89520426287744226</v>
      </c>
      <c r="AP203" s="101">
        <f ca="1">IFERROR(AF203/活动投放!AB203,0)</f>
        <v>0.77822580645161288</v>
      </c>
      <c r="AQ203" s="101">
        <f ca="1">IFERROR(AG203/活动投放!AC203,0)</f>
        <v>0.78125</v>
      </c>
      <c r="AR203" s="101">
        <f ca="1">IFERROR(AH203/活动投放!AD203,0)</f>
        <v>0.15625</v>
      </c>
      <c r="AS203" s="101">
        <f ca="1">IFERROR(AI203/活动投放!AE203,0)</f>
        <v>5.499539170506913</v>
      </c>
      <c r="AT203" s="101">
        <f ca="1">IFERROR(AJ203/活动投放!AF203,0)</f>
        <v>1.4903225806451612</v>
      </c>
      <c r="AU203" s="101">
        <f ca="1">IFERROR(AK203/活动投放!AG203,0)</f>
        <v>0.75</v>
      </c>
      <c r="AV203" s="101">
        <f ca="1">IFERROR(AL203/活动投放!AH203,0)</f>
        <v>0.75</v>
      </c>
    </row>
    <row r="204" spans="24:48" x14ac:dyDescent="0.15">
      <c r="X204" s="29">
        <f>基础状态预估!C204</f>
        <v>540</v>
      </c>
      <c r="Y204" s="46">
        <f>基础状态预估!D204</f>
        <v>109.94539652344133</v>
      </c>
      <c r="Z204" s="5">
        <f t="shared" ca="1" si="48"/>
        <v>15</v>
      </c>
      <c r="AA204" s="5">
        <f t="shared" ca="1" si="49"/>
        <v>255</v>
      </c>
      <c r="AB204" s="5">
        <f t="shared" ca="1" si="50"/>
        <v>270</v>
      </c>
      <c r="AC204" s="5">
        <f t="shared" ca="1" si="51"/>
        <v>30</v>
      </c>
      <c r="AD204" s="5">
        <f t="shared" ca="1" si="52"/>
        <v>495</v>
      </c>
      <c r="AE204" s="5">
        <f t="shared" ca="1" si="53"/>
        <v>57600</v>
      </c>
      <c r="AF204" s="5">
        <f t="shared" ca="1" si="54"/>
        <v>33150</v>
      </c>
      <c r="AG204" s="79">
        <f ca="1">AC204+Z204*活动投放!$D$32</f>
        <v>37.5</v>
      </c>
      <c r="AH204" s="79">
        <f ca="1">Z204*活动投放!$E$32</f>
        <v>7.5</v>
      </c>
      <c r="AI204" s="79">
        <f ca="1">AD204+AA204*活动投放!$F$33</f>
        <v>673.5</v>
      </c>
      <c r="AJ204" s="79">
        <f ca="1">AA204*活动投放!$G$33</f>
        <v>76.5</v>
      </c>
      <c r="AK204" s="79">
        <f ca="1">AB204*活动投放!$H$34</f>
        <v>243</v>
      </c>
      <c r="AL204" s="79">
        <f ca="1">AB204*活动投放!$I$34</f>
        <v>27</v>
      </c>
      <c r="AN204" s="29">
        <f t="shared" si="47"/>
        <v>540</v>
      </c>
      <c r="AO204" s="101">
        <f ca="1">IFERROR(AE204/活动投放!AA204,0)</f>
        <v>0.89026275115919629</v>
      </c>
      <c r="AP204" s="101">
        <f ca="1">IFERROR(AF204/活动投放!AB204,0)</f>
        <v>0.77453271028037385</v>
      </c>
      <c r="AQ204" s="101">
        <f ca="1">IFERROR(AG204/活动投放!AC204,0)</f>
        <v>0.69444444444444442</v>
      </c>
      <c r="AR204" s="101">
        <f ca="1">IFERROR(AH204/活动投放!AD204,0)</f>
        <v>0.1388888888888889</v>
      </c>
      <c r="AS204" s="101">
        <f ca="1">IFERROR(AI204/活动投放!AE204,0)</f>
        <v>5.49795918367347</v>
      </c>
      <c r="AT204" s="101">
        <f ca="1">IFERROR(AJ204/活动投放!AF204,0)</f>
        <v>1.4571428571428571</v>
      </c>
      <c r="AU204" s="101">
        <f ca="1">IFERROR(AK204/活动投放!AG204,0)</f>
        <v>0.74175824175824168</v>
      </c>
      <c r="AV204" s="101">
        <f ca="1">IFERROR(AL204/活动投放!AH204,0)</f>
        <v>0.74175824175824179</v>
      </c>
    </row>
    <row r="205" spans="24:48" x14ac:dyDescent="0.15">
      <c r="X205" s="29">
        <f>基础状态预估!C205</f>
        <v>600</v>
      </c>
      <c r="Y205" s="46">
        <f>基础状态预估!D205</f>
        <v>111.42099139883071</v>
      </c>
      <c r="Z205" s="5">
        <f t="shared" ca="1" si="48"/>
        <v>15</v>
      </c>
      <c r="AA205" s="5">
        <f t="shared" ca="1" si="49"/>
        <v>279</v>
      </c>
      <c r="AB205" s="5">
        <f t="shared" ca="1" si="50"/>
        <v>306</v>
      </c>
      <c r="AC205" s="5">
        <f t="shared" ca="1" si="51"/>
        <v>30</v>
      </c>
      <c r="AD205" s="5">
        <f t="shared" ca="1" si="52"/>
        <v>555</v>
      </c>
      <c r="AE205" s="5">
        <f t="shared" ca="1" si="53"/>
        <v>64800</v>
      </c>
      <c r="AF205" s="5">
        <f t="shared" ca="1" si="54"/>
        <v>37350</v>
      </c>
      <c r="AG205" s="79">
        <f ca="1">AC205+Z205*活动投放!$D$32</f>
        <v>37.5</v>
      </c>
      <c r="AH205" s="79">
        <f ca="1">Z205*活动投放!$E$32</f>
        <v>7.5</v>
      </c>
      <c r="AI205" s="79">
        <f ca="1">AD205+AA205*活动投放!$F$33</f>
        <v>750.3</v>
      </c>
      <c r="AJ205" s="79">
        <f ca="1">AA205*活动投放!$G$33</f>
        <v>83.7</v>
      </c>
      <c r="AK205" s="79">
        <f ca="1">AB205*活动投放!$H$34</f>
        <v>275.40000000000003</v>
      </c>
      <c r="AL205" s="79">
        <f ca="1">AB205*活动投放!$I$34</f>
        <v>30.6</v>
      </c>
      <c r="AN205" s="29">
        <f t="shared" si="47"/>
        <v>600</v>
      </c>
      <c r="AO205" s="101">
        <f ca="1">IFERROR(AE205/活动投放!AA205,0)</f>
        <v>0.88645690834473323</v>
      </c>
      <c r="AP205" s="101">
        <f ca="1">IFERROR(AF205/活动投放!AB205,0)</f>
        <v>0.77169421487603307</v>
      </c>
      <c r="AQ205" s="101">
        <f ca="1">IFERROR(AG205/活动投放!AC205,0)</f>
        <v>0.625</v>
      </c>
      <c r="AR205" s="101">
        <f ca="1">IFERROR(AH205/活动投放!AD205,0)</f>
        <v>0.125</v>
      </c>
      <c r="AS205" s="101">
        <f ca="1">IFERROR(AI205/活动投放!AE205,0)</f>
        <v>5.4967032967032967</v>
      </c>
      <c r="AT205" s="101">
        <f ca="1">IFERROR(AJ205/活动投放!AF205,0)</f>
        <v>1.4307692307692308</v>
      </c>
      <c r="AU205" s="101">
        <f ca="1">IFERROR(AK205/活动投放!AG205,0)</f>
        <v>0.73557692307692313</v>
      </c>
      <c r="AV205" s="101">
        <f ca="1">IFERROR(AL205/活动投放!AH205,0)</f>
        <v>0.73557692307692313</v>
      </c>
    </row>
    <row r="206" spans="24:48" x14ac:dyDescent="0.15">
      <c r="X206" s="29">
        <f>基础状态预估!C206</f>
        <v>660</v>
      </c>
      <c r="Y206" s="46">
        <f>基础状态预估!D206</f>
        <v>112.86737811324367</v>
      </c>
      <c r="Z206" s="5">
        <f t="shared" ca="1" si="48"/>
        <v>15</v>
      </c>
      <c r="AA206" s="5">
        <f t="shared" ca="1" si="49"/>
        <v>303</v>
      </c>
      <c r="AB206" s="5">
        <f t="shared" ca="1" si="50"/>
        <v>342</v>
      </c>
      <c r="AC206" s="5">
        <f t="shared" ca="1" si="51"/>
        <v>30</v>
      </c>
      <c r="AD206" s="5">
        <f t="shared" ca="1" si="52"/>
        <v>615</v>
      </c>
      <c r="AE206" s="5">
        <f t="shared" ca="1" si="53"/>
        <v>72000</v>
      </c>
      <c r="AF206" s="5">
        <f t="shared" ca="1" si="54"/>
        <v>41550</v>
      </c>
      <c r="AG206" s="79">
        <f ca="1">AC206+Z206*活动投放!$D$32</f>
        <v>37.5</v>
      </c>
      <c r="AH206" s="79">
        <f ca="1">Z206*活动投放!$E$32</f>
        <v>7.5</v>
      </c>
      <c r="AI206" s="79">
        <f ca="1">AD206+AA206*活动投放!$F$33</f>
        <v>827.1</v>
      </c>
      <c r="AJ206" s="79">
        <f ca="1">AA206*活动投放!$G$33</f>
        <v>90.899999999999991</v>
      </c>
      <c r="AK206" s="79">
        <f ca="1">AB206*活动投放!$H$34</f>
        <v>307.8</v>
      </c>
      <c r="AL206" s="79">
        <f ca="1">AB206*活动投放!$I$34</f>
        <v>34.200000000000003</v>
      </c>
      <c r="AN206" s="29">
        <f t="shared" si="47"/>
        <v>660</v>
      </c>
      <c r="AO206" s="101">
        <f ca="1">IFERROR(AE206/活动投放!AA206,0)</f>
        <v>0.8834355828220859</v>
      </c>
      <c r="AP206" s="101">
        <f ca="1">IFERROR(AF206/活动投放!AB206,0)</f>
        <v>0.76944444444444449</v>
      </c>
      <c r="AQ206" s="101">
        <f ca="1">IFERROR(AG206/活动投放!AC206,0)</f>
        <v>0.56818181818181823</v>
      </c>
      <c r="AR206" s="101">
        <f ca="1">IFERROR(AH206/活动投放!AD206,0)</f>
        <v>0.11363636363636363</v>
      </c>
      <c r="AS206" s="101">
        <f ca="1">IFERROR(AI206/活动投放!AE206,0)</f>
        <v>5.495681063122924</v>
      </c>
      <c r="AT206" s="101">
        <f ca="1">IFERROR(AJ206/活动投放!AF206,0)</f>
        <v>1.4093023255813952</v>
      </c>
      <c r="AU206" s="101">
        <f ca="1">IFERROR(AK206/活动投放!AG206,0)</f>
        <v>0.73076923076923084</v>
      </c>
      <c r="AV206" s="101">
        <f ca="1">IFERROR(AL206/活动投放!AH206,0)</f>
        <v>0.73076923076923073</v>
      </c>
    </row>
    <row r="207" spans="24:48" x14ac:dyDescent="0.15">
      <c r="X207" s="29">
        <f>基础状态预估!C207</f>
        <v>720</v>
      </c>
      <c r="Y207" s="46">
        <f>基础状态预估!D207</f>
        <v>114.18811572794328</v>
      </c>
      <c r="Z207" s="5">
        <f t="shared" ca="1" si="48"/>
        <v>15</v>
      </c>
      <c r="AA207" s="5">
        <f t="shared" ca="1" si="49"/>
        <v>327</v>
      </c>
      <c r="AB207" s="5">
        <f t="shared" ca="1" si="50"/>
        <v>378</v>
      </c>
      <c r="AC207" s="5">
        <f t="shared" ca="1" si="51"/>
        <v>30</v>
      </c>
      <c r="AD207" s="5">
        <f t="shared" ca="1" si="52"/>
        <v>675</v>
      </c>
      <c r="AE207" s="5">
        <f t="shared" ca="1" si="53"/>
        <v>79200</v>
      </c>
      <c r="AF207" s="5">
        <f t="shared" ca="1" si="54"/>
        <v>45750</v>
      </c>
      <c r="AG207" s="79">
        <f ca="1">AC207+Z207*活动投放!$D$32</f>
        <v>37.5</v>
      </c>
      <c r="AH207" s="79">
        <f ca="1">Z207*活动投放!$E$32</f>
        <v>7.5</v>
      </c>
      <c r="AI207" s="79">
        <f ca="1">AD207+AA207*活动投放!$F$33</f>
        <v>903.9</v>
      </c>
      <c r="AJ207" s="79">
        <f ca="1">AA207*活动投放!$G$33</f>
        <v>98.1</v>
      </c>
      <c r="AK207" s="79">
        <f ca="1">AB207*活动投放!$H$34</f>
        <v>340.2</v>
      </c>
      <c r="AL207" s="79">
        <f ca="1">AB207*活动投放!$I$34</f>
        <v>37.800000000000004</v>
      </c>
      <c r="AN207" s="29">
        <f t="shared" si="47"/>
        <v>720</v>
      </c>
      <c r="AO207" s="101">
        <f ca="1">IFERROR(AE207/活动投放!AA207,0)</f>
        <v>0.88097886540600667</v>
      </c>
      <c r="AP207" s="101">
        <f ca="1">IFERROR(AF207/活动投放!AB207,0)</f>
        <v>0.76761744966442957</v>
      </c>
      <c r="AQ207" s="101">
        <f ca="1">IFERROR(AG207/活动投放!AC207,0)</f>
        <v>0.52083333333333337</v>
      </c>
      <c r="AR207" s="101">
        <f ca="1">IFERROR(AH207/活动投放!AD207,0)</f>
        <v>0.10416666666666667</v>
      </c>
      <c r="AS207" s="101">
        <f ca="1">IFERROR(AI207/活动投放!AE207,0)</f>
        <v>5.4948328267477207</v>
      </c>
      <c r="AT207" s="101">
        <f ca="1">IFERROR(AJ207/活动投放!AF207,0)</f>
        <v>1.3914893617021276</v>
      </c>
      <c r="AU207" s="101">
        <f ca="1">IFERROR(AK207/活动投放!AG207,0)</f>
        <v>0.72692307692307689</v>
      </c>
      <c r="AV207" s="101">
        <f ca="1">IFERROR(AL207/活动投放!AH207,0)</f>
        <v>0.72692307692307701</v>
      </c>
    </row>
    <row r="208" spans="24:48" x14ac:dyDescent="0.15">
      <c r="X208" s="29">
        <f>基础状态预估!C208</f>
        <v>780</v>
      </c>
      <c r="Y208" s="46">
        <f>基础状态预估!D208</f>
        <v>115.38798688586955</v>
      </c>
      <c r="Z208" s="5">
        <f t="shared" ca="1" si="48"/>
        <v>15</v>
      </c>
      <c r="AA208" s="5">
        <f t="shared" ca="1" si="49"/>
        <v>351</v>
      </c>
      <c r="AB208" s="5">
        <f t="shared" ca="1" si="50"/>
        <v>414</v>
      </c>
      <c r="AC208" s="5">
        <f t="shared" ca="1" si="51"/>
        <v>30</v>
      </c>
      <c r="AD208" s="5">
        <f t="shared" ca="1" si="52"/>
        <v>735</v>
      </c>
      <c r="AE208" s="5">
        <f t="shared" ca="1" si="53"/>
        <v>86400</v>
      </c>
      <c r="AF208" s="5">
        <f t="shared" ca="1" si="54"/>
        <v>49950</v>
      </c>
      <c r="AG208" s="79">
        <f ca="1">AC208+Z208*活动投放!$D$32</f>
        <v>37.5</v>
      </c>
      <c r="AH208" s="79">
        <f ca="1">Z208*活动投放!$E$32</f>
        <v>7.5</v>
      </c>
      <c r="AI208" s="79">
        <f ca="1">AD208+AA208*活动投放!$F$33</f>
        <v>980.7</v>
      </c>
      <c r="AJ208" s="79">
        <f ca="1">AA208*活动投放!$G$33</f>
        <v>105.3</v>
      </c>
      <c r="AK208" s="79">
        <f ca="1">AB208*活动投放!$H$34</f>
        <v>372.6</v>
      </c>
      <c r="AL208" s="79">
        <f ca="1">AB208*活动投放!$I$34</f>
        <v>41.400000000000006</v>
      </c>
      <c r="AN208" s="29">
        <f t="shared" si="47"/>
        <v>780</v>
      </c>
      <c r="AO208" s="101">
        <f ca="1">IFERROR(AE208/活动投放!AA208,0)</f>
        <v>0.87894201424211593</v>
      </c>
      <c r="AP208" s="101">
        <f ca="1">IFERROR(AF208/活动投放!AB208,0)</f>
        <v>0.76610429447852757</v>
      </c>
      <c r="AQ208" s="101">
        <f ca="1">IFERROR(AG208/活动投放!AC208,0)</f>
        <v>0.48076923076923078</v>
      </c>
      <c r="AR208" s="101">
        <f ca="1">IFERROR(AH208/活动投放!AD208,0)</f>
        <v>9.6153846153846159E-2</v>
      </c>
      <c r="AS208" s="101">
        <f ca="1">IFERROR(AI208/活动投放!AE208,0)</f>
        <v>5.4941176470588236</v>
      </c>
      <c r="AT208" s="101">
        <f ca="1">IFERROR(AJ208/活动投放!AF208,0)</f>
        <v>1.3764705882352941</v>
      </c>
      <c r="AU208" s="101">
        <f ca="1">IFERROR(AK208/活动投放!AG208,0)</f>
        <v>0.72377622377622375</v>
      </c>
      <c r="AV208" s="101">
        <f ca="1">IFERROR(AL208/活动投放!AH208,0)</f>
        <v>0.72377622377622386</v>
      </c>
    </row>
    <row r="209" spans="24:48" x14ac:dyDescent="0.15">
      <c r="X209" s="29">
        <f>基础状态预估!C209</f>
        <v>840</v>
      </c>
      <c r="Y209" s="46">
        <f>基础状态预估!D209</f>
        <v>116.44628179968991</v>
      </c>
      <c r="Z209" s="5">
        <f t="shared" ca="1" si="48"/>
        <v>15</v>
      </c>
      <c r="AA209" s="5">
        <f t="shared" ca="1" si="49"/>
        <v>375</v>
      </c>
      <c r="AB209" s="5">
        <f t="shared" ca="1" si="50"/>
        <v>450</v>
      </c>
      <c r="AC209" s="5">
        <f t="shared" ca="1" si="51"/>
        <v>30</v>
      </c>
      <c r="AD209" s="5">
        <f t="shared" ca="1" si="52"/>
        <v>795</v>
      </c>
      <c r="AE209" s="5">
        <f t="shared" ca="1" si="53"/>
        <v>93600</v>
      </c>
      <c r="AF209" s="5">
        <f t="shared" ca="1" si="54"/>
        <v>54150</v>
      </c>
      <c r="AG209" s="79">
        <f ca="1">AC209+Z209*活动投放!$D$32</f>
        <v>37.5</v>
      </c>
      <c r="AH209" s="79">
        <f ca="1">Z209*活动投放!$E$32</f>
        <v>7.5</v>
      </c>
      <c r="AI209" s="79">
        <f ca="1">AD209+AA209*活动投放!$F$33</f>
        <v>1057.5</v>
      </c>
      <c r="AJ209" s="79">
        <f ca="1">AA209*活动投放!$G$33</f>
        <v>112.5</v>
      </c>
      <c r="AK209" s="79">
        <f ca="1">AB209*活动投放!$H$34</f>
        <v>405</v>
      </c>
      <c r="AL209" s="79">
        <f ca="1">AB209*活动投放!$I$34</f>
        <v>45</v>
      </c>
      <c r="AN209" s="29">
        <f t="shared" si="47"/>
        <v>840</v>
      </c>
      <c r="AO209" s="101">
        <f ca="1">IFERROR(AE209/活动投放!AA209,0)</f>
        <v>0.87722586691658855</v>
      </c>
      <c r="AP209" s="101">
        <f ca="1">IFERROR(AF209/活动投放!AB209,0)</f>
        <v>0.76483050847457623</v>
      </c>
      <c r="AQ209" s="101">
        <f ca="1">IFERROR(AG209/活动投放!AC209,0)</f>
        <v>0.44642857142857145</v>
      </c>
      <c r="AR209" s="101">
        <f ca="1">IFERROR(AH209/活动投放!AD209,0)</f>
        <v>8.9285714285714288E-2</v>
      </c>
      <c r="AS209" s="101">
        <f ca="1">IFERROR(AI209/活动投放!AE209,0)</f>
        <v>5.4935064935064934</v>
      </c>
      <c r="AT209" s="101">
        <f ca="1">IFERROR(AJ209/活动投放!AF209,0)</f>
        <v>1.3636363636363635</v>
      </c>
      <c r="AU209" s="101">
        <f ca="1">IFERROR(AK209/活动投放!AG209,0)</f>
        <v>0.72115384615384615</v>
      </c>
      <c r="AV209" s="101">
        <f ca="1">IFERROR(AL209/活动投放!AH209,0)</f>
        <v>0.72115384615384603</v>
      </c>
    </row>
    <row r="210" spans="24:48" x14ac:dyDescent="0.15">
      <c r="X210" s="29">
        <f>基础状态预估!C210</f>
        <v>900</v>
      </c>
      <c r="Y210" s="46">
        <f>基础状态预估!D210</f>
        <v>117.4271778717454</v>
      </c>
      <c r="Z210" s="5">
        <f t="shared" ca="1" si="48"/>
        <v>15</v>
      </c>
      <c r="AA210" s="5">
        <f t="shared" ca="1" si="49"/>
        <v>399</v>
      </c>
      <c r="AB210" s="5">
        <f t="shared" ca="1" si="50"/>
        <v>486</v>
      </c>
      <c r="AC210" s="5">
        <f t="shared" ca="1" si="51"/>
        <v>30</v>
      </c>
      <c r="AD210" s="5">
        <f t="shared" ca="1" si="52"/>
        <v>855</v>
      </c>
      <c r="AE210" s="5">
        <f t="shared" ca="1" si="53"/>
        <v>100800</v>
      </c>
      <c r="AF210" s="5">
        <f t="shared" ca="1" si="54"/>
        <v>58350</v>
      </c>
      <c r="AG210" s="79">
        <f ca="1">AC210+Z210*活动投放!$D$32</f>
        <v>37.5</v>
      </c>
      <c r="AH210" s="79">
        <f ca="1">Z210*活动投放!$E$32</f>
        <v>7.5</v>
      </c>
      <c r="AI210" s="79">
        <f ca="1">AD210+AA210*活动投放!$F$33</f>
        <v>1134.3</v>
      </c>
      <c r="AJ210" s="79">
        <f ca="1">AA210*活动投放!$G$33</f>
        <v>119.69999999999999</v>
      </c>
      <c r="AK210" s="79">
        <f ca="1">AB210*活动投放!$H$34</f>
        <v>437.40000000000003</v>
      </c>
      <c r="AL210" s="79">
        <f ca="1">AB210*活动投放!$I$34</f>
        <v>48.6</v>
      </c>
      <c r="AN210" s="29">
        <f t="shared" si="47"/>
        <v>900</v>
      </c>
      <c r="AO210" s="101">
        <f ca="1">IFERROR(AE210/活动投放!AA210,0)</f>
        <v>0.87576020851433534</v>
      </c>
      <c r="AP210" s="101">
        <f ca="1">IFERROR(AF210/活动投放!AB210,0)</f>
        <v>0.76374345549738221</v>
      </c>
      <c r="AQ210" s="101">
        <f ca="1">IFERROR(AG210/活动投放!AC210,0)</f>
        <v>0.41666666666666669</v>
      </c>
      <c r="AR210" s="101">
        <f ca="1">IFERROR(AH210/活动投放!AD210,0)</f>
        <v>8.3333333333333329E-2</v>
      </c>
      <c r="AS210" s="101">
        <f ca="1">IFERROR(AI210/活动投放!AE210,0)</f>
        <v>5.4929782082324454</v>
      </c>
      <c r="AT210" s="101">
        <f ca="1">IFERROR(AJ210/活动投放!AF210,0)</f>
        <v>1.3525423728813557</v>
      </c>
      <c r="AU210" s="101">
        <f ca="1">IFERROR(AK210/活动投放!AG210,0)</f>
        <v>0.71893491124260367</v>
      </c>
      <c r="AV210" s="101">
        <f ca="1">IFERROR(AL210/活动投放!AH210,0)</f>
        <v>0.71893491124260345</v>
      </c>
    </row>
    <row r="211" spans="24:48" x14ac:dyDescent="0.15">
      <c r="X211" s="29">
        <f>基础状态预估!C211</f>
        <v>1020</v>
      </c>
      <c r="Y211" s="46">
        <f>基础状态预估!D211</f>
        <v>119.29151076707612</v>
      </c>
      <c r="Z211" s="5">
        <f t="shared" ca="1" si="48"/>
        <v>15</v>
      </c>
      <c r="AA211" s="5">
        <f t="shared" ca="1" si="49"/>
        <v>447</v>
      </c>
      <c r="AB211" s="5">
        <f t="shared" ca="1" si="50"/>
        <v>558</v>
      </c>
      <c r="AC211" s="5">
        <f t="shared" ca="1" si="51"/>
        <v>30</v>
      </c>
      <c r="AD211" s="5">
        <f t="shared" ca="1" si="52"/>
        <v>975</v>
      </c>
      <c r="AE211" s="5">
        <f t="shared" ca="1" si="53"/>
        <v>115200</v>
      </c>
      <c r="AF211" s="5">
        <f t="shared" ca="1" si="54"/>
        <v>66750</v>
      </c>
      <c r="AG211" s="79">
        <f ca="1">AC211+Z211*活动投放!$D$32</f>
        <v>37.5</v>
      </c>
      <c r="AH211" s="79">
        <f ca="1">Z211*活动投放!$E$32</f>
        <v>7.5</v>
      </c>
      <c r="AI211" s="79">
        <f ca="1">AD211+AA211*活动投放!$F$33</f>
        <v>1287.9000000000001</v>
      </c>
      <c r="AJ211" s="79">
        <f ca="1">AA211*活动投放!$G$33</f>
        <v>134.1</v>
      </c>
      <c r="AK211" s="79">
        <f ca="1">AB211*活动投放!$H$34</f>
        <v>502.2</v>
      </c>
      <c r="AL211" s="79">
        <f ca="1">AB211*活动投放!$I$34</f>
        <v>55.800000000000004</v>
      </c>
      <c r="AN211" s="29">
        <f t="shared" si="47"/>
        <v>1020</v>
      </c>
      <c r="AO211" s="101">
        <f ca="1">IFERROR(AE211/活动投放!AA211,0)</f>
        <v>0.8733889310083397</v>
      </c>
      <c r="AP211" s="101">
        <f ca="1">IFERROR(AF211/活动投放!AB211,0)</f>
        <v>0.76198630136986301</v>
      </c>
      <c r="AQ211" s="101">
        <f ca="1">IFERROR(AG211/活动投放!AC211,0)</f>
        <v>0.36764705882352944</v>
      </c>
      <c r="AR211" s="101">
        <f ca="1">IFERROR(AH211/活动投放!AD211,0)</f>
        <v>7.3529411764705885E-2</v>
      </c>
      <c r="AS211" s="101">
        <f ca="1">IFERROR(AI211/活动投放!AE211,0)</f>
        <v>5.4921108742004279</v>
      </c>
      <c r="AT211" s="101">
        <f ca="1">IFERROR(AJ211/活动投放!AF211,0)</f>
        <v>1.3343283582089551</v>
      </c>
      <c r="AU211" s="101">
        <f ca="1">IFERROR(AK211/活动投放!AG211,0)</f>
        <v>0.7153846153846154</v>
      </c>
      <c r="AV211" s="101">
        <f ca="1">IFERROR(AL211/活动投放!AH211,0)</f>
        <v>0.7153846153846154</v>
      </c>
    </row>
    <row r="212" spans="24:48" x14ac:dyDescent="0.15">
      <c r="X212" s="29">
        <f>基础状态预估!C212</f>
        <v>1140</v>
      </c>
      <c r="Y212" s="46">
        <f>基础状态预估!D212</f>
        <v>120.95580403349236</v>
      </c>
      <c r="Z212" s="5">
        <f t="shared" ca="1" si="48"/>
        <v>15</v>
      </c>
      <c r="AA212" s="5">
        <f t="shared" ca="1" si="49"/>
        <v>495</v>
      </c>
      <c r="AB212" s="5">
        <f t="shared" ca="1" si="50"/>
        <v>630</v>
      </c>
      <c r="AC212" s="5">
        <f t="shared" ca="1" si="51"/>
        <v>30</v>
      </c>
      <c r="AD212" s="5">
        <f t="shared" ca="1" si="52"/>
        <v>1095</v>
      </c>
      <c r="AE212" s="5">
        <f t="shared" ca="1" si="53"/>
        <v>129600</v>
      </c>
      <c r="AF212" s="5">
        <f t="shared" ca="1" si="54"/>
        <v>75150</v>
      </c>
      <c r="AG212" s="79">
        <f ca="1">AC212+Z212*活动投放!$D$32</f>
        <v>37.5</v>
      </c>
      <c r="AH212" s="79">
        <f ca="1">Z212*活动投放!$E$32</f>
        <v>7.5</v>
      </c>
      <c r="AI212" s="79">
        <f ca="1">AD212+AA212*活动投放!$F$33</f>
        <v>1441.5</v>
      </c>
      <c r="AJ212" s="79">
        <f ca="1">AA212*活动投放!$G$33</f>
        <v>148.5</v>
      </c>
      <c r="AK212" s="79">
        <f ca="1">AB212*活动投放!$H$34</f>
        <v>567</v>
      </c>
      <c r="AL212" s="79">
        <f ca="1">AB212*活动投放!$I$34</f>
        <v>63</v>
      </c>
      <c r="AN212" s="29">
        <f t="shared" si="47"/>
        <v>1140</v>
      </c>
      <c r="AO212" s="101">
        <f ca="1">IFERROR(AE212/活动投放!AA212,0)</f>
        <v>0.87155346334902484</v>
      </c>
      <c r="AP212" s="101">
        <f ca="1">IFERROR(AF212/活动投放!AB212,0)</f>
        <v>0.76062753036437247</v>
      </c>
      <c r="AQ212" s="101">
        <f ca="1">IFERROR(AG212/活动投放!AC212,0)</f>
        <v>0.32894736842105265</v>
      </c>
      <c r="AR212" s="101">
        <f ca="1">IFERROR(AH212/活动投放!AD212,0)</f>
        <v>6.5789473684210523E-2</v>
      </c>
      <c r="AS212" s="101">
        <f ca="1">IFERROR(AI212/活动投放!AE212,0)</f>
        <v>5.4914285714285711</v>
      </c>
      <c r="AT212" s="101">
        <f ca="1">IFERROR(AJ212/活动投放!AF212,0)</f>
        <v>1.32</v>
      </c>
      <c r="AU212" s="101">
        <f ca="1">IFERROR(AK212/活动投放!AG212,0)</f>
        <v>0.71266968325791857</v>
      </c>
      <c r="AV212" s="101">
        <f ca="1">IFERROR(AL212/活动投放!AH212,0)</f>
        <v>0.71266968325791846</v>
      </c>
    </row>
    <row r="213" spans="24:48" x14ac:dyDescent="0.15">
      <c r="X213" s="29">
        <f>基础状态预估!C213</f>
        <v>1260</v>
      </c>
      <c r="Y213" s="46">
        <f>基础状态预估!D213</f>
        <v>122.38959636199006</v>
      </c>
      <c r="Z213" s="5">
        <f t="shared" ca="1" si="48"/>
        <v>15</v>
      </c>
      <c r="AA213" s="5">
        <f t="shared" ca="1" si="49"/>
        <v>543</v>
      </c>
      <c r="AB213" s="5">
        <f t="shared" ca="1" si="50"/>
        <v>702</v>
      </c>
      <c r="AC213" s="5">
        <f t="shared" ca="1" si="51"/>
        <v>30</v>
      </c>
      <c r="AD213" s="5">
        <f t="shared" ca="1" si="52"/>
        <v>1215</v>
      </c>
      <c r="AE213" s="5">
        <f t="shared" ca="1" si="53"/>
        <v>144000</v>
      </c>
      <c r="AF213" s="5">
        <f t="shared" ca="1" si="54"/>
        <v>83550</v>
      </c>
      <c r="AG213" s="79">
        <f ca="1">AC213+Z213*活动投放!$D$32</f>
        <v>37.5</v>
      </c>
      <c r="AH213" s="79">
        <f ca="1">Z213*活动投放!$E$32</f>
        <v>7.5</v>
      </c>
      <c r="AI213" s="79">
        <f ca="1">AD213+AA213*活动投放!$F$33</f>
        <v>1595.1</v>
      </c>
      <c r="AJ213" s="79">
        <f ca="1">AA213*活动投放!$G$33</f>
        <v>162.9</v>
      </c>
      <c r="AK213" s="79">
        <f ca="1">AB213*活动投放!$H$34</f>
        <v>631.80000000000007</v>
      </c>
      <c r="AL213" s="79">
        <f ca="1">AB213*活动投放!$I$34</f>
        <v>70.2</v>
      </c>
      <c r="AN213" s="29">
        <f t="shared" si="47"/>
        <v>1260</v>
      </c>
      <c r="AO213" s="101">
        <f ca="1">IFERROR(AE213/活动投放!AA213,0)</f>
        <v>0.87009063444108758</v>
      </c>
      <c r="AP213" s="101">
        <f ca="1">IFERROR(AF213/活动投放!AB213,0)</f>
        <v>0.75954545454545452</v>
      </c>
      <c r="AQ213" s="101">
        <f ca="1">IFERROR(AG213/活动投放!AC213,0)</f>
        <v>0.29761904761904762</v>
      </c>
      <c r="AR213" s="101">
        <f ca="1">IFERROR(AH213/活动投放!AD213,0)</f>
        <v>5.9523809523809521E-2</v>
      </c>
      <c r="AS213" s="101">
        <f ca="1">IFERROR(AI213/活动投放!AE213,0)</f>
        <v>5.4908777969018931</v>
      </c>
      <c r="AT213" s="101">
        <f ca="1">IFERROR(AJ213/活动投放!AF213,0)</f>
        <v>1.308433734939759</v>
      </c>
      <c r="AU213" s="101">
        <f ca="1">IFERROR(AK213/活动投放!AG213,0)</f>
        <v>0.71052631578947367</v>
      </c>
      <c r="AV213" s="101">
        <f ca="1">IFERROR(AL213/活动投放!AH213,0)</f>
        <v>0.71052631578947367</v>
      </c>
    </row>
    <row r="214" spans="24:48" x14ac:dyDescent="0.15">
      <c r="X214" s="29">
        <f>基础状态预估!C214</f>
        <v>1380</v>
      </c>
      <c r="Y214" s="46">
        <f>基础状态预估!D214</f>
        <v>123.64000871786199</v>
      </c>
      <c r="Z214" s="5">
        <f t="shared" ca="1" si="48"/>
        <v>15</v>
      </c>
      <c r="AA214" s="5">
        <f t="shared" ca="1" si="49"/>
        <v>591</v>
      </c>
      <c r="AB214" s="5">
        <f t="shared" ca="1" si="50"/>
        <v>774</v>
      </c>
      <c r="AC214" s="5">
        <f t="shared" ca="1" si="51"/>
        <v>30</v>
      </c>
      <c r="AD214" s="5">
        <f t="shared" ca="1" si="52"/>
        <v>1335</v>
      </c>
      <c r="AE214" s="5">
        <f t="shared" ca="1" si="53"/>
        <v>158400</v>
      </c>
      <c r="AF214" s="5">
        <f t="shared" ca="1" si="54"/>
        <v>91950</v>
      </c>
      <c r="AG214" s="79">
        <f ca="1">AC214+Z214*活动投放!$D$32</f>
        <v>37.5</v>
      </c>
      <c r="AH214" s="79">
        <f ca="1">Z214*活动投放!$E$32</f>
        <v>7.5</v>
      </c>
      <c r="AI214" s="79">
        <f ca="1">AD214+AA214*活动投放!$F$33</f>
        <v>1748.7</v>
      </c>
      <c r="AJ214" s="79">
        <f ca="1">AA214*活动投放!$G$33</f>
        <v>177.29999999999998</v>
      </c>
      <c r="AK214" s="79">
        <f ca="1">AB214*活动投放!$H$34</f>
        <v>696.6</v>
      </c>
      <c r="AL214" s="79">
        <f ca="1">AB214*活动投放!$I$34</f>
        <v>77.400000000000006</v>
      </c>
      <c r="AN214" s="29">
        <f t="shared" si="47"/>
        <v>1380</v>
      </c>
      <c r="AO214" s="101">
        <f ca="1">IFERROR(AE214/活动投放!AA214,0)</f>
        <v>0.8688974218321448</v>
      </c>
      <c r="AP214" s="101">
        <f ca="1">IFERROR(AF214/活动投放!AB214,0)</f>
        <v>0.75866336633663367</v>
      </c>
      <c r="AQ214" s="101">
        <f ca="1">IFERROR(AG214/活动投放!AC214,0)</f>
        <v>0.27173913043478259</v>
      </c>
      <c r="AR214" s="101">
        <f ca="1">IFERROR(AH214/活动投放!AD214,0)</f>
        <v>5.434782608695652E-2</v>
      </c>
      <c r="AS214" s="101">
        <f ca="1">IFERROR(AI214/活动投放!AE214,0)</f>
        <v>5.4904238618524337</v>
      </c>
      <c r="AT214" s="101">
        <f ca="1">IFERROR(AJ214/活动投放!AF214,0)</f>
        <v>1.2989010989010987</v>
      </c>
      <c r="AU214" s="101">
        <f ca="1">IFERROR(AK214/活动投放!AG214,0)</f>
        <v>0.70879120879120872</v>
      </c>
      <c r="AV214" s="101">
        <f ca="1">IFERROR(AL214/活动投放!AH214,0)</f>
        <v>0.70879120879120883</v>
      </c>
    </row>
    <row r="215" spans="24:48" x14ac:dyDescent="0.15">
      <c r="X215" s="29">
        <f>基础状态预估!C215</f>
        <v>1500</v>
      </c>
      <c r="Y215" s="46">
        <f>基础状态预估!D215</f>
        <v>124.89506332611212</v>
      </c>
      <c r="Z215" s="5">
        <f t="shared" ca="1" si="48"/>
        <v>15</v>
      </c>
      <c r="AA215" s="5">
        <f t="shared" ca="1" si="49"/>
        <v>639</v>
      </c>
      <c r="AB215" s="5">
        <f t="shared" ca="1" si="50"/>
        <v>846</v>
      </c>
      <c r="AC215" s="5">
        <f t="shared" ca="1" si="51"/>
        <v>30</v>
      </c>
      <c r="AD215" s="5">
        <f t="shared" ca="1" si="52"/>
        <v>1455</v>
      </c>
      <c r="AE215" s="5">
        <f t="shared" ca="1" si="53"/>
        <v>172800</v>
      </c>
      <c r="AF215" s="5">
        <f t="shared" ca="1" si="54"/>
        <v>100350</v>
      </c>
      <c r="AG215" s="79">
        <f ca="1">AC215+Z215*活动投放!$D$32</f>
        <v>37.5</v>
      </c>
      <c r="AH215" s="79">
        <f ca="1">Z215*活动投放!$E$32</f>
        <v>7.5</v>
      </c>
      <c r="AI215" s="79">
        <f ca="1">AD215+AA215*活动投放!$F$33</f>
        <v>1902.3</v>
      </c>
      <c r="AJ215" s="79">
        <f ca="1">AA215*活动投放!$G$33</f>
        <v>191.7</v>
      </c>
      <c r="AK215" s="79">
        <f ca="1">AB215*活动投放!$H$34</f>
        <v>761.4</v>
      </c>
      <c r="AL215" s="79">
        <f ca="1">AB215*活动投放!$I$34</f>
        <v>84.600000000000009</v>
      </c>
      <c r="AN215" s="29">
        <f t="shared" si="47"/>
        <v>1500</v>
      </c>
      <c r="AO215" s="101">
        <f ca="1">IFERROR(AE215/活动投放!AA215,0)</f>
        <v>0.86790557508789556</v>
      </c>
      <c r="AP215" s="101">
        <f ca="1">IFERROR(AF215/活动投放!AB215,0)</f>
        <v>0.75793051359516617</v>
      </c>
      <c r="AQ215" s="101">
        <f ca="1">IFERROR(AG215/活动投放!AC215,0)</f>
        <v>0.25</v>
      </c>
      <c r="AR215" s="101">
        <f ca="1">IFERROR(AH215/活动投放!AD215,0)</f>
        <v>0.05</v>
      </c>
      <c r="AS215" s="101">
        <f ca="1">IFERROR(AI215/活动投放!AE215,0)</f>
        <v>5.4900432900432898</v>
      </c>
      <c r="AT215" s="101">
        <f ca="1">IFERROR(AJ215/活动投放!AF215,0)</f>
        <v>1.2909090909090908</v>
      </c>
      <c r="AU215" s="101">
        <f ca="1">IFERROR(AK215/活动投放!AG215,0)</f>
        <v>0.70735785953177255</v>
      </c>
      <c r="AV215" s="101">
        <f ca="1">IFERROR(AL215/活动投放!AH215,0)</f>
        <v>0.70735785953177255</v>
      </c>
    </row>
    <row r="216" spans="24:48" x14ac:dyDescent="0.15">
      <c r="X216" s="29">
        <f>基础状态预估!C216</f>
        <v>1800</v>
      </c>
      <c r="Y216" s="46">
        <f>基础状态预估!D216</f>
        <v>127.67301312853458</v>
      </c>
      <c r="Z216" s="5">
        <f t="shared" ca="1" si="48"/>
        <v>15</v>
      </c>
      <c r="AA216" s="5">
        <f t="shared" ca="1" si="49"/>
        <v>759</v>
      </c>
      <c r="AB216" s="5">
        <f t="shared" ca="1" si="50"/>
        <v>1026</v>
      </c>
      <c r="AC216" s="5">
        <f t="shared" ca="1" si="51"/>
        <v>30</v>
      </c>
      <c r="AD216" s="5">
        <f t="shared" ca="1" si="52"/>
        <v>1755</v>
      </c>
      <c r="AE216" s="5">
        <f t="shared" ca="1" si="53"/>
        <v>208800</v>
      </c>
      <c r="AF216" s="5">
        <f t="shared" ca="1" si="54"/>
        <v>121350</v>
      </c>
      <c r="AG216" s="79">
        <f ca="1">AC216+Z216*活动投放!$D$32</f>
        <v>37.5</v>
      </c>
      <c r="AH216" s="79">
        <f ca="1">Z216*活动投放!$E$32</f>
        <v>7.5</v>
      </c>
      <c r="AI216" s="79">
        <f ca="1">AD216+AA216*活动投放!$F$33</f>
        <v>2286.3000000000002</v>
      </c>
      <c r="AJ216" s="79">
        <f ca="1">AA216*活动投放!$G$33</f>
        <v>227.7</v>
      </c>
      <c r="AK216" s="79">
        <f ca="1">AB216*活动投放!$H$34</f>
        <v>923.4</v>
      </c>
      <c r="AL216" s="79">
        <f ca="1">AB216*活动投放!$I$34</f>
        <v>102.60000000000001</v>
      </c>
      <c r="AN216" s="29">
        <f t="shared" si="47"/>
        <v>1800</v>
      </c>
      <c r="AO216" s="101">
        <f ca="1">IFERROR(AE216/活动投放!AA216,0)</f>
        <v>0.86603069265864785</v>
      </c>
      <c r="AP216" s="101">
        <f ca="1">IFERROR(AF216/活动投放!AB216,0)</f>
        <v>0.75654613466334164</v>
      </c>
      <c r="AQ216" s="101">
        <f ca="1">IFERROR(AG216/活动投放!AC216,0)</f>
        <v>0.20833333333333334</v>
      </c>
      <c r="AR216" s="101">
        <f ca="1">IFERROR(AH216/活动投放!AD216,0)</f>
        <v>4.1666666666666664E-2</v>
      </c>
      <c r="AS216" s="101">
        <f ca="1">IFERROR(AI216/活动投放!AE216,0)</f>
        <v>5.489315726290517</v>
      </c>
      <c r="AT216" s="101">
        <f ca="1">IFERROR(AJ216/活动投放!AF216,0)</f>
        <v>1.2756302521008402</v>
      </c>
      <c r="AU216" s="101">
        <f ca="1">IFERROR(AK216/活动投放!AG216,0)</f>
        <v>0.70467032967032961</v>
      </c>
      <c r="AV216" s="101">
        <f ca="1">IFERROR(AL216/活动投放!AH216,0)</f>
        <v>0.70467032967032972</v>
      </c>
    </row>
    <row r="217" spans="24:48" x14ac:dyDescent="0.15">
      <c r="X217" s="29">
        <f>基础状态预估!C217</f>
        <v>2100</v>
      </c>
      <c r="Y217" s="46">
        <f>基础状态预估!D217</f>
        <v>129.83412763547076</v>
      </c>
      <c r="Z217" s="5">
        <f t="shared" ca="1" si="48"/>
        <v>15</v>
      </c>
      <c r="AA217" s="5">
        <f t="shared" ca="1" si="49"/>
        <v>879</v>
      </c>
      <c r="AB217" s="5">
        <f t="shared" ca="1" si="50"/>
        <v>1206</v>
      </c>
      <c r="AC217" s="5">
        <f t="shared" ca="1" si="51"/>
        <v>30</v>
      </c>
      <c r="AD217" s="5">
        <f t="shared" ca="1" si="52"/>
        <v>2055</v>
      </c>
      <c r="AE217" s="5">
        <f t="shared" ca="1" si="53"/>
        <v>244800</v>
      </c>
      <c r="AF217" s="5">
        <f t="shared" ca="1" si="54"/>
        <v>142350</v>
      </c>
      <c r="AG217" s="79">
        <f ca="1">AC217+Z217*活动投放!$D$32</f>
        <v>37.5</v>
      </c>
      <c r="AH217" s="79">
        <f ca="1">Z217*活动投放!$E$32</f>
        <v>7.5</v>
      </c>
      <c r="AI217" s="79">
        <f ca="1">AD217+AA217*活动投放!$F$33</f>
        <v>2670.3</v>
      </c>
      <c r="AJ217" s="79">
        <f ca="1">AA217*活动投放!$G$33</f>
        <v>263.7</v>
      </c>
      <c r="AK217" s="79">
        <f ca="1">AB217*活动投放!$H$34</f>
        <v>1085.4000000000001</v>
      </c>
      <c r="AL217" s="79">
        <f ca="1">AB217*活动投放!$I$34</f>
        <v>120.60000000000001</v>
      </c>
      <c r="AN217" s="29">
        <f t="shared" si="47"/>
        <v>2100</v>
      </c>
      <c r="AO217" s="101">
        <f ca="1">IFERROR(AE217/活动投放!AA217,0)</f>
        <v>0.86471211586012009</v>
      </c>
      <c r="AP217" s="101">
        <f ca="1">IFERROR(AF217/活动投放!AB217,0)</f>
        <v>0.75557324840764328</v>
      </c>
      <c r="AQ217" s="101">
        <f ca="1">IFERROR(AG217/活动投放!AC217,0)</f>
        <v>0.17857142857142858</v>
      </c>
      <c r="AR217" s="101">
        <f ca="1">IFERROR(AH217/活动投放!AD217,0)</f>
        <v>3.5714285714285712E-2</v>
      </c>
      <c r="AS217" s="101">
        <f ca="1">IFERROR(AI217/活动投放!AE217,0)</f>
        <v>5.4887975334018506</v>
      </c>
      <c r="AT217" s="101">
        <f ca="1">IFERROR(AJ217/活动投放!AF217,0)</f>
        <v>1.2647482014388489</v>
      </c>
      <c r="AU217" s="101">
        <f ca="1">IFERROR(AK217/活动投放!AG217,0)</f>
        <v>0.70279720279720281</v>
      </c>
      <c r="AV217" s="101">
        <f ca="1">IFERROR(AL217/活动投放!AH217,0)</f>
        <v>0.7027972027972027</v>
      </c>
    </row>
    <row r="218" spans="24:48" x14ac:dyDescent="0.15">
      <c r="X218" s="29">
        <f>基础状态预估!C218</f>
        <v>2400</v>
      </c>
      <c r="Y218" s="46">
        <f>基础状态预估!D218</f>
        <v>131.79898277231624</v>
      </c>
      <c r="Z218" s="5">
        <f t="shared" ca="1" si="48"/>
        <v>15</v>
      </c>
      <c r="AA218" s="5">
        <f t="shared" ca="1" si="49"/>
        <v>999</v>
      </c>
      <c r="AB218" s="5">
        <f t="shared" ca="1" si="50"/>
        <v>1386</v>
      </c>
      <c r="AC218" s="5">
        <f t="shared" ca="1" si="51"/>
        <v>30</v>
      </c>
      <c r="AD218" s="5">
        <f t="shared" ca="1" si="52"/>
        <v>2355</v>
      </c>
      <c r="AE218" s="5">
        <f t="shared" ca="1" si="53"/>
        <v>280800</v>
      </c>
      <c r="AF218" s="5">
        <f t="shared" ca="1" si="54"/>
        <v>163350</v>
      </c>
      <c r="AG218" s="79">
        <f ca="1">AC218+Z218*活动投放!$D$32</f>
        <v>37.5</v>
      </c>
      <c r="AH218" s="79">
        <f ca="1">Z218*活动投放!$E$32</f>
        <v>7.5</v>
      </c>
      <c r="AI218" s="79">
        <f ca="1">AD218+AA218*活动投放!$F$33</f>
        <v>3054.3</v>
      </c>
      <c r="AJ218" s="79">
        <f ca="1">AA218*活动投放!$G$33</f>
        <v>299.7</v>
      </c>
      <c r="AK218" s="79">
        <f ca="1">AB218*活动投放!$H$34</f>
        <v>1247.4000000000001</v>
      </c>
      <c r="AL218" s="79">
        <f ca="1">AB218*活动投放!$I$34</f>
        <v>138.6</v>
      </c>
      <c r="AN218" s="29">
        <f t="shared" si="47"/>
        <v>2400</v>
      </c>
      <c r="AO218" s="101">
        <f ca="1">IFERROR(AE218/活动投放!AA218,0)</f>
        <v>0.86373423561980933</v>
      </c>
      <c r="AP218" s="101">
        <f ca="1">IFERROR(AF218/活动投放!AB218,0)</f>
        <v>0.75485212569316085</v>
      </c>
      <c r="AQ218" s="101">
        <f ca="1">IFERROR(AG218/活动投放!AC218,0)</f>
        <v>0.15625</v>
      </c>
      <c r="AR218" s="101">
        <f ca="1">IFERROR(AH218/活动投放!AD218,0)</f>
        <v>3.125E-2</v>
      </c>
      <c r="AS218" s="101">
        <f ca="1">IFERROR(AI218/活动投放!AE218,0)</f>
        <v>5.4884097035040433</v>
      </c>
      <c r="AT218" s="101">
        <f ca="1">IFERROR(AJ218/活动投放!AF218,0)</f>
        <v>1.2566037735849056</v>
      </c>
      <c r="AU218" s="101">
        <f ca="1">IFERROR(AK218/活动投放!AG218,0)</f>
        <v>0.70141700404858298</v>
      </c>
      <c r="AV218" s="101">
        <f ca="1">IFERROR(AL218/活动投放!AH218,0)</f>
        <v>0.70141700404858287</v>
      </c>
    </row>
    <row r="219" spans="24:48" x14ac:dyDescent="0.15">
      <c r="X219" s="29">
        <f>基础状态预估!C219</f>
        <v>2700</v>
      </c>
      <c r="Y219" s="46">
        <f>基础状态预估!D219</f>
        <v>133.57962992379356</v>
      </c>
      <c r="Z219" s="5">
        <f t="shared" ca="1" si="48"/>
        <v>15</v>
      </c>
      <c r="AA219" s="5">
        <f t="shared" ca="1" si="49"/>
        <v>1119</v>
      </c>
      <c r="AB219" s="5">
        <f t="shared" ca="1" si="50"/>
        <v>1566</v>
      </c>
      <c r="AC219" s="5">
        <f t="shared" ca="1" si="51"/>
        <v>30</v>
      </c>
      <c r="AD219" s="5">
        <f t="shared" ca="1" si="52"/>
        <v>2655</v>
      </c>
      <c r="AE219" s="5">
        <f t="shared" ca="1" si="53"/>
        <v>316800</v>
      </c>
      <c r="AF219" s="5">
        <f t="shared" ca="1" si="54"/>
        <v>184350</v>
      </c>
      <c r="AG219" s="79">
        <f ca="1">AC219+Z219*活动投放!$D$32</f>
        <v>37.5</v>
      </c>
      <c r="AH219" s="79">
        <f ca="1">Z219*活动投放!$E$32</f>
        <v>7.5</v>
      </c>
      <c r="AI219" s="79">
        <f ca="1">AD219+AA219*活动投放!$F$33</f>
        <v>3438.3</v>
      </c>
      <c r="AJ219" s="79">
        <f ca="1">AA219*活动投放!$G$33</f>
        <v>335.7</v>
      </c>
      <c r="AK219" s="79">
        <f ca="1">AB219*活动投放!$H$34</f>
        <v>1409.4</v>
      </c>
      <c r="AL219" s="79">
        <f ca="1">AB219*活动投放!$I$34</f>
        <v>156.60000000000002</v>
      </c>
      <c r="AN219" s="29">
        <f t="shared" si="47"/>
        <v>2700</v>
      </c>
      <c r="AO219" s="101">
        <f ca="1">IFERROR(AE219/活动投放!AA219,0)</f>
        <v>0.86298011441024247</v>
      </c>
      <c r="AP219" s="101">
        <f ca="1">IFERROR(AF219/活动投放!AB219,0)</f>
        <v>0.75429623567921444</v>
      </c>
      <c r="AQ219" s="101">
        <f ca="1">IFERROR(AG219/活动投放!AC219,0)</f>
        <v>0.1388888888888889</v>
      </c>
      <c r="AR219" s="101">
        <f ca="1">IFERROR(AH219/活动投放!AD219,0)</f>
        <v>2.7777777777777776E-2</v>
      </c>
      <c r="AS219" s="101">
        <f ca="1">IFERROR(AI219/活动投放!AE219,0)</f>
        <v>5.4881085395051876</v>
      </c>
      <c r="AT219" s="101">
        <f ca="1">IFERROR(AJ219/活动投放!AF219,0)</f>
        <v>1.2502793296089385</v>
      </c>
      <c r="AU219" s="101">
        <f ca="1">IFERROR(AK219/活动投放!AG219,0)</f>
        <v>0.70035778175313057</v>
      </c>
      <c r="AV219" s="101">
        <f ca="1">IFERROR(AL219/活动投放!AH219,0)</f>
        <v>0.70035778175313057</v>
      </c>
    </row>
    <row r="220" spans="24:48" x14ac:dyDescent="0.15">
      <c r="X220" s="29">
        <f>基础状态预估!C220</f>
        <v>3000</v>
      </c>
      <c r="Y220" s="46">
        <f>基础状态预估!D220</f>
        <v>135.09124682527644</v>
      </c>
      <c r="Z220" s="5">
        <f t="shared" ca="1" si="48"/>
        <v>15</v>
      </c>
      <c r="AA220" s="5">
        <f t="shared" ca="1" si="49"/>
        <v>1239</v>
      </c>
      <c r="AB220" s="5">
        <f t="shared" ca="1" si="50"/>
        <v>1746</v>
      </c>
      <c r="AC220" s="5">
        <f t="shared" ca="1" si="51"/>
        <v>30</v>
      </c>
      <c r="AD220" s="5">
        <f t="shared" ca="1" si="52"/>
        <v>2955</v>
      </c>
      <c r="AE220" s="5">
        <f t="shared" ca="1" si="53"/>
        <v>352800</v>
      </c>
      <c r="AF220" s="5">
        <f t="shared" ca="1" si="54"/>
        <v>205350</v>
      </c>
      <c r="AG220" s="79">
        <f ca="1">AC220+Z220*活动投放!$D$32</f>
        <v>37.5</v>
      </c>
      <c r="AH220" s="79">
        <f ca="1">Z220*活动投放!$E$32</f>
        <v>7.5</v>
      </c>
      <c r="AI220" s="79">
        <f ca="1">AD220+AA220*活动投放!$F$33</f>
        <v>3822.3</v>
      </c>
      <c r="AJ220" s="79">
        <f ca="1">AA220*活动投放!$G$33</f>
        <v>371.7</v>
      </c>
      <c r="AK220" s="79">
        <f ca="1">AB220*活动投放!$H$34</f>
        <v>1571.4</v>
      </c>
      <c r="AL220" s="79">
        <f ca="1">AB220*活动投放!$I$34</f>
        <v>174.60000000000002</v>
      </c>
      <c r="AN220" s="29">
        <f t="shared" si="47"/>
        <v>3000</v>
      </c>
      <c r="AO220" s="101">
        <f ca="1">IFERROR(AE220/活动投放!AA220,0)</f>
        <v>0.86238083598142268</v>
      </c>
      <c r="AP220" s="101">
        <f ca="1">IFERROR(AF220/活动投放!AB220,0)</f>
        <v>0.75385462555066074</v>
      </c>
      <c r="AQ220" s="101">
        <f ca="1">IFERROR(AG220/活动投放!AC220,0)</f>
        <v>0.125</v>
      </c>
      <c r="AR220" s="101">
        <f ca="1">IFERROR(AH220/活动投放!AD220,0)</f>
        <v>2.5000000000000001E-2</v>
      </c>
      <c r="AS220" s="101">
        <f ca="1">IFERROR(AI220/活动投放!AE220,0)</f>
        <v>5.4878679109834891</v>
      </c>
      <c r="AT220" s="101">
        <f ca="1">IFERROR(AJ220/活动投放!AF220,0)</f>
        <v>1.2452261306532664</v>
      </c>
      <c r="AU220" s="101">
        <f ca="1">IFERROR(AK220/活动投放!AG220,0)</f>
        <v>0.69951923076923073</v>
      </c>
      <c r="AV220" s="101">
        <f ca="1">IFERROR(AL220/活动投放!AH220,0)</f>
        <v>0.69951923076923084</v>
      </c>
    </row>
    <row r="221" spans="24:48" x14ac:dyDescent="0.15">
      <c r="X221" s="29">
        <f>基础状态预估!C221</f>
        <v>3300</v>
      </c>
      <c r="Y221" s="46">
        <f>基础状态预估!D221</f>
        <v>136.4080820895465</v>
      </c>
      <c r="Z221" s="5">
        <f t="shared" ca="1" si="48"/>
        <v>15</v>
      </c>
      <c r="AA221" s="5">
        <f t="shared" ca="1" si="49"/>
        <v>1359</v>
      </c>
      <c r="AB221" s="5">
        <f t="shared" ca="1" si="50"/>
        <v>1926</v>
      </c>
      <c r="AC221" s="5">
        <f t="shared" ca="1" si="51"/>
        <v>30</v>
      </c>
      <c r="AD221" s="5">
        <f t="shared" ca="1" si="52"/>
        <v>3255</v>
      </c>
      <c r="AE221" s="5">
        <f t="shared" ca="1" si="53"/>
        <v>388800</v>
      </c>
      <c r="AF221" s="5">
        <f t="shared" ca="1" si="54"/>
        <v>226350</v>
      </c>
      <c r="AG221" s="79">
        <f ca="1">AC221+Z221*活动投放!$D$32</f>
        <v>37.5</v>
      </c>
      <c r="AH221" s="79">
        <f ca="1">Z221*活动投放!$E$32</f>
        <v>7.5</v>
      </c>
      <c r="AI221" s="79">
        <f ca="1">AD221+AA221*活动投放!$F$33</f>
        <v>4206.3</v>
      </c>
      <c r="AJ221" s="79">
        <f ca="1">AA221*活动投放!$G$33</f>
        <v>407.7</v>
      </c>
      <c r="AK221" s="79">
        <f ca="1">AB221*活动投放!$H$34</f>
        <v>1733.4</v>
      </c>
      <c r="AL221" s="79">
        <f ca="1">AB221*活动投放!$I$34</f>
        <v>192.60000000000002</v>
      </c>
      <c r="AN221" s="29">
        <f t="shared" si="47"/>
        <v>3300</v>
      </c>
      <c r="AO221" s="101">
        <f ca="1">IFERROR(AE221/活动投放!AA221,0)</f>
        <v>0.86189315007758815</v>
      </c>
      <c r="AP221" s="101">
        <f ca="1">IFERROR(AF221/活动投放!AB221,0)</f>
        <v>0.75349533954727033</v>
      </c>
      <c r="AQ221" s="101">
        <f ca="1">IFERROR(AG221/活动投放!AC221,0)</f>
        <v>0.11363636363636363</v>
      </c>
      <c r="AR221" s="101">
        <f ca="1">IFERROR(AH221/活动投放!AD221,0)</f>
        <v>2.2727272727272728E-2</v>
      </c>
      <c r="AS221" s="101">
        <f ca="1">IFERROR(AI221/活动投放!AE221,0)</f>
        <v>5.4876712328767123</v>
      </c>
      <c r="AT221" s="101">
        <f ca="1">IFERROR(AJ221/活动投放!AF221,0)</f>
        <v>1.2410958904109588</v>
      </c>
      <c r="AU221" s="101">
        <f ca="1">IFERROR(AK221/活动投放!AG221,0)</f>
        <v>0.69883889695210455</v>
      </c>
      <c r="AV221" s="101">
        <f ca="1">IFERROR(AL221/活动投放!AH221,0)</f>
        <v>0.69883889695210455</v>
      </c>
    </row>
    <row r="222" spans="24:48" x14ac:dyDescent="0.15">
      <c r="X222" s="29">
        <f>基础状态预估!C222</f>
        <v>3600</v>
      </c>
      <c r="Y222" s="46">
        <f>基础状态预估!D222</f>
        <v>137.69441197975056</v>
      </c>
      <c r="Z222" s="5">
        <f t="shared" ca="1" si="48"/>
        <v>15</v>
      </c>
      <c r="AA222" s="5">
        <f t="shared" ca="1" si="49"/>
        <v>1479</v>
      </c>
      <c r="AB222" s="5">
        <f t="shared" ca="1" si="50"/>
        <v>2106</v>
      </c>
      <c r="AC222" s="5">
        <f t="shared" ca="1" si="51"/>
        <v>30</v>
      </c>
      <c r="AD222" s="5">
        <f t="shared" ca="1" si="52"/>
        <v>3555</v>
      </c>
      <c r="AE222" s="5">
        <f t="shared" ca="1" si="53"/>
        <v>424800</v>
      </c>
      <c r="AF222" s="5">
        <f t="shared" ca="1" si="54"/>
        <v>247350</v>
      </c>
      <c r="AG222" s="79">
        <f ca="1">AC222+Z222*活动投放!$D$32</f>
        <v>37.5</v>
      </c>
      <c r="AH222" s="79">
        <f ca="1">Z222*活动投放!$E$32</f>
        <v>7.5</v>
      </c>
      <c r="AI222" s="79">
        <f ca="1">AD222+AA222*活动投放!$F$33</f>
        <v>4590.3</v>
      </c>
      <c r="AJ222" s="79">
        <f ca="1">AA222*活动投放!$G$33</f>
        <v>443.7</v>
      </c>
      <c r="AK222" s="79">
        <f ca="1">AB222*活动投放!$H$34</f>
        <v>1895.4</v>
      </c>
      <c r="AL222" s="79">
        <f ca="1">AB222*活动投放!$I$34</f>
        <v>210.60000000000002</v>
      </c>
      <c r="AN222" s="29">
        <f t="shared" si="47"/>
        <v>3600</v>
      </c>
      <c r="AO222" s="101">
        <f ca="1">IFERROR(AE222/活动投放!AA222,0)</f>
        <v>0.86148854187791524</v>
      </c>
      <c r="AP222" s="101">
        <f ca="1">IFERROR(AF222/活动投放!AB222,0)</f>
        <v>0.75319732034104747</v>
      </c>
      <c r="AQ222" s="101">
        <f ca="1">IFERROR(AG222/活动投放!AC222,0)</f>
        <v>0.10416666666666667</v>
      </c>
      <c r="AR222" s="101">
        <f ca="1">IFERROR(AH222/活动投放!AD222,0)</f>
        <v>2.0833333333333332E-2</v>
      </c>
      <c r="AS222" s="101">
        <f ca="1">IFERROR(AI222/活动投放!AE222,0)</f>
        <v>5.4875074716078904</v>
      </c>
      <c r="AT222" s="101">
        <f ca="1">IFERROR(AJ222/活动投放!AF222,0)</f>
        <v>1.2376569037656904</v>
      </c>
      <c r="AU222" s="101">
        <f ca="1">IFERROR(AK222/活动投放!AG222,0)</f>
        <v>0.69827586206896552</v>
      </c>
      <c r="AV222" s="101">
        <f ca="1">IFERROR(AL222/活动投放!AH222,0)</f>
        <v>0.69827586206896552</v>
      </c>
    </row>
    <row r="223" spans="24:48" x14ac:dyDescent="0.15">
      <c r="X223" s="29">
        <f>基础状态预估!C223</f>
        <v>3900</v>
      </c>
      <c r="Y223" s="46">
        <f>基础状态预估!D223</f>
        <v>138.91667176742632</v>
      </c>
      <c r="Z223" s="5">
        <f t="shared" ca="1" si="48"/>
        <v>15</v>
      </c>
      <c r="AA223" s="5">
        <f t="shared" ca="1" si="49"/>
        <v>1599</v>
      </c>
      <c r="AB223" s="5">
        <f t="shared" ca="1" si="50"/>
        <v>2286</v>
      </c>
      <c r="AC223" s="5">
        <f t="shared" ca="1" si="51"/>
        <v>30</v>
      </c>
      <c r="AD223" s="5">
        <f t="shared" ca="1" si="52"/>
        <v>3855</v>
      </c>
      <c r="AE223" s="5">
        <f t="shared" ca="1" si="53"/>
        <v>460800</v>
      </c>
      <c r="AF223" s="5">
        <f t="shared" ca="1" si="54"/>
        <v>268350</v>
      </c>
      <c r="AG223" s="79">
        <f ca="1">AC223+Z223*活动投放!$D$32</f>
        <v>37.5</v>
      </c>
      <c r="AH223" s="79">
        <f ca="1">Z223*活动投放!$E$32</f>
        <v>7.5</v>
      </c>
      <c r="AI223" s="79">
        <f ca="1">AD223+AA223*活动投放!$F$33</f>
        <v>4974.3</v>
      </c>
      <c r="AJ223" s="79">
        <f ca="1">AA223*活动投放!$G$33</f>
        <v>479.7</v>
      </c>
      <c r="AK223" s="79">
        <f ca="1">AB223*活动投放!$H$34</f>
        <v>2057.4</v>
      </c>
      <c r="AL223" s="79">
        <f ca="1">AB223*活动投放!$I$34</f>
        <v>228.60000000000002</v>
      </c>
      <c r="AN223" s="29">
        <f t="shared" si="47"/>
        <v>3900</v>
      </c>
      <c r="AO223" s="101">
        <f ca="1">IFERROR(AE223/活动投放!AA223,0)</f>
        <v>0.86114744907493923</v>
      </c>
      <c r="AP223" s="101">
        <f ca="1">IFERROR(AF223/活动投放!AB223,0)</f>
        <v>0.75294612794612792</v>
      </c>
      <c r="AQ223" s="101">
        <f ca="1">IFERROR(AG223/活动投放!AC223,0)</f>
        <v>9.6153846153846159E-2</v>
      </c>
      <c r="AR223" s="101">
        <f ca="1">IFERROR(AH223/活动投放!AD223,0)</f>
        <v>1.9230769230769232E-2</v>
      </c>
      <c r="AS223" s="101">
        <f ca="1">IFERROR(AI223/活动投放!AE223,0)</f>
        <v>5.4873690016547165</v>
      </c>
      <c r="AT223" s="101">
        <f ca="1">IFERROR(AJ223/活动投放!AF223,0)</f>
        <v>1.2347490347490346</v>
      </c>
      <c r="AU223" s="101">
        <f ca="1">IFERROR(AK223/活动投放!AG223,0)</f>
        <v>0.69780219780219777</v>
      </c>
      <c r="AV223" s="101">
        <f ca="1">IFERROR(AL223/活动投放!AH223,0)</f>
        <v>0.69780219780219788</v>
      </c>
    </row>
    <row r="224" spans="24:48" x14ac:dyDescent="0.15">
      <c r="X224" s="29">
        <f>基础状态预估!C224</f>
        <v>4200</v>
      </c>
      <c r="Y224" s="46">
        <f>基础状态预估!D224</f>
        <v>140.02552130500166</v>
      </c>
      <c r="Z224" s="5">
        <f t="shared" ca="1" si="48"/>
        <v>15</v>
      </c>
      <c r="AA224" s="5">
        <f t="shared" ca="1" si="49"/>
        <v>1719</v>
      </c>
      <c r="AB224" s="5">
        <f t="shared" ca="1" si="50"/>
        <v>2466</v>
      </c>
      <c r="AC224" s="5">
        <f t="shared" ca="1" si="51"/>
        <v>30</v>
      </c>
      <c r="AD224" s="5">
        <f t="shared" ca="1" si="52"/>
        <v>4155</v>
      </c>
      <c r="AE224" s="5">
        <f t="shared" ca="1" si="53"/>
        <v>496800</v>
      </c>
      <c r="AF224" s="5">
        <f t="shared" ca="1" si="54"/>
        <v>289350</v>
      </c>
      <c r="AG224" s="79">
        <f ca="1">AC224+Z224*活动投放!$D$32</f>
        <v>37.5</v>
      </c>
      <c r="AH224" s="79">
        <f ca="1">Z224*活动投放!$E$32</f>
        <v>7.5</v>
      </c>
      <c r="AI224" s="79">
        <f ca="1">AD224+AA224*活动投放!$F$33</f>
        <v>5358.3</v>
      </c>
      <c r="AJ224" s="79">
        <f ca="1">AA224*活动投放!$G$33</f>
        <v>515.69999999999993</v>
      </c>
      <c r="AK224" s="79">
        <f ca="1">AB224*活动投放!$H$34</f>
        <v>2219.4</v>
      </c>
      <c r="AL224" s="79">
        <f ca="1">AB224*活动投放!$I$34</f>
        <v>246.60000000000002</v>
      </c>
      <c r="AN224" s="29">
        <f t="shared" si="47"/>
        <v>4200</v>
      </c>
      <c r="AO224" s="101">
        <f ca="1">IFERROR(AE224/活动投放!AA224,0)</f>
        <v>0.86085600415872465</v>
      </c>
      <c r="AP224" s="101">
        <f ca="1">IFERROR(AF224/活动投放!AB224,0)</f>
        <v>0.75273152965660772</v>
      </c>
      <c r="AQ224" s="101">
        <f ca="1">IFERROR(AG224/活动投放!AC224,0)</f>
        <v>8.9285714285714288E-2</v>
      </c>
      <c r="AR224" s="101">
        <f ca="1">IFERROR(AH224/活动投放!AD224,0)</f>
        <v>1.7857142857142856E-2</v>
      </c>
      <c r="AS224" s="101">
        <f ca="1">IFERROR(AI224/活动投放!AE224,0)</f>
        <v>5.4872503840245788</v>
      </c>
      <c r="AT224" s="101">
        <f ca="1">IFERROR(AJ224/活动投放!AF224,0)</f>
        <v>1.232258064516129</v>
      </c>
      <c r="AU224" s="101">
        <f ca="1">IFERROR(AK224/活动投放!AG224,0)</f>
        <v>0.69739819004524883</v>
      </c>
      <c r="AV224" s="101">
        <f ca="1">IFERROR(AL224/活动投放!AH224,0)</f>
        <v>0.69739819004524883</v>
      </c>
    </row>
    <row r="225" spans="24:48" x14ac:dyDescent="0.15">
      <c r="X225" s="29">
        <f>基础状态预估!C225</f>
        <v>4500</v>
      </c>
      <c r="Y225" s="46">
        <f>基础状态预估!D225</f>
        <v>141.0305191407117</v>
      </c>
      <c r="Z225" s="5">
        <f t="shared" ca="1" si="48"/>
        <v>15</v>
      </c>
      <c r="AA225" s="5">
        <f t="shared" ca="1" si="49"/>
        <v>1839</v>
      </c>
      <c r="AB225" s="5">
        <f t="shared" ca="1" si="50"/>
        <v>2646</v>
      </c>
      <c r="AC225" s="5">
        <f t="shared" ca="1" si="51"/>
        <v>30</v>
      </c>
      <c r="AD225" s="5">
        <f t="shared" ca="1" si="52"/>
        <v>4455</v>
      </c>
      <c r="AE225" s="5">
        <f t="shared" ca="1" si="53"/>
        <v>532800</v>
      </c>
      <c r="AF225" s="5">
        <f t="shared" ca="1" si="54"/>
        <v>310350</v>
      </c>
      <c r="AG225" s="79">
        <f ca="1">AC225+Z225*活动投放!$D$32</f>
        <v>37.5</v>
      </c>
      <c r="AH225" s="79">
        <f ca="1">Z225*活动投放!$E$32</f>
        <v>7.5</v>
      </c>
      <c r="AI225" s="79">
        <f ca="1">AD225+AA225*活动投放!$F$33</f>
        <v>5742.3</v>
      </c>
      <c r="AJ225" s="79">
        <f ca="1">AA225*活动投放!$G$33</f>
        <v>551.69999999999993</v>
      </c>
      <c r="AK225" s="79">
        <f ca="1">AB225*活动投放!$H$34</f>
        <v>2381.4</v>
      </c>
      <c r="AL225" s="79">
        <f ca="1">AB225*活动投放!$I$34</f>
        <v>264.60000000000002</v>
      </c>
      <c r="AN225" s="29">
        <f t="shared" si="47"/>
        <v>4500</v>
      </c>
      <c r="AO225" s="101">
        <f ca="1">IFERROR(AE225/活动投放!AA225,0)</f>
        <v>0.86060410272976906</v>
      </c>
      <c r="AP225" s="101">
        <f ca="1">IFERROR(AF225/活动投放!AB225,0)</f>
        <v>0.75254607177497579</v>
      </c>
      <c r="AQ225" s="101">
        <f ca="1">IFERROR(AG225/活动投放!AC225,0)</f>
        <v>8.3333333333333329E-2</v>
      </c>
      <c r="AR225" s="101">
        <f ca="1">IFERROR(AH225/活动投放!AD225,0)</f>
        <v>1.6666666666666666E-2</v>
      </c>
      <c r="AS225" s="101">
        <f ca="1">IFERROR(AI225/活动投放!AE225,0)</f>
        <v>5.4871476349737218</v>
      </c>
      <c r="AT225" s="101">
        <f ca="1">IFERROR(AJ225/活动投放!AF225,0)</f>
        <v>1.2301003344481605</v>
      </c>
      <c r="AU225" s="101">
        <f ca="1">IFERROR(AK225/活动投放!AG225,0)</f>
        <v>0.69704952581664914</v>
      </c>
      <c r="AV225" s="101">
        <f ca="1">IFERROR(AL225/活动投放!AH225,0)</f>
        <v>0.69704952581664914</v>
      </c>
    </row>
    <row r="226" spans="24:48" x14ac:dyDescent="0.15">
      <c r="X226" s="29">
        <f>基础状态预估!C226</f>
        <v>4800</v>
      </c>
      <c r="Y226" s="46">
        <f>基础状态预估!D226</f>
        <v>141.92990796852064</v>
      </c>
      <c r="Z226" s="5">
        <f t="shared" ca="1" si="48"/>
        <v>15</v>
      </c>
      <c r="AA226" s="5">
        <f t="shared" ca="1" si="49"/>
        <v>1959</v>
      </c>
      <c r="AB226" s="5">
        <f t="shared" ca="1" si="50"/>
        <v>2826</v>
      </c>
      <c r="AC226" s="5">
        <f t="shared" ca="1" si="51"/>
        <v>30</v>
      </c>
      <c r="AD226" s="5">
        <f t="shared" ca="1" si="52"/>
        <v>4755</v>
      </c>
      <c r="AE226" s="5">
        <f t="shared" ca="1" si="53"/>
        <v>568800</v>
      </c>
      <c r="AF226" s="5">
        <f t="shared" ca="1" si="54"/>
        <v>331350</v>
      </c>
      <c r="AG226" s="79">
        <f ca="1">AC226+Z226*活动投放!$D$32</f>
        <v>37.5</v>
      </c>
      <c r="AH226" s="79">
        <f ca="1">Z226*活动投放!$E$32</f>
        <v>7.5</v>
      </c>
      <c r="AI226" s="79">
        <f ca="1">AD226+AA226*活动投放!$F$33</f>
        <v>6126.3</v>
      </c>
      <c r="AJ226" s="79">
        <f ca="1">AA226*活动投放!$G$33</f>
        <v>587.69999999999993</v>
      </c>
      <c r="AK226" s="79">
        <f ca="1">AB226*活动投放!$H$34</f>
        <v>2543.4</v>
      </c>
      <c r="AL226" s="79">
        <f ca="1">AB226*活动投放!$I$34</f>
        <v>282.60000000000002</v>
      </c>
      <c r="AN226" s="29">
        <f t="shared" si="47"/>
        <v>4800</v>
      </c>
      <c r="AO226" s="101">
        <f ca="1">IFERROR(AE226/活动投放!AA226,0)</f>
        <v>0.86038420813795191</v>
      </c>
      <c r="AP226" s="101">
        <f ca="1">IFERROR(AF226/活动投放!AB226,0)</f>
        <v>0.75238419618528607</v>
      </c>
      <c r="AQ226" s="101">
        <f ca="1">IFERROR(AG226/活动投放!AC226,0)</f>
        <v>7.8125E-2</v>
      </c>
      <c r="AR226" s="101">
        <f ca="1">IFERROR(AH226/活动投放!AD226,0)</f>
        <v>1.5625E-2</v>
      </c>
      <c r="AS226" s="101">
        <f ca="1">IFERROR(AI226/活动投放!AE226,0)</f>
        <v>5.4870577698163903</v>
      </c>
      <c r="AT226" s="101">
        <f ca="1">IFERROR(AJ226/活动投放!AF226,0)</f>
        <v>1.2282131661442004</v>
      </c>
      <c r="AU226" s="101">
        <f ca="1">IFERROR(AK226/活动投放!AG226,0)</f>
        <v>0.69674556213017758</v>
      </c>
      <c r="AV226" s="101">
        <f ca="1">IFERROR(AL226/活动投放!AH226,0)</f>
        <v>0.69674556213017758</v>
      </c>
    </row>
    <row r="227" spans="24:48" x14ac:dyDescent="0.15">
      <c r="X227" s="29">
        <f>基础状态预估!C227</f>
        <v>65535</v>
      </c>
      <c r="Y227" s="46">
        <f>基础状态预估!D227</f>
        <v>160</v>
      </c>
      <c r="Z227" s="5">
        <f t="shared" ca="1" si="48"/>
        <v>15</v>
      </c>
      <c r="AA227" s="5">
        <f t="shared" ca="1" si="49"/>
        <v>26253</v>
      </c>
      <c r="AB227" s="5">
        <f t="shared" ca="1" si="50"/>
        <v>39267</v>
      </c>
      <c r="AC227" s="5">
        <f t="shared" ca="1" si="51"/>
        <v>30</v>
      </c>
      <c r="AD227" s="5">
        <f t="shared" ca="1" si="52"/>
        <v>65490</v>
      </c>
      <c r="AE227" s="5">
        <f t="shared" ca="1" si="53"/>
        <v>7857000</v>
      </c>
      <c r="AF227" s="5">
        <f t="shared" ca="1" si="54"/>
        <v>4582800</v>
      </c>
      <c r="AG227" s="79">
        <f ca="1">AC227+Z227*活动投放!$D$32</f>
        <v>37.5</v>
      </c>
      <c r="AH227" s="79">
        <f ca="1">Z227*活动投放!$E$32</f>
        <v>7.5</v>
      </c>
      <c r="AI227" s="79">
        <f ca="1">AD227+AA227*活动投放!$F$33</f>
        <v>83867.100000000006</v>
      </c>
      <c r="AJ227" s="79">
        <f ca="1">AA227*活动投放!$G$33</f>
        <v>7875.9</v>
      </c>
      <c r="AK227" s="79">
        <f ca="1">AB227*活动投放!$H$34</f>
        <v>35340.300000000003</v>
      </c>
      <c r="AL227" s="79">
        <f ca="1">AB227*活动投放!$I$34</f>
        <v>3926.7000000000003</v>
      </c>
      <c r="AN227" s="29">
        <f t="shared" si="47"/>
        <v>65535</v>
      </c>
      <c r="AO227" s="101">
        <f ca="1">IFERROR(AE227/活动投放!AA227,0)</f>
        <v>0.85737669140113493</v>
      </c>
      <c r="AP227" s="101">
        <f ca="1">IFERROR(AF227/活动投放!AB227,0)</f>
        <v>0.75017187755770176</v>
      </c>
      <c r="AQ227" s="101">
        <f ca="1">IFERROR(AG227/活动投放!AC227,0)</f>
        <v>5.7221332112611578E-3</v>
      </c>
      <c r="AR227" s="101">
        <f ca="1">IFERROR(AH227/活动投放!AD227,0)</f>
        <v>1.1444266422522317E-3</v>
      </c>
      <c r="AS227" s="101">
        <f ca="1">IFERROR(AI227/活动投放!AE227,0)</f>
        <v>5.4858124018838312</v>
      </c>
      <c r="AT227" s="101">
        <f ca="1">IFERROR(AJ227/活动投放!AF227,0)</f>
        <v>1.2020604395604395</v>
      </c>
      <c r="AU227" s="101">
        <f ca="1">IFERROR(AK227/活动投放!AG227,0)</f>
        <v>0.69262519182262361</v>
      </c>
      <c r="AV227" s="101">
        <f ca="1">IFERROR(AL227/活动投放!AH227,0)</f>
        <v>0.69262519182262361</v>
      </c>
    </row>
  </sheetData>
  <mergeCells count="19">
    <mergeCell ref="AO9:AV9"/>
    <mergeCell ref="AO53:AV53"/>
    <mergeCell ref="AO97:AV97"/>
    <mergeCell ref="AO141:AV141"/>
    <mergeCell ref="AO185:AV185"/>
    <mergeCell ref="P4:R4"/>
    <mergeCell ref="Z97:AF97"/>
    <mergeCell ref="Z141:AF141"/>
    <mergeCell ref="Z185:AF185"/>
    <mergeCell ref="AG9:AL9"/>
    <mergeCell ref="AG53:AL53"/>
    <mergeCell ref="AG97:AL97"/>
    <mergeCell ref="AG141:AL141"/>
    <mergeCell ref="AG185:AL185"/>
    <mergeCell ref="F5:J5"/>
    <mergeCell ref="K5:O5"/>
    <mergeCell ref="P5:U5"/>
    <mergeCell ref="Z9:AF9"/>
    <mergeCell ref="Z53:AF5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2449F-44A1-488A-8FF9-C15F4B3C7B0C}">
  <dimension ref="A1:AM227"/>
  <sheetViews>
    <sheetView workbookViewId="0">
      <selection activeCell="L14" sqref="L14"/>
    </sheetView>
  </sheetViews>
  <sheetFormatPr defaultColWidth="9" defaultRowHeight="11.25" x14ac:dyDescent="0.15"/>
  <cols>
    <col min="1" max="1" width="9" style="4"/>
    <col min="2" max="2" width="9" style="19"/>
    <col min="3" max="3" width="13.875" style="19" bestFit="1" customWidth="1"/>
    <col min="4" max="4" width="13" style="19" bestFit="1" customWidth="1"/>
    <col min="5" max="6" width="10.375" style="19" bestFit="1" customWidth="1"/>
    <col min="7" max="7" width="6" style="19" bestFit="1" customWidth="1"/>
    <col min="8" max="8" width="10.375" style="19" bestFit="1" customWidth="1"/>
    <col min="9" max="10" width="12.25" style="19" bestFit="1" customWidth="1"/>
    <col min="11" max="11" width="13.875" style="19" bestFit="1" customWidth="1"/>
    <col min="12" max="12" width="9.75" style="19" bestFit="1" customWidth="1"/>
    <col min="13" max="13" width="15.375" style="19" bestFit="1" customWidth="1"/>
    <col min="14" max="15" width="10.375" style="19" bestFit="1" customWidth="1"/>
    <col min="16" max="17" width="10.375" style="51" customWidth="1"/>
    <col min="18" max="18" width="9" style="19"/>
    <col min="19" max="21" width="7.25" style="31" customWidth="1"/>
    <col min="22" max="25" width="11.375" style="19" bestFit="1" customWidth="1"/>
    <col min="26" max="26" width="13.875" style="51" bestFit="1" customWidth="1"/>
    <col min="27" max="28" width="11.375" style="51" customWidth="1"/>
    <col min="29" max="32" width="9" style="19"/>
    <col min="33" max="34" width="9" style="51"/>
    <col min="35" max="38" width="9" style="19"/>
    <col min="39" max="39" width="12.25" style="19" bestFit="1" customWidth="1"/>
    <col min="40" max="16384" width="9" style="19"/>
  </cols>
  <sheetData>
    <row r="1" spans="1:39" x14ac:dyDescent="0.15">
      <c r="A1" s="4" t="s">
        <v>135</v>
      </c>
      <c r="S1" s="30" t="s">
        <v>181</v>
      </c>
      <c r="T1" s="55">
        <v>0.2</v>
      </c>
      <c r="U1" s="30"/>
    </row>
    <row r="2" spans="1:39" x14ac:dyDescent="0.15">
      <c r="S2" s="30"/>
      <c r="T2" s="30"/>
      <c r="U2" s="30"/>
    </row>
    <row r="3" spans="1:39" x14ac:dyDescent="0.15">
      <c r="S3" s="30"/>
      <c r="T3" s="30"/>
      <c r="U3" s="30"/>
    </row>
    <row r="4" spans="1:39" x14ac:dyDescent="0.15">
      <c r="S4" s="30"/>
      <c r="T4" s="30"/>
      <c r="U4" s="30"/>
    </row>
    <row r="5" spans="1:39" x14ac:dyDescent="0.15">
      <c r="S5" s="30"/>
      <c r="T5" s="30"/>
      <c r="U5" s="30"/>
    </row>
    <row r="6" spans="1:39" x14ac:dyDescent="0.15">
      <c r="I6" s="92" t="s">
        <v>168</v>
      </c>
      <c r="J6" s="92"/>
      <c r="K6" s="92"/>
      <c r="L6" s="92"/>
      <c r="M6" s="92"/>
      <c r="S6" s="19"/>
      <c r="T6" s="30"/>
      <c r="U6" s="30"/>
      <c r="V6" s="30"/>
    </row>
    <row r="7" spans="1:39" x14ac:dyDescent="0.15">
      <c r="D7" s="19" t="s">
        <v>140</v>
      </c>
      <c r="E7" s="19" t="s">
        <v>173</v>
      </c>
      <c r="F7" s="19" t="s">
        <v>156</v>
      </c>
      <c r="G7" s="19" t="s">
        <v>157</v>
      </c>
      <c r="H7" s="19" t="s">
        <v>139</v>
      </c>
      <c r="I7" s="19" t="s">
        <v>164</v>
      </c>
      <c r="J7" s="19" t="s">
        <v>165</v>
      </c>
      <c r="K7" s="19" t="s">
        <v>166</v>
      </c>
      <c r="L7" s="19" t="s">
        <v>167</v>
      </c>
      <c r="M7" s="19" t="s">
        <v>141</v>
      </c>
      <c r="N7" s="19" t="s">
        <v>138</v>
      </c>
      <c r="O7" s="19" t="s">
        <v>169</v>
      </c>
      <c r="S7" s="19"/>
      <c r="T7" s="30"/>
      <c r="U7" s="30"/>
      <c r="V7" s="30"/>
    </row>
    <row r="8" spans="1:39" x14ac:dyDescent="0.15">
      <c r="C8" s="19" t="s">
        <v>136</v>
      </c>
      <c r="D8" s="19">
        <v>15</v>
      </c>
      <c r="E8" s="19">
        <v>30</v>
      </c>
      <c r="F8" s="19">
        <v>198</v>
      </c>
      <c r="G8" s="19">
        <f>INDEX(其他调用!$P$4:$P$15,MATCH(F8,其他调用!$L$4:$L$15,0))</f>
        <v>4.5</v>
      </c>
      <c r="H8" s="19">
        <v>10</v>
      </c>
      <c r="I8" s="53">
        <f>F8*10</f>
        <v>1980</v>
      </c>
      <c r="J8" s="19">
        <f>INDEX($D$36:$F$36,MATCH(C8,$D$22:$F$22,0))</f>
        <v>5065.7174170280086</v>
      </c>
      <c r="K8" s="19">
        <v>1800</v>
      </c>
      <c r="L8" s="19">
        <f>SUM(I8:K8)/F8/10</f>
        <v>4.4675340490040449</v>
      </c>
      <c r="M8" s="19">
        <f>J8/F8/G8/10</f>
        <v>0.56854291998069684</v>
      </c>
      <c r="N8" s="19">
        <v>1</v>
      </c>
      <c r="O8" s="51">
        <f>ROUND(INDEX($D$36:$E$36,MATCH(C8,$D$22:$E$22,0))/1000,0)*1000</f>
        <v>5000</v>
      </c>
      <c r="S8" s="19"/>
      <c r="T8" s="30"/>
      <c r="U8" s="30"/>
      <c r="V8" s="30"/>
    </row>
    <row r="9" spans="1:39" x14ac:dyDescent="0.15">
      <c r="C9" s="19" t="s">
        <v>137</v>
      </c>
      <c r="D9" s="19">
        <v>15</v>
      </c>
      <c r="E9" s="19">
        <v>90</v>
      </c>
      <c r="F9" s="19">
        <v>648</v>
      </c>
      <c r="G9" s="19">
        <f>INDEX(其他调用!$P$4:$P$15,MATCH(F9,其他调用!$L$4:$L$15,0))</f>
        <v>4</v>
      </c>
      <c r="H9" s="19">
        <v>10</v>
      </c>
      <c r="I9" s="53">
        <f>F9*10</f>
        <v>6480</v>
      </c>
      <c r="J9" s="19">
        <f>INDEX($D$36:$F$36,MATCH(C9,$D$22:$F$22,0))</f>
        <v>15179.870412951737</v>
      </c>
      <c r="K9" s="19">
        <v>4500</v>
      </c>
      <c r="L9" s="19">
        <f>SUM(I9:K9)/F9/10</f>
        <v>4.0370170390357618</v>
      </c>
      <c r="M9" s="19">
        <f>J9/F9/G9/10</f>
        <v>0.5856431486478294</v>
      </c>
      <c r="N9" s="19">
        <v>1</v>
      </c>
      <c r="O9" s="19">
        <f>ROUND(INDEX($D$36:$E$36,MATCH(C9,$D$22:$E$22,0))/1000,0)*1000</f>
        <v>15000</v>
      </c>
      <c r="S9" s="32" t="s">
        <v>17</v>
      </c>
      <c r="T9" s="26"/>
      <c r="U9" s="26"/>
      <c r="V9" s="84" t="s">
        <v>174</v>
      </c>
      <c r="W9" s="84"/>
      <c r="X9" s="84"/>
      <c r="Y9" s="84"/>
      <c r="AA9" s="85" t="s">
        <v>182</v>
      </c>
      <c r="AB9" s="95"/>
      <c r="AC9" s="95"/>
      <c r="AD9" s="95"/>
      <c r="AE9" s="95"/>
      <c r="AF9" s="86"/>
      <c r="AG9" s="85" t="s">
        <v>183</v>
      </c>
      <c r="AH9" s="95"/>
      <c r="AI9" s="95"/>
      <c r="AJ9" s="95"/>
      <c r="AK9" s="95"/>
      <c r="AL9" s="86"/>
      <c r="AM9" s="50"/>
    </row>
    <row r="10" spans="1:39" ht="22.5" x14ac:dyDescent="0.15">
      <c r="H10" s="53"/>
      <c r="S10" s="27" t="s">
        <v>31</v>
      </c>
      <c r="T10" s="27" t="s">
        <v>25</v>
      </c>
      <c r="U10" s="27" t="s">
        <v>180</v>
      </c>
      <c r="V10" s="20" t="s">
        <v>175</v>
      </c>
      <c r="W10" s="50" t="s">
        <v>177</v>
      </c>
      <c r="X10" s="50" t="s">
        <v>176</v>
      </c>
      <c r="Y10" s="20" t="s">
        <v>178</v>
      </c>
      <c r="Z10" s="50" t="s">
        <v>193</v>
      </c>
      <c r="AA10" s="50" t="s">
        <v>185</v>
      </c>
      <c r="AB10" s="50" t="s">
        <v>186</v>
      </c>
      <c r="AC10" s="50" t="s">
        <v>27</v>
      </c>
      <c r="AD10" s="50" t="s">
        <v>29</v>
      </c>
      <c r="AE10" s="50" t="s">
        <v>28</v>
      </c>
      <c r="AF10" s="50" t="s">
        <v>43</v>
      </c>
      <c r="AG10" s="50" t="s">
        <v>185</v>
      </c>
      <c r="AH10" s="50" t="s">
        <v>186</v>
      </c>
      <c r="AI10" s="50" t="s">
        <v>27</v>
      </c>
      <c r="AJ10" s="50" t="s">
        <v>29</v>
      </c>
      <c r="AK10" s="50" t="s">
        <v>28</v>
      </c>
      <c r="AL10" s="50" t="s">
        <v>43</v>
      </c>
      <c r="AM10" s="50" t="s">
        <v>184</v>
      </c>
    </row>
    <row r="11" spans="1:39" x14ac:dyDescent="0.15">
      <c r="D11" s="92" t="s">
        <v>170</v>
      </c>
      <c r="E11" s="92"/>
      <c r="F11" s="92"/>
      <c r="G11" s="92"/>
      <c r="H11" s="92"/>
      <c r="I11" s="92"/>
      <c r="J11" s="92" t="s">
        <v>171</v>
      </c>
      <c r="K11" s="92"/>
      <c r="L11" s="92"/>
      <c r="M11" s="92"/>
      <c r="N11" s="92"/>
      <c r="O11" s="92"/>
      <c r="P11" s="19"/>
      <c r="S11" s="29">
        <f>基础状态预估!C11</f>
        <v>15</v>
      </c>
      <c r="T11" s="29">
        <f>基础状态预估!D11</f>
        <v>40</v>
      </c>
      <c r="U11" s="29">
        <f t="shared" ref="U11:U51" si="0">$D$49/$C$49*15*$T$1</f>
        <v>0</v>
      </c>
      <c r="V11" s="20">
        <f>IF(W11&gt;0,0,MIN(IF($E$8&gt;$S11,0,1)*$U11/$F$8,$H$8))</f>
        <v>0</v>
      </c>
      <c r="W11" s="50">
        <f>MIN(IF($E$9&gt;$S11,0,1)*$U11/$F$9,$H$9)</f>
        <v>0</v>
      </c>
      <c r="X11" s="50">
        <f>IF($E$8&gt;$S11,0,0.2)</f>
        <v>0</v>
      </c>
      <c r="Y11" s="50">
        <f>IF($E$9&gt;$S11,0,0.2)</f>
        <v>0</v>
      </c>
      <c r="Z11" s="11">
        <f>S11/$D$8*(V11*$F$8*$G$8*10+W11*$F$9*$G$9*10+X11*$O$8+Y11*$O$9)</f>
        <v>0</v>
      </c>
      <c r="AA11" s="11">
        <f t="shared" ref="AA11:AB11" si="1">$S11/$D$8*($V11+$X11)*D$13+$S11/$D$9*($W11+$Y11)*D$14</f>
        <v>0</v>
      </c>
      <c r="AB11" s="11">
        <f t="shared" si="1"/>
        <v>0</v>
      </c>
      <c r="AC11" s="11">
        <f>$S11/$D$8*($V11+$X11)*F$13+$S11/$D$9*($W11+$Y11)*F$14</f>
        <v>0</v>
      </c>
      <c r="AD11" s="11">
        <f>$S11/$D$8*($V11+$X11)*G$13+$S11/$D$9*($W11+$Y11)*G$14</f>
        <v>0</v>
      </c>
      <c r="AE11" s="11">
        <f>$S11/$D$8*($V11+$X11)*H$13+$S11/$D$9*($W11+$Y11)*H$14</f>
        <v>0</v>
      </c>
      <c r="AF11" s="11">
        <f>$S11/$D$8*($V11+$X11)*I$13+$S11/$D$9*($W11+$Y11)*I$14</f>
        <v>0</v>
      </c>
      <c r="AG11" s="11">
        <f t="shared" ref="AG11:AM11" si="2">$S11/$D$8*($V11+$X11)*J$13+$S11/$D$9*($W11+$Y11)*J$14</f>
        <v>0</v>
      </c>
      <c r="AH11" s="11">
        <f t="shared" si="2"/>
        <v>0</v>
      </c>
      <c r="AI11" s="11">
        <f t="shared" si="2"/>
        <v>0</v>
      </c>
      <c r="AJ11" s="11">
        <f t="shared" si="2"/>
        <v>0</v>
      </c>
      <c r="AK11" s="11">
        <f t="shared" si="2"/>
        <v>0</v>
      </c>
      <c r="AL11" s="11">
        <f t="shared" si="2"/>
        <v>0</v>
      </c>
      <c r="AM11" s="11">
        <f t="shared" si="2"/>
        <v>0</v>
      </c>
    </row>
    <row r="12" spans="1:39" x14ac:dyDescent="0.15">
      <c r="D12" s="19" t="s">
        <v>185</v>
      </c>
      <c r="E12" s="19" t="s">
        <v>186</v>
      </c>
      <c r="F12" s="19" t="s">
        <v>27</v>
      </c>
      <c r="G12" s="19" t="s">
        <v>29</v>
      </c>
      <c r="H12" s="19" t="s">
        <v>28</v>
      </c>
      <c r="I12" s="19" t="s">
        <v>43</v>
      </c>
      <c r="J12" s="51" t="s">
        <v>185</v>
      </c>
      <c r="K12" s="51" t="s">
        <v>186</v>
      </c>
      <c r="L12" s="19" t="s">
        <v>27</v>
      </c>
      <c r="M12" s="19" t="s">
        <v>29</v>
      </c>
      <c r="N12" s="19" t="s">
        <v>28</v>
      </c>
      <c r="O12" s="19" t="s">
        <v>43</v>
      </c>
      <c r="P12" s="19" t="s">
        <v>172</v>
      </c>
      <c r="S12" s="29">
        <f>基础状态预估!C12</f>
        <v>30</v>
      </c>
      <c r="T12" s="29">
        <f>基础状态预估!D12</f>
        <v>49.533352307096472</v>
      </c>
      <c r="U12" s="29">
        <f t="shared" si="0"/>
        <v>0</v>
      </c>
      <c r="V12" s="50">
        <f t="shared" ref="V12:V51" si="3">IF(W12&gt;0,0,MIN(IF($E$8&gt;$S12,0,1)*$U12/$F$8,$H$8))</f>
        <v>0</v>
      </c>
      <c r="W12" s="50">
        <f t="shared" ref="W12:W51" si="4">MIN(IF($E$9&gt;$S12,0,1)*$U12/$F$9,$H$9)</f>
        <v>0</v>
      </c>
      <c r="X12" s="50">
        <f t="shared" ref="X12:X51" si="5">IF($E$8&gt;$S12,0,0.2)</f>
        <v>0.2</v>
      </c>
      <c r="Y12" s="50">
        <f t="shared" ref="Y12:Y51" si="6">IF($E$9&gt;$S12,0,0.2)</f>
        <v>0</v>
      </c>
      <c r="Z12" s="50">
        <f>(S12-S11)/$D$8*(V12*$F$8+W12*$F$9+X12*$O$8+Y12*$O$9)+Z11</f>
        <v>1000</v>
      </c>
      <c r="AA12" s="5">
        <f>($S12-$S11)/$D$8*($V12+$X12)*D$13+($S12-$S11)/$D$9*($W12+$Y12)*D$14+AA11</f>
        <v>0.5</v>
      </c>
      <c r="AB12" s="5">
        <f t="shared" ref="AB12" si="7">($S12-$S11)/$D$8*($V12+$X12)*E$13+($S12-$S11)/$D$9*($W12+$Y12)*E$14+AB11</f>
        <v>0.5</v>
      </c>
      <c r="AC12" s="5">
        <f t="shared" ref="AC12" si="8">($S12-$S11)/$D$8*($V12+$X12)*F$13+($S12-$S11)/$D$9*($W12+$Y12)*F$14+AC11</f>
        <v>0.27999999999999997</v>
      </c>
      <c r="AD12" s="5">
        <f t="shared" ref="AD12" si="9">($S12-$S11)/$D$8*($V12+$X12)*G$13+($S12-$S11)/$D$9*($W12+$Y12)*G$14+AD11</f>
        <v>0.12</v>
      </c>
      <c r="AE12" s="5">
        <f t="shared" ref="AE12" si="10">($S12-$S11)/$D$8*($V12+$X12)*H$13+($S12-$S11)/$D$9*($W12+$Y12)*H$14+AE11</f>
        <v>0</v>
      </c>
      <c r="AF12" s="5">
        <f t="shared" ref="AF12" si="11">($S12-$S11)/$D$8*($V12+$X12)*I$13+($S12-$S11)/$D$9*($W12+$Y12)*I$14+AF11</f>
        <v>0</v>
      </c>
      <c r="AG12" s="5">
        <f t="shared" ref="AG12" si="12">($S12-$S11)/$D$8*($V12+$X12)*J$13+($S12-$S11)/$D$9*($W12+$Y12)*J$14+AG11</f>
        <v>0</v>
      </c>
      <c r="AH12" s="5">
        <f t="shared" ref="AH12" si="13">($S12-$S11)/$D$8*($V12+$X12)*K$13+($S12-$S11)/$D$9*($W12+$Y12)*K$14+AH11</f>
        <v>0</v>
      </c>
      <c r="AI12" s="5">
        <f t="shared" ref="AI12" si="14">($S12-$S11)/$D$8*($V12+$X12)*L$13+($S12-$S11)/$D$9*($W12+$Y12)*L$14+AI11</f>
        <v>0</v>
      </c>
      <c r="AJ12" s="5">
        <f t="shared" ref="AJ12" si="15">($S12-$S11)/$D$8*($V12+$X12)*M$13+($S12-$S11)/$D$9*($W12+$Y12)*M$14+AJ11</f>
        <v>6.6666666666666671E-3</v>
      </c>
      <c r="AK12" s="5">
        <f t="shared" ref="AK12" si="16">($S12-$S11)/$D$8*($V12+$X12)*N$13+($S12-$S11)/$D$9*($W12+$Y12)*N$14+AK11</f>
        <v>0</v>
      </c>
      <c r="AL12" s="5">
        <f t="shared" ref="AL12" si="17">($S12-$S11)/$D$8*($V12+$X12)*O$13+($S12-$S11)/$D$9*($W12+$Y12)*O$14+AL11</f>
        <v>0</v>
      </c>
      <c r="AM12" s="5">
        <f t="shared" ref="AM12" si="18">($S12-$S11)/$D$8*($V12+$X12)*P$13+($S12-$S11)/$D$9*($W12+$Y12)*P$14+AM11</f>
        <v>460</v>
      </c>
    </row>
    <row r="13" spans="1:39" x14ac:dyDescent="0.15">
      <c r="C13" s="19" t="s">
        <v>136</v>
      </c>
      <c r="D13" s="51">
        <f>SUMPRODUCT($D$24:$D$26,活动投放!D$32:D$34)</f>
        <v>2.5</v>
      </c>
      <c r="E13" s="51">
        <f>SUMPRODUCT($D$24:$D$26,活动投放!E$32:E$34)</f>
        <v>2.5</v>
      </c>
      <c r="F13" s="19">
        <f>SUMPRODUCT($D$24:$D$26,活动投放!F$32:F$34)</f>
        <v>1.4</v>
      </c>
      <c r="G13" s="19">
        <f>SUMPRODUCT($D$24:$D$26,活动投放!G$32:G$34)</f>
        <v>0.6</v>
      </c>
      <c r="H13" s="19">
        <f>SUMPRODUCT($D$24:$D$26,活动投放!H$32:H$34)</f>
        <v>0</v>
      </c>
      <c r="I13" s="19">
        <f>SUMPRODUCT($D$24:$D$26,活动投放!I$32:I$34)</f>
        <v>0</v>
      </c>
      <c r="J13" s="51">
        <f>SUMPRODUCT($D$28:$D$30,活动投放!D$36:D$38)</f>
        <v>0</v>
      </c>
      <c r="K13" s="51">
        <f>SUMPRODUCT($D$28:$D$30,活动投放!E$36:E$38)</f>
        <v>0</v>
      </c>
      <c r="L13" s="19">
        <f>SUMPRODUCT($D$28:$D$30,活动投放!F$36:F$38)</f>
        <v>0</v>
      </c>
      <c r="M13" s="19">
        <f>SUMPRODUCT($D$28:$D$30,活动投放!G$36:G$38)</f>
        <v>3.3333333333333333E-2</v>
      </c>
      <c r="N13" s="19">
        <f>SUMPRODUCT($D$28:$D$30,活动投放!H$36:H$38)</f>
        <v>0</v>
      </c>
      <c r="O13" s="19">
        <f>SUMPRODUCT($D$28:$D$30,活动投放!I$36:I$38)</f>
        <v>0</v>
      </c>
      <c r="P13" s="19">
        <f>K8+INDEX($D$32:$E$32,MATCH(C13,$D$22:$E$22,0))</f>
        <v>2300</v>
      </c>
      <c r="S13" s="29">
        <f>基础状态预估!C13</f>
        <v>45</v>
      </c>
      <c r="T13" s="29">
        <f>基础状态预估!D13</f>
        <v>55.229416240679981</v>
      </c>
      <c r="U13" s="29">
        <f t="shared" si="0"/>
        <v>0</v>
      </c>
      <c r="V13" s="50">
        <f t="shared" si="3"/>
        <v>0</v>
      </c>
      <c r="W13" s="50">
        <f t="shared" si="4"/>
        <v>0</v>
      </c>
      <c r="X13" s="50">
        <f t="shared" si="5"/>
        <v>0.2</v>
      </c>
      <c r="Y13" s="50">
        <f t="shared" si="6"/>
        <v>0</v>
      </c>
      <c r="Z13" s="50">
        <f t="shared" ref="Z13:Z51" si="19">(S13-S12)/$D$8*(V13*$F$8+W13*$F$9+X13*$O$8+Y13*$O$9)+Z12</f>
        <v>2000</v>
      </c>
      <c r="AA13" s="5">
        <f t="shared" ref="AA13:AA51" si="20">($S13-$S12)/$D$8*($V13+$X13)*D$13+($S13-$S12)/$D$9*($W13+$Y13)*D$14+AA12</f>
        <v>1</v>
      </c>
      <c r="AB13" s="5">
        <f t="shared" ref="AB13:AB51" si="21">($S13-$S12)/$D$8*($V13+$X13)*E$13+($S13-$S12)/$D$9*($W13+$Y13)*E$14+AB12</f>
        <v>1</v>
      </c>
      <c r="AC13" s="5">
        <f t="shared" ref="AC13:AC51" si="22">($S13-$S12)/$D$8*($V13+$X13)*F$13+($S13-$S12)/$D$9*($W13+$Y13)*F$14+AC12</f>
        <v>0.55999999999999994</v>
      </c>
      <c r="AD13" s="5">
        <f t="shared" ref="AD13:AD51" si="23">($S13-$S12)/$D$8*($V13+$X13)*G$13+($S13-$S12)/$D$9*($W13+$Y13)*G$14+AD12</f>
        <v>0.24</v>
      </c>
      <c r="AE13" s="5">
        <f t="shared" ref="AE13:AE51" si="24">($S13-$S12)/$D$8*($V13+$X13)*H$13+($S13-$S12)/$D$9*($W13+$Y13)*H$14+AE12</f>
        <v>0</v>
      </c>
      <c r="AF13" s="5">
        <f t="shared" ref="AF13:AF51" si="25">($S13-$S12)/$D$8*($V13+$X13)*I$13+($S13-$S12)/$D$9*($W13+$Y13)*I$14+AF12</f>
        <v>0</v>
      </c>
      <c r="AG13" s="5">
        <f t="shared" ref="AG13:AG51" si="26">($S13-$S12)/$D$8*($V13+$X13)*J$13+($S13-$S12)/$D$9*($W13+$Y13)*J$14+AG12</f>
        <v>0</v>
      </c>
      <c r="AH13" s="5">
        <f t="shared" ref="AH13:AH51" si="27">($S13-$S12)/$D$8*($V13+$X13)*K$13+($S13-$S12)/$D$9*($W13+$Y13)*K$14+AH12</f>
        <v>0</v>
      </c>
      <c r="AI13" s="5">
        <f t="shared" ref="AI13:AI51" si="28">($S13-$S12)/$D$8*($V13+$X13)*L$13+($S13-$S12)/$D$9*($W13+$Y13)*L$14+AI12</f>
        <v>0</v>
      </c>
      <c r="AJ13" s="5">
        <f t="shared" ref="AJ13:AJ51" si="29">($S13-$S12)/$D$8*($V13+$X13)*M$13+($S13-$S12)/$D$9*($W13+$Y13)*M$14+AJ12</f>
        <v>1.3333333333333334E-2</v>
      </c>
      <c r="AK13" s="5">
        <f t="shared" ref="AK13:AK51" si="30">($S13-$S12)/$D$8*($V13+$X13)*N$13+($S13-$S12)/$D$9*($W13+$Y13)*N$14+AK12</f>
        <v>0</v>
      </c>
      <c r="AL13" s="5">
        <f t="shared" ref="AL13:AL51" si="31">($S13-$S12)/$D$8*($V13+$X13)*O$13+($S13-$S12)/$D$9*($W13+$Y13)*O$14+AL12</f>
        <v>0</v>
      </c>
      <c r="AM13" s="5">
        <f t="shared" ref="AM13:AM51" si="32">($S13-$S12)/$D$8*($V13+$X13)*P$13+($S13-$S12)/$D$9*($W13+$Y13)*P$14+AM12</f>
        <v>920</v>
      </c>
    </row>
    <row r="14" spans="1:39" x14ac:dyDescent="0.15">
      <c r="C14" s="19" t="s">
        <v>137</v>
      </c>
      <c r="D14" s="51">
        <f>SUMPRODUCT($E$24:$E$26,活动投放!D$32:D$34)</f>
        <v>0</v>
      </c>
      <c r="E14" s="51">
        <f>SUMPRODUCT($E$24:$E$26,活动投放!E$32:E$34)</f>
        <v>0</v>
      </c>
      <c r="F14" s="19">
        <f>SUMPRODUCT($E$24:$E$26,活动投放!F$32:F$34)</f>
        <v>2.0999999999999996</v>
      </c>
      <c r="G14" s="19">
        <f>SUMPRODUCT($E$24:$E$26,活动投放!G$32:G$34)</f>
        <v>0.89999999999999991</v>
      </c>
      <c r="H14" s="19">
        <f>SUMPRODUCT($E$24:$E$26,活动投放!H$32:H$34)</f>
        <v>0.9</v>
      </c>
      <c r="I14" s="19">
        <f>SUMPRODUCT($E$24:$E$26,活动投放!I$32:I$34)</f>
        <v>0.1</v>
      </c>
      <c r="J14" s="51">
        <f>SUMPRODUCT($E$28:$E$30,活动投放!D$36:D$38)</f>
        <v>0</v>
      </c>
      <c r="K14" s="51">
        <f>SUMPRODUCT($E$28:$E$30,活动投放!E$36:E$38)</f>
        <v>0</v>
      </c>
      <c r="L14" s="19">
        <f>SUMPRODUCT($E$28:$E$30,活动投放!F$36:F$38)</f>
        <v>0</v>
      </c>
      <c r="M14" s="19">
        <f>SUMPRODUCT($E$28:$E$30,活动投放!G$36:G$38)</f>
        <v>0</v>
      </c>
      <c r="N14" s="19">
        <f>SUMPRODUCT($E$28:$E$30,活动投放!H$36:H$38)</f>
        <v>0</v>
      </c>
      <c r="O14" s="19">
        <f>SUMPRODUCT($E$28:$E$30,活动投放!I$36:I$38)</f>
        <v>0.02</v>
      </c>
      <c r="P14" s="19">
        <f>K9+INDEX($D$32:$E$32,MATCH(C14,$D$22:$E$22,0))</f>
        <v>5500</v>
      </c>
      <c r="S14" s="29">
        <f>基础状态预估!C14</f>
        <v>60</v>
      </c>
      <c r="T14" s="29">
        <f>基础状态预估!D14</f>
        <v>59.300028460644697</v>
      </c>
      <c r="U14" s="29">
        <f t="shared" si="0"/>
        <v>0</v>
      </c>
      <c r="V14" s="50">
        <f t="shared" si="3"/>
        <v>0</v>
      </c>
      <c r="W14" s="50">
        <f t="shared" si="4"/>
        <v>0</v>
      </c>
      <c r="X14" s="50">
        <f t="shared" si="5"/>
        <v>0.2</v>
      </c>
      <c r="Y14" s="50">
        <f t="shared" si="6"/>
        <v>0</v>
      </c>
      <c r="Z14" s="50">
        <f t="shared" si="19"/>
        <v>3000</v>
      </c>
      <c r="AA14" s="5">
        <f t="shared" si="20"/>
        <v>1.5</v>
      </c>
      <c r="AB14" s="5">
        <f t="shared" si="21"/>
        <v>1.5</v>
      </c>
      <c r="AC14" s="5">
        <f t="shared" si="22"/>
        <v>0.83999999999999986</v>
      </c>
      <c r="AD14" s="5">
        <f t="shared" si="23"/>
        <v>0.36</v>
      </c>
      <c r="AE14" s="5">
        <f t="shared" si="24"/>
        <v>0</v>
      </c>
      <c r="AF14" s="5">
        <f t="shared" si="25"/>
        <v>0</v>
      </c>
      <c r="AG14" s="5">
        <f t="shared" si="26"/>
        <v>0</v>
      </c>
      <c r="AH14" s="5">
        <f t="shared" si="27"/>
        <v>0</v>
      </c>
      <c r="AI14" s="5">
        <f t="shared" si="28"/>
        <v>0</v>
      </c>
      <c r="AJ14" s="5">
        <f t="shared" si="29"/>
        <v>0.02</v>
      </c>
      <c r="AK14" s="5">
        <f t="shared" si="30"/>
        <v>0</v>
      </c>
      <c r="AL14" s="5">
        <f t="shared" si="31"/>
        <v>0</v>
      </c>
      <c r="AM14" s="5">
        <f t="shared" si="32"/>
        <v>1380</v>
      </c>
    </row>
    <row r="15" spans="1:39" x14ac:dyDescent="0.15">
      <c r="S15" s="29">
        <f>基础状态预估!C15</f>
        <v>75</v>
      </c>
      <c r="T15" s="29">
        <f>基础状态预估!D15</f>
        <v>62.470630686057078</v>
      </c>
      <c r="U15" s="29">
        <f t="shared" si="0"/>
        <v>0</v>
      </c>
      <c r="V15" s="50">
        <f t="shared" si="3"/>
        <v>0</v>
      </c>
      <c r="W15" s="50">
        <f t="shared" si="4"/>
        <v>0</v>
      </c>
      <c r="X15" s="50">
        <f t="shared" si="5"/>
        <v>0.2</v>
      </c>
      <c r="Y15" s="50">
        <f t="shared" si="6"/>
        <v>0</v>
      </c>
      <c r="Z15" s="50">
        <f t="shared" si="19"/>
        <v>4000</v>
      </c>
      <c r="AA15" s="5">
        <f t="shared" si="20"/>
        <v>2</v>
      </c>
      <c r="AB15" s="5">
        <f t="shared" si="21"/>
        <v>2</v>
      </c>
      <c r="AC15" s="5">
        <f t="shared" si="22"/>
        <v>1.1199999999999999</v>
      </c>
      <c r="AD15" s="5">
        <f t="shared" si="23"/>
        <v>0.48</v>
      </c>
      <c r="AE15" s="5">
        <f t="shared" si="24"/>
        <v>0</v>
      </c>
      <c r="AF15" s="5">
        <f t="shared" si="25"/>
        <v>0</v>
      </c>
      <c r="AG15" s="5">
        <f t="shared" si="26"/>
        <v>0</v>
      </c>
      <c r="AH15" s="5">
        <f t="shared" si="27"/>
        <v>0</v>
      </c>
      <c r="AI15" s="5">
        <f t="shared" si="28"/>
        <v>0</v>
      </c>
      <c r="AJ15" s="5">
        <f t="shared" si="29"/>
        <v>2.6666666666666668E-2</v>
      </c>
      <c r="AK15" s="5">
        <f t="shared" si="30"/>
        <v>0</v>
      </c>
      <c r="AL15" s="5">
        <f t="shared" si="31"/>
        <v>0</v>
      </c>
      <c r="AM15" s="5">
        <f t="shared" si="32"/>
        <v>1840</v>
      </c>
    </row>
    <row r="16" spans="1:39" x14ac:dyDescent="0.15">
      <c r="S16" s="29">
        <f>基础状态预估!C16</f>
        <v>90</v>
      </c>
      <c r="T16" s="29">
        <f>基础状态预估!D16</f>
        <v>65.075479910097457</v>
      </c>
      <c r="U16" s="29">
        <f t="shared" si="0"/>
        <v>0</v>
      </c>
      <c r="V16" s="50">
        <f t="shared" si="3"/>
        <v>0</v>
      </c>
      <c r="W16" s="50">
        <f t="shared" si="4"/>
        <v>0</v>
      </c>
      <c r="X16" s="50">
        <f t="shared" si="5"/>
        <v>0.2</v>
      </c>
      <c r="Y16" s="50">
        <f t="shared" si="6"/>
        <v>0.2</v>
      </c>
      <c r="Z16" s="50">
        <f t="shared" si="19"/>
        <v>8000</v>
      </c>
      <c r="AA16" s="5">
        <f t="shared" si="20"/>
        <v>2.5</v>
      </c>
      <c r="AB16" s="5">
        <f t="shared" si="21"/>
        <v>2.5</v>
      </c>
      <c r="AC16" s="5">
        <f t="shared" si="22"/>
        <v>1.8199999999999998</v>
      </c>
      <c r="AD16" s="5">
        <f t="shared" si="23"/>
        <v>0.78</v>
      </c>
      <c r="AE16" s="5">
        <f t="shared" si="24"/>
        <v>0.18000000000000002</v>
      </c>
      <c r="AF16" s="5">
        <f t="shared" si="25"/>
        <v>2.0000000000000004E-2</v>
      </c>
      <c r="AG16" s="5">
        <f t="shared" si="26"/>
        <v>0</v>
      </c>
      <c r="AH16" s="5">
        <f t="shared" si="27"/>
        <v>0</v>
      </c>
      <c r="AI16" s="5">
        <f t="shared" si="28"/>
        <v>0</v>
      </c>
      <c r="AJ16" s="5">
        <f t="shared" si="29"/>
        <v>3.3333333333333333E-2</v>
      </c>
      <c r="AK16" s="5">
        <f t="shared" si="30"/>
        <v>0</v>
      </c>
      <c r="AL16" s="5">
        <f t="shared" si="31"/>
        <v>4.0000000000000001E-3</v>
      </c>
      <c r="AM16" s="5">
        <f t="shared" si="32"/>
        <v>3400</v>
      </c>
    </row>
    <row r="17" spans="3:39" x14ac:dyDescent="0.15">
      <c r="S17" s="29">
        <f>基础状态预估!C17</f>
        <v>105</v>
      </c>
      <c r="T17" s="29">
        <f>基础状态预估!D17</f>
        <v>67.272265912925377</v>
      </c>
      <c r="U17" s="29">
        <f t="shared" si="0"/>
        <v>0</v>
      </c>
      <c r="V17" s="50">
        <f t="shared" si="3"/>
        <v>0</v>
      </c>
      <c r="W17" s="50">
        <f t="shared" si="4"/>
        <v>0</v>
      </c>
      <c r="X17" s="50">
        <f t="shared" si="5"/>
        <v>0.2</v>
      </c>
      <c r="Y17" s="50">
        <f t="shared" si="6"/>
        <v>0.2</v>
      </c>
      <c r="Z17" s="50">
        <f t="shared" si="19"/>
        <v>12000</v>
      </c>
      <c r="AA17" s="5">
        <f t="shared" si="20"/>
        <v>3</v>
      </c>
      <c r="AB17" s="5">
        <f t="shared" si="21"/>
        <v>3</v>
      </c>
      <c r="AC17" s="5">
        <f t="shared" si="22"/>
        <v>2.5199999999999996</v>
      </c>
      <c r="AD17" s="5">
        <f t="shared" si="23"/>
        <v>1.08</v>
      </c>
      <c r="AE17" s="5">
        <f t="shared" si="24"/>
        <v>0.36000000000000004</v>
      </c>
      <c r="AF17" s="5">
        <f t="shared" si="25"/>
        <v>4.0000000000000008E-2</v>
      </c>
      <c r="AG17" s="5">
        <f t="shared" si="26"/>
        <v>0</v>
      </c>
      <c r="AH17" s="5">
        <f t="shared" si="27"/>
        <v>0</v>
      </c>
      <c r="AI17" s="5">
        <f t="shared" si="28"/>
        <v>0</v>
      </c>
      <c r="AJ17" s="5">
        <f t="shared" si="29"/>
        <v>0.04</v>
      </c>
      <c r="AK17" s="5">
        <f t="shared" si="30"/>
        <v>0</v>
      </c>
      <c r="AL17" s="5">
        <f t="shared" si="31"/>
        <v>8.0000000000000002E-3</v>
      </c>
      <c r="AM17" s="5">
        <f t="shared" si="32"/>
        <v>4960</v>
      </c>
    </row>
    <row r="18" spans="3:39" x14ac:dyDescent="0.15">
      <c r="S18" s="29">
        <f>基础状态预估!C18</f>
        <v>120</v>
      </c>
      <c r="T18" s="29">
        <f>基础状态预估!D18</f>
        <v>69.18336653741882</v>
      </c>
      <c r="U18" s="29">
        <f t="shared" si="0"/>
        <v>0</v>
      </c>
      <c r="V18" s="50">
        <f t="shared" si="3"/>
        <v>0</v>
      </c>
      <c r="W18" s="50">
        <f t="shared" si="4"/>
        <v>0</v>
      </c>
      <c r="X18" s="50">
        <f t="shared" si="5"/>
        <v>0.2</v>
      </c>
      <c r="Y18" s="50">
        <f t="shared" si="6"/>
        <v>0.2</v>
      </c>
      <c r="Z18" s="50">
        <f t="shared" si="19"/>
        <v>16000</v>
      </c>
      <c r="AA18" s="5">
        <f t="shared" si="20"/>
        <v>3.5</v>
      </c>
      <c r="AB18" s="5">
        <f t="shared" si="21"/>
        <v>3.5</v>
      </c>
      <c r="AC18" s="5">
        <f t="shared" si="22"/>
        <v>3.2199999999999998</v>
      </c>
      <c r="AD18" s="5">
        <f t="shared" si="23"/>
        <v>1.3800000000000001</v>
      </c>
      <c r="AE18" s="5">
        <f t="shared" si="24"/>
        <v>0.54</v>
      </c>
      <c r="AF18" s="5">
        <f t="shared" si="25"/>
        <v>6.0000000000000012E-2</v>
      </c>
      <c r="AG18" s="5">
        <f t="shared" si="26"/>
        <v>0</v>
      </c>
      <c r="AH18" s="5">
        <f t="shared" si="27"/>
        <v>0</v>
      </c>
      <c r="AI18" s="5">
        <f t="shared" si="28"/>
        <v>0</v>
      </c>
      <c r="AJ18" s="5">
        <f t="shared" si="29"/>
        <v>4.6666666666666669E-2</v>
      </c>
      <c r="AK18" s="5">
        <f t="shared" si="30"/>
        <v>0</v>
      </c>
      <c r="AL18" s="5">
        <f t="shared" si="31"/>
        <v>1.2E-2</v>
      </c>
      <c r="AM18" s="5">
        <f t="shared" si="32"/>
        <v>6520</v>
      </c>
    </row>
    <row r="19" spans="3:39" x14ac:dyDescent="0.15">
      <c r="S19" s="29">
        <f>基础状态预估!C19</f>
        <v>150</v>
      </c>
      <c r="T19" s="29">
        <f>基础状态预估!D19</f>
        <v>72.375871759353331</v>
      </c>
      <c r="U19" s="29">
        <f t="shared" si="0"/>
        <v>0</v>
      </c>
      <c r="V19" s="50">
        <f t="shared" si="3"/>
        <v>0</v>
      </c>
      <c r="W19" s="50">
        <f t="shared" si="4"/>
        <v>0</v>
      </c>
      <c r="X19" s="50">
        <f t="shared" si="5"/>
        <v>0.2</v>
      </c>
      <c r="Y19" s="50">
        <f t="shared" si="6"/>
        <v>0.2</v>
      </c>
      <c r="Z19" s="50">
        <f t="shared" si="19"/>
        <v>24000</v>
      </c>
      <c r="AA19" s="5">
        <f t="shared" si="20"/>
        <v>4.5</v>
      </c>
      <c r="AB19" s="5">
        <f t="shared" si="21"/>
        <v>4.5</v>
      </c>
      <c r="AC19" s="5">
        <f t="shared" si="22"/>
        <v>4.6199999999999992</v>
      </c>
      <c r="AD19" s="5">
        <f t="shared" si="23"/>
        <v>1.98</v>
      </c>
      <c r="AE19" s="5">
        <f t="shared" si="24"/>
        <v>0.90000000000000013</v>
      </c>
      <c r="AF19" s="5">
        <f t="shared" si="25"/>
        <v>0.10000000000000002</v>
      </c>
      <c r="AG19" s="5">
        <f t="shared" si="26"/>
        <v>0</v>
      </c>
      <c r="AH19" s="5">
        <f t="shared" si="27"/>
        <v>0</v>
      </c>
      <c r="AI19" s="5">
        <f t="shared" si="28"/>
        <v>0</v>
      </c>
      <c r="AJ19" s="5">
        <f t="shared" si="29"/>
        <v>6.0000000000000005E-2</v>
      </c>
      <c r="AK19" s="5">
        <f t="shared" si="30"/>
        <v>0</v>
      </c>
      <c r="AL19" s="5">
        <f t="shared" si="31"/>
        <v>0.02</v>
      </c>
      <c r="AM19" s="5">
        <f t="shared" si="32"/>
        <v>9640</v>
      </c>
    </row>
    <row r="20" spans="3:39" x14ac:dyDescent="0.15">
      <c r="S20" s="29">
        <f>基础状态预估!C20</f>
        <v>180</v>
      </c>
      <c r="T20" s="29">
        <f>基础状态预估!D20</f>
        <v>74.998404927577795</v>
      </c>
      <c r="U20" s="29">
        <f t="shared" si="0"/>
        <v>0</v>
      </c>
      <c r="V20" s="50">
        <f t="shared" si="3"/>
        <v>0</v>
      </c>
      <c r="W20" s="50">
        <f t="shared" si="4"/>
        <v>0</v>
      </c>
      <c r="X20" s="50">
        <f t="shared" si="5"/>
        <v>0.2</v>
      </c>
      <c r="Y20" s="50">
        <f t="shared" si="6"/>
        <v>0.2</v>
      </c>
      <c r="Z20" s="50">
        <f t="shared" si="19"/>
        <v>32000</v>
      </c>
      <c r="AA20" s="5">
        <f t="shared" si="20"/>
        <v>5.5</v>
      </c>
      <c r="AB20" s="5">
        <f t="shared" si="21"/>
        <v>5.5</v>
      </c>
      <c r="AC20" s="5">
        <f t="shared" si="22"/>
        <v>6.02</v>
      </c>
      <c r="AD20" s="5">
        <f t="shared" si="23"/>
        <v>2.58</v>
      </c>
      <c r="AE20" s="5">
        <f t="shared" si="24"/>
        <v>1.2600000000000002</v>
      </c>
      <c r="AF20" s="5">
        <f t="shared" si="25"/>
        <v>0.14000000000000001</v>
      </c>
      <c r="AG20" s="5">
        <f t="shared" si="26"/>
        <v>0</v>
      </c>
      <c r="AH20" s="5">
        <f t="shared" si="27"/>
        <v>0</v>
      </c>
      <c r="AI20" s="5">
        <f t="shared" si="28"/>
        <v>0</v>
      </c>
      <c r="AJ20" s="5">
        <f t="shared" si="29"/>
        <v>7.3333333333333334E-2</v>
      </c>
      <c r="AK20" s="5">
        <f t="shared" si="30"/>
        <v>0</v>
      </c>
      <c r="AL20" s="5">
        <f t="shared" si="31"/>
        <v>2.8000000000000001E-2</v>
      </c>
      <c r="AM20" s="5">
        <f t="shared" si="32"/>
        <v>12760</v>
      </c>
    </row>
    <row r="21" spans="3:39" x14ac:dyDescent="0.15">
      <c r="S21" s="29">
        <f>基础状态预估!C21</f>
        <v>210</v>
      </c>
      <c r="T21" s="29">
        <f>基础状态预估!D21</f>
        <v>77.205261233275195</v>
      </c>
      <c r="U21" s="29">
        <f t="shared" si="0"/>
        <v>0</v>
      </c>
      <c r="V21" s="50">
        <f t="shared" si="3"/>
        <v>0</v>
      </c>
      <c r="W21" s="50">
        <f t="shared" si="4"/>
        <v>0</v>
      </c>
      <c r="X21" s="50">
        <f t="shared" si="5"/>
        <v>0.2</v>
      </c>
      <c r="Y21" s="50">
        <f t="shared" si="6"/>
        <v>0.2</v>
      </c>
      <c r="Z21" s="50">
        <f t="shared" si="19"/>
        <v>40000</v>
      </c>
      <c r="AA21" s="5">
        <f t="shared" si="20"/>
        <v>6.5</v>
      </c>
      <c r="AB21" s="5">
        <f t="shared" si="21"/>
        <v>6.5</v>
      </c>
      <c r="AC21" s="5">
        <f t="shared" si="22"/>
        <v>7.42</v>
      </c>
      <c r="AD21" s="5">
        <f t="shared" si="23"/>
        <v>3.18</v>
      </c>
      <c r="AE21" s="5">
        <f t="shared" si="24"/>
        <v>1.6200000000000003</v>
      </c>
      <c r="AF21" s="5">
        <f t="shared" si="25"/>
        <v>0.18000000000000002</v>
      </c>
      <c r="AG21" s="5">
        <f t="shared" si="26"/>
        <v>0</v>
      </c>
      <c r="AH21" s="5">
        <f t="shared" si="27"/>
        <v>0</v>
      </c>
      <c r="AI21" s="5">
        <f t="shared" si="28"/>
        <v>0</v>
      </c>
      <c r="AJ21" s="5">
        <f t="shared" si="29"/>
        <v>8.666666666666667E-2</v>
      </c>
      <c r="AK21" s="5">
        <f t="shared" si="30"/>
        <v>0</v>
      </c>
      <c r="AL21" s="5">
        <f t="shared" si="31"/>
        <v>3.6000000000000004E-2</v>
      </c>
      <c r="AM21" s="5">
        <f t="shared" si="32"/>
        <v>15880</v>
      </c>
    </row>
    <row r="22" spans="3:39" x14ac:dyDescent="0.15">
      <c r="C22" s="19" t="s">
        <v>142</v>
      </c>
      <c r="D22" s="19" t="s">
        <v>136</v>
      </c>
      <c r="E22" s="19" t="s">
        <v>137</v>
      </c>
      <c r="S22" s="29">
        <f>基础状态预估!C22</f>
        <v>240</v>
      </c>
      <c r="T22" s="29">
        <f>基础状态预估!D22</f>
        <v>79.125035575805882</v>
      </c>
      <c r="U22" s="29">
        <f t="shared" si="0"/>
        <v>0</v>
      </c>
      <c r="V22" s="50">
        <f t="shared" si="3"/>
        <v>0</v>
      </c>
      <c r="W22" s="50">
        <f t="shared" si="4"/>
        <v>0</v>
      </c>
      <c r="X22" s="50">
        <f t="shared" si="5"/>
        <v>0.2</v>
      </c>
      <c r="Y22" s="50">
        <f t="shared" si="6"/>
        <v>0.2</v>
      </c>
      <c r="Z22" s="50">
        <f t="shared" si="19"/>
        <v>48000</v>
      </c>
      <c r="AA22" s="5">
        <f t="shared" si="20"/>
        <v>7.5</v>
      </c>
      <c r="AB22" s="5">
        <f t="shared" si="21"/>
        <v>7.5</v>
      </c>
      <c r="AC22" s="5">
        <f t="shared" si="22"/>
        <v>8.82</v>
      </c>
      <c r="AD22" s="5">
        <f t="shared" si="23"/>
        <v>3.7800000000000002</v>
      </c>
      <c r="AE22" s="5">
        <f t="shared" si="24"/>
        <v>1.9800000000000004</v>
      </c>
      <c r="AF22" s="5">
        <f t="shared" si="25"/>
        <v>0.22000000000000003</v>
      </c>
      <c r="AG22" s="5">
        <f t="shared" si="26"/>
        <v>0</v>
      </c>
      <c r="AH22" s="5">
        <f t="shared" si="27"/>
        <v>0</v>
      </c>
      <c r="AI22" s="5">
        <f t="shared" si="28"/>
        <v>0</v>
      </c>
      <c r="AJ22" s="5">
        <f t="shared" si="29"/>
        <v>0.1</v>
      </c>
      <c r="AK22" s="5">
        <f t="shared" si="30"/>
        <v>0</v>
      </c>
      <c r="AL22" s="5">
        <f t="shared" si="31"/>
        <v>4.4000000000000004E-2</v>
      </c>
      <c r="AM22" s="5">
        <f t="shared" si="32"/>
        <v>19000</v>
      </c>
    </row>
    <row r="23" spans="3:39" x14ac:dyDescent="0.15">
      <c r="S23" s="29">
        <f>基础状态预估!C23</f>
        <v>270</v>
      </c>
      <c r="T23" s="29">
        <f>基础状态预估!D23</f>
        <v>80.816370674194118</v>
      </c>
      <c r="U23" s="29">
        <f t="shared" si="0"/>
        <v>0</v>
      </c>
      <c r="V23" s="50">
        <f t="shared" si="3"/>
        <v>0</v>
      </c>
      <c r="W23" s="50">
        <f t="shared" si="4"/>
        <v>0</v>
      </c>
      <c r="X23" s="50">
        <f t="shared" si="5"/>
        <v>0.2</v>
      </c>
      <c r="Y23" s="50">
        <f t="shared" si="6"/>
        <v>0.2</v>
      </c>
      <c r="Z23" s="50">
        <f t="shared" si="19"/>
        <v>56000</v>
      </c>
      <c r="AA23" s="5">
        <f t="shared" si="20"/>
        <v>8.5</v>
      </c>
      <c r="AB23" s="5">
        <f t="shared" si="21"/>
        <v>8.5</v>
      </c>
      <c r="AC23" s="5">
        <f t="shared" si="22"/>
        <v>10.220000000000001</v>
      </c>
      <c r="AD23" s="5">
        <f t="shared" si="23"/>
        <v>4.38</v>
      </c>
      <c r="AE23" s="5">
        <f t="shared" si="24"/>
        <v>2.3400000000000003</v>
      </c>
      <c r="AF23" s="5">
        <f t="shared" si="25"/>
        <v>0.26</v>
      </c>
      <c r="AG23" s="5">
        <f t="shared" si="26"/>
        <v>0</v>
      </c>
      <c r="AH23" s="5">
        <f t="shared" si="27"/>
        <v>0</v>
      </c>
      <c r="AI23" s="5">
        <f t="shared" si="28"/>
        <v>0</v>
      </c>
      <c r="AJ23" s="5">
        <f t="shared" si="29"/>
        <v>0.11333333333333334</v>
      </c>
      <c r="AK23" s="5">
        <f t="shared" si="30"/>
        <v>0</v>
      </c>
      <c r="AL23" s="5">
        <f t="shared" si="31"/>
        <v>5.2000000000000005E-2</v>
      </c>
      <c r="AM23" s="5">
        <f t="shared" si="32"/>
        <v>22120</v>
      </c>
    </row>
    <row r="24" spans="3:39" x14ac:dyDescent="0.15">
      <c r="C24" s="19" t="s">
        <v>109</v>
      </c>
      <c r="D24" s="19">
        <v>5</v>
      </c>
      <c r="S24" s="29">
        <f>基础状态预估!C24</f>
        <v>300</v>
      </c>
      <c r="T24" s="29">
        <f>基础状态预估!D24</f>
        <v>82.328492296001457</v>
      </c>
      <c r="U24" s="29">
        <f t="shared" si="0"/>
        <v>0</v>
      </c>
      <c r="V24" s="50">
        <f t="shared" si="3"/>
        <v>0</v>
      </c>
      <c r="W24" s="50">
        <f t="shared" si="4"/>
        <v>0</v>
      </c>
      <c r="X24" s="50">
        <f t="shared" si="5"/>
        <v>0.2</v>
      </c>
      <c r="Y24" s="50">
        <f t="shared" si="6"/>
        <v>0.2</v>
      </c>
      <c r="Z24" s="50">
        <f t="shared" si="19"/>
        <v>64000</v>
      </c>
      <c r="AA24" s="5">
        <f t="shared" si="20"/>
        <v>9.5</v>
      </c>
      <c r="AB24" s="5">
        <f t="shared" si="21"/>
        <v>9.5</v>
      </c>
      <c r="AC24" s="5">
        <f t="shared" si="22"/>
        <v>11.620000000000001</v>
      </c>
      <c r="AD24" s="5">
        <f t="shared" si="23"/>
        <v>4.9799999999999995</v>
      </c>
      <c r="AE24" s="5">
        <f t="shared" si="24"/>
        <v>2.7</v>
      </c>
      <c r="AF24" s="5">
        <f t="shared" si="25"/>
        <v>0.30000000000000004</v>
      </c>
      <c r="AG24" s="5">
        <f t="shared" si="26"/>
        <v>0</v>
      </c>
      <c r="AH24" s="5">
        <f t="shared" si="27"/>
        <v>0</v>
      </c>
      <c r="AI24" s="5">
        <f t="shared" si="28"/>
        <v>0</v>
      </c>
      <c r="AJ24" s="5">
        <f t="shared" si="29"/>
        <v>0.12666666666666668</v>
      </c>
      <c r="AK24" s="5">
        <f t="shared" si="30"/>
        <v>0</v>
      </c>
      <c r="AL24" s="5">
        <f t="shared" si="31"/>
        <v>6.0000000000000005E-2</v>
      </c>
      <c r="AM24" s="5">
        <f t="shared" si="32"/>
        <v>25240</v>
      </c>
    </row>
    <row r="25" spans="3:39" x14ac:dyDescent="0.15">
      <c r="C25" s="19" t="s">
        <v>111</v>
      </c>
      <c r="D25" s="19">
        <v>2</v>
      </c>
      <c r="E25" s="19">
        <v>3</v>
      </c>
      <c r="S25" s="29">
        <f>基础状态预估!C25</f>
        <v>360</v>
      </c>
      <c r="T25" s="29">
        <f>基础状态预估!D25</f>
        <v>84.957158709068153</v>
      </c>
      <c r="U25" s="29">
        <f t="shared" si="0"/>
        <v>0</v>
      </c>
      <c r="V25" s="50">
        <f t="shared" si="3"/>
        <v>0</v>
      </c>
      <c r="W25" s="50">
        <f t="shared" si="4"/>
        <v>0</v>
      </c>
      <c r="X25" s="50">
        <f t="shared" si="5"/>
        <v>0.2</v>
      </c>
      <c r="Y25" s="50">
        <f t="shared" si="6"/>
        <v>0.2</v>
      </c>
      <c r="Z25" s="50">
        <f t="shared" si="19"/>
        <v>80000</v>
      </c>
      <c r="AA25" s="5">
        <f t="shared" si="20"/>
        <v>11.5</v>
      </c>
      <c r="AB25" s="5">
        <f t="shared" si="21"/>
        <v>11.5</v>
      </c>
      <c r="AC25" s="5">
        <f t="shared" si="22"/>
        <v>14.420000000000002</v>
      </c>
      <c r="AD25" s="5">
        <f t="shared" si="23"/>
        <v>6.18</v>
      </c>
      <c r="AE25" s="5">
        <f t="shared" si="24"/>
        <v>3.4200000000000004</v>
      </c>
      <c r="AF25" s="5">
        <f t="shared" si="25"/>
        <v>0.38000000000000006</v>
      </c>
      <c r="AG25" s="5">
        <f t="shared" si="26"/>
        <v>0</v>
      </c>
      <c r="AH25" s="5">
        <f t="shared" si="27"/>
        <v>0</v>
      </c>
      <c r="AI25" s="5">
        <f t="shared" si="28"/>
        <v>0</v>
      </c>
      <c r="AJ25" s="5">
        <f t="shared" si="29"/>
        <v>0.15333333333333335</v>
      </c>
      <c r="AK25" s="5">
        <f t="shared" si="30"/>
        <v>0</v>
      </c>
      <c r="AL25" s="5">
        <f t="shared" si="31"/>
        <v>7.6000000000000012E-2</v>
      </c>
      <c r="AM25" s="5">
        <f t="shared" si="32"/>
        <v>31480</v>
      </c>
    </row>
    <row r="26" spans="3:39" x14ac:dyDescent="0.15">
      <c r="C26" s="19" t="s">
        <v>113</v>
      </c>
      <c r="E26" s="19">
        <v>1</v>
      </c>
      <c r="S26" s="29">
        <f>基础状态预估!C26</f>
        <v>420</v>
      </c>
      <c r="T26" s="29">
        <f>基础状态预估!D26</f>
        <v>87.171758893450118</v>
      </c>
      <c r="U26" s="29">
        <f t="shared" si="0"/>
        <v>0</v>
      </c>
      <c r="V26" s="50">
        <f t="shared" si="3"/>
        <v>0</v>
      </c>
      <c r="W26" s="50">
        <f t="shared" si="4"/>
        <v>0</v>
      </c>
      <c r="X26" s="50">
        <f t="shared" si="5"/>
        <v>0.2</v>
      </c>
      <c r="Y26" s="50">
        <f t="shared" si="6"/>
        <v>0.2</v>
      </c>
      <c r="Z26" s="50">
        <f t="shared" si="19"/>
        <v>96000</v>
      </c>
      <c r="AA26" s="5">
        <f t="shared" si="20"/>
        <v>13.5</v>
      </c>
      <c r="AB26" s="5">
        <f t="shared" si="21"/>
        <v>13.5</v>
      </c>
      <c r="AC26" s="5">
        <f t="shared" si="22"/>
        <v>17.220000000000002</v>
      </c>
      <c r="AD26" s="5">
        <f t="shared" si="23"/>
        <v>7.38</v>
      </c>
      <c r="AE26" s="5">
        <f t="shared" si="24"/>
        <v>4.1400000000000006</v>
      </c>
      <c r="AF26" s="5">
        <f t="shared" si="25"/>
        <v>0.46000000000000008</v>
      </c>
      <c r="AG26" s="5">
        <f t="shared" si="26"/>
        <v>0</v>
      </c>
      <c r="AH26" s="5">
        <f t="shared" si="27"/>
        <v>0</v>
      </c>
      <c r="AI26" s="5">
        <f t="shared" si="28"/>
        <v>0</v>
      </c>
      <c r="AJ26" s="5">
        <f t="shared" si="29"/>
        <v>0.18000000000000002</v>
      </c>
      <c r="AK26" s="5">
        <f t="shared" si="30"/>
        <v>0</v>
      </c>
      <c r="AL26" s="5">
        <f t="shared" si="31"/>
        <v>9.2000000000000012E-2</v>
      </c>
      <c r="AM26" s="5">
        <f t="shared" si="32"/>
        <v>37720</v>
      </c>
    </row>
    <row r="27" spans="3:39" x14ac:dyDescent="0.15">
      <c r="S27" s="29">
        <f>基础状态预估!C27</f>
        <v>480</v>
      </c>
      <c r="T27" s="29">
        <f>基础状态预估!D27</f>
        <v>89.095870094999412</v>
      </c>
      <c r="U27" s="29">
        <f t="shared" si="0"/>
        <v>0</v>
      </c>
      <c r="V27" s="50">
        <f t="shared" si="3"/>
        <v>0</v>
      </c>
      <c r="W27" s="50">
        <f t="shared" si="4"/>
        <v>0</v>
      </c>
      <c r="X27" s="50">
        <f t="shared" si="5"/>
        <v>0.2</v>
      </c>
      <c r="Y27" s="50">
        <f t="shared" si="6"/>
        <v>0.2</v>
      </c>
      <c r="Z27" s="50">
        <f t="shared" si="19"/>
        <v>112000</v>
      </c>
      <c r="AA27" s="5">
        <f t="shared" si="20"/>
        <v>15.5</v>
      </c>
      <c r="AB27" s="5">
        <f t="shared" si="21"/>
        <v>15.5</v>
      </c>
      <c r="AC27" s="5">
        <f t="shared" si="22"/>
        <v>20.020000000000003</v>
      </c>
      <c r="AD27" s="5">
        <f t="shared" si="23"/>
        <v>8.58</v>
      </c>
      <c r="AE27" s="5">
        <f t="shared" si="24"/>
        <v>4.8600000000000003</v>
      </c>
      <c r="AF27" s="5">
        <f t="shared" si="25"/>
        <v>0.54</v>
      </c>
      <c r="AG27" s="5">
        <f t="shared" si="26"/>
        <v>0</v>
      </c>
      <c r="AH27" s="5">
        <f t="shared" si="27"/>
        <v>0</v>
      </c>
      <c r="AI27" s="5">
        <f t="shared" si="28"/>
        <v>0</v>
      </c>
      <c r="AJ27" s="5">
        <f t="shared" si="29"/>
        <v>0.20666666666666669</v>
      </c>
      <c r="AK27" s="5">
        <f t="shared" si="30"/>
        <v>0</v>
      </c>
      <c r="AL27" s="5">
        <f t="shared" si="31"/>
        <v>0.10800000000000001</v>
      </c>
      <c r="AM27" s="5">
        <f t="shared" si="32"/>
        <v>43960</v>
      </c>
    </row>
    <row r="28" spans="3:39" x14ac:dyDescent="0.15">
      <c r="C28" s="19" t="s">
        <v>150</v>
      </c>
      <c r="S28" s="29">
        <f>基础状态预估!C28</f>
        <v>540</v>
      </c>
      <c r="T28" s="29">
        <f>基础状态预估!D28</f>
        <v>90.789158318387649</v>
      </c>
      <c r="U28" s="29">
        <f t="shared" si="0"/>
        <v>0</v>
      </c>
      <c r="V28" s="50">
        <f t="shared" si="3"/>
        <v>0</v>
      </c>
      <c r="W28" s="50">
        <f t="shared" si="4"/>
        <v>0</v>
      </c>
      <c r="X28" s="50">
        <f t="shared" si="5"/>
        <v>0.2</v>
      </c>
      <c r="Y28" s="50">
        <f t="shared" si="6"/>
        <v>0.2</v>
      </c>
      <c r="Z28" s="50">
        <f t="shared" si="19"/>
        <v>128000</v>
      </c>
      <c r="AA28" s="5">
        <f t="shared" si="20"/>
        <v>17.5</v>
      </c>
      <c r="AB28" s="5">
        <f t="shared" si="21"/>
        <v>17.5</v>
      </c>
      <c r="AC28" s="5">
        <f t="shared" si="22"/>
        <v>22.820000000000004</v>
      </c>
      <c r="AD28" s="5">
        <f t="shared" si="23"/>
        <v>9.7799999999999994</v>
      </c>
      <c r="AE28" s="5">
        <f t="shared" si="24"/>
        <v>5.58</v>
      </c>
      <c r="AF28" s="5">
        <f t="shared" si="25"/>
        <v>0.62000000000000011</v>
      </c>
      <c r="AG28" s="5">
        <f t="shared" si="26"/>
        <v>0</v>
      </c>
      <c r="AH28" s="5">
        <f t="shared" si="27"/>
        <v>0</v>
      </c>
      <c r="AI28" s="5">
        <f t="shared" si="28"/>
        <v>0</v>
      </c>
      <c r="AJ28" s="5">
        <f t="shared" si="29"/>
        <v>0.23333333333333336</v>
      </c>
      <c r="AK28" s="5">
        <f t="shared" si="30"/>
        <v>0</v>
      </c>
      <c r="AL28" s="5">
        <f t="shared" si="31"/>
        <v>0.12400000000000001</v>
      </c>
      <c r="AM28" s="5">
        <f t="shared" si="32"/>
        <v>50200</v>
      </c>
    </row>
    <row r="29" spans="3:39" x14ac:dyDescent="0.15">
      <c r="C29" s="19" t="s">
        <v>143</v>
      </c>
      <c r="D29" s="19">
        <f>1/30</f>
        <v>3.3333333333333333E-2</v>
      </c>
      <c r="S29" s="29">
        <f>基础状态预估!C29</f>
        <v>600</v>
      </c>
      <c r="T29" s="29">
        <f>基础状态预估!D29</f>
        <v>92.304802564325527</v>
      </c>
      <c r="U29" s="29">
        <f t="shared" si="0"/>
        <v>0</v>
      </c>
      <c r="V29" s="50">
        <f t="shared" si="3"/>
        <v>0</v>
      </c>
      <c r="W29" s="50">
        <f t="shared" si="4"/>
        <v>0</v>
      </c>
      <c r="X29" s="50">
        <f t="shared" si="5"/>
        <v>0.2</v>
      </c>
      <c r="Y29" s="50">
        <f t="shared" si="6"/>
        <v>0.2</v>
      </c>
      <c r="Z29" s="50">
        <f t="shared" si="19"/>
        <v>144000</v>
      </c>
      <c r="AA29" s="5">
        <f t="shared" si="20"/>
        <v>19.5</v>
      </c>
      <c r="AB29" s="5">
        <f t="shared" si="21"/>
        <v>19.5</v>
      </c>
      <c r="AC29" s="5">
        <f t="shared" si="22"/>
        <v>25.620000000000005</v>
      </c>
      <c r="AD29" s="5">
        <f t="shared" si="23"/>
        <v>10.979999999999999</v>
      </c>
      <c r="AE29" s="5">
        <f t="shared" si="24"/>
        <v>6.3</v>
      </c>
      <c r="AF29" s="5">
        <f t="shared" si="25"/>
        <v>0.70000000000000018</v>
      </c>
      <c r="AG29" s="5">
        <f t="shared" si="26"/>
        <v>0</v>
      </c>
      <c r="AH29" s="5">
        <f t="shared" si="27"/>
        <v>0</v>
      </c>
      <c r="AI29" s="5">
        <f t="shared" si="28"/>
        <v>0</v>
      </c>
      <c r="AJ29" s="5">
        <f t="shared" si="29"/>
        <v>0.26</v>
      </c>
      <c r="AK29" s="5">
        <f t="shared" si="30"/>
        <v>0</v>
      </c>
      <c r="AL29" s="5">
        <f t="shared" si="31"/>
        <v>0.14000000000000001</v>
      </c>
      <c r="AM29" s="5">
        <f t="shared" si="32"/>
        <v>56440</v>
      </c>
    </row>
    <row r="30" spans="3:39" x14ac:dyDescent="0.15">
      <c r="C30" s="19" t="s">
        <v>147</v>
      </c>
      <c r="E30" s="19">
        <f>1/50</f>
        <v>0.02</v>
      </c>
      <c r="S30" s="29">
        <f>基础状态预估!C30</f>
        <v>660</v>
      </c>
      <c r="T30" s="29">
        <f>基础状态预估!D30</f>
        <v>93.677555929742169</v>
      </c>
      <c r="U30" s="29">
        <f t="shared" si="0"/>
        <v>0</v>
      </c>
      <c r="V30" s="50">
        <f t="shared" si="3"/>
        <v>0</v>
      </c>
      <c r="W30" s="50">
        <f t="shared" si="4"/>
        <v>0</v>
      </c>
      <c r="X30" s="50">
        <f t="shared" si="5"/>
        <v>0.2</v>
      </c>
      <c r="Y30" s="50">
        <f t="shared" si="6"/>
        <v>0.2</v>
      </c>
      <c r="Z30" s="50">
        <f t="shared" si="19"/>
        <v>160000</v>
      </c>
      <c r="AA30" s="5">
        <f t="shared" si="20"/>
        <v>21.5</v>
      </c>
      <c r="AB30" s="5">
        <f t="shared" si="21"/>
        <v>21.5</v>
      </c>
      <c r="AC30" s="5">
        <f t="shared" si="22"/>
        <v>28.420000000000005</v>
      </c>
      <c r="AD30" s="5">
        <f t="shared" si="23"/>
        <v>12.179999999999998</v>
      </c>
      <c r="AE30" s="5">
        <f t="shared" si="24"/>
        <v>7.02</v>
      </c>
      <c r="AF30" s="5">
        <f t="shared" si="25"/>
        <v>0.78000000000000025</v>
      </c>
      <c r="AG30" s="5">
        <f t="shared" si="26"/>
        <v>0</v>
      </c>
      <c r="AH30" s="5">
        <f t="shared" si="27"/>
        <v>0</v>
      </c>
      <c r="AI30" s="5">
        <f t="shared" si="28"/>
        <v>0</v>
      </c>
      <c r="AJ30" s="5">
        <f t="shared" si="29"/>
        <v>0.28666666666666668</v>
      </c>
      <c r="AK30" s="5">
        <f t="shared" si="30"/>
        <v>0</v>
      </c>
      <c r="AL30" s="5">
        <f t="shared" si="31"/>
        <v>0.15600000000000003</v>
      </c>
      <c r="AM30" s="5">
        <f t="shared" si="32"/>
        <v>62680</v>
      </c>
    </row>
    <row r="31" spans="3:39" x14ac:dyDescent="0.15">
      <c r="S31" s="29">
        <f>基础状态预估!C31</f>
        <v>720</v>
      </c>
      <c r="T31" s="29">
        <f>基础状态预估!D31</f>
        <v>94.936535599813325</v>
      </c>
      <c r="U31" s="29">
        <f t="shared" si="0"/>
        <v>0</v>
      </c>
      <c r="V31" s="50">
        <f t="shared" si="3"/>
        <v>0</v>
      </c>
      <c r="W31" s="50">
        <f t="shared" si="4"/>
        <v>0</v>
      </c>
      <c r="X31" s="50">
        <f t="shared" si="5"/>
        <v>0.2</v>
      </c>
      <c r="Y31" s="50">
        <f t="shared" si="6"/>
        <v>0.2</v>
      </c>
      <c r="Z31" s="50">
        <f t="shared" si="19"/>
        <v>176000</v>
      </c>
      <c r="AA31" s="5">
        <f t="shared" si="20"/>
        <v>23.5</v>
      </c>
      <c r="AB31" s="5">
        <f t="shared" si="21"/>
        <v>23.5</v>
      </c>
      <c r="AC31" s="5">
        <f t="shared" si="22"/>
        <v>31.220000000000006</v>
      </c>
      <c r="AD31" s="5">
        <f t="shared" si="23"/>
        <v>13.379999999999997</v>
      </c>
      <c r="AE31" s="5">
        <f t="shared" si="24"/>
        <v>7.7399999999999993</v>
      </c>
      <c r="AF31" s="5">
        <f t="shared" si="25"/>
        <v>0.86000000000000032</v>
      </c>
      <c r="AG31" s="5">
        <f t="shared" si="26"/>
        <v>0</v>
      </c>
      <c r="AH31" s="5">
        <f t="shared" si="27"/>
        <v>0</v>
      </c>
      <c r="AI31" s="5">
        <f t="shared" si="28"/>
        <v>0</v>
      </c>
      <c r="AJ31" s="5">
        <f t="shared" si="29"/>
        <v>0.31333333333333335</v>
      </c>
      <c r="AK31" s="5">
        <f t="shared" si="30"/>
        <v>0</v>
      </c>
      <c r="AL31" s="5">
        <f t="shared" si="31"/>
        <v>0.17200000000000004</v>
      </c>
      <c r="AM31" s="5">
        <f t="shared" si="32"/>
        <v>68920</v>
      </c>
    </row>
    <row r="32" spans="3:39" x14ac:dyDescent="0.15">
      <c r="C32" s="19" t="s">
        <v>151</v>
      </c>
      <c r="D32" s="19">
        <v>500</v>
      </c>
      <c r="E32" s="19">
        <v>1000</v>
      </c>
      <c r="S32" s="29">
        <f>基础状态预估!C32</f>
        <v>780</v>
      </c>
      <c r="T32" s="29">
        <f>基础状态预估!D32</f>
        <v>96.088925601853575</v>
      </c>
      <c r="U32" s="29">
        <f t="shared" si="0"/>
        <v>0</v>
      </c>
      <c r="V32" s="50">
        <f t="shared" si="3"/>
        <v>0</v>
      </c>
      <c r="W32" s="50">
        <f t="shared" si="4"/>
        <v>0</v>
      </c>
      <c r="X32" s="50">
        <f t="shared" si="5"/>
        <v>0.2</v>
      </c>
      <c r="Y32" s="50">
        <f t="shared" si="6"/>
        <v>0.2</v>
      </c>
      <c r="Z32" s="50">
        <f t="shared" si="19"/>
        <v>192000</v>
      </c>
      <c r="AA32" s="5">
        <f t="shared" si="20"/>
        <v>25.5</v>
      </c>
      <c r="AB32" s="5">
        <f t="shared" si="21"/>
        <v>25.5</v>
      </c>
      <c r="AC32" s="5">
        <f t="shared" si="22"/>
        <v>34.020000000000003</v>
      </c>
      <c r="AD32" s="5">
        <f t="shared" si="23"/>
        <v>14.579999999999997</v>
      </c>
      <c r="AE32" s="5">
        <f t="shared" si="24"/>
        <v>8.4599999999999991</v>
      </c>
      <c r="AF32" s="5">
        <f t="shared" si="25"/>
        <v>0.94000000000000039</v>
      </c>
      <c r="AG32" s="5">
        <f t="shared" si="26"/>
        <v>0</v>
      </c>
      <c r="AH32" s="5">
        <f t="shared" si="27"/>
        <v>0</v>
      </c>
      <c r="AI32" s="5">
        <f t="shared" si="28"/>
        <v>0</v>
      </c>
      <c r="AJ32" s="5">
        <f t="shared" si="29"/>
        <v>0.34</v>
      </c>
      <c r="AK32" s="5">
        <f t="shared" si="30"/>
        <v>0</v>
      </c>
      <c r="AL32" s="5">
        <f t="shared" si="31"/>
        <v>0.18800000000000006</v>
      </c>
      <c r="AM32" s="5">
        <f t="shared" si="32"/>
        <v>75160</v>
      </c>
    </row>
    <row r="33" spans="3:39" x14ac:dyDescent="0.15">
      <c r="S33" s="29">
        <f>基础状态预估!C33</f>
        <v>840</v>
      </c>
      <c r="T33" s="29">
        <f>基础状态预估!D33</f>
        <v>97.155007723537565</v>
      </c>
      <c r="U33" s="29">
        <f t="shared" si="0"/>
        <v>0</v>
      </c>
      <c r="V33" s="50">
        <f t="shared" si="3"/>
        <v>0</v>
      </c>
      <c r="W33" s="50">
        <f t="shared" si="4"/>
        <v>0</v>
      </c>
      <c r="X33" s="50">
        <f t="shared" si="5"/>
        <v>0.2</v>
      </c>
      <c r="Y33" s="50">
        <f t="shared" si="6"/>
        <v>0.2</v>
      </c>
      <c r="Z33" s="50">
        <f t="shared" si="19"/>
        <v>208000</v>
      </c>
      <c r="AA33" s="5">
        <f t="shared" si="20"/>
        <v>27.5</v>
      </c>
      <c r="AB33" s="5">
        <f t="shared" si="21"/>
        <v>27.5</v>
      </c>
      <c r="AC33" s="5">
        <f t="shared" si="22"/>
        <v>36.82</v>
      </c>
      <c r="AD33" s="5">
        <f t="shared" si="23"/>
        <v>15.779999999999996</v>
      </c>
      <c r="AE33" s="5">
        <f t="shared" si="24"/>
        <v>9.18</v>
      </c>
      <c r="AF33" s="5">
        <f t="shared" si="25"/>
        <v>1.0200000000000005</v>
      </c>
      <c r="AG33" s="5">
        <f t="shared" si="26"/>
        <v>0</v>
      </c>
      <c r="AH33" s="5">
        <f t="shared" si="27"/>
        <v>0</v>
      </c>
      <c r="AI33" s="5">
        <f t="shared" si="28"/>
        <v>0</v>
      </c>
      <c r="AJ33" s="5">
        <f t="shared" si="29"/>
        <v>0.3666666666666667</v>
      </c>
      <c r="AK33" s="5">
        <f t="shared" si="30"/>
        <v>0</v>
      </c>
      <c r="AL33" s="5">
        <f t="shared" si="31"/>
        <v>0.20400000000000007</v>
      </c>
      <c r="AM33" s="5">
        <f t="shared" si="32"/>
        <v>81400</v>
      </c>
    </row>
    <row r="34" spans="3:39" x14ac:dyDescent="0.15">
      <c r="S34" s="29">
        <f>基础状态预估!C34</f>
        <v>900</v>
      </c>
      <c r="T34" s="29">
        <f>基础状态预估!D34</f>
        <v>98.149357978981357</v>
      </c>
      <c r="U34" s="29">
        <f t="shared" si="0"/>
        <v>0</v>
      </c>
      <c r="V34" s="50">
        <f t="shared" si="3"/>
        <v>0</v>
      </c>
      <c r="W34" s="50">
        <f t="shared" si="4"/>
        <v>0</v>
      </c>
      <c r="X34" s="50">
        <f t="shared" si="5"/>
        <v>0.2</v>
      </c>
      <c r="Y34" s="50">
        <f t="shared" si="6"/>
        <v>0.2</v>
      </c>
      <c r="Z34" s="50">
        <f t="shared" si="19"/>
        <v>224000</v>
      </c>
      <c r="AA34" s="5">
        <f t="shared" si="20"/>
        <v>29.5</v>
      </c>
      <c r="AB34" s="5">
        <f t="shared" si="21"/>
        <v>29.5</v>
      </c>
      <c r="AC34" s="5">
        <f t="shared" si="22"/>
        <v>39.619999999999997</v>
      </c>
      <c r="AD34" s="5">
        <f t="shared" si="23"/>
        <v>16.979999999999997</v>
      </c>
      <c r="AE34" s="5">
        <f t="shared" si="24"/>
        <v>9.9</v>
      </c>
      <c r="AF34" s="5">
        <f t="shared" si="25"/>
        <v>1.1000000000000005</v>
      </c>
      <c r="AG34" s="5">
        <f t="shared" si="26"/>
        <v>0</v>
      </c>
      <c r="AH34" s="5">
        <f t="shared" si="27"/>
        <v>0</v>
      </c>
      <c r="AI34" s="5">
        <f t="shared" si="28"/>
        <v>0</v>
      </c>
      <c r="AJ34" s="5">
        <f t="shared" si="29"/>
        <v>0.39333333333333337</v>
      </c>
      <c r="AK34" s="5">
        <f t="shared" si="30"/>
        <v>0</v>
      </c>
      <c r="AL34" s="5">
        <f t="shared" si="31"/>
        <v>0.22000000000000008</v>
      </c>
      <c r="AM34" s="5">
        <f t="shared" si="32"/>
        <v>87640</v>
      </c>
    </row>
    <row r="35" spans="3:39" x14ac:dyDescent="0.15">
      <c r="S35" s="29">
        <f>基础状态预估!C35</f>
        <v>1020</v>
      </c>
      <c r="T35" s="29">
        <f>基础状态预估!D35</f>
        <v>99.956251778790289</v>
      </c>
      <c r="U35" s="29">
        <f t="shared" si="0"/>
        <v>0</v>
      </c>
      <c r="V35" s="50">
        <f t="shared" si="3"/>
        <v>0</v>
      </c>
      <c r="W35" s="50">
        <f t="shared" si="4"/>
        <v>0</v>
      </c>
      <c r="X35" s="50">
        <f t="shared" si="5"/>
        <v>0.2</v>
      </c>
      <c r="Y35" s="50">
        <f t="shared" si="6"/>
        <v>0.2</v>
      </c>
      <c r="Z35" s="50">
        <f t="shared" si="19"/>
        <v>256000</v>
      </c>
      <c r="AA35" s="5">
        <f t="shared" si="20"/>
        <v>33.5</v>
      </c>
      <c r="AB35" s="5">
        <f t="shared" si="21"/>
        <v>33.5</v>
      </c>
      <c r="AC35" s="5">
        <f t="shared" si="22"/>
        <v>45.22</v>
      </c>
      <c r="AD35" s="5">
        <f t="shared" si="23"/>
        <v>19.379999999999995</v>
      </c>
      <c r="AE35" s="5">
        <f t="shared" si="24"/>
        <v>11.34</v>
      </c>
      <c r="AF35" s="5">
        <f t="shared" si="25"/>
        <v>1.2600000000000007</v>
      </c>
      <c r="AG35" s="5">
        <f t="shared" si="26"/>
        <v>0</v>
      </c>
      <c r="AH35" s="5">
        <f t="shared" si="27"/>
        <v>0</v>
      </c>
      <c r="AI35" s="5">
        <f t="shared" si="28"/>
        <v>0</v>
      </c>
      <c r="AJ35" s="5">
        <f t="shared" si="29"/>
        <v>0.44666666666666671</v>
      </c>
      <c r="AK35" s="5">
        <f t="shared" si="30"/>
        <v>0</v>
      </c>
      <c r="AL35" s="5">
        <f t="shared" si="31"/>
        <v>0.25200000000000011</v>
      </c>
      <c r="AM35" s="5">
        <f t="shared" si="32"/>
        <v>100120</v>
      </c>
    </row>
    <row r="36" spans="3:39" x14ac:dyDescent="0.15">
      <c r="C36" s="19" t="s">
        <v>152</v>
      </c>
      <c r="D36" s="19">
        <f>SUMPRODUCT(D24:D30,活动投放!$J$32:$J$38)+D32/藏品币!$C$39*藏品币!$F$39</f>
        <v>5065.7174170280086</v>
      </c>
      <c r="E36" s="19">
        <f>SUMPRODUCT(E24:E30,活动投放!$J$32:$J$38)+E32/藏品币!$C$39*藏品币!$F$39</f>
        <v>15179.870412951737</v>
      </c>
      <c r="S36" s="29">
        <f>基础状态预估!C36</f>
        <v>1140</v>
      </c>
      <c r="T36" s="29">
        <f>基础状态预估!D36</f>
        <v>101.55228351453842</v>
      </c>
      <c r="U36" s="29">
        <f t="shared" si="0"/>
        <v>0</v>
      </c>
      <c r="V36" s="50">
        <f t="shared" si="3"/>
        <v>0</v>
      </c>
      <c r="W36" s="50">
        <f t="shared" si="4"/>
        <v>0</v>
      </c>
      <c r="X36" s="50">
        <f t="shared" si="5"/>
        <v>0.2</v>
      </c>
      <c r="Y36" s="50">
        <f t="shared" si="6"/>
        <v>0.2</v>
      </c>
      <c r="Z36" s="50">
        <f t="shared" si="19"/>
        <v>288000</v>
      </c>
      <c r="AA36" s="5">
        <f t="shared" si="20"/>
        <v>37.5</v>
      </c>
      <c r="AB36" s="5">
        <f t="shared" si="21"/>
        <v>37.5</v>
      </c>
      <c r="AC36" s="5">
        <f t="shared" si="22"/>
        <v>50.82</v>
      </c>
      <c r="AD36" s="5">
        <f t="shared" si="23"/>
        <v>21.779999999999994</v>
      </c>
      <c r="AE36" s="5">
        <f t="shared" si="24"/>
        <v>12.78</v>
      </c>
      <c r="AF36" s="5">
        <f t="shared" si="25"/>
        <v>1.4200000000000008</v>
      </c>
      <c r="AG36" s="5">
        <f t="shared" si="26"/>
        <v>0</v>
      </c>
      <c r="AH36" s="5">
        <f t="shared" si="27"/>
        <v>0</v>
      </c>
      <c r="AI36" s="5">
        <f t="shared" si="28"/>
        <v>0</v>
      </c>
      <c r="AJ36" s="5">
        <f t="shared" si="29"/>
        <v>0.5</v>
      </c>
      <c r="AK36" s="5">
        <f t="shared" si="30"/>
        <v>0</v>
      </c>
      <c r="AL36" s="5">
        <f t="shared" si="31"/>
        <v>0.28400000000000014</v>
      </c>
      <c r="AM36" s="5">
        <f t="shared" si="32"/>
        <v>112600</v>
      </c>
    </row>
    <row r="37" spans="3:39" x14ac:dyDescent="0.15">
      <c r="S37" s="29">
        <f>基础状态预估!C37</f>
        <v>1260</v>
      </c>
      <c r="T37" s="29">
        <f>基础状态预估!D37</f>
        <v>103.0034052427059</v>
      </c>
      <c r="U37" s="29">
        <f t="shared" si="0"/>
        <v>0</v>
      </c>
      <c r="V37" s="50">
        <f t="shared" si="3"/>
        <v>0</v>
      </c>
      <c r="W37" s="50">
        <f t="shared" si="4"/>
        <v>0</v>
      </c>
      <c r="X37" s="50">
        <f t="shared" si="5"/>
        <v>0.2</v>
      </c>
      <c r="Y37" s="50">
        <f t="shared" si="6"/>
        <v>0.2</v>
      </c>
      <c r="Z37" s="50">
        <f t="shared" si="19"/>
        <v>320000</v>
      </c>
      <c r="AA37" s="5">
        <f t="shared" si="20"/>
        <v>41.5</v>
      </c>
      <c r="AB37" s="5">
        <f t="shared" si="21"/>
        <v>41.5</v>
      </c>
      <c r="AC37" s="5">
        <f t="shared" si="22"/>
        <v>56.42</v>
      </c>
      <c r="AD37" s="5">
        <f t="shared" si="23"/>
        <v>24.179999999999993</v>
      </c>
      <c r="AE37" s="5">
        <f t="shared" si="24"/>
        <v>14.219999999999999</v>
      </c>
      <c r="AF37" s="5">
        <f t="shared" si="25"/>
        <v>1.580000000000001</v>
      </c>
      <c r="AG37" s="5">
        <f t="shared" si="26"/>
        <v>0</v>
      </c>
      <c r="AH37" s="5">
        <f t="shared" si="27"/>
        <v>0</v>
      </c>
      <c r="AI37" s="5">
        <f t="shared" si="28"/>
        <v>0</v>
      </c>
      <c r="AJ37" s="5">
        <f t="shared" si="29"/>
        <v>0.55333333333333334</v>
      </c>
      <c r="AK37" s="5">
        <f t="shared" si="30"/>
        <v>0</v>
      </c>
      <c r="AL37" s="5">
        <f t="shared" si="31"/>
        <v>0.31600000000000017</v>
      </c>
      <c r="AM37" s="5">
        <f t="shared" si="32"/>
        <v>125080</v>
      </c>
    </row>
    <row r="38" spans="3:39" x14ac:dyDescent="0.15">
      <c r="S38" s="29">
        <f>基础状态预估!C38</f>
        <v>1380</v>
      </c>
      <c r="T38" s="29">
        <f>基础状态预估!D38</f>
        <v>104.30753076754127</v>
      </c>
      <c r="U38" s="29">
        <f t="shared" si="0"/>
        <v>0</v>
      </c>
      <c r="V38" s="50">
        <f t="shared" si="3"/>
        <v>0</v>
      </c>
      <c r="W38" s="50">
        <f t="shared" si="4"/>
        <v>0</v>
      </c>
      <c r="X38" s="50">
        <f t="shared" si="5"/>
        <v>0.2</v>
      </c>
      <c r="Y38" s="50">
        <f t="shared" si="6"/>
        <v>0.2</v>
      </c>
      <c r="Z38" s="50">
        <f t="shared" si="19"/>
        <v>352000</v>
      </c>
      <c r="AA38" s="5">
        <f t="shared" si="20"/>
        <v>45.5</v>
      </c>
      <c r="AB38" s="5">
        <f t="shared" si="21"/>
        <v>45.5</v>
      </c>
      <c r="AC38" s="5">
        <f t="shared" si="22"/>
        <v>62.02</v>
      </c>
      <c r="AD38" s="5">
        <f t="shared" si="23"/>
        <v>26.579999999999991</v>
      </c>
      <c r="AE38" s="5">
        <f t="shared" si="24"/>
        <v>15.659999999999998</v>
      </c>
      <c r="AF38" s="5">
        <f t="shared" si="25"/>
        <v>1.7400000000000011</v>
      </c>
      <c r="AG38" s="5">
        <f t="shared" si="26"/>
        <v>0</v>
      </c>
      <c r="AH38" s="5">
        <f t="shared" si="27"/>
        <v>0</v>
      </c>
      <c r="AI38" s="5">
        <f t="shared" si="28"/>
        <v>0</v>
      </c>
      <c r="AJ38" s="5">
        <f t="shared" si="29"/>
        <v>0.60666666666666669</v>
      </c>
      <c r="AK38" s="5">
        <f t="shared" si="30"/>
        <v>0</v>
      </c>
      <c r="AL38" s="5">
        <f t="shared" si="31"/>
        <v>0.3480000000000002</v>
      </c>
      <c r="AM38" s="5">
        <f t="shared" si="32"/>
        <v>137560</v>
      </c>
    </row>
    <row r="39" spans="3:39" x14ac:dyDescent="0.15">
      <c r="S39" s="29">
        <f>基础状态预估!C39</f>
        <v>1500</v>
      </c>
      <c r="T39" s="29">
        <f>基础状态预估!D39</f>
        <v>105.50842583986083</v>
      </c>
      <c r="U39" s="29">
        <f t="shared" si="0"/>
        <v>0</v>
      </c>
      <c r="V39" s="50">
        <f t="shared" si="3"/>
        <v>0</v>
      </c>
      <c r="W39" s="50">
        <f t="shared" si="4"/>
        <v>0</v>
      </c>
      <c r="X39" s="50">
        <f t="shared" si="5"/>
        <v>0.2</v>
      </c>
      <c r="Y39" s="50">
        <f t="shared" si="6"/>
        <v>0.2</v>
      </c>
      <c r="Z39" s="50">
        <f t="shared" si="19"/>
        <v>384000</v>
      </c>
      <c r="AA39" s="5">
        <f t="shared" si="20"/>
        <v>49.5</v>
      </c>
      <c r="AB39" s="5">
        <f t="shared" si="21"/>
        <v>49.5</v>
      </c>
      <c r="AC39" s="5">
        <f t="shared" si="22"/>
        <v>67.62</v>
      </c>
      <c r="AD39" s="5">
        <f t="shared" si="23"/>
        <v>28.97999999999999</v>
      </c>
      <c r="AE39" s="5">
        <f t="shared" si="24"/>
        <v>17.099999999999998</v>
      </c>
      <c r="AF39" s="5">
        <f t="shared" si="25"/>
        <v>1.9000000000000012</v>
      </c>
      <c r="AG39" s="5">
        <f t="shared" si="26"/>
        <v>0</v>
      </c>
      <c r="AH39" s="5">
        <f t="shared" si="27"/>
        <v>0</v>
      </c>
      <c r="AI39" s="5">
        <f t="shared" si="28"/>
        <v>0</v>
      </c>
      <c r="AJ39" s="5">
        <f t="shared" si="29"/>
        <v>0.66</v>
      </c>
      <c r="AK39" s="5">
        <f t="shared" si="30"/>
        <v>0</v>
      </c>
      <c r="AL39" s="5">
        <f t="shared" si="31"/>
        <v>0.38000000000000023</v>
      </c>
      <c r="AM39" s="5">
        <f t="shared" si="32"/>
        <v>150040</v>
      </c>
    </row>
    <row r="40" spans="3:39" x14ac:dyDescent="0.15">
      <c r="S40" s="29">
        <f>基础状态预估!C40</f>
        <v>1800</v>
      </c>
      <c r="T40" s="29">
        <f>基础状态预估!D40</f>
        <v>108.14154328189373</v>
      </c>
      <c r="U40" s="29">
        <f t="shared" si="0"/>
        <v>0</v>
      </c>
      <c r="V40" s="50">
        <f t="shared" si="3"/>
        <v>0</v>
      </c>
      <c r="W40" s="50">
        <f t="shared" si="4"/>
        <v>0</v>
      </c>
      <c r="X40" s="50">
        <f t="shared" si="5"/>
        <v>0.2</v>
      </c>
      <c r="Y40" s="50">
        <f t="shared" si="6"/>
        <v>0.2</v>
      </c>
      <c r="Z40" s="50">
        <f t="shared" si="19"/>
        <v>464000</v>
      </c>
      <c r="AA40" s="5">
        <f t="shared" si="20"/>
        <v>59.5</v>
      </c>
      <c r="AB40" s="5">
        <f t="shared" si="21"/>
        <v>59.5</v>
      </c>
      <c r="AC40" s="5">
        <f t="shared" si="22"/>
        <v>81.62</v>
      </c>
      <c r="AD40" s="5">
        <f t="shared" si="23"/>
        <v>34.97999999999999</v>
      </c>
      <c r="AE40" s="5">
        <f t="shared" si="24"/>
        <v>20.7</v>
      </c>
      <c r="AF40" s="5">
        <f t="shared" si="25"/>
        <v>2.3000000000000012</v>
      </c>
      <c r="AG40" s="5">
        <f t="shared" si="26"/>
        <v>0</v>
      </c>
      <c r="AH40" s="5">
        <f t="shared" si="27"/>
        <v>0</v>
      </c>
      <c r="AI40" s="5">
        <f t="shared" si="28"/>
        <v>0</v>
      </c>
      <c r="AJ40" s="5">
        <f t="shared" si="29"/>
        <v>0.79333333333333333</v>
      </c>
      <c r="AK40" s="5">
        <f t="shared" si="30"/>
        <v>0</v>
      </c>
      <c r="AL40" s="5">
        <f t="shared" si="31"/>
        <v>0.46000000000000024</v>
      </c>
      <c r="AM40" s="5">
        <f t="shared" si="32"/>
        <v>181240</v>
      </c>
    </row>
    <row r="41" spans="3:39" x14ac:dyDescent="0.15">
      <c r="C41" s="30"/>
      <c r="D41" s="96" t="s">
        <v>179</v>
      </c>
      <c r="E41" s="96"/>
      <c r="F41" s="96"/>
      <c r="G41" s="96"/>
      <c r="H41" s="96"/>
      <c r="S41" s="29">
        <f>基础状态预估!C41</f>
        <v>2100</v>
      </c>
      <c r="T41" s="29">
        <f>基础状态预估!D41</f>
        <v>110.36056371443574</v>
      </c>
      <c r="U41" s="29">
        <f t="shared" si="0"/>
        <v>0</v>
      </c>
      <c r="V41" s="50">
        <f t="shared" si="3"/>
        <v>0</v>
      </c>
      <c r="W41" s="50">
        <f t="shared" si="4"/>
        <v>0</v>
      </c>
      <c r="X41" s="50">
        <f t="shared" si="5"/>
        <v>0.2</v>
      </c>
      <c r="Y41" s="50">
        <f t="shared" si="6"/>
        <v>0.2</v>
      </c>
      <c r="Z41" s="50">
        <f t="shared" si="19"/>
        <v>544000</v>
      </c>
      <c r="AA41" s="5">
        <f t="shared" si="20"/>
        <v>69.5</v>
      </c>
      <c r="AB41" s="5">
        <f t="shared" si="21"/>
        <v>69.5</v>
      </c>
      <c r="AC41" s="5">
        <f t="shared" si="22"/>
        <v>95.62</v>
      </c>
      <c r="AD41" s="5">
        <f t="shared" si="23"/>
        <v>40.97999999999999</v>
      </c>
      <c r="AE41" s="5">
        <f t="shared" si="24"/>
        <v>24.3</v>
      </c>
      <c r="AF41" s="5">
        <f t="shared" si="25"/>
        <v>2.7000000000000011</v>
      </c>
      <c r="AG41" s="5">
        <f t="shared" si="26"/>
        <v>0</v>
      </c>
      <c r="AH41" s="5">
        <f t="shared" si="27"/>
        <v>0</v>
      </c>
      <c r="AI41" s="5">
        <f t="shared" si="28"/>
        <v>0</v>
      </c>
      <c r="AJ41" s="5">
        <f t="shared" si="29"/>
        <v>0.92666666666666664</v>
      </c>
      <c r="AK41" s="5">
        <f t="shared" si="30"/>
        <v>0</v>
      </c>
      <c r="AL41" s="5">
        <f t="shared" si="31"/>
        <v>0.54000000000000026</v>
      </c>
      <c r="AM41" s="5">
        <f t="shared" si="32"/>
        <v>212440</v>
      </c>
    </row>
    <row r="42" spans="3:39" x14ac:dyDescent="0.15">
      <c r="C42" s="30" t="s">
        <v>6</v>
      </c>
      <c r="D42" s="30" t="s">
        <v>0</v>
      </c>
      <c r="E42" s="30" t="s">
        <v>1</v>
      </c>
      <c r="F42" s="30" t="s">
        <v>2</v>
      </c>
      <c r="G42" s="30" t="s">
        <v>3</v>
      </c>
      <c r="H42" s="30" t="s">
        <v>4</v>
      </c>
      <c r="S42" s="29">
        <f>基础状态预估!C42</f>
        <v>2400</v>
      </c>
      <c r="T42" s="29">
        <f>基础状态预估!D42</f>
        <v>112.28703526556856</v>
      </c>
      <c r="U42" s="29">
        <f t="shared" si="0"/>
        <v>0</v>
      </c>
      <c r="V42" s="50">
        <f t="shared" si="3"/>
        <v>0</v>
      </c>
      <c r="W42" s="50">
        <f t="shared" si="4"/>
        <v>0</v>
      </c>
      <c r="X42" s="50">
        <f t="shared" si="5"/>
        <v>0.2</v>
      </c>
      <c r="Y42" s="50">
        <f t="shared" si="6"/>
        <v>0.2</v>
      </c>
      <c r="Z42" s="50">
        <f t="shared" si="19"/>
        <v>624000</v>
      </c>
      <c r="AA42" s="5">
        <f t="shared" si="20"/>
        <v>79.5</v>
      </c>
      <c r="AB42" s="5">
        <f t="shared" si="21"/>
        <v>79.5</v>
      </c>
      <c r="AC42" s="5">
        <f t="shared" si="22"/>
        <v>109.62</v>
      </c>
      <c r="AD42" s="5">
        <f t="shared" si="23"/>
        <v>46.97999999999999</v>
      </c>
      <c r="AE42" s="5">
        <f t="shared" si="24"/>
        <v>27.900000000000002</v>
      </c>
      <c r="AF42" s="5">
        <f t="shared" si="25"/>
        <v>3.100000000000001</v>
      </c>
      <c r="AG42" s="5">
        <f t="shared" si="26"/>
        <v>0</v>
      </c>
      <c r="AH42" s="5">
        <f t="shared" si="27"/>
        <v>0</v>
      </c>
      <c r="AI42" s="5">
        <f t="shared" si="28"/>
        <v>0</v>
      </c>
      <c r="AJ42" s="5">
        <f t="shared" si="29"/>
        <v>1.06</v>
      </c>
      <c r="AK42" s="5">
        <f t="shared" si="30"/>
        <v>0</v>
      </c>
      <c r="AL42" s="5">
        <f t="shared" si="31"/>
        <v>0.62000000000000022</v>
      </c>
      <c r="AM42" s="5">
        <f t="shared" si="32"/>
        <v>243640</v>
      </c>
    </row>
    <row r="43" spans="3:39" x14ac:dyDescent="0.15">
      <c r="C43" s="30">
        <v>1</v>
      </c>
      <c r="D43" s="30">
        <f>'[1]资源-钻石'!C16</f>
        <v>0</v>
      </c>
      <c r="E43" s="30">
        <f>'[1]资源-钻石'!D16</f>
        <v>24</v>
      </c>
      <c r="F43" s="30">
        <f>'[1]资源-钻石'!E16</f>
        <v>150</v>
      </c>
      <c r="G43" s="30">
        <f>'[1]资源-钻石'!F16</f>
        <v>1050</v>
      </c>
      <c r="H43" s="30">
        <f>'[1]资源-钻石'!G16</f>
        <v>4500</v>
      </c>
      <c r="S43" s="29">
        <f>基础状态预估!C43</f>
        <v>2700</v>
      </c>
      <c r="T43" s="29">
        <f>基础状态预估!D43</f>
        <v>113.99252797204601</v>
      </c>
      <c r="U43" s="29">
        <f t="shared" si="0"/>
        <v>0</v>
      </c>
      <c r="V43" s="50">
        <f t="shared" si="3"/>
        <v>0</v>
      </c>
      <c r="W43" s="50">
        <f t="shared" si="4"/>
        <v>0</v>
      </c>
      <c r="X43" s="50">
        <f t="shared" si="5"/>
        <v>0.2</v>
      </c>
      <c r="Y43" s="50">
        <f t="shared" si="6"/>
        <v>0.2</v>
      </c>
      <c r="Z43" s="50">
        <f t="shared" si="19"/>
        <v>704000</v>
      </c>
      <c r="AA43" s="5">
        <f t="shared" si="20"/>
        <v>89.5</v>
      </c>
      <c r="AB43" s="5">
        <f t="shared" si="21"/>
        <v>89.5</v>
      </c>
      <c r="AC43" s="5">
        <f t="shared" si="22"/>
        <v>123.62</v>
      </c>
      <c r="AD43" s="5">
        <f t="shared" si="23"/>
        <v>52.97999999999999</v>
      </c>
      <c r="AE43" s="5">
        <f t="shared" si="24"/>
        <v>31.500000000000004</v>
      </c>
      <c r="AF43" s="5">
        <f t="shared" si="25"/>
        <v>3.5000000000000009</v>
      </c>
      <c r="AG43" s="5">
        <f t="shared" si="26"/>
        <v>0</v>
      </c>
      <c r="AH43" s="5">
        <f t="shared" si="27"/>
        <v>0</v>
      </c>
      <c r="AI43" s="5">
        <f t="shared" si="28"/>
        <v>0</v>
      </c>
      <c r="AJ43" s="5">
        <f t="shared" si="29"/>
        <v>1.1933333333333334</v>
      </c>
      <c r="AK43" s="5">
        <f t="shared" si="30"/>
        <v>0</v>
      </c>
      <c r="AL43" s="5">
        <f t="shared" si="31"/>
        <v>0.70000000000000018</v>
      </c>
      <c r="AM43" s="5">
        <f t="shared" si="32"/>
        <v>274840</v>
      </c>
    </row>
    <row r="44" spans="3:39" x14ac:dyDescent="0.15">
      <c r="C44" s="30">
        <v>7</v>
      </c>
      <c r="D44" s="30">
        <f>'[1]资源-钻石'!C17</f>
        <v>0</v>
      </c>
      <c r="E44" s="30">
        <f>'[1]资源-钻石'!D17</f>
        <v>120</v>
      </c>
      <c r="F44" s="30">
        <f>'[1]资源-钻石'!E17</f>
        <v>750</v>
      </c>
      <c r="G44" s="30">
        <f>'[1]资源-钻石'!F17</f>
        <v>5250</v>
      </c>
      <c r="H44" s="30">
        <f>'[1]资源-钻石'!G17</f>
        <v>22500</v>
      </c>
      <c r="S44" s="29">
        <f>基础状态预估!C44</f>
        <v>3000</v>
      </c>
      <c r="T44" s="29">
        <f>基础状态预估!D44</f>
        <v>115.50361532953012</v>
      </c>
      <c r="U44" s="29">
        <f t="shared" si="0"/>
        <v>0</v>
      </c>
      <c r="V44" s="50">
        <f t="shared" si="3"/>
        <v>0</v>
      </c>
      <c r="W44" s="50">
        <f t="shared" si="4"/>
        <v>0</v>
      </c>
      <c r="X44" s="50">
        <f t="shared" si="5"/>
        <v>0.2</v>
      </c>
      <c r="Y44" s="50">
        <f t="shared" si="6"/>
        <v>0.2</v>
      </c>
      <c r="Z44" s="50">
        <f t="shared" si="19"/>
        <v>784000</v>
      </c>
      <c r="AA44" s="5">
        <f t="shared" si="20"/>
        <v>99.5</v>
      </c>
      <c r="AB44" s="5">
        <f t="shared" si="21"/>
        <v>99.5</v>
      </c>
      <c r="AC44" s="5">
        <f t="shared" si="22"/>
        <v>137.62</v>
      </c>
      <c r="AD44" s="5">
        <f t="shared" si="23"/>
        <v>58.97999999999999</v>
      </c>
      <c r="AE44" s="5">
        <f t="shared" si="24"/>
        <v>35.1</v>
      </c>
      <c r="AF44" s="5">
        <f t="shared" si="25"/>
        <v>3.9000000000000008</v>
      </c>
      <c r="AG44" s="5">
        <f t="shared" si="26"/>
        <v>0</v>
      </c>
      <c r="AH44" s="5">
        <f t="shared" si="27"/>
        <v>0</v>
      </c>
      <c r="AI44" s="5">
        <f t="shared" si="28"/>
        <v>0</v>
      </c>
      <c r="AJ44" s="5">
        <f t="shared" si="29"/>
        <v>1.3266666666666667</v>
      </c>
      <c r="AK44" s="5">
        <f t="shared" si="30"/>
        <v>0</v>
      </c>
      <c r="AL44" s="5">
        <f t="shared" si="31"/>
        <v>0.78000000000000014</v>
      </c>
      <c r="AM44" s="5">
        <f t="shared" si="32"/>
        <v>306040</v>
      </c>
    </row>
    <row r="45" spans="3:39" x14ac:dyDescent="0.15">
      <c r="C45" s="30">
        <v>14</v>
      </c>
      <c r="D45" s="30">
        <f>'[1]资源-钻石'!C18</f>
        <v>0</v>
      </c>
      <c r="E45" s="30">
        <f>'[1]资源-钻石'!D18</f>
        <v>240</v>
      </c>
      <c r="F45" s="30">
        <f>'[1]资源-钻石'!E18</f>
        <v>1500</v>
      </c>
      <c r="G45" s="30">
        <f>'[1]资源-钻石'!F18</f>
        <v>10500</v>
      </c>
      <c r="H45" s="30">
        <f>'[1]资源-钻石'!G18</f>
        <v>45000</v>
      </c>
      <c r="S45" s="29">
        <f>基础状态预估!C45</f>
        <v>3300</v>
      </c>
      <c r="T45" s="29">
        <f>基础状态预估!D45</f>
        <v>116.88336617936118</v>
      </c>
      <c r="U45" s="29">
        <f t="shared" si="0"/>
        <v>0</v>
      </c>
      <c r="V45" s="50">
        <f t="shared" si="3"/>
        <v>0</v>
      </c>
      <c r="W45" s="50">
        <f t="shared" si="4"/>
        <v>0</v>
      </c>
      <c r="X45" s="50">
        <f t="shared" si="5"/>
        <v>0.2</v>
      </c>
      <c r="Y45" s="50">
        <f t="shared" si="6"/>
        <v>0.2</v>
      </c>
      <c r="Z45" s="50">
        <f t="shared" si="19"/>
        <v>864000</v>
      </c>
      <c r="AA45" s="5">
        <f t="shared" si="20"/>
        <v>109.5</v>
      </c>
      <c r="AB45" s="5">
        <f t="shared" si="21"/>
        <v>109.5</v>
      </c>
      <c r="AC45" s="5">
        <f t="shared" si="22"/>
        <v>151.62</v>
      </c>
      <c r="AD45" s="5">
        <f t="shared" si="23"/>
        <v>64.97999999999999</v>
      </c>
      <c r="AE45" s="5">
        <f t="shared" si="24"/>
        <v>38.700000000000003</v>
      </c>
      <c r="AF45" s="5">
        <f t="shared" si="25"/>
        <v>4.3000000000000007</v>
      </c>
      <c r="AG45" s="5">
        <f t="shared" si="26"/>
        <v>0</v>
      </c>
      <c r="AH45" s="5">
        <f t="shared" si="27"/>
        <v>0</v>
      </c>
      <c r="AI45" s="5">
        <f t="shared" si="28"/>
        <v>0</v>
      </c>
      <c r="AJ45" s="5">
        <f t="shared" si="29"/>
        <v>1.46</v>
      </c>
      <c r="AK45" s="5">
        <f t="shared" si="30"/>
        <v>0</v>
      </c>
      <c r="AL45" s="5">
        <f t="shared" si="31"/>
        <v>0.8600000000000001</v>
      </c>
      <c r="AM45" s="5">
        <f t="shared" si="32"/>
        <v>337240</v>
      </c>
    </row>
    <row r="46" spans="3:39" x14ac:dyDescent="0.15">
      <c r="C46" s="30">
        <v>30</v>
      </c>
      <c r="D46" s="30">
        <f>'[1]资源-钻石'!C19</f>
        <v>0</v>
      </c>
      <c r="E46" s="30">
        <f>'[1]资源-钻石'!D19</f>
        <v>480</v>
      </c>
      <c r="F46" s="30">
        <f>'[1]资源-钻石'!E19</f>
        <v>3000</v>
      </c>
      <c r="G46" s="30">
        <f>'[1]资源-钻石'!F19</f>
        <v>21000</v>
      </c>
      <c r="H46" s="30">
        <f>'[1]资源-钻石'!G19</f>
        <v>90000</v>
      </c>
      <c r="S46" s="29">
        <f>基础状态预估!C46</f>
        <v>3600</v>
      </c>
      <c r="T46" s="29">
        <f>基础状态预估!D46</f>
        <v>118.13763593334991</v>
      </c>
      <c r="U46" s="29">
        <f t="shared" si="0"/>
        <v>0</v>
      </c>
      <c r="V46" s="50">
        <f t="shared" si="3"/>
        <v>0</v>
      </c>
      <c r="W46" s="50">
        <f t="shared" si="4"/>
        <v>0</v>
      </c>
      <c r="X46" s="50">
        <f t="shared" si="5"/>
        <v>0.2</v>
      </c>
      <c r="Y46" s="50">
        <f t="shared" si="6"/>
        <v>0.2</v>
      </c>
      <c r="Z46" s="50">
        <f t="shared" si="19"/>
        <v>944000</v>
      </c>
      <c r="AA46" s="5">
        <f t="shared" si="20"/>
        <v>119.5</v>
      </c>
      <c r="AB46" s="5">
        <f t="shared" si="21"/>
        <v>119.5</v>
      </c>
      <c r="AC46" s="5">
        <f t="shared" si="22"/>
        <v>165.62</v>
      </c>
      <c r="AD46" s="5">
        <f t="shared" si="23"/>
        <v>70.97999999999999</v>
      </c>
      <c r="AE46" s="5">
        <f t="shared" si="24"/>
        <v>42.300000000000004</v>
      </c>
      <c r="AF46" s="5">
        <f t="shared" si="25"/>
        <v>4.7000000000000011</v>
      </c>
      <c r="AG46" s="5">
        <f t="shared" si="26"/>
        <v>0</v>
      </c>
      <c r="AH46" s="5">
        <f t="shared" si="27"/>
        <v>0</v>
      </c>
      <c r="AI46" s="5">
        <f t="shared" si="28"/>
        <v>0</v>
      </c>
      <c r="AJ46" s="5">
        <f t="shared" si="29"/>
        <v>1.5933333333333333</v>
      </c>
      <c r="AK46" s="5">
        <f t="shared" si="30"/>
        <v>0</v>
      </c>
      <c r="AL46" s="5">
        <f t="shared" si="31"/>
        <v>0.94000000000000006</v>
      </c>
      <c r="AM46" s="5">
        <f t="shared" si="32"/>
        <v>368440</v>
      </c>
    </row>
    <row r="47" spans="3:39" x14ac:dyDescent="0.15">
      <c r="C47" s="30">
        <v>90</v>
      </c>
      <c r="D47" s="30">
        <f>'[1]资源-钻石'!C20</f>
        <v>0</v>
      </c>
      <c r="E47" s="30">
        <f>'[1]资源-钻石'!D20</f>
        <v>1440</v>
      </c>
      <c r="F47" s="30">
        <f>'[1]资源-钻石'!E20</f>
        <v>9000</v>
      </c>
      <c r="G47" s="30">
        <f>'[1]资源-钻石'!F20</f>
        <v>63000</v>
      </c>
      <c r="H47" s="30">
        <f>'[1]资源-钻石'!G20</f>
        <v>270000</v>
      </c>
      <c r="S47" s="29">
        <f>基础状态预估!C47</f>
        <v>3900</v>
      </c>
      <c r="T47" s="29">
        <f>基础状态预估!D47</f>
        <v>119.28909140534228</v>
      </c>
      <c r="U47" s="29">
        <f t="shared" si="0"/>
        <v>0</v>
      </c>
      <c r="V47" s="50">
        <f t="shared" si="3"/>
        <v>0</v>
      </c>
      <c r="W47" s="50">
        <f t="shared" si="4"/>
        <v>0</v>
      </c>
      <c r="X47" s="50">
        <f t="shared" si="5"/>
        <v>0.2</v>
      </c>
      <c r="Y47" s="50">
        <f t="shared" si="6"/>
        <v>0.2</v>
      </c>
      <c r="Z47" s="50">
        <f t="shared" si="19"/>
        <v>1024000</v>
      </c>
      <c r="AA47" s="5">
        <f t="shared" si="20"/>
        <v>129.5</v>
      </c>
      <c r="AB47" s="5">
        <f t="shared" si="21"/>
        <v>129.5</v>
      </c>
      <c r="AC47" s="5">
        <f t="shared" si="22"/>
        <v>179.62</v>
      </c>
      <c r="AD47" s="5">
        <f t="shared" si="23"/>
        <v>76.97999999999999</v>
      </c>
      <c r="AE47" s="5">
        <f t="shared" si="24"/>
        <v>45.900000000000006</v>
      </c>
      <c r="AF47" s="5">
        <f t="shared" si="25"/>
        <v>5.1000000000000014</v>
      </c>
      <c r="AG47" s="5">
        <f t="shared" si="26"/>
        <v>0</v>
      </c>
      <c r="AH47" s="5">
        <f t="shared" si="27"/>
        <v>0</v>
      </c>
      <c r="AI47" s="5">
        <f t="shared" si="28"/>
        <v>0</v>
      </c>
      <c r="AJ47" s="5">
        <f t="shared" si="29"/>
        <v>1.7266666666666666</v>
      </c>
      <c r="AK47" s="5">
        <f t="shared" si="30"/>
        <v>0</v>
      </c>
      <c r="AL47" s="5">
        <f t="shared" si="31"/>
        <v>1.02</v>
      </c>
      <c r="AM47" s="5">
        <f t="shared" si="32"/>
        <v>399640</v>
      </c>
    </row>
    <row r="48" spans="3:39" x14ac:dyDescent="0.15">
      <c r="C48" s="30">
        <v>180</v>
      </c>
      <c r="D48" s="30">
        <f>'[1]资源-钻石'!C21</f>
        <v>0</v>
      </c>
      <c r="E48" s="30">
        <f>'[1]资源-钻石'!D21</f>
        <v>2880</v>
      </c>
      <c r="F48" s="30">
        <f>'[1]资源-钻石'!E21</f>
        <v>18000</v>
      </c>
      <c r="G48" s="30">
        <f>'[1]资源-钻石'!F21</f>
        <v>126000</v>
      </c>
      <c r="H48" s="30">
        <f>'[1]资源-钻石'!G21</f>
        <v>540000</v>
      </c>
      <c r="S48" s="29">
        <f>基础状态预估!C48</f>
        <v>4200</v>
      </c>
      <c r="T48" s="29">
        <f>基础状态预估!D48</f>
        <v>120.35716216995992</v>
      </c>
      <c r="U48" s="29">
        <f t="shared" si="0"/>
        <v>0</v>
      </c>
      <c r="V48" s="50">
        <f t="shared" si="3"/>
        <v>0</v>
      </c>
      <c r="W48" s="50">
        <f t="shared" si="4"/>
        <v>0</v>
      </c>
      <c r="X48" s="50">
        <f t="shared" si="5"/>
        <v>0.2</v>
      </c>
      <c r="Y48" s="50">
        <f t="shared" si="6"/>
        <v>0.2</v>
      </c>
      <c r="Z48" s="50">
        <f t="shared" si="19"/>
        <v>1104000</v>
      </c>
      <c r="AA48" s="5">
        <f t="shared" si="20"/>
        <v>139.5</v>
      </c>
      <c r="AB48" s="5">
        <f t="shared" si="21"/>
        <v>139.5</v>
      </c>
      <c r="AC48" s="5">
        <f t="shared" si="22"/>
        <v>193.62</v>
      </c>
      <c r="AD48" s="5">
        <f t="shared" si="23"/>
        <v>82.97999999999999</v>
      </c>
      <c r="AE48" s="5">
        <f t="shared" si="24"/>
        <v>49.500000000000007</v>
      </c>
      <c r="AF48" s="5">
        <f t="shared" si="25"/>
        <v>5.5000000000000018</v>
      </c>
      <c r="AG48" s="5">
        <f t="shared" si="26"/>
        <v>0</v>
      </c>
      <c r="AH48" s="5">
        <f t="shared" si="27"/>
        <v>0</v>
      </c>
      <c r="AI48" s="5">
        <f t="shared" si="28"/>
        <v>0</v>
      </c>
      <c r="AJ48" s="5">
        <f t="shared" si="29"/>
        <v>1.8599999999999999</v>
      </c>
      <c r="AK48" s="5">
        <f t="shared" si="30"/>
        <v>0</v>
      </c>
      <c r="AL48" s="5">
        <f t="shared" si="31"/>
        <v>1.1000000000000001</v>
      </c>
      <c r="AM48" s="5">
        <f t="shared" si="32"/>
        <v>430840</v>
      </c>
    </row>
    <row r="49" spans="3:39" x14ac:dyDescent="0.15">
      <c r="C49" s="30">
        <v>360</v>
      </c>
      <c r="D49" s="30">
        <f>'[1]资源-钻石'!C22</f>
        <v>0</v>
      </c>
      <c r="E49" s="30">
        <f>'[1]资源-钻石'!D22</f>
        <v>5760</v>
      </c>
      <c r="F49" s="30">
        <f>'[1]资源-钻石'!E22</f>
        <v>36000</v>
      </c>
      <c r="G49" s="30">
        <f>'[1]资源-钻石'!F22</f>
        <v>252000</v>
      </c>
      <c r="H49" s="30">
        <f>'[1]资源-钻石'!G22</f>
        <v>1080000</v>
      </c>
      <c r="S49" s="29">
        <f>基础状态预估!C49</f>
        <v>4500</v>
      </c>
      <c r="T49" s="29">
        <f>基础状态预估!D49</f>
        <v>121.35233706179751</v>
      </c>
      <c r="U49" s="29">
        <f t="shared" si="0"/>
        <v>0</v>
      </c>
      <c r="V49" s="50">
        <f t="shared" si="3"/>
        <v>0</v>
      </c>
      <c r="W49" s="50">
        <f t="shared" si="4"/>
        <v>0</v>
      </c>
      <c r="X49" s="50">
        <f t="shared" si="5"/>
        <v>0.2</v>
      </c>
      <c r="Y49" s="50">
        <f t="shared" si="6"/>
        <v>0.2</v>
      </c>
      <c r="Z49" s="50">
        <f t="shared" si="19"/>
        <v>1184000</v>
      </c>
      <c r="AA49" s="5">
        <f t="shared" si="20"/>
        <v>149.5</v>
      </c>
      <c r="AB49" s="5">
        <f t="shared" si="21"/>
        <v>149.5</v>
      </c>
      <c r="AC49" s="5">
        <f t="shared" si="22"/>
        <v>207.62</v>
      </c>
      <c r="AD49" s="5">
        <f t="shared" si="23"/>
        <v>88.97999999999999</v>
      </c>
      <c r="AE49" s="5">
        <f t="shared" si="24"/>
        <v>53.100000000000009</v>
      </c>
      <c r="AF49" s="5">
        <f t="shared" si="25"/>
        <v>5.9000000000000021</v>
      </c>
      <c r="AG49" s="5">
        <f t="shared" si="26"/>
        <v>0</v>
      </c>
      <c r="AH49" s="5">
        <f t="shared" si="27"/>
        <v>0</v>
      </c>
      <c r="AI49" s="5">
        <f t="shared" si="28"/>
        <v>0</v>
      </c>
      <c r="AJ49" s="5">
        <f t="shared" si="29"/>
        <v>1.9933333333333332</v>
      </c>
      <c r="AK49" s="5">
        <f t="shared" si="30"/>
        <v>0</v>
      </c>
      <c r="AL49" s="5">
        <f t="shared" si="31"/>
        <v>1.1800000000000002</v>
      </c>
      <c r="AM49" s="5">
        <f t="shared" si="32"/>
        <v>462040</v>
      </c>
    </row>
    <row r="50" spans="3:39" x14ac:dyDescent="0.15">
      <c r="S50" s="29">
        <f>基础状态预估!C50</f>
        <v>4800</v>
      </c>
      <c r="T50" s="29">
        <f>基础状态预估!D50</f>
        <v>122.28407404910907</v>
      </c>
      <c r="U50" s="29">
        <f t="shared" si="0"/>
        <v>0</v>
      </c>
      <c r="V50" s="50">
        <f t="shared" si="3"/>
        <v>0</v>
      </c>
      <c r="W50" s="50">
        <f t="shared" si="4"/>
        <v>0</v>
      </c>
      <c r="X50" s="50">
        <f t="shared" si="5"/>
        <v>0.2</v>
      </c>
      <c r="Y50" s="50">
        <f t="shared" si="6"/>
        <v>0.2</v>
      </c>
      <c r="Z50" s="50">
        <f t="shared" si="19"/>
        <v>1264000</v>
      </c>
      <c r="AA50" s="5">
        <f t="shared" si="20"/>
        <v>159.5</v>
      </c>
      <c r="AB50" s="5">
        <f t="shared" si="21"/>
        <v>159.5</v>
      </c>
      <c r="AC50" s="5">
        <f t="shared" si="22"/>
        <v>221.62</v>
      </c>
      <c r="AD50" s="5">
        <f t="shared" si="23"/>
        <v>94.97999999999999</v>
      </c>
      <c r="AE50" s="5">
        <f t="shared" si="24"/>
        <v>56.70000000000001</v>
      </c>
      <c r="AF50" s="5">
        <f t="shared" si="25"/>
        <v>6.3000000000000025</v>
      </c>
      <c r="AG50" s="5">
        <f t="shared" si="26"/>
        <v>0</v>
      </c>
      <c r="AH50" s="5">
        <f t="shared" si="27"/>
        <v>0</v>
      </c>
      <c r="AI50" s="5">
        <f t="shared" si="28"/>
        <v>0</v>
      </c>
      <c r="AJ50" s="5">
        <f t="shared" si="29"/>
        <v>2.1266666666666665</v>
      </c>
      <c r="AK50" s="5">
        <f t="shared" si="30"/>
        <v>0</v>
      </c>
      <c r="AL50" s="5">
        <f t="shared" si="31"/>
        <v>1.2600000000000002</v>
      </c>
      <c r="AM50" s="5">
        <f t="shared" si="32"/>
        <v>493240</v>
      </c>
    </row>
    <row r="51" spans="3:39" x14ac:dyDescent="0.15">
      <c r="G51" s="51"/>
      <c r="H51" s="51"/>
      <c r="I51" s="51"/>
      <c r="S51" s="29">
        <f>基础状态预估!C51</f>
        <v>65535</v>
      </c>
      <c r="T51" s="29">
        <f>基础状态预估!D51</f>
        <v>160</v>
      </c>
      <c r="U51" s="29">
        <f t="shared" si="0"/>
        <v>0</v>
      </c>
      <c r="V51" s="50">
        <f t="shared" si="3"/>
        <v>0</v>
      </c>
      <c r="W51" s="50">
        <f t="shared" si="4"/>
        <v>0</v>
      </c>
      <c r="X51" s="50">
        <f t="shared" si="5"/>
        <v>0.2</v>
      </c>
      <c r="Y51" s="50">
        <f t="shared" si="6"/>
        <v>0.2</v>
      </c>
      <c r="Z51" s="50">
        <f t="shared" si="19"/>
        <v>17460000</v>
      </c>
      <c r="AA51" s="5">
        <f t="shared" si="20"/>
        <v>2184</v>
      </c>
      <c r="AB51" s="5">
        <f t="shared" si="21"/>
        <v>2184</v>
      </c>
      <c r="AC51" s="5">
        <f t="shared" si="22"/>
        <v>3055.92</v>
      </c>
      <c r="AD51" s="5">
        <f t="shared" si="23"/>
        <v>1309.6799999999998</v>
      </c>
      <c r="AE51" s="5">
        <f t="shared" si="24"/>
        <v>785.5200000000001</v>
      </c>
      <c r="AF51" s="5">
        <f t="shared" si="25"/>
        <v>87.280000000000015</v>
      </c>
      <c r="AG51" s="5">
        <f t="shared" si="26"/>
        <v>0</v>
      </c>
      <c r="AH51" s="5">
        <f t="shared" si="27"/>
        <v>0</v>
      </c>
      <c r="AI51" s="5">
        <f t="shared" si="28"/>
        <v>0</v>
      </c>
      <c r="AJ51" s="5">
        <f t="shared" si="29"/>
        <v>29.12</v>
      </c>
      <c r="AK51" s="5">
        <f t="shared" si="30"/>
        <v>0</v>
      </c>
      <c r="AL51" s="5">
        <f t="shared" si="31"/>
        <v>17.456000000000003</v>
      </c>
      <c r="AM51" s="5">
        <f t="shared" si="32"/>
        <v>6809680</v>
      </c>
    </row>
    <row r="52" spans="3:39" x14ac:dyDescent="0.15">
      <c r="F52" s="51"/>
      <c r="G52" s="51"/>
      <c r="H52" s="51"/>
      <c r="I52" s="51"/>
    </row>
    <row r="53" spans="3:39" x14ac:dyDescent="0.15">
      <c r="F53" s="51"/>
      <c r="G53" s="51"/>
      <c r="H53" s="51"/>
      <c r="I53" s="51"/>
      <c r="S53" s="25" t="s">
        <v>18</v>
      </c>
      <c r="T53" s="26"/>
      <c r="U53" s="26"/>
      <c r="V53" s="84" t="s">
        <v>174</v>
      </c>
      <c r="W53" s="84"/>
      <c r="X53" s="84"/>
      <c r="Y53" s="84"/>
      <c r="AA53" s="85" t="s">
        <v>182</v>
      </c>
      <c r="AB53" s="95"/>
      <c r="AC53" s="95"/>
      <c r="AD53" s="95"/>
      <c r="AE53" s="95"/>
      <c r="AF53" s="86"/>
      <c r="AG53" s="85" t="s">
        <v>183</v>
      </c>
      <c r="AH53" s="95"/>
      <c r="AI53" s="95"/>
      <c r="AJ53" s="95"/>
      <c r="AK53" s="95"/>
      <c r="AL53" s="86"/>
      <c r="AM53" s="50"/>
    </row>
    <row r="54" spans="3:39" ht="22.5" x14ac:dyDescent="0.15">
      <c r="F54" s="51"/>
      <c r="G54" s="51"/>
      <c r="H54" s="51"/>
      <c r="I54" s="51"/>
      <c r="S54" s="27" t="s">
        <v>31</v>
      </c>
      <c r="T54" s="27" t="s">
        <v>25</v>
      </c>
      <c r="U54" s="27" t="s">
        <v>180</v>
      </c>
      <c r="V54" s="50" t="s">
        <v>175</v>
      </c>
      <c r="W54" s="50" t="s">
        <v>177</v>
      </c>
      <c r="X54" s="20" t="s">
        <v>177</v>
      </c>
      <c r="Y54" s="20" t="s">
        <v>178</v>
      </c>
      <c r="Z54" s="50" t="s">
        <v>193</v>
      </c>
      <c r="AA54" s="50" t="s">
        <v>185</v>
      </c>
      <c r="AB54" s="50" t="s">
        <v>186</v>
      </c>
      <c r="AC54" s="50" t="s">
        <v>27</v>
      </c>
      <c r="AD54" s="50" t="s">
        <v>29</v>
      </c>
      <c r="AE54" s="50" t="s">
        <v>28</v>
      </c>
      <c r="AF54" s="50" t="s">
        <v>43</v>
      </c>
      <c r="AG54" s="50" t="s">
        <v>185</v>
      </c>
      <c r="AH54" s="50" t="s">
        <v>186</v>
      </c>
      <c r="AI54" s="50" t="s">
        <v>27</v>
      </c>
      <c r="AJ54" s="50" t="s">
        <v>29</v>
      </c>
      <c r="AK54" s="50" t="s">
        <v>28</v>
      </c>
      <c r="AL54" s="50" t="s">
        <v>43</v>
      </c>
      <c r="AM54" s="50" t="s">
        <v>184</v>
      </c>
    </row>
    <row r="55" spans="3:39" x14ac:dyDescent="0.15">
      <c r="F55" s="51"/>
      <c r="G55" s="51"/>
      <c r="H55" s="51"/>
      <c r="I55" s="51"/>
      <c r="S55" s="29">
        <f>基础状态预估!C55</f>
        <v>15</v>
      </c>
      <c r="T55" s="29">
        <f>基础状态预估!D55</f>
        <v>41.83669503626701</v>
      </c>
      <c r="U55" s="29">
        <f t="shared" ref="U55:U95" si="33">$E$49/$C$49*15*$T$1</f>
        <v>48</v>
      </c>
      <c r="V55" s="50">
        <f>IF(W55&gt;0,0,MIN(IF($E$8&gt;$S55,0,1)*$U55/$F$8,$H$8))</f>
        <v>0</v>
      </c>
      <c r="W55" s="50">
        <f>MIN(IF($E$9&gt;$S55,0,1)*$U55/$F$9,$H$9)</f>
        <v>0</v>
      </c>
      <c r="X55" s="50">
        <f>IF($E$8&gt;$S55,0,0.3)</f>
        <v>0</v>
      </c>
      <c r="Y55" s="50">
        <f>IF($E$9&gt;$S55,0,0.3)</f>
        <v>0</v>
      </c>
      <c r="Z55" s="11">
        <f>S55/$D$8*(V55*$F$8*$G$8*10+W55*$F$9*$G$9*10+X55*$O$8+Y55*$O$9)</f>
        <v>0</v>
      </c>
      <c r="AA55" s="11">
        <f t="shared" ref="AA55" si="34">$S55/$D$8*($V55+$X55)*D$13+$S55/$D$9*($W55+$Y55)*D$14</f>
        <v>0</v>
      </c>
      <c r="AB55" s="11">
        <f t="shared" ref="AB55" si="35">$S55/$D$8*($V55+$X55)*E$13+$S55/$D$9*($W55+$Y55)*E$14</f>
        <v>0</v>
      </c>
      <c r="AC55" s="11">
        <f>$S55/$D$8*($V55+$X55)*F$13+$S55/$D$9*($W55+$Y55)*F$14</f>
        <v>0</v>
      </c>
      <c r="AD55" s="11">
        <f>$S55/$D$8*($V55+$X55)*G$13+$S55/$D$9*($W55+$Y55)*G$14</f>
        <v>0</v>
      </c>
      <c r="AE55" s="11">
        <f>$S55/$D$8*($V55+$X55)*H$13+$S55/$D$9*($W55+$Y55)*H$14</f>
        <v>0</v>
      </c>
      <c r="AF55" s="11">
        <f>$S55/$D$8*($V55+$X55)*I$13+$S55/$D$9*($W55+$Y55)*I$14</f>
        <v>0</v>
      </c>
      <c r="AG55" s="11">
        <f t="shared" ref="AG55" si="36">$S55/$D$8*($V55+$X55)*J$13+$S55/$D$9*($W55+$Y55)*J$14</f>
        <v>0</v>
      </c>
      <c r="AH55" s="11">
        <f t="shared" ref="AH55" si="37">$S55/$D$8*($V55+$X55)*K$13+$S55/$D$9*($W55+$Y55)*K$14</f>
        <v>0</v>
      </c>
      <c r="AI55" s="11">
        <f t="shared" ref="AI55" si="38">$S55/$D$8*($V55+$X55)*L$13+$S55/$D$9*($W55+$Y55)*L$14</f>
        <v>0</v>
      </c>
      <c r="AJ55" s="11">
        <f t="shared" ref="AJ55" si="39">$S55/$D$8*($V55+$X55)*M$13+$S55/$D$9*($W55+$Y55)*M$14</f>
        <v>0</v>
      </c>
      <c r="AK55" s="11">
        <f t="shared" ref="AK55" si="40">$S55/$D$8*($V55+$X55)*N$13+$S55/$D$9*($W55+$Y55)*N$14</f>
        <v>0</v>
      </c>
      <c r="AL55" s="11">
        <f t="shared" ref="AL55" si="41">$S55/$D$8*($V55+$X55)*O$13+$S55/$D$9*($W55+$Y55)*O$14</f>
        <v>0</v>
      </c>
      <c r="AM55" s="11">
        <f t="shared" ref="AM55" si="42">$S55/$D$8*($V55+$X55)*P$13+$S55/$D$9*($W55+$Y55)*P$14</f>
        <v>0</v>
      </c>
    </row>
    <row r="56" spans="3:39" x14ac:dyDescent="0.15">
      <c r="F56" s="51"/>
      <c r="G56" s="51"/>
      <c r="H56" s="51"/>
      <c r="I56" s="51"/>
      <c r="S56" s="29">
        <f>基础状态预估!C56</f>
        <v>30</v>
      </c>
      <c r="T56" s="29">
        <f>基础状态预估!D56</f>
        <v>51.497823295559343</v>
      </c>
      <c r="U56" s="29">
        <f t="shared" si="33"/>
        <v>48</v>
      </c>
      <c r="V56" s="50">
        <f t="shared" ref="V56:V95" si="43">IF(W56&gt;0,0,MIN(IF($E$8&gt;$S56,0,1)*$U56/$F$8,$H$8))</f>
        <v>0.24242424242424243</v>
      </c>
      <c r="W56" s="50">
        <f t="shared" ref="W56:W95" si="44">MIN(IF($E$9&gt;$S56,0,1)*$U56/$F$9,$H$9)</f>
        <v>0</v>
      </c>
      <c r="X56" s="50">
        <f t="shared" ref="X56:X95" si="45">IF($E$8&gt;$S56,0,0.3)</f>
        <v>0.3</v>
      </c>
      <c r="Y56" s="50">
        <f t="shared" ref="Y56:Y95" si="46">IF($E$9&gt;$S56,0,0.3)</f>
        <v>0</v>
      </c>
      <c r="Z56" s="50">
        <f>(S56-S55)/$D$8*(V56*$F$8+W56*$F$9+X56*$O$8+Y56*$O$9)+Z55</f>
        <v>1548</v>
      </c>
      <c r="AA56" s="5">
        <f t="shared" ref="AA56:AA95" si="47">($S56-$S55)/$D$8*($V56+$X56)*D$13+($S56-$S55)/$D$9*($W56+$Y56)*D$14+AA55</f>
        <v>1.3560606060606062</v>
      </c>
      <c r="AB56" s="5">
        <f t="shared" ref="AB56:AB95" si="48">($S56-$S55)/$D$8*($V56+$X56)*E$13+($S56-$S55)/$D$9*($W56+$Y56)*E$14+AB55</f>
        <v>1.3560606060606062</v>
      </c>
      <c r="AC56" s="5">
        <f t="shared" ref="AC56:AC95" si="49">($S56-$S55)/$D$8*($V56+$X56)*F$13+($S56-$S55)/$D$9*($W56+$Y56)*F$14+AC55</f>
        <v>0.7593939393939394</v>
      </c>
      <c r="AD56" s="5">
        <f t="shared" ref="AD56:AD95" si="50">($S56-$S55)/$D$8*($V56+$X56)*G$13+($S56-$S55)/$D$9*($W56+$Y56)*G$14+AD55</f>
        <v>0.3254545454545455</v>
      </c>
      <c r="AE56" s="5">
        <f t="shared" ref="AE56:AE95" si="51">($S56-$S55)/$D$8*($V56+$X56)*H$13+($S56-$S55)/$D$9*($W56+$Y56)*H$14+AE55</f>
        <v>0</v>
      </c>
      <c r="AF56" s="5">
        <f t="shared" ref="AF56:AF95" si="52">($S56-$S55)/$D$8*($V56+$X56)*I$13+($S56-$S55)/$D$9*($W56+$Y56)*I$14+AF55</f>
        <v>0</v>
      </c>
      <c r="AG56" s="5">
        <f t="shared" ref="AG56:AG95" si="53">($S56-$S55)/$D$8*($V56+$X56)*J$13+($S56-$S55)/$D$9*($W56+$Y56)*J$14+AG55</f>
        <v>0</v>
      </c>
      <c r="AH56" s="5">
        <f t="shared" ref="AH56:AH95" si="54">($S56-$S55)/$D$8*($V56+$X56)*K$13+($S56-$S55)/$D$9*($W56+$Y56)*K$14+AH55</f>
        <v>0</v>
      </c>
      <c r="AI56" s="5">
        <f t="shared" ref="AI56" si="55">($S56-$S55)/$D$8*($V56+$X56)*L$13+($S56-$S55)/$D$9*($W56+$Y56)*L$14+AI55</f>
        <v>0</v>
      </c>
      <c r="AJ56" s="5">
        <f t="shared" ref="AJ56" si="56">($S56-$S55)/$D$8*($V56+$X56)*M$13+($S56-$S55)/$D$9*($W56+$Y56)*M$14+AJ55</f>
        <v>1.8080808080808083E-2</v>
      </c>
      <c r="AK56" s="5">
        <f t="shared" ref="AK56" si="57">($S56-$S55)/$D$8*($V56+$X56)*N$13+($S56-$S55)/$D$9*($W56+$Y56)*N$14+AK55</f>
        <v>0</v>
      </c>
      <c r="AL56" s="5">
        <f t="shared" ref="AL56" si="58">($S56-$S55)/$D$8*($V56+$X56)*O$13+($S56-$S55)/$D$9*($W56+$Y56)*O$14+AL55</f>
        <v>0</v>
      </c>
      <c r="AM56" s="5">
        <f t="shared" ref="AM56" si="59">($S56-$S55)/$D$8*($V56+$X56)*P$13+($S56-$S55)/$D$9*($W56+$Y56)*P$14+AM55</f>
        <v>1247.5757575757577</v>
      </c>
    </row>
    <row r="57" spans="3:39" x14ac:dyDescent="0.15">
      <c r="F57" s="51"/>
      <c r="G57" s="51"/>
      <c r="H57" s="51"/>
      <c r="I57" s="51"/>
      <c r="S57" s="29">
        <f>基础状态预估!C57</f>
        <v>45</v>
      </c>
      <c r="T57" s="29">
        <f>基础状态预估!D57</f>
        <v>57.218966664386244</v>
      </c>
      <c r="U57" s="29">
        <f t="shared" si="33"/>
        <v>48</v>
      </c>
      <c r="V57" s="50">
        <f t="shared" si="43"/>
        <v>0.24242424242424243</v>
      </c>
      <c r="W57" s="50">
        <f t="shared" si="44"/>
        <v>0</v>
      </c>
      <c r="X57" s="50">
        <f t="shared" si="45"/>
        <v>0.3</v>
      </c>
      <c r="Y57" s="50">
        <f t="shared" si="46"/>
        <v>0</v>
      </c>
      <c r="Z57" s="50">
        <f t="shared" ref="Z57:Z95" si="60">(S57-S56)/$D$8*(V57*$F$8+W57*$F$9+X57*$O$8+Y57*$O$9)+Z56</f>
        <v>3096</v>
      </c>
      <c r="AA57" s="5">
        <f t="shared" si="47"/>
        <v>2.7121212121212124</v>
      </c>
      <c r="AB57" s="5">
        <f t="shared" si="48"/>
        <v>2.7121212121212124</v>
      </c>
      <c r="AC57" s="5">
        <f t="shared" si="49"/>
        <v>1.5187878787878788</v>
      </c>
      <c r="AD57" s="5">
        <f t="shared" si="50"/>
        <v>0.65090909090909099</v>
      </c>
      <c r="AE57" s="5">
        <f t="shared" si="51"/>
        <v>0</v>
      </c>
      <c r="AF57" s="5">
        <f t="shared" si="52"/>
        <v>0</v>
      </c>
      <c r="AG57" s="5">
        <f t="shared" si="53"/>
        <v>0</v>
      </c>
      <c r="AH57" s="5">
        <f t="shared" si="54"/>
        <v>0</v>
      </c>
      <c r="AI57" s="5">
        <f t="shared" ref="AI57:AI95" si="61">($S57-$S56)/$D$8*($V57+$X57)*L$13+($S57-$S56)/$D$9*($W57+$Y57)*L$14+AI56</f>
        <v>0</v>
      </c>
      <c r="AJ57" s="5">
        <f t="shared" ref="AJ57:AJ95" si="62">($S57-$S56)/$D$8*($V57+$X57)*M$13+($S57-$S56)/$D$9*($W57+$Y57)*M$14+AJ56</f>
        <v>3.6161616161616165E-2</v>
      </c>
      <c r="AK57" s="5">
        <f t="shared" ref="AK57:AK95" si="63">($S57-$S56)/$D$8*($V57+$X57)*N$13+($S57-$S56)/$D$9*($W57+$Y57)*N$14+AK56</f>
        <v>0</v>
      </c>
      <c r="AL57" s="5">
        <f t="shared" ref="AL57:AL95" si="64">($S57-$S56)/$D$8*($V57+$X57)*O$13+($S57-$S56)/$D$9*($W57+$Y57)*O$14+AL56</f>
        <v>0</v>
      </c>
      <c r="AM57" s="5">
        <f t="shared" ref="AM57:AM95" si="65">($S57-$S56)/$D$8*($V57+$X57)*P$13+($S57-$S56)/$D$9*($W57+$Y57)*P$14+AM56</f>
        <v>2495.1515151515155</v>
      </c>
    </row>
    <row r="58" spans="3:39" x14ac:dyDescent="0.15">
      <c r="S58" s="29">
        <f>基础状态预估!C58</f>
        <v>60</v>
      </c>
      <c r="T58" s="29">
        <f>基础状态预估!D58</f>
        <v>61.330461663183208</v>
      </c>
      <c r="U58" s="29">
        <f t="shared" si="33"/>
        <v>48</v>
      </c>
      <c r="V58" s="50">
        <f t="shared" si="43"/>
        <v>0.24242424242424243</v>
      </c>
      <c r="W58" s="50">
        <f t="shared" si="44"/>
        <v>0</v>
      </c>
      <c r="X58" s="50">
        <f t="shared" si="45"/>
        <v>0.3</v>
      </c>
      <c r="Y58" s="50">
        <f t="shared" si="46"/>
        <v>0</v>
      </c>
      <c r="Z58" s="50">
        <f t="shared" si="60"/>
        <v>4644</v>
      </c>
      <c r="AA58" s="5">
        <f t="shared" si="47"/>
        <v>4.0681818181818183</v>
      </c>
      <c r="AB58" s="5">
        <f t="shared" si="48"/>
        <v>4.0681818181818183</v>
      </c>
      <c r="AC58" s="5">
        <f t="shared" si="49"/>
        <v>2.2781818181818183</v>
      </c>
      <c r="AD58" s="5">
        <f t="shared" si="50"/>
        <v>0.97636363636363654</v>
      </c>
      <c r="AE58" s="5">
        <f t="shared" si="51"/>
        <v>0</v>
      </c>
      <c r="AF58" s="5">
        <f t="shared" si="52"/>
        <v>0</v>
      </c>
      <c r="AG58" s="5">
        <f t="shared" si="53"/>
        <v>0</v>
      </c>
      <c r="AH58" s="5">
        <f t="shared" si="54"/>
        <v>0</v>
      </c>
      <c r="AI58" s="5">
        <f t="shared" si="61"/>
        <v>0</v>
      </c>
      <c r="AJ58" s="5">
        <f t="shared" si="62"/>
        <v>5.4242424242424245E-2</v>
      </c>
      <c r="AK58" s="5">
        <f t="shared" si="63"/>
        <v>0</v>
      </c>
      <c r="AL58" s="5">
        <f t="shared" si="64"/>
        <v>0</v>
      </c>
      <c r="AM58" s="5">
        <f t="shared" si="65"/>
        <v>3742.727272727273</v>
      </c>
    </row>
    <row r="59" spans="3:39" x14ac:dyDescent="0.15">
      <c r="S59" s="29">
        <f>基础状态预估!C59</f>
        <v>75</v>
      </c>
      <c r="T59" s="29">
        <f>基础状态预估!D59</f>
        <v>64.495279642868965</v>
      </c>
      <c r="U59" s="29">
        <f t="shared" si="33"/>
        <v>48</v>
      </c>
      <c r="V59" s="50">
        <f t="shared" si="43"/>
        <v>0.24242424242424243</v>
      </c>
      <c r="W59" s="50">
        <f t="shared" si="44"/>
        <v>0</v>
      </c>
      <c r="X59" s="50">
        <f t="shared" si="45"/>
        <v>0.3</v>
      </c>
      <c r="Y59" s="50">
        <f t="shared" si="46"/>
        <v>0</v>
      </c>
      <c r="Z59" s="50">
        <f t="shared" si="60"/>
        <v>6192</v>
      </c>
      <c r="AA59" s="5">
        <f t="shared" si="47"/>
        <v>5.4242424242424248</v>
      </c>
      <c r="AB59" s="5">
        <f t="shared" si="48"/>
        <v>5.4242424242424248</v>
      </c>
      <c r="AC59" s="5">
        <f t="shared" si="49"/>
        <v>3.0375757575757576</v>
      </c>
      <c r="AD59" s="5">
        <f t="shared" si="50"/>
        <v>1.301818181818182</v>
      </c>
      <c r="AE59" s="5">
        <f t="shared" si="51"/>
        <v>0</v>
      </c>
      <c r="AF59" s="5">
        <f t="shared" si="52"/>
        <v>0</v>
      </c>
      <c r="AG59" s="5">
        <f t="shared" si="53"/>
        <v>0</v>
      </c>
      <c r="AH59" s="5">
        <f t="shared" si="54"/>
        <v>0</v>
      </c>
      <c r="AI59" s="5">
        <f t="shared" si="61"/>
        <v>0</v>
      </c>
      <c r="AJ59" s="5">
        <f t="shared" si="62"/>
        <v>7.2323232323232331E-2</v>
      </c>
      <c r="AK59" s="5">
        <f t="shared" si="63"/>
        <v>0</v>
      </c>
      <c r="AL59" s="5">
        <f t="shared" si="64"/>
        <v>0</v>
      </c>
      <c r="AM59" s="5">
        <f t="shared" si="65"/>
        <v>4990.3030303030309</v>
      </c>
    </row>
    <row r="60" spans="3:39" x14ac:dyDescent="0.15">
      <c r="S60" s="29">
        <f>基础状态预估!C60</f>
        <v>90</v>
      </c>
      <c r="T60" s="29">
        <f>基础状态预估!D60</f>
        <v>67.083433628014333</v>
      </c>
      <c r="U60" s="29">
        <f t="shared" si="33"/>
        <v>48</v>
      </c>
      <c r="V60" s="50">
        <f t="shared" si="43"/>
        <v>0</v>
      </c>
      <c r="W60" s="50">
        <f t="shared" si="44"/>
        <v>7.407407407407407E-2</v>
      </c>
      <c r="X60" s="50">
        <f t="shared" si="45"/>
        <v>0.3</v>
      </c>
      <c r="Y60" s="50">
        <f t="shared" si="46"/>
        <v>0.3</v>
      </c>
      <c r="Z60" s="50">
        <f t="shared" si="60"/>
        <v>12240</v>
      </c>
      <c r="AA60" s="5">
        <f t="shared" si="47"/>
        <v>6.1742424242424248</v>
      </c>
      <c r="AB60" s="5">
        <f t="shared" si="48"/>
        <v>6.1742424242424248</v>
      </c>
      <c r="AC60" s="5">
        <f t="shared" si="49"/>
        <v>4.2431313131313129</v>
      </c>
      <c r="AD60" s="5">
        <f t="shared" si="50"/>
        <v>1.8184848484848486</v>
      </c>
      <c r="AE60" s="5">
        <f t="shared" si="51"/>
        <v>0.33666666666666667</v>
      </c>
      <c r="AF60" s="5">
        <f t="shared" si="52"/>
        <v>3.740740740740741E-2</v>
      </c>
      <c r="AG60" s="5">
        <f t="shared" si="53"/>
        <v>0</v>
      </c>
      <c r="AH60" s="5">
        <f t="shared" si="54"/>
        <v>0</v>
      </c>
      <c r="AI60" s="5">
        <f t="shared" si="61"/>
        <v>0</v>
      </c>
      <c r="AJ60" s="5">
        <f t="shared" si="62"/>
        <v>8.2323232323232326E-2</v>
      </c>
      <c r="AK60" s="5">
        <f t="shared" si="63"/>
        <v>0</v>
      </c>
      <c r="AL60" s="5">
        <f t="shared" si="64"/>
        <v>7.4814814814814813E-3</v>
      </c>
      <c r="AM60" s="5">
        <f t="shared" si="65"/>
        <v>7737.7104377104388</v>
      </c>
    </row>
    <row r="61" spans="3:39" x14ac:dyDescent="0.15">
      <c r="S61" s="29">
        <f>基础状态预估!C61</f>
        <v>105</v>
      </c>
      <c r="T61" s="29">
        <f>基础状态预估!D61</f>
        <v>69.333680194119751</v>
      </c>
      <c r="U61" s="29">
        <f t="shared" si="33"/>
        <v>48</v>
      </c>
      <c r="V61" s="50">
        <f t="shared" si="43"/>
        <v>0</v>
      </c>
      <c r="W61" s="50">
        <f t="shared" si="44"/>
        <v>7.407407407407407E-2</v>
      </c>
      <c r="X61" s="50">
        <f t="shared" si="45"/>
        <v>0.3</v>
      </c>
      <c r="Y61" s="50">
        <f t="shared" si="46"/>
        <v>0.3</v>
      </c>
      <c r="Z61" s="50">
        <f t="shared" si="60"/>
        <v>18288</v>
      </c>
      <c r="AA61" s="5">
        <f t="shared" si="47"/>
        <v>6.9242424242424248</v>
      </c>
      <c r="AB61" s="5">
        <f t="shared" si="48"/>
        <v>6.9242424242424248</v>
      </c>
      <c r="AC61" s="5">
        <f t="shared" si="49"/>
        <v>5.4486868686868686</v>
      </c>
      <c r="AD61" s="5">
        <f t="shared" si="50"/>
        <v>2.335151515151515</v>
      </c>
      <c r="AE61" s="5">
        <f t="shared" si="51"/>
        <v>0.67333333333333334</v>
      </c>
      <c r="AF61" s="5">
        <f t="shared" si="52"/>
        <v>7.481481481481482E-2</v>
      </c>
      <c r="AG61" s="5">
        <f t="shared" si="53"/>
        <v>0</v>
      </c>
      <c r="AH61" s="5">
        <f t="shared" si="54"/>
        <v>0</v>
      </c>
      <c r="AI61" s="5">
        <f t="shared" si="61"/>
        <v>0</v>
      </c>
      <c r="AJ61" s="5">
        <f t="shared" si="62"/>
        <v>9.2323232323232321E-2</v>
      </c>
      <c r="AK61" s="5">
        <f t="shared" si="63"/>
        <v>0</v>
      </c>
      <c r="AL61" s="5">
        <f t="shared" si="64"/>
        <v>1.4962962962962963E-2</v>
      </c>
      <c r="AM61" s="5">
        <f t="shared" si="65"/>
        <v>10485.117845117846</v>
      </c>
    </row>
    <row r="62" spans="3:39" x14ac:dyDescent="0.15">
      <c r="S62" s="29">
        <f>基础状态预估!C62</f>
        <v>120</v>
      </c>
      <c r="T62" s="29">
        <f>基础状态预估!D62</f>
        <v>71.230067506391322</v>
      </c>
      <c r="U62" s="29">
        <f t="shared" si="33"/>
        <v>48</v>
      </c>
      <c r="V62" s="50">
        <f t="shared" si="43"/>
        <v>0</v>
      </c>
      <c r="W62" s="50">
        <f t="shared" si="44"/>
        <v>7.407407407407407E-2</v>
      </c>
      <c r="X62" s="50">
        <f t="shared" si="45"/>
        <v>0.3</v>
      </c>
      <c r="Y62" s="50">
        <f t="shared" si="46"/>
        <v>0.3</v>
      </c>
      <c r="Z62" s="50">
        <f t="shared" si="60"/>
        <v>24336</v>
      </c>
      <c r="AA62" s="5">
        <f t="shared" si="47"/>
        <v>7.6742424242424248</v>
      </c>
      <c r="AB62" s="5">
        <f t="shared" si="48"/>
        <v>7.6742424242424248</v>
      </c>
      <c r="AC62" s="5">
        <f t="shared" si="49"/>
        <v>6.6542424242424243</v>
      </c>
      <c r="AD62" s="5">
        <f t="shared" si="50"/>
        <v>2.8518181818181816</v>
      </c>
      <c r="AE62" s="5">
        <f t="shared" si="51"/>
        <v>1.01</v>
      </c>
      <c r="AF62" s="5">
        <f t="shared" si="52"/>
        <v>0.11222222222222222</v>
      </c>
      <c r="AG62" s="5">
        <f t="shared" si="53"/>
        <v>0</v>
      </c>
      <c r="AH62" s="5">
        <f t="shared" si="54"/>
        <v>0</v>
      </c>
      <c r="AI62" s="5">
        <f t="shared" si="61"/>
        <v>0</v>
      </c>
      <c r="AJ62" s="5">
        <f t="shared" si="62"/>
        <v>0.10232323232323232</v>
      </c>
      <c r="AK62" s="5">
        <f t="shared" si="63"/>
        <v>0</v>
      </c>
      <c r="AL62" s="5">
        <f t="shared" si="64"/>
        <v>2.2444444444444444E-2</v>
      </c>
      <c r="AM62" s="5">
        <f t="shared" si="65"/>
        <v>13232.525252525253</v>
      </c>
    </row>
    <row r="63" spans="3:39" x14ac:dyDescent="0.15">
      <c r="S63" s="29">
        <f>基础状态预估!C63</f>
        <v>150</v>
      </c>
      <c r="T63" s="29">
        <f>基础状态预估!D63</f>
        <v>74.456724480300707</v>
      </c>
      <c r="U63" s="29">
        <f t="shared" si="33"/>
        <v>48</v>
      </c>
      <c r="V63" s="50">
        <f t="shared" si="43"/>
        <v>0</v>
      </c>
      <c r="W63" s="50">
        <f t="shared" si="44"/>
        <v>7.407407407407407E-2</v>
      </c>
      <c r="X63" s="50">
        <f t="shared" si="45"/>
        <v>0.3</v>
      </c>
      <c r="Y63" s="50">
        <f t="shared" si="46"/>
        <v>0.3</v>
      </c>
      <c r="Z63" s="50">
        <f t="shared" si="60"/>
        <v>36432</v>
      </c>
      <c r="AA63" s="5">
        <f t="shared" si="47"/>
        <v>9.1742424242424256</v>
      </c>
      <c r="AB63" s="5">
        <f t="shared" si="48"/>
        <v>9.1742424242424256</v>
      </c>
      <c r="AC63" s="5">
        <f t="shared" si="49"/>
        <v>9.0653535353535339</v>
      </c>
      <c r="AD63" s="5">
        <f t="shared" si="50"/>
        <v>3.8851515151515148</v>
      </c>
      <c r="AE63" s="5">
        <f t="shared" si="51"/>
        <v>1.6833333333333333</v>
      </c>
      <c r="AF63" s="5">
        <f t="shared" si="52"/>
        <v>0.18703703703703706</v>
      </c>
      <c r="AG63" s="5">
        <f t="shared" si="53"/>
        <v>0</v>
      </c>
      <c r="AH63" s="5">
        <f t="shared" si="54"/>
        <v>0</v>
      </c>
      <c r="AI63" s="5">
        <f t="shared" si="61"/>
        <v>0</v>
      </c>
      <c r="AJ63" s="5">
        <f t="shared" si="62"/>
        <v>0.12232323232323232</v>
      </c>
      <c r="AK63" s="5">
        <f t="shared" si="63"/>
        <v>0</v>
      </c>
      <c r="AL63" s="5">
        <f t="shared" si="64"/>
        <v>3.7407407407407403E-2</v>
      </c>
      <c r="AM63" s="5">
        <f t="shared" si="65"/>
        <v>18727.340067340068</v>
      </c>
    </row>
    <row r="64" spans="3:39" x14ac:dyDescent="0.15">
      <c r="S64" s="29">
        <f>基础状态预估!C64</f>
        <v>180</v>
      </c>
      <c r="T64" s="29">
        <f>基础状态预估!D64</f>
        <v>77.06778397927944</v>
      </c>
      <c r="U64" s="29">
        <f t="shared" si="33"/>
        <v>48</v>
      </c>
      <c r="V64" s="50">
        <f t="shared" si="43"/>
        <v>0</v>
      </c>
      <c r="W64" s="50">
        <f t="shared" si="44"/>
        <v>7.407407407407407E-2</v>
      </c>
      <c r="X64" s="50">
        <f t="shared" si="45"/>
        <v>0.3</v>
      </c>
      <c r="Y64" s="50">
        <f t="shared" si="46"/>
        <v>0.3</v>
      </c>
      <c r="Z64" s="50">
        <f t="shared" si="60"/>
        <v>48528</v>
      </c>
      <c r="AA64" s="5">
        <f t="shared" si="47"/>
        <v>10.674242424242426</v>
      </c>
      <c r="AB64" s="5">
        <f t="shared" si="48"/>
        <v>10.674242424242426</v>
      </c>
      <c r="AC64" s="5">
        <f t="shared" si="49"/>
        <v>11.476464646464645</v>
      </c>
      <c r="AD64" s="5">
        <f t="shared" si="50"/>
        <v>4.918484848484848</v>
      </c>
      <c r="AE64" s="5">
        <f t="shared" si="51"/>
        <v>2.3566666666666665</v>
      </c>
      <c r="AF64" s="5">
        <f t="shared" si="52"/>
        <v>0.26185185185185189</v>
      </c>
      <c r="AG64" s="5">
        <f t="shared" si="53"/>
        <v>0</v>
      </c>
      <c r="AH64" s="5">
        <f t="shared" si="54"/>
        <v>0</v>
      </c>
      <c r="AI64" s="5">
        <f t="shared" si="61"/>
        <v>0</v>
      </c>
      <c r="AJ64" s="5">
        <f t="shared" si="62"/>
        <v>0.14232323232323232</v>
      </c>
      <c r="AK64" s="5">
        <f t="shared" si="63"/>
        <v>0</v>
      </c>
      <c r="AL64" s="5">
        <f t="shared" si="64"/>
        <v>5.2370370370370366E-2</v>
      </c>
      <c r="AM64" s="5">
        <f t="shared" si="65"/>
        <v>24222.154882154882</v>
      </c>
    </row>
    <row r="65" spans="19:39" x14ac:dyDescent="0.15">
      <c r="S65" s="29">
        <f>基础状态预估!C65</f>
        <v>210</v>
      </c>
      <c r="T65" s="29">
        <f>基础状态预估!D65</f>
        <v>79.261304112721092</v>
      </c>
      <c r="U65" s="29">
        <f t="shared" si="33"/>
        <v>48</v>
      </c>
      <c r="V65" s="50">
        <f t="shared" si="43"/>
        <v>0</v>
      </c>
      <c r="W65" s="50">
        <f t="shared" si="44"/>
        <v>7.407407407407407E-2</v>
      </c>
      <c r="X65" s="50">
        <f t="shared" si="45"/>
        <v>0.3</v>
      </c>
      <c r="Y65" s="50">
        <f t="shared" si="46"/>
        <v>0.3</v>
      </c>
      <c r="Z65" s="50">
        <f t="shared" si="60"/>
        <v>60624</v>
      </c>
      <c r="AA65" s="5">
        <f t="shared" si="47"/>
        <v>12.174242424242426</v>
      </c>
      <c r="AB65" s="5">
        <f t="shared" si="48"/>
        <v>12.174242424242426</v>
      </c>
      <c r="AC65" s="5">
        <f t="shared" si="49"/>
        <v>13.887575757575757</v>
      </c>
      <c r="AD65" s="5">
        <f t="shared" si="50"/>
        <v>5.9518181818181812</v>
      </c>
      <c r="AE65" s="5">
        <f t="shared" si="51"/>
        <v>3.03</v>
      </c>
      <c r="AF65" s="5">
        <f t="shared" si="52"/>
        <v>0.33666666666666673</v>
      </c>
      <c r="AG65" s="5">
        <f t="shared" si="53"/>
        <v>0</v>
      </c>
      <c r="AH65" s="5">
        <f t="shared" si="54"/>
        <v>0</v>
      </c>
      <c r="AI65" s="5">
        <f t="shared" si="61"/>
        <v>0</v>
      </c>
      <c r="AJ65" s="5">
        <f t="shared" si="62"/>
        <v>0.16232323232323231</v>
      </c>
      <c r="AK65" s="5">
        <f t="shared" si="63"/>
        <v>0</v>
      </c>
      <c r="AL65" s="5">
        <f t="shared" si="64"/>
        <v>6.7333333333333328E-2</v>
      </c>
      <c r="AM65" s="5">
        <f t="shared" si="65"/>
        <v>29716.969696969696</v>
      </c>
    </row>
    <row r="66" spans="19:39" x14ac:dyDescent="0.15">
      <c r="S66" s="29">
        <f>基础状态预估!C66</f>
        <v>240</v>
      </c>
      <c r="T66" s="29">
        <f>基础状态预估!D66</f>
        <v>81.216820623674849</v>
      </c>
      <c r="U66" s="29">
        <f t="shared" si="33"/>
        <v>48</v>
      </c>
      <c r="V66" s="50">
        <f t="shared" si="43"/>
        <v>0</v>
      </c>
      <c r="W66" s="50">
        <f t="shared" si="44"/>
        <v>7.407407407407407E-2</v>
      </c>
      <c r="X66" s="50">
        <f t="shared" si="45"/>
        <v>0.3</v>
      </c>
      <c r="Y66" s="50">
        <f t="shared" si="46"/>
        <v>0.3</v>
      </c>
      <c r="Z66" s="50">
        <f t="shared" si="60"/>
        <v>72720</v>
      </c>
      <c r="AA66" s="5">
        <f t="shared" si="47"/>
        <v>13.674242424242426</v>
      </c>
      <c r="AB66" s="5">
        <f t="shared" si="48"/>
        <v>13.674242424242426</v>
      </c>
      <c r="AC66" s="5">
        <f t="shared" si="49"/>
        <v>16.298686868686868</v>
      </c>
      <c r="AD66" s="5">
        <f t="shared" si="50"/>
        <v>6.9851515151515144</v>
      </c>
      <c r="AE66" s="5">
        <f t="shared" si="51"/>
        <v>3.7033333333333331</v>
      </c>
      <c r="AF66" s="5">
        <f t="shared" si="52"/>
        <v>0.41148148148148156</v>
      </c>
      <c r="AG66" s="5">
        <f t="shared" si="53"/>
        <v>0</v>
      </c>
      <c r="AH66" s="5">
        <f t="shared" si="54"/>
        <v>0</v>
      </c>
      <c r="AI66" s="5">
        <f t="shared" si="61"/>
        <v>0</v>
      </c>
      <c r="AJ66" s="5">
        <f t="shared" si="62"/>
        <v>0.1823232323232323</v>
      </c>
      <c r="AK66" s="5">
        <f t="shared" si="63"/>
        <v>0</v>
      </c>
      <c r="AL66" s="5">
        <f t="shared" si="64"/>
        <v>8.2296296296296284E-2</v>
      </c>
      <c r="AM66" s="5">
        <f t="shared" si="65"/>
        <v>35211.784511784514</v>
      </c>
    </row>
    <row r="67" spans="19:39" x14ac:dyDescent="0.15">
      <c r="S67" s="29">
        <f>基础状态预估!C67</f>
        <v>270</v>
      </c>
      <c r="T67" s="29">
        <f>基础状态预估!D67</f>
        <v>82.916268958926821</v>
      </c>
      <c r="U67" s="29">
        <f t="shared" si="33"/>
        <v>48</v>
      </c>
      <c r="V67" s="50">
        <f t="shared" si="43"/>
        <v>0</v>
      </c>
      <c r="W67" s="50">
        <f t="shared" si="44"/>
        <v>7.407407407407407E-2</v>
      </c>
      <c r="X67" s="50">
        <f t="shared" si="45"/>
        <v>0.3</v>
      </c>
      <c r="Y67" s="50">
        <f t="shared" si="46"/>
        <v>0.3</v>
      </c>
      <c r="Z67" s="50">
        <f t="shared" si="60"/>
        <v>84816</v>
      </c>
      <c r="AA67" s="5">
        <f t="shared" si="47"/>
        <v>15.174242424242426</v>
      </c>
      <c r="AB67" s="5">
        <f t="shared" si="48"/>
        <v>15.174242424242426</v>
      </c>
      <c r="AC67" s="5">
        <f t="shared" si="49"/>
        <v>18.70979797979798</v>
      </c>
      <c r="AD67" s="5">
        <f t="shared" si="50"/>
        <v>8.0184848484848477</v>
      </c>
      <c r="AE67" s="5">
        <f t="shared" si="51"/>
        <v>4.3766666666666669</v>
      </c>
      <c r="AF67" s="5">
        <f t="shared" si="52"/>
        <v>0.48629629629629639</v>
      </c>
      <c r="AG67" s="5">
        <f t="shared" si="53"/>
        <v>0</v>
      </c>
      <c r="AH67" s="5">
        <f t="shared" si="54"/>
        <v>0</v>
      </c>
      <c r="AI67" s="5">
        <f t="shared" si="61"/>
        <v>0</v>
      </c>
      <c r="AJ67" s="5">
        <f t="shared" si="62"/>
        <v>0.20232323232323229</v>
      </c>
      <c r="AK67" s="5">
        <f t="shared" si="63"/>
        <v>0</v>
      </c>
      <c r="AL67" s="5">
        <f t="shared" si="64"/>
        <v>9.725925925925924E-2</v>
      </c>
      <c r="AM67" s="5">
        <f t="shared" si="65"/>
        <v>40706.599326599331</v>
      </c>
    </row>
    <row r="68" spans="19:39" x14ac:dyDescent="0.15">
      <c r="S68" s="29">
        <f>基础状态预估!C68</f>
        <v>300</v>
      </c>
      <c r="T68" s="29">
        <f>基础状态预估!D68</f>
        <v>84.427173250438543</v>
      </c>
      <c r="U68" s="29">
        <f t="shared" si="33"/>
        <v>48</v>
      </c>
      <c r="V68" s="50">
        <f t="shared" si="43"/>
        <v>0</v>
      </c>
      <c r="W68" s="50">
        <f t="shared" si="44"/>
        <v>7.407407407407407E-2</v>
      </c>
      <c r="X68" s="50">
        <f t="shared" si="45"/>
        <v>0.3</v>
      </c>
      <c r="Y68" s="50">
        <f t="shared" si="46"/>
        <v>0.3</v>
      </c>
      <c r="Z68" s="50">
        <f t="shared" si="60"/>
        <v>96912</v>
      </c>
      <c r="AA68" s="5">
        <f t="shared" si="47"/>
        <v>16.674242424242426</v>
      </c>
      <c r="AB68" s="5">
        <f t="shared" si="48"/>
        <v>16.674242424242426</v>
      </c>
      <c r="AC68" s="5">
        <f t="shared" si="49"/>
        <v>21.120909090909091</v>
      </c>
      <c r="AD68" s="5">
        <f t="shared" si="50"/>
        <v>9.0518181818181809</v>
      </c>
      <c r="AE68" s="5">
        <f t="shared" si="51"/>
        <v>5.0500000000000007</v>
      </c>
      <c r="AF68" s="5">
        <f t="shared" si="52"/>
        <v>0.56111111111111123</v>
      </c>
      <c r="AG68" s="5">
        <f t="shared" si="53"/>
        <v>0</v>
      </c>
      <c r="AH68" s="5">
        <f t="shared" si="54"/>
        <v>0</v>
      </c>
      <c r="AI68" s="5">
        <f t="shared" si="61"/>
        <v>0</v>
      </c>
      <c r="AJ68" s="5">
        <f t="shared" si="62"/>
        <v>0.22232323232323228</v>
      </c>
      <c r="AK68" s="5">
        <f t="shared" si="63"/>
        <v>0</v>
      </c>
      <c r="AL68" s="5">
        <f t="shared" si="64"/>
        <v>0.1122222222222222</v>
      </c>
      <c r="AM68" s="5">
        <f t="shared" si="65"/>
        <v>46201.414141414149</v>
      </c>
    </row>
    <row r="69" spans="19:39" x14ac:dyDescent="0.15">
      <c r="S69" s="29">
        <f>基础状态预估!C69</f>
        <v>360</v>
      </c>
      <c r="T69" s="29">
        <f>基础状态预估!D69</f>
        <v>87.064762367263285</v>
      </c>
      <c r="U69" s="29">
        <f t="shared" si="33"/>
        <v>48</v>
      </c>
      <c r="V69" s="50">
        <f t="shared" si="43"/>
        <v>0</v>
      </c>
      <c r="W69" s="50">
        <f t="shared" si="44"/>
        <v>7.407407407407407E-2</v>
      </c>
      <c r="X69" s="50">
        <f t="shared" si="45"/>
        <v>0.3</v>
      </c>
      <c r="Y69" s="50">
        <f t="shared" si="46"/>
        <v>0.3</v>
      </c>
      <c r="Z69" s="50">
        <f t="shared" si="60"/>
        <v>121104</v>
      </c>
      <c r="AA69" s="5">
        <f t="shared" si="47"/>
        <v>19.674242424242426</v>
      </c>
      <c r="AB69" s="5">
        <f t="shared" si="48"/>
        <v>19.674242424242426</v>
      </c>
      <c r="AC69" s="5">
        <f t="shared" si="49"/>
        <v>25.94313131313131</v>
      </c>
      <c r="AD69" s="5">
        <f t="shared" si="50"/>
        <v>11.118484848484847</v>
      </c>
      <c r="AE69" s="5">
        <f t="shared" si="51"/>
        <v>6.3966666666666674</v>
      </c>
      <c r="AF69" s="5">
        <f t="shared" si="52"/>
        <v>0.7107407407407409</v>
      </c>
      <c r="AG69" s="5">
        <f t="shared" si="53"/>
        <v>0</v>
      </c>
      <c r="AH69" s="5">
        <f t="shared" si="54"/>
        <v>0</v>
      </c>
      <c r="AI69" s="5">
        <f t="shared" si="61"/>
        <v>0</v>
      </c>
      <c r="AJ69" s="5">
        <f t="shared" si="62"/>
        <v>0.26232323232323229</v>
      </c>
      <c r="AK69" s="5">
        <f t="shared" si="63"/>
        <v>0</v>
      </c>
      <c r="AL69" s="5">
        <f t="shared" si="64"/>
        <v>0.14214814814814813</v>
      </c>
      <c r="AM69" s="5">
        <f t="shared" si="65"/>
        <v>57191.043771043776</v>
      </c>
    </row>
    <row r="70" spans="19:39" x14ac:dyDescent="0.15">
      <c r="S70" s="29">
        <f>基础状态预估!C70</f>
        <v>420</v>
      </c>
      <c r="T70" s="29">
        <f>基础状态预估!D70</f>
        <v>89.311817863093353</v>
      </c>
      <c r="U70" s="29">
        <f t="shared" si="33"/>
        <v>48</v>
      </c>
      <c r="V70" s="50">
        <f t="shared" si="43"/>
        <v>0</v>
      </c>
      <c r="W70" s="50">
        <f t="shared" si="44"/>
        <v>7.407407407407407E-2</v>
      </c>
      <c r="X70" s="50">
        <f t="shared" si="45"/>
        <v>0.3</v>
      </c>
      <c r="Y70" s="50">
        <f t="shared" si="46"/>
        <v>0.3</v>
      </c>
      <c r="Z70" s="50">
        <f t="shared" si="60"/>
        <v>145296</v>
      </c>
      <c r="AA70" s="5">
        <f t="shared" si="47"/>
        <v>22.674242424242426</v>
      </c>
      <c r="AB70" s="5">
        <f t="shared" si="48"/>
        <v>22.674242424242426</v>
      </c>
      <c r="AC70" s="5">
        <f t="shared" si="49"/>
        <v>30.765353535353533</v>
      </c>
      <c r="AD70" s="5">
        <f t="shared" si="50"/>
        <v>13.185151515151514</v>
      </c>
      <c r="AE70" s="5">
        <f t="shared" si="51"/>
        <v>7.7433333333333341</v>
      </c>
      <c r="AF70" s="5">
        <f t="shared" si="52"/>
        <v>0.86037037037037056</v>
      </c>
      <c r="AG70" s="5">
        <f t="shared" si="53"/>
        <v>0</v>
      </c>
      <c r="AH70" s="5">
        <f t="shared" si="54"/>
        <v>0</v>
      </c>
      <c r="AI70" s="5">
        <f t="shared" si="61"/>
        <v>0</v>
      </c>
      <c r="AJ70" s="5">
        <f t="shared" si="62"/>
        <v>0.30232323232323227</v>
      </c>
      <c r="AK70" s="5">
        <f t="shared" si="63"/>
        <v>0</v>
      </c>
      <c r="AL70" s="5">
        <f t="shared" si="64"/>
        <v>0.17207407407407405</v>
      </c>
      <c r="AM70" s="5">
        <f t="shared" si="65"/>
        <v>68180.673400673404</v>
      </c>
    </row>
    <row r="71" spans="19:39" x14ac:dyDescent="0.15">
      <c r="S71" s="29">
        <f>基础状态预估!C71</f>
        <v>480</v>
      </c>
      <c r="T71" s="29">
        <f>基础状态预估!D71</f>
        <v>91.317295791340641</v>
      </c>
      <c r="U71" s="29">
        <f t="shared" si="33"/>
        <v>48</v>
      </c>
      <c r="V71" s="50">
        <f t="shared" si="43"/>
        <v>0</v>
      </c>
      <c r="W71" s="50">
        <f t="shared" si="44"/>
        <v>7.407407407407407E-2</v>
      </c>
      <c r="X71" s="50">
        <f t="shared" si="45"/>
        <v>0.3</v>
      </c>
      <c r="Y71" s="50">
        <f t="shared" si="46"/>
        <v>0.3</v>
      </c>
      <c r="Z71" s="50">
        <f t="shared" si="60"/>
        <v>169488</v>
      </c>
      <c r="AA71" s="5">
        <f t="shared" si="47"/>
        <v>25.674242424242426</v>
      </c>
      <c r="AB71" s="5">
        <f t="shared" si="48"/>
        <v>25.674242424242426</v>
      </c>
      <c r="AC71" s="5">
        <f t="shared" si="49"/>
        <v>35.587575757575756</v>
      </c>
      <c r="AD71" s="5">
        <f t="shared" si="50"/>
        <v>15.25181818181818</v>
      </c>
      <c r="AE71" s="5">
        <f t="shared" si="51"/>
        <v>9.09</v>
      </c>
      <c r="AF71" s="5">
        <f t="shared" si="52"/>
        <v>1.0100000000000002</v>
      </c>
      <c r="AG71" s="5">
        <f t="shared" si="53"/>
        <v>0</v>
      </c>
      <c r="AH71" s="5">
        <f t="shared" si="54"/>
        <v>0</v>
      </c>
      <c r="AI71" s="5">
        <f t="shared" si="61"/>
        <v>0</v>
      </c>
      <c r="AJ71" s="5">
        <f t="shared" si="62"/>
        <v>0.34232323232323225</v>
      </c>
      <c r="AK71" s="5">
        <f t="shared" si="63"/>
        <v>0</v>
      </c>
      <c r="AL71" s="5">
        <f t="shared" si="64"/>
        <v>0.20199999999999996</v>
      </c>
      <c r="AM71" s="5">
        <f t="shared" si="65"/>
        <v>79170.303030303039</v>
      </c>
    </row>
    <row r="72" spans="19:39" x14ac:dyDescent="0.15">
      <c r="S72" s="29">
        <f>基础状态预估!C72</f>
        <v>540</v>
      </c>
      <c r="T72" s="29">
        <f>基础状态预估!D72</f>
        <v>93.043666179806593</v>
      </c>
      <c r="U72" s="29">
        <f t="shared" si="33"/>
        <v>48</v>
      </c>
      <c r="V72" s="50">
        <f t="shared" si="43"/>
        <v>0</v>
      </c>
      <c r="W72" s="50">
        <f t="shared" si="44"/>
        <v>7.407407407407407E-2</v>
      </c>
      <c r="X72" s="50">
        <f t="shared" si="45"/>
        <v>0.3</v>
      </c>
      <c r="Y72" s="50">
        <f t="shared" si="46"/>
        <v>0.3</v>
      </c>
      <c r="Z72" s="50">
        <f t="shared" si="60"/>
        <v>193680</v>
      </c>
      <c r="AA72" s="5">
        <f t="shared" si="47"/>
        <v>28.674242424242426</v>
      </c>
      <c r="AB72" s="5">
        <f t="shared" si="48"/>
        <v>28.674242424242426</v>
      </c>
      <c r="AC72" s="5">
        <f t="shared" si="49"/>
        <v>40.409797979797979</v>
      </c>
      <c r="AD72" s="5">
        <f t="shared" si="50"/>
        <v>17.318484848484847</v>
      </c>
      <c r="AE72" s="5">
        <f t="shared" si="51"/>
        <v>10.436666666666667</v>
      </c>
      <c r="AF72" s="5">
        <f t="shared" si="52"/>
        <v>1.1596296296296298</v>
      </c>
      <c r="AG72" s="5">
        <f t="shared" si="53"/>
        <v>0</v>
      </c>
      <c r="AH72" s="5">
        <f t="shared" si="54"/>
        <v>0</v>
      </c>
      <c r="AI72" s="5">
        <f t="shared" si="61"/>
        <v>0</v>
      </c>
      <c r="AJ72" s="5">
        <f t="shared" si="62"/>
        <v>0.38232323232323223</v>
      </c>
      <c r="AK72" s="5">
        <f t="shared" si="63"/>
        <v>0</v>
      </c>
      <c r="AL72" s="5">
        <f t="shared" si="64"/>
        <v>0.23192592592592587</v>
      </c>
      <c r="AM72" s="5">
        <f t="shared" si="65"/>
        <v>90159.932659932674</v>
      </c>
    </row>
    <row r="73" spans="19:39" x14ac:dyDescent="0.15">
      <c r="S73" s="29">
        <f>基础状态预估!C73</f>
        <v>600</v>
      </c>
      <c r="T73" s="29">
        <f>基础状态预估!D73</f>
        <v>94.566182978175902</v>
      </c>
      <c r="U73" s="29">
        <f t="shared" si="33"/>
        <v>48</v>
      </c>
      <c r="V73" s="50">
        <f t="shared" si="43"/>
        <v>0</v>
      </c>
      <c r="W73" s="50">
        <f t="shared" si="44"/>
        <v>7.407407407407407E-2</v>
      </c>
      <c r="X73" s="50">
        <f t="shared" si="45"/>
        <v>0.3</v>
      </c>
      <c r="Y73" s="50">
        <f t="shared" si="46"/>
        <v>0.3</v>
      </c>
      <c r="Z73" s="50">
        <f t="shared" si="60"/>
        <v>217872</v>
      </c>
      <c r="AA73" s="5">
        <f t="shared" si="47"/>
        <v>31.674242424242426</v>
      </c>
      <c r="AB73" s="5">
        <f t="shared" si="48"/>
        <v>31.674242424242426</v>
      </c>
      <c r="AC73" s="5">
        <f t="shared" si="49"/>
        <v>45.232020202020202</v>
      </c>
      <c r="AD73" s="5">
        <f t="shared" si="50"/>
        <v>19.385151515151513</v>
      </c>
      <c r="AE73" s="5">
        <f t="shared" si="51"/>
        <v>11.783333333333335</v>
      </c>
      <c r="AF73" s="5">
        <f t="shared" si="52"/>
        <v>1.3092592592592593</v>
      </c>
      <c r="AG73" s="5">
        <f t="shared" si="53"/>
        <v>0</v>
      </c>
      <c r="AH73" s="5">
        <f t="shared" si="54"/>
        <v>0</v>
      </c>
      <c r="AI73" s="5">
        <f t="shared" si="61"/>
        <v>0</v>
      </c>
      <c r="AJ73" s="5">
        <f t="shared" si="62"/>
        <v>0.42232323232323221</v>
      </c>
      <c r="AK73" s="5">
        <f t="shared" si="63"/>
        <v>0</v>
      </c>
      <c r="AL73" s="5">
        <f t="shared" si="64"/>
        <v>0.26185185185185178</v>
      </c>
      <c r="AM73" s="5">
        <f t="shared" si="65"/>
        <v>101149.56228956231</v>
      </c>
    </row>
    <row r="74" spans="19:39" x14ac:dyDescent="0.15">
      <c r="S74" s="29">
        <f>基础状态预估!C74</f>
        <v>660</v>
      </c>
      <c r="T74" s="29">
        <f>基础状态预估!D74</f>
        <v>95.975804150655222</v>
      </c>
      <c r="U74" s="29">
        <f t="shared" si="33"/>
        <v>48</v>
      </c>
      <c r="V74" s="50">
        <f t="shared" si="43"/>
        <v>0</v>
      </c>
      <c r="W74" s="50">
        <f t="shared" si="44"/>
        <v>7.407407407407407E-2</v>
      </c>
      <c r="X74" s="50">
        <f t="shared" si="45"/>
        <v>0.3</v>
      </c>
      <c r="Y74" s="50">
        <f t="shared" si="46"/>
        <v>0.3</v>
      </c>
      <c r="Z74" s="50">
        <f t="shared" si="60"/>
        <v>242064</v>
      </c>
      <c r="AA74" s="5">
        <f t="shared" si="47"/>
        <v>34.674242424242422</v>
      </c>
      <c r="AB74" s="5">
        <f t="shared" si="48"/>
        <v>34.674242424242422</v>
      </c>
      <c r="AC74" s="5">
        <f t="shared" si="49"/>
        <v>50.054242424242425</v>
      </c>
      <c r="AD74" s="5">
        <f t="shared" si="50"/>
        <v>21.451818181818179</v>
      </c>
      <c r="AE74" s="5">
        <f t="shared" si="51"/>
        <v>13.130000000000003</v>
      </c>
      <c r="AF74" s="5">
        <f t="shared" si="52"/>
        <v>1.4588888888888889</v>
      </c>
      <c r="AG74" s="5">
        <f t="shared" si="53"/>
        <v>0</v>
      </c>
      <c r="AH74" s="5">
        <f t="shared" si="54"/>
        <v>0</v>
      </c>
      <c r="AI74" s="5">
        <f t="shared" si="61"/>
        <v>0</v>
      </c>
      <c r="AJ74" s="5">
        <f t="shared" si="62"/>
        <v>0.46232323232323219</v>
      </c>
      <c r="AK74" s="5">
        <f t="shared" si="63"/>
        <v>0</v>
      </c>
      <c r="AL74" s="5">
        <f t="shared" si="64"/>
        <v>0.29177777777777769</v>
      </c>
      <c r="AM74" s="5">
        <f t="shared" si="65"/>
        <v>112139.19191919194</v>
      </c>
    </row>
    <row r="75" spans="19:39" x14ac:dyDescent="0.15">
      <c r="S75" s="29">
        <f>基础状态预估!C75</f>
        <v>720</v>
      </c>
      <c r="T75" s="29">
        <f>基础状态预估!D75</f>
        <v>97.233430615704805</v>
      </c>
      <c r="U75" s="29">
        <f t="shared" si="33"/>
        <v>48</v>
      </c>
      <c r="V75" s="50">
        <f t="shared" si="43"/>
        <v>0</v>
      </c>
      <c r="W75" s="50">
        <f t="shared" si="44"/>
        <v>7.407407407407407E-2</v>
      </c>
      <c r="X75" s="50">
        <f t="shared" si="45"/>
        <v>0.3</v>
      </c>
      <c r="Y75" s="50">
        <f t="shared" si="46"/>
        <v>0.3</v>
      </c>
      <c r="Z75" s="50">
        <f t="shared" si="60"/>
        <v>266256</v>
      </c>
      <c r="AA75" s="5">
        <f t="shared" si="47"/>
        <v>37.674242424242422</v>
      </c>
      <c r="AB75" s="5">
        <f t="shared" si="48"/>
        <v>37.674242424242422</v>
      </c>
      <c r="AC75" s="5">
        <f t="shared" si="49"/>
        <v>54.876464646464648</v>
      </c>
      <c r="AD75" s="5">
        <f t="shared" si="50"/>
        <v>23.518484848484846</v>
      </c>
      <c r="AE75" s="5">
        <f t="shared" si="51"/>
        <v>14.47666666666667</v>
      </c>
      <c r="AF75" s="5">
        <f t="shared" si="52"/>
        <v>1.6085185185185185</v>
      </c>
      <c r="AG75" s="5">
        <f t="shared" si="53"/>
        <v>0</v>
      </c>
      <c r="AH75" s="5">
        <f t="shared" si="54"/>
        <v>0</v>
      </c>
      <c r="AI75" s="5">
        <f t="shared" si="61"/>
        <v>0</v>
      </c>
      <c r="AJ75" s="5">
        <f t="shared" si="62"/>
        <v>0.50232323232323217</v>
      </c>
      <c r="AK75" s="5">
        <f t="shared" si="63"/>
        <v>0</v>
      </c>
      <c r="AL75" s="5">
        <f t="shared" si="64"/>
        <v>0.3217037037037036</v>
      </c>
      <c r="AM75" s="5">
        <f t="shared" si="65"/>
        <v>123128.82154882158</v>
      </c>
    </row>
    <row r="76" spans="19:39" x14ac:dyDescent="0.15">
      <c r="S76" s="29">
        <f>基础状态预估!C76</f>
        <v>780</v>
      </c>
      <c r="T76" s="29">
        <f>基础状态预估!D76</f>
        <v>98.349886009806795</v>
      </c>
      <c r="U76" s="29">
        <f t="shared" si="33"/>
        <v>48</v>
      </c>
      <c r="V76" s="50">
        <f t="shared" si="43"/>
        <v>0</v>
      </c>
      <c r="W76" s="50">
        <f t="shared" si="44"/>
        <v>7.407407407407407E-2</v>
      </c>
      <c r="X76" s="50">
        <f t="shared" si="45"/>
        <v>0.3</v>
      </c>
      <c r="Y76" s="50">
        <f t="shared" si="46"/>
        <v>0.3</v>
      </c>
      <c r="Z76" s="50">
        <f t="shared" si="60"/>
        <v>290448</v>
      </c>
      <c r="AA76" s="5">
        <f t="shared" si="47"/>
        <v>40.674242424242422</v>
      </c>
      <c r="AB76" s="5">
        <f t="shared" si="48"/>
        <v>40.674242424242422</v>
      </c>
      <c r="AC76" s="5">
        <f t="shared" si="49"/>
        <v>59.69868686868687</v>
      </c>
      <c r="AD76" s="5">
        <f t="shared" si="50"/>
        <v>25.585151515151512</v>
      </c>
      <c r="AE76" s="5">
        <f t="shared" si="51"/>
        <v>15.823333333333338</v>
      </c>
      <c r="AF76" s="5">
        <f t="shared" si="52"/>
        <v>1.758148148148148</v>
      </c>
      <c r="AG76" s="5">
        <f t="shared" si="53"/>
        <v>0</v>
      </c>
      <c r="AH76" s="5">
        <f t="shared" si="54"/>
        <v>0</v>
      </c>
      <c r="AI76" s="5">
        <f t="shared" si="61"/>
        <v>0</v>
      </c>
      <c r="AJ76" s="5">
        <f t="shared" si="62"/>
        <v>0.54232323232323221</v>
      </c>
      <c r="AK76" s="5">
        <f t="shared" si="63"/>
        <v>0</v>
      </c>
      <c r="AL76" s="5">
        <f t="shared" si="64"/>
        <v>0.35162962962962951</v>
      </c>
      <c r="AM76" s="5">
        <f t="shared" si="65"/>
        <v>134118.45117845121</v>
      </c>
    </row>
    <row r="77" spans="19:39" x14ac:dyDescent="0.15">
      <c r="S77" s="29">
        <f>基础状态预估!C77</f>
        <v>840</v>
      </c>
      <c r="T77" s="29">
        <f>基础状态预估!D77</f>
        <v>99.398994483715043</v>
      </c>
      <c r="U77" s="29">
        <f t="shared" si="33"/>
        <v>48</v>
      </c>
      <c r="V77" s="50">
        <f t="shared" si="43"/>
        <v>0</v>
      </c>
      <c r="W77" s="50">
        <f t="shared" si="44"/>
        <v>7.407407407407407E-2</v>
      </c>
      <c r="X77" s="50">
        <f t="shared" si="45"/>
        <v>0.3</v>
      </c>
      <c r="Y77" s="50">
        <f t="shared" si="46"/>
        <v>0.3</v>
      </c>
      <c r="Z77" s="50">
        <f t="shared" si="60"/>
        <v>314640</v>
      </c>
      <c r="AA77" s="5">
        <f t="shared" si="47"/>
        <v>43.674242424242422</v>
      </c>
      <c r="AB77" s="5">
        <f t="shared" si="48"/>
        <v>43.674242424242422</v>
      </c>
      <c r="AC77" s="5">
        <f t="shared" si="49"/>
        <v>64.520909090909086</v>
      </c>
      <c r="AD77" s="5">
        <f t="shared" si="50"/>
        <v>27.651818181818179</v>
      </c>
      <c r="AE77" s="5">
        <f t="shared" si="51"/>
        <v>17.170000000000005</v>
      </c>
      <c r="AF77" s="5">
        <f t="shared" si="52"/>
        <v>1.9077777777777776</v>
      </c>
      <c r="AG77" s="5">
        <f t="shared" si="53"/>
        <v>0</v>
      </c>
      <c r="AH77" s="5">
        <f t="shared" si="54"/>
        <v>0</v>
      </c>
      <c r="AI77" s="5">
        <f t="shared" si="61"/>
        <v>0</v>
      </c>
      <c r="AJ77" s="5">
        <f t="shared" si="62"/>
        <v>0.58232323232323224</v>
      </c>
      <c r="AK77" s="5">
        <f t="shared" si="63"/>
        <v>0</v>
      </c>
      <c r="AL77" s="5">
        <f t="shared" si="64"/>
        <v>0.38155555555555543</v>
      </c>
      <c r="AM77" s="5">
        <f t="shared" si="65"/>
        <v>145108.08080808085</v>
      </c>
    </row>
    <row r="78" spans="19:39" x14ac:dyDescent="0.15">
      <c r="S78" s="29">
        <f>基础状态预估!C78</f>
        <v>900</v>
      </c>
      <c r="T78" s="29">
        <f>基础状态预估!D78</f>
        <v>100.38607135362956</v>
      </c>
      <c r="U78" s="29">
        <f t="shared" si="33"/>
        <v>48</v>
      </c>
      <c r="V78" s="50">
        <f t="shared" si="43"/>
        <v>0</v>
      </c>
      <c r="W78" s="50">
        <f t="shared" si="44"/>
        <v>7.407407407407407E-2</v>
      </c>
      <c r="X78" s="50">
        <f t="shared" si="45"/>
        <v>0.3</v>
      </c>
      <c r="Y78" s="50">
        <f t="shared" si="46"/>
        <v>0.3</v>
      </c>
      <c r="Z78" s="50">
        <f t="shared" si="60"/>
        <v>338832</v>
      </c>
      <c r="AA78" s="5">
        <f t="shared" si="47"/>
        <v>46.674242424242422</v>
      </c>
      <c r="AB78" s="5">
        <f t="shared" si="48"/>
        <v>46.674242424242422</v>
      </c>
      <c r="AC78" s="5">
        <f t="shared" si="49"/>
        <v>69.343131313131309</v>
      </c>
      <c r="AD78" s="5">
        <f t="shared" si="50"/>
        <v>29.718484848484845</v>
      </c>
      <c r="AE78" s="5">
        <f t="shared" si="51"/>
        <v>18.516666666666673</v>
      </c>
      <c r="AF78" s="5">
        <f t="shared" si="52"/>
        <v>2.0574074074074074</v>
      </c>
      <c r="AG78" s="5">
        <f t="shared" si="53"/>
        <v>0</v>
      </c>
      <c r="AH78" s="5">
        <f t="shared" si="54"/>
        <v>0</v>
      </c>
      <c r="AI78" s="5">
        <f t="shared" si="61"/>
        <v>0</v>
      </c>
      <c r="AJ78" s="5">
        <f t="shared" si="62"/>
        <v>0.62232323232323228</v>
      </c>
      <c r="AK78" s="5">
        <f t="shared" si="63"/>
        <v>0</v>
      </c>
      <c r="AL78" s="5">
        <f t="shared" si="64"/>
        <v>0.41148148148148134</v>
      </c>
      <c r="AM78" s="5">
        <f t="shared" si="65"/>
        <v>156097.71043771048</v>
      </c>
    </row>
    <row r="79" spans="19:39" x14ac:dyDescent="0.15">
      <c r="S79" s="29">
        <f>基础状态预估!C79</f>
        <v>1020</v>
      </c>
      <c r="T79" s="29">
        <f>基础状态预估!D79</f>
        <v>102.22764429032095</v>
      </c>
      <c r="U79" s="29">
        <f t="shared" si="33"/>
        <v>48</v>
      </c>
      <c r="V79" s="50">
        <f t="shared" si="43"/>
        <v>0</v>
      </c>
      <c r="W79" s="50">
        <f t="shared" si="44"/>
        <v>7.407407407407407E-2</v>
      </c>
      <c r="X79" s="50">
        <f t="shared" si="45"/>
        <v>0.3</v>
      </c>
      <c r="Y79" s="50">
        <f t="shared" si="46"/>
        <v>0.3</v>
      </c>
      <c r="Z79" s="50">
        <f t="shared" si="60"/>
        <v>387216</v>
      </c>
      <c r="AA79" s="5">
        <f t="shared" si="47"/>
        <v>52.674242424242422</v>
      </c>
      <c r="AB79" s="5">
        <f t="shared" si="48"/>
        <v>52.674242424242422</v>
      </c>
      <c r="AC79" s="5">
        <f t="shared" si="49"/>
        <v>78.987575757575755</v>
      </c>
      <c r="AD79" s="5">
        <f t="shared" si="50"/>
        <v>33.851818181818174</v>
      </c>
      <c r="AE79" s="5">
        <f t="shared" si="51"/>
        <v>21.210000000000008</v>
      </c>
      <c r="AF79" s="5">
        <f t="shared" si="52"/>
        <v>2.3566666666666665</v>
      </c>
      <c r="AG79" s="5">
        <f t="shared" si="53"/>
        <v>0</v>
      </c>
      <c r="AH79" s="5">
        <f t="shared" si="54"/>
        <v>0</v>
      </c>
      <c r="AI79" s="5">
        <f t="shared" si="61"/>
        <v>0</v>
      </c>
      <c r="AJ79" s="5">
        <f t="shared" si="62"/>
        <v>0.70232323232323224</v>
      </c>
      <c r="AK79" s="5">
        <f t="shared" si="63"/>
        <v>0</v>
      </c>
      <c r="AL79" s="5">
        <f t="shared" si="64"/>
        <v>0.47133333333333316</v>
      </c>
      <c r="AM79" s="5">
        <f t="shared" si="65"/>
        <v>178076.96969696975</v>
      </c>
    </row>
    <row r="80" spans="19:39" x14ac:dyDescent="0.15">
      <c r="S80" s="29">
        <f>基础状态预估!C80</f>
        <v>1140</v>
      </c>
      <c r="T80" s="29">
        <f>基础状态预估!D80</f>
        <v>103.86099440914086</v>
      </c>
      <c r="U80" s="29">
        <f t="shared" si="33"/>
        <v>48</v>
      </c>
      <c r="V80" s="50">
        <f t="shared" si="43"/>
        <v>0</v>
      </c>
      <c r="W80" s="50">
        <f t="shared" si="44"/>
        <v>7.407407407407407E-2</v>
      </c>
      <c r="X80" s="50">
        <f t="shared" si="45"/>
        <v>0.3</v>
      </c>
      <c r="Y80" s="50">
        <f t="shared" si="46"/>
        <v>0.3</v>
      </c>
      <c r="Z80" s="50">
        <f t="shared" si="60"/>
        <v>435600</v>
      </c>
      <c r="AA80" s="5">
        <f t="shared" si="47"/>
        <v>58.674242424242422</v>
      </c>
      <c r="AB80" s="5">
        <f t="shared" si="48"/>
        <v>58.674242424242422</v>
      </c>
      <c r="AC80" s="5">
        <f t="shared" si="49"/>
        <v>88.6320202020202</v>
      </c>
      <c r="AD80" s="5">
        <f t="shared" si="50"/>
        <v>37.985151515151507</v>
      </c>
      <c r="AE80" s="5">
        <f t="shared" si="51"/>
        <v>23.903333333333343</v>
      </c>
      <c r="AF80" s="5">
        <f t="shared" si="52"/>
        <v>2.6559259259259256</v>
      </c>
      <c r="AG80" s="5">
        <f t="shared" si="53"/>
        <v>0</v>
      </c>
      <c r="AH80" s="5">
        <f t="shared" si="54"/>
        <v>0</v>
      </c>
      <c r="AI80" s="5">
        <f t="shared" si="61"/>
        <v>0</v>
      </c>
      <c r="AJ80" s="5">
        <f t="shared" si="62"/>
        <v>0.7823232323232322</v>
      </c>
      <c r="AK80" s="5">
        <f t="shared" si="63"/>
        <v>0</v>
      </c>
      <c r="AL80" s="5">
        <f t="shared" si="64"/>
        <v>0.53118518518518498</v>
      </c>
      <c r="AM80" s="5">
        <f t="shared" si="65"/>
        <v>200056.22895622902</v>
      </c>
    </row>
    <row r="81" spans="19:39" x14ac:dyDescent="0.15">
      <c r="S81" s="29">
        <f>基础状态预估!C81</f>
        <v>1260</v>
      </c>
      <c r="T81" s="29">
        <f>基础状态预估!D81</f>
        <v>105.28054430059714</v>
      </c>
      <c r="U81" s="29">
        <f t="shared" si="33"/>
        <v>48</v>
      </c>
      <c r="V81" s="50">
        <f t="shared" si="43"/>
        <v>0</v>
      </c>
      <c r="W81" s="50">
        <f t="shared" si="44"/>
        <v>7.407407407407407E-2</v>
      </c>
      <c r="X81" s="50">
        <f t="shared" si="45"/>
        <v>0.3</v>
      </c>
      <c r="Y81" s="50">
        <f t="shared" si="46"/>
        <v>0.3</v>
      </c>
      <c r="Z81" s="50">
        <f t="shared" si="60"/>
        <v>483984</v>
      </c>
      <c r="AA81" s="5">
        <f t="shared" si="47"/>
        <v>64.674242424242422</v>
      </c>
      <c r="AB81" s="5">
        <f t="shared" si="48"/>
        <v>64.674242424242422</v>
      </c>
      <c r="AC81" s="5">
        <f t="shared" si="49"/>
        <v>98.276464646464646</v>
      </c>
      <c r="AD81" s="5">
        <f t="shared" si="50"/>
        <v>42.11848484848484</v>
      </c>
      <c r="AE81" s="5">
        <f t="shared" si="51"/>
        <v>26.596666666666678</v>
      </c>
      <c r="AF81" s="5">
        <f t="shared" si="52"/>
        <v>2.9551851851851847</v>
      </c>
      <c r="AG81" s="5">
        <f t="shared" si="53"/>
        <v>0</v>
      </c>
      <c r="AH81" s="5">
        <f t="shared" si="54"/>
        <v>0</v>
      </c>
      <c r="AI81" s="5">
        <f t="shared" si="61"/>
        <v>0</v>
      </c>
      <c r="AJ81" s="5">
        <f t="shared" si="62"/>
        <v>0.86232323232323216</v>
      </c>
      <c r="AK81" s="5">
        <f t="shared" si="63"/>
        <v>0</v>
      </c>
      <c r="AL81" s="5">
        <f t="shared" si="64"/>
        <v>0.59103703703703681</v>
      </c>
      <c r="AM81" s="5">
        <f t="shared" si="65"/>
        <v>222035.48821548829</v>
      </c>
    </row>
    <row r="82" spans="19:39" x14ac:dyDescent="0.15">
      <c r="S82" s="29">
        <f>基础状态预估!C82</f>
        <v>1380</v>
      </c>
      <c r="T82" s="29">
        <f>基础状态预估!D82</f>
        <v>106.5877808636499</v>
      </c>
      <c r="U82" s="29">
        <f t="shared" si="33"/>
        <v>48</v>
      </c>
      <c r="V82" s="50">
        <f t="shared" si="43"/>
        <v>0</v>
      </c>
      <c r="W82" s="50">
        <f t="shared" si="44"/>
        <v>7.407407407407407E-2</v>
      </c>
      <c r="X82" s="50">
        <f t="shared" si="45"/>
        <v>0.3</v>
      </c>
      <c r="Y82" s="50">
        <f t="shared" si="46"/>
        <v>0.3</v>
      </c>
      <c r="Z82" s="50">
        <f t="shared" si="60"/>
        <v>532368</v>
      </c>
      <c r="AA82" s="5">
        <f t="shared" si="47"/>
        <v>70.674242424242422</v>
      </c>
      <c r="AB82" s="5">
        <f t="shared" si="48"/>
        <v>70.674242424242422</v>
      </c>
      <c r="AC82" s="5">
        <f t="shared" si="49"/>
        <v>107.92090909090909</v>
      </c>
      <c r="AD82" s="5">
        <f t="shared" si="50"/>
        <v>46.251818181818173</v>
      </c>
      <c r="AE82" s="5">
        <f t="shared" si="51"/>
        <v>29.290000000000013</v>
      </c>
      <c r="AF82" s="5">
        <f t="shared" si="52"/>
        <v>3.2544444444444438</v>
      </c>
      <c r="AG82" s="5">
        <f t="shared" si="53"/>
        <v>0</v>
      </c>
      <c r="AH82" s="5">
        <f t="shared" si="54"/>
        <v>0</v>
      </c>
      <c r="AI82" s="5">
        <f t="shared" si="61"/>
        <v>0</v>
      </c>
      <c r="AJ82" s="5">
        <f t="shared" si="62"/>
        <v>0.94232323232323212</v>
      </c>
      <c r="AK82" s="5">
        <f t="shared" si="63"/>
        <v>0</v>
      </c>
      <c r="AL82" s="5">
        <f t="shared" si="64"/>
        <v>0.65088888888888863</v>
      </c>
      <c r="AM82" s="5">
        <f t="shared" si="65"/>
        <v>244014.74747474756</v>
      </c>
    </row>
    <row r="83" spans="19:39" x14ac:dyDescent="0.15">
      <c r="S83" s="29">
        <f>基础状态预估!C83</f>
        <v>1500</v>
      </c>
      <c r="T83" s="29">
        <f>基础状态预估!D83</f>
        <v>107.79548237561555</v>
      </c>
      <c r="U83" s="29">
        <f t="shared" si="33"/>
        <v>48</v>
      </c>
      <c r="V83" s="50">
        <f t="shared" si="43"/>
        <v>0</v>
      </c>
      <c r="W83" s="50">
        <f t="shared" si="44"/>
        <v>7.407407407407407E-2</v>
      </c>
      <c r="X83" s="50">
        <f t="shared" si="45"/>
        <v>0.3</v>
      </c>
      <c r="Y83" s="50">
        <f t="shared" si="46"/>
        <v>0.3</v>
      </c>
      <c r="Z83" s="50">
        <f t="shared" si="60"/>
        <v>580752</v>
      </c>
      <c r="AA83" s="5">
        <f t="shared" si="47"/>
        <v>76.674242424242422</v>
      </c>
      <c r="AB83" s="5">
        <f t="shared" si="48"/>
        <v>76.674242424242422</v>
      </c>
      <c r="AC83" s="5">
        <f t="shared" si="49"/>
        <v>117.56535353535354</v>
      </c>
      <c r="AD83" s="5">
        <f t="shared" si="50"/>
        <v>50.385151515151506</v>
      </c>
      <c r="AE83" s="5">
        <f t="shared" si="51"/>
        <v>31.983333333333348</v>
      </c>
      <c r="AF83" s="5">
        <f t="shared" si="52"/>
        <v>3.5537037037037029</v>
      </c>
      <c r="AG83" s="5">
        <f t="shared" si="53"/>
        <v>0</v>
      </c>
      <c r="AH83" s="5">
        <f t="shared" si="54"/>
        <v>0</v>
      </c>
      <c r="AI83" s="5">
        <f t="shared" si="61"/>
        <v>0</v>
      </c>
      <c r="AJ83" s="5">
        <f t="shared" si="62"/>
        <v>1.0223232323232321</v>
      </c>
      <c r="AK83" s="5">
        <f t="shared" si="63"/>
        <v>0</v>
      </c>
      <c r="AL83" s="5">
        <f t="shared" si="64"/>
        <v>0.71074074074074045</v>
      </c>
      <c r="AM83" s="5">
        <f t="shared" si="65"/>
        <v>265994.00673400681</v>
      </c>
    </row>
    <row r="84" spans="19:39" x14ac:dyDescent="0.15">
      <c r="S84" s="29">
        <f>基础状态预估!C84</f>
        <v>1800</v>
      </c>
      <c r="T84" s="29">
        <f>基础状态预估!D84</f>
        <v>110.45909768117225</v>
      </c>
      <c r="U84" s="29">
        <f t="shared" si="33"/>
        <v>48</v>
      </c>
      <c r="V84" s="50">
        <f t="shared" si="43"/>
        <v>0</v>
      </c>
      <c r="W84" s="50">
        <f t="shared" si="44"/>
        <v>7.407407407407407E-2</v>
      </c>
      <c r="X84" s="50">
        <f t="shared" si="45"/>
        <v>0.3</v>
      </c>
      <c r="Y84" s="50">
        <f t="shared" si="46"/>
        <v>0.3</v>
      </c>
      <c r="Z84" s="50">
        <f t="shared" si="60"/>
        <v>701712</v>
      </c>
      <c r="AA84" s="5">
        <f t="shared" si="47"/>
        <v>91.674242424242422</v>
      </c>
      <c r="AB84" s="5">
        <f t="shared" si="48"/>
        <v>91.674242424242422</v>
      </c>
      <c r="AC84" s="5">
        <f t="shared" si="49"/>
        <v>141.67646464646464</v>
      </c>
      <c r="AD84" s="5">
        <f t="shared" si="50"/>
        <v>60.718484848484835</v>
      </c>
      <c r="AE84" s="5">
        <f t="shared" si="51"/>
        <v>38.716666666666683</v>
      </c>
      <c r="AF84" s="5">
        <f t="shared" si="52"/>
        <v>4.3018518518518514</v>
      </c>
      <c r="AG84" s="5">
        <f t="shared" si="53"/>
        <v>0</v>
      </c>
      <c r="AH84" s="5">
        <f t="shared" si="54"/>
        <v>0</v>
      </c>
      <c r="AI84" s="5">
        <f t="shared" si="61"/>
        <v>0</v>
      </c>
      <c r="AJ84" s="5">
        <f t="shared" si="62"/>
        <v>1.222323232323232</v>
      </c>
      <c r="AK84" s="5">
        <f t="shared" si="63"/>
        <v>0</v>
      </c>
      <c r="AL84" s="5">
        <f t="shared" si="64"/>
        <v>0.86037037037037001</v>
      </c>
      <c r="AM84" s="5">
        <f t="shared" si="65"/>
        <v>320942.15488215495</v>
      </c>
    </row>
    <row r="85" spans="19:39" x14ac:dyDescent="0.15">
      <c r="S85" s="29">
        <f>基础状态预估!C85</f>
        <v>2100</v>
      </c>
      <c r="T85" s="29">
        <f>基础状态预估!D85</f>
        <v>112.6575750662045</v>
      </c>
      <c r="U85" s="29">
        <f t="shared" si="33"/>
        <v>48</v>
      </c>
      <c r="V85" s="50">
        <f t="shared" si="43"/>
        <v>0</v>
      </c>
      <c r="W85" s="50">
        <f t="shared" si="44"/>
        <v>7.407407407407407E-2</v>
      </c>
      <c r="X85" s="50">
        <f t="shared" si="45"/>
        <v>0.3</v>
      </c>
      <c r="Y85" s="50">
        <f t="shared" si="46"/>
        <v>0.3</v>
      </c>
      <c r="Z85" s="50">
        <f t="shared" si="60"/>
        <v>822672</v>
      </c>
      <c r="AA85" s="5">
        <f t="shared" si="47"/>
        <v>106.67424242424242</v>
      </c>
      <c r="AB85" s="5">
        <f t="shared" si="48"/>
        <v>106.67424242424242</v>
      </c>
      <c r="AC85" s="5">
        <f t="shared" si="49"/>
        <v>165.78757575757575</v>
      </c>
      <c r="AD85" s="5">
        <f t="shared" si="50"/>
        <v>71.051818181818163</v>
      </c>
      <c r="AE85" s="5">
        <f t="shared" si="51"/>
        <v>45.450000000000017</v>
      </c>
      <c r="AF85" s="5">
        <f t="shared" si="52"/>
        <v>5.05</v>
      </c>
      <c r="AG85" s="5">
        <f t="shared" si="53"/>
        <v>0</v>
      </c>
      <c r="AH85" s="5">
        <f t="shared" si="54"/>
        <v>0</v>
      </c>
      <c r="AI85" s="5">
        <f t="shared" si="61"/>
        <v>0</v>
      </c>
      <c r="AJ85" s="5">
        <f t="shared" si="62"/>
        <v>1.422323232323232</v>
      </c>
      <c r="AK85" s="5">
        <f t="shared" si="63"/>
        <v>0</v>
      </c>
      <c r="AL85" s="5">
        <f t="shared" si="64"/>
        <v>1.0099999999999996</v>
      </c>
      <c r="AM85" s="5">
        <f t="shared" si="65"/>
        <v>375890.3030303031</v>
      </c>
    </row>
    <row r="86" spans="19:39" x14ac:dyDescent="0.15">
      <c r="S86" s="29">
        <f>基础状态预估!C86</f>
        <v>2400</v>
      </c>
      <c r="T86" s="29">
        <f>基础状态预估!D86</f>
        <v>114.60231372852645</v>
      </c>
      <c r="U86" s="29">
        <f t="shared" si="33"/>
        <v>48</v>
      </c>
      <c r="V86" s="50">
        <f t="shared" si="43"/>
        <v>0</v>
      </c>
      <c r="W86" s="50">
        <f t="shared" si="44"/>
        <v>7.407407407407407E-2</v>
      </c>
      <c r="X86" s="50">
        <f t="shared" si="45"/>
        <v>0.3</v>
      </c>
      <c r="Y86" s="50">
        <f t="shared" si="46"/>
        <v>0.3</v>
      </c>
      <c r="Z86" s="50">
        <f t="shared" si="60"/>
        <v>943632</v>
      </c>
      <c r="AA86" s="5">
        <f t="shared" si="47"/>
        <v>121.67424242424242</v>
      </c>
      <c r="AB86" s="5">
        <f t="shared" si="48"/>
        <v>121.67424242424242</v>
      </c>
      <c r="AC86" s="5">
        <f t="shared" si="49"/>
        <v>189.89868686868687</v>
      </c>
      <c r="AD86" s="5">
        <f t="shared" si="50"/>
        <v>81.385151515151492</v>
      </c>
      <c r="AE86" s="5">
        <f t="shared" si="51"/>
        <v>52.183333333333351</v>
      </c>
      <c r="AF86" s="5">
        <f t="shared" si="52"/>
        <v>5.7981481481481483</v>
      </c>
      <c r="AG86" s="5">
        <f t="shared" si="53"/>
        <v>0</v>
      </c>
      <c r="AH86" s="5">
        <f t="shared" si="54"/>
        <v>0</v>
      </c>
      <c r="AI86" s="5">
        <f t="shared" si="61"/>
        <v>0</v>
      </c>
      <c r="AJ86" s="5">
        <f t="shared" si="62"/>
        <v>1.6223232323232319</v>
      </c>
      <c r="AK86" s="5">
        <f t="shared" si="63"/>
        <v>0</v>
      </c>
      <c r="AL86" s="5">
        <f t="shared" si="64"/>
        <v>1.1596296296296291</v>
      </c>
      <c r="AM86" s="5">
        <f t="shared" si="65"/>
        <v>430838.45117845124</v>
      </c>
    </row>
    <row r="87" spans="19:39" x14ac:dyDescent="0.15">
      <c r="S87" s="29">
        <f>基础状态预估!C87</f>
        <v>2700</v>
      </c>
      <c r="T87" s="29">
        <f>基础状态预估!D87</f>
        <v>116.33278549477166</v>
      </c>
      <c r="U87" s="29">
        <f t="shared" si="33"/>
        <v>48</v>
      </c>
      <c r="V87" s="50">
        <f t="shared" si="43"/>
        <v>0</v>
      </c>
      <c r="W87" s="50">
        <f t="shared" si="44"/>
        <v>7.407407407407407E-2</v>
      </c>
      <c r="X87" s="50">
        <f t="shared" si="45"/>
        <v>0.3</v>
      </c>
      <c r="Y87" s="50">
        <f t="shared" si="46"/>
        <v>0.3</v>
      </c>
      <c r="Z87" s="50">
        <f t="shared" si="60"/>
        <v>1064592</v>
      </c>
      <c r="AA87" s="5">
        <f t="shared" si="47"/>
        <v>136.67424242424244</v>
      </c>
      <c r="AB87" s="5">
        <f t="shared" si="48"/>
        <v>136.67424242424244</v>
      </c>
      <c r="AC87" s="5">
        <f t="shared" si="49"/>
        <v>214.00979797979798</v>
      </c>
      <c r="AD87" s="5">
        <f t="shared" si="50"/>
        <v>91.71848484848482</v>
      </c>
      <c r="AE87" s="5">
        <f t="shared" si="51"/>
        <v>58.916666666666686</v>
      </c>
      <c r="AF87" s="5">
        <f t="shared" si="52"/>
        <v>6.5462962962962967</v>
      </c>
      <c r="AG87" s="5">
        <f t="shared" si="53"/>
        <v>0</v>
      </c>
      <c r="AH87" s="5">
        <f t="shared" si="54"/>
        <v>0</v>
      </c>
      <c r="AI87" s="5">
        <f t="shared" si="61"/>
        <v>0</v>
      </c>
      <c r="AJ87" s="5">
        <f t="shared" si="62"/>
        <v>1.8223232323232319</v>
      </c>
      <c r="AK87" s="5">
        <f t="shared" si="63"/>
        <v>0</v>
      </c>
      <c r="AL87" s="5">
        <f t="shared" si="64"/>
        <v>1.3092592592592587</v>
      </c>
      <c r="AM87" s="5">
        <f t="shared" si="65"/>
        <v>485786.59932659939</v>
      </c>
    </row>
    <row r="88" spans="19:39" x14ac:dyDescent="0.15">
      <c r="S88" s="29">
        <f>基础状态预估!C88</f>
        <v>3000</v>
      </c>
      <c r="T88" s="29">
        <f>基础状态预估!D88</f>
        <v>117.85065637558189</v>
      </c>
      <c r="U88" s="29">
        <f t="shared" si="33"/>
        <v>48</v>
      </c>
      <c r="V88" s="50">
        <f t="shared" si="43"/>
        <v>0</v>
      </c>
      <c r="W88" s="50">
        <f t="shared" si="44"/>
        <v>7.407407407407407E-2</v>
      </c>
      <c r="X88" s="50">
        <f t="shared" si="45"/>
        <v>0.3</v>
      </c>
      <c r="Y88" s="50">
        <f t="shared" si="46"/>
        <v>0.3</v>
      </c>
      <c r="Z88" s="50">
        <f t="shared" si="60"/>
        <v>1185552</v>
      </c>
      <c r="AA88" s="5">
        <f t="shared" si="47"/>
        <v>151.67424242424244</v>
      </c>
      <c r="AB88" s="5">
        <f t="shared" si="48"/>
        <v>151.67424242424244</v>
      </c>
      <c r="AC88" s="5">
        <f t="shared" si="49"/>
        <v>238.12090909090909</v>
      </c>
      <c r="AD88" s="5">
        <f t="shared" si="50"/>
        <v>102.05181818181815</v>
      </c>
      <c r="AE88" s="5">
        <f t="shared" si="51"/>
        <v>65.65000000000002</v>
      </c>
      <c r="AF88" s="5">
        <f t="shared" si="52"/>
        <v>7.2944444444444452</v>
      </c>
      <c r="AG88" s="5">
        <f t="shared" si="53"/>
        <v>0</v>
      </c>
      <c r="AH88" s="5">
        <f t="shared" si="54"/>
        <v>0</v>
      </c>
      <c r="AI88" s="5">
        <f t="shared" si="61"/>
        <v>0</v>
      </c>
      <c r="AJ88" s="5">
        <f t="shared" si="62"/>
        <v>2.0223232323232319</v>
      </c>
      <c r="AK88" s="5">
        <f t="shared" si="63"/>
        <v>0</v>
      </c>
      <c r="AL88" s="5">
        <f t="shared" si="64"/>
        <v>1.4588888888888882</v>
      </c>
      <c r="AM88" s="5">
        <f t="shared" si="65"/>
        <v>540734.74747474748</v>
      </c>
    </row>
    <row r="89" spans="19:39" x14ac:dyDescent="0.15">
      <c r="S89" s="29">
        <f>基础状态预估!C89</f>
        <v>3300</v>
      </c>
      <c r="T89" s="29">
        <f>基础状态预估!D89</f>
        <v>119.21088872323202</v>
      </c>
      <c r="U89" s="29">
        <f t="shared" si="33"/>
        <v>48</v>
      </c>
      <c r="V89" s="50">
        <f t="shared" si="43"/>
        <v>0</v>
      </c>
      <c r="W89" s="50">
        <f t="shared" si="44"/>
        <v>7.407407407407407E-2</v>
      </c>
      <c r="X89" s="50">
        <f t="shared" si="45"/>
        <v>0.3</v>
      </c>
      <c r="Y89" s="50">
        <f t="shared" si="46"/>
        <v>0.3</v>
      </c>
      <c r="Z89" s="50">
        <f t="shared" si="60"/>
        <v>1306512</v>
      </c>
      <c r="AA89" s="5">
        <f t="shared" si="47"/>
        <v>166.67424242424244</v>
      </c>
      <c r="AB89" s="5">
        <f t="shared" si="48"/>
        <v>166.67424242424244</v>
      </c>
      <c r="AC89" s="5">
        <f t="shared" si="49"/>
        <v>262.23202020202018</v>
      </c>
      <c r="AD89" s="5">
        <f t="shared" si="50"/>
        <v>112.38515151515148</v>
      </c>
      <c r="AE89" s="5">
        <f t="shared" si="51"/>
        <v>72.383333333333354</v>
      </c>
      <c r="AF89" s="5">
        <f t="shared" si="52"/>
        <v>8.0425925925925927</v>
      </c>
      <c r="AG89" s="5">
        <f t="shared" si="53"/>
        <v>0</v>
      </c>
      <c r="AH89" s="5">
        <f t="shared" si="54"/>
        <v>0</v>
      </c>
      <c r="AI89" s="5">
        <f t="shared" si="61"/>
        <v>0</v>
      </c>
      <c r="AJ89" s="5">
        <f t="shared" si="62"/>
        <v>2.222323232323232</v>
      </c>
      <c r="AK89" s="5">
        <f t="shared" si="63"/>
        <v>0</v>
      </c>
      <c r="AL89" s="5">
        <f t="shared" si="64"/>
        <v>1.6085185185185178</v>
      </c>
      <c r="AM89" s="5">
        <f t="shared" si="65"/>
        <v>595682.89562289556</v>
      </c>
    </row>
    <row r="90" spans="19:39" x14ac:dyDescent="0.15">
      <c r="S90" s="29">
        <f>基础状态预估!C90</f>
        <v>3600</v>
      </c>
      <c r="T90" s="29">
        <f>基础状态预估!D90</f>
        <v>120.46417102385924</v>
      </c>
      <c r="U90" s="29">
        <f t="shared" si="33"/>
        <v>48</v>
      </c>
      <c r="V90" s="50">
        <f t="shared" si="43"/>
        <v>0</v>
      </c>
      <c r="W90" s="50">
        <f t="shared" si="44"/>
        <v>7.407407407407407E-2</v>
      </c>
      <c r="X90" s="50">
        <f t="shared" si="45"/>
        <v>0.3</v>
      </c>
      <c r="Y90" s="50">
        <f t="shared" si="46"/>
        <v>0.3</v>
      </c>
      <c r="Z90" s="50">
        <f t="shared" si="60"/>
        <v>1427472</v>
      </c>
      <c r="AA90" s="5">
        <f t="shared" si="47"/>
        <v>181.67424242424244</v>
      </c>
      <c r="AB90" s="5">
        <f t="shared" si="48"/>
        <v>181.67424242424244</v>
      </c>
      <c r="AC90" s="5">
        <f t="shared" si="49"/>
        <v>286.34313131313127</v>
      </c>
      <c r="AD90" s="5">
        <f t="shared" si="50"/>
        <v>122.71848484848481</v>
      </c>
      <c r="AE90" s="5">
        <f t="shared" si="51"/>
        <v>79.116666666666688</v>
      </c>
      <c r="AF90" s="5">
        <f t="shared" si="52"/>
        <v>8.7907407407407412</v>
      </c>
      <c r="AG90" s="5">
        <f t="shared" si="53"/>
        <v>0</v>
      </c>
      <c r="AH90" s="5">
        <f t="shared" si="54"/>
        <v>0</v>
      </c>
      <c r="AI90" s="5">
        <f t="shared" si="61"/>
        <v>0</v>
      </c>
      <c r="AJ90" s="5">
        <f t="shared" si="62"/>
        <v>2.4223232323232322</v>
      </c>
      <c r="AK90" s="5">
        <f t="shared" si="63"/>
        <v>0</v>
      </c>
      <c r="AL90" s="5">
        <f t="shared" si="64"/>
        <v>1.7581481481481473</v>
      </c>
      <c r="AM90" s="5">
        <f t="shared" si="65"/>
        <v>650631.04377104365</v>
      </c>
    </row>
    <row r="91" spans="19:39" x14ac:dyDescent="0.15">
      <c r="S91" s="29">
        <f>基础状态预估!C91</f>
        <v>3900</v>
      </c>
      <c r="T91" s="29">
        <f>基础状态预估!D91</f>
        <v>121.65302977187105</v>
      </c>
      <c r="U91" s="29">
        <f t="shared" si="33"/>
        <v>48</v>
      </c>
      <c r="V91" s="50">
        <f t="shared" si="43"/>
        <v>0</v>
      </c>
      <c r="W91" s="50">
        <f t="shared" si="44"/>
        <v>7.407407407407407E-2</v>
      </c>
      <c r="X91" s="50">
        <f t="shared" si="45"/>
        <v>0.3</v>
      </c>
      <c r="Y91" s="50">
        <f t="shared" si="46"/>
        <v>0.3</v>
      </c>
      <c r="Z91" s="50">
        <f t="shared" si="60"/>
        <v>1548432</v>
      </c>
      <c r="AA91" s="5">
        <f t="shared" si="47"/>
        <v>196.67424242424244</v>
      </c>
      <c r="AB91" s="5">
        <f t="shared" si="48"/>
        <v>196.67424242424244</v>
      </c>
      <c r="AC91" s="5">
        <f t="shared" si="49"/>
        <v>310.45424242424235</v>
      </c>
      <c r="AD91" s="5">
        <f t="shared" si="50"/>
        <v>133.05181818181813</v>
      </c>
      <c r="AE91" s="5">
        <f t="shared" si="51"/>
        <v>85.850000000000023</v>
      </c>
      <c r="AF91" s="5">
        <f t="shared" si="52"/>
        <v>9.5388888888888896</v>
      </c>
      <c r="AG91" s="5">
        <f t="shared" si="53"/>
        <v>0</v>
      </c>
      <c r="AH91" s="5">
        <f t="shared" si="54"/>
        <v>0</v>
      </c>
      <c r="AI91" s="5">
        <f t="shared" si="61"/>
        <v>0</v>
      </c>
      <c r="AJ91" s="5">
        <f t="shared" si="62"/>
        <v>2.6223232323232324</v>
      </c>
      <c r="AK91" s="5">
        <f t="shared" si="63"/>
        <v>0</v>
      </c>
      <c r="AL91" s="5">
        <f t="shared" si="64"/>
        <v>1.9077777777777769</v>
      </c>
      <c r="AM91" s="5">
        <f t="shared" si="65"/>
        <v>705579.19191919174</v>
      </c>
    </row>
    <row r="92" spans="19:39" x14ac:dyDescent="0.15">
      <c r="S92" s="29">
        <f>基础状态预估!C92</f>
        <v>4200</v>
      </c>
      <c r="T92" s="29">
        <f>基础状态预估!D92</f>
        <v>122.73490799469288</v>
      </c>
      <c r="U92" s="29">
        <f t="shared" si="33"/>
        <v>48</v>
      </c>
      <c r="V92" s="50">
        <f t="shared" si="43"/>
        <v>0</v>
      </c>
      <c r="W92" s="50">
        <f t="shared" si="44"/>
        <v>7.407407407407407E-2</v>
      </c>
      <c r="X92" s="50">
        <f t="shared" si="45"/>
        <v>0.3</v>
      </c>
      <c r="Y92" s="50">
        <f t="shared" si="46"/>
        <v>0.3</v>
      </c>
      <c r="Z92" s="50">
        <f t="shared" si="60"/>
        <v>1669392</v>
      </c>
      <c r="AA92" s="5">
        <f t="shared" si="47"/>
        <v>211.67424242424244</v>
      </c>
      <c r="AB92" s="5">
        <f t="shared" si="48"/>
        <v>211.67424242424244</v>
      </c>
      <c r="AC92" s="5">
        <f t="shared" si="49"/>
        <v>334.56535353535344</v>
      </c>
      <c r="AD92" s="5">
        <f t="shared" si="50"/>
        <v>143.38515151515148</v>
      </c>
      <c r="AE92" s="5">
        <f t="shared" si="51"/>
        <v>92.583333333333357</v>
      </c>
      <c r="AF92" s="5">
        <f t="shared" si="52"/>
        <v>10.287037037037038</v>
      </c>
      <c r="AG92" s="5">
        <f t="shared" si="53"/>
        <v>0</v>
      </c>
      <c r="AH92" s="5">
        <f t="shared" si="54"/>
        <v>0</v>
      </c>
      <c r="AI92" s="5">
        <f t="shared" si="61"/>
        <v>0</v>
      </c>
      <c r="AJ92" s="5">
        <f t="shared" si="62"/>
        <v>2.8223232323232326</v>
      </c>
      <c r="AK92" s="5">
        <f t="shared" si="63"/>
        <v>0</v>
      </c>
      <c r="AL92" s="5">
        <f t="shared" si="64"/>
        <v>2.0574074074074065</v>
      </c>
      <c r="AM92" s="5">
        <f t="shared" si="65"/>
        <v>760527.34006733983</v>
      </c>
    </row>
    <row r="93" spans="19:39" x14ac:dyDescent="0.15">
      <c r="S93" s="29">
        <f>基础状态预估!C93</f>
        <v>4500</v>
      </c>
      <c r="T93" s="29">
        <f>基础状态预估!D93</f>
        <v>123.70999272209546</v>
      </c>
      <c r="U93" s="29">
        <f t="shared" si="33"/>
        <v>48</v>
      </c>
      <c r="V93" s="50">
        <f t="shared" si="43"/>
        <v>0</v>
      </c>
      <c r="W93" s="50">
        <f t="shared" si="44"/>
        <v>7.407407407407407E-2</v>
      </c>
      <c r="X93" s="50">
        <f t="shared" si="45"/>
        <v>0.3</v>
      </c>
      <c r="Y93" s="50">
        <f t="shared" si="46"/>
        <v>0.3</v>
      </c>
      <c r="Z93" s="50">
        <f t="shared" si="60"/>
        <v>1790352</v>
      </c>
      <c r="AA93" s="5">
        <f t="shared" si="47"/>
        <v>226.67424242424244</v>
      </c>
      <c r="AB93" s="5">
        <f t="shared" si="48"/>
        <v>226.67424242424244</v>
      </c>
      <c r="AC93" s="5">
        <f t="shared" si="49"/>
        <v>358.67646464646452</v>
      </c>
      <c r="AD93" s="5">
        <f t="shared" si="50"/>
        <v>153.71848484848482</v>
      </c>
      <c r="AE93" s="5">
        <f t="shared" si="51"/>
        <v>99.316666666666691</v>
      </c>
      <c r="AF93" s="5">
        <f t="shared" si="52"/>
        <v>11.035185185185187</v>
      </c>
      <c r="AG93" s="5">
        <f t="shared" si="53"/>
        <v>0</v>
      </c>
      <c r="AH93" s="5">
        <f t="shared" si="54"/>
        <v>0</v>
      </c>
      <c r="AI93" s="5">
        <f t="shared" si="61"/>
        <v>0</v>
      </c>
      <c r="AJ93" s="5">
        <f t="shared" si="62"/>
        <v>3.0223232323232327</v>
      </c>
      <c r="AK93" s="5">
        <f t="shared" si="63"/>
        <v>0</v>
      </c>
      <c r="AL93" s="5">
        <f t="shared" si="64"/>
        <v>2.2070370370370362</v>
      </c>
      <c r="AM93" s="5">
        <f t="shared" si="65"/>
        <v>815475.48821548792</v>
      </c>
    </row>
    <row r="94" spans="19:39" x14ac:dyDescent="0.15">
      <c r="S94" s="29">
        <f>基础状态预估!C94</f>
        <v>4800</v>
      </c>
      <c r="T94" s="29">
        <f>基础状态预估!D94</f>
        <v>124.63695716337583</v>
      </c>
      <c r="U94" s="29">
        <f t="shared" si="33"/>
        <v>48</v>
      </c>
      <c r="V94" s="50">
        <f t="shared" si="43"/>
        <v>0</v>
      </c>
      <c r="W94" s="50">
        <f t="shared" si="44"/>
        <v>7.407407407407407E-2</v>
      </c>
      <c r="X94" s="50">
        <f t="shared" si="45"/>
        <v>0.3</v>
      </c>
      <c r="Y94" s="50">
        <f t="shared" si="46"/>
        <v>0.3</v>
      </c>
      <c r="Z94" s="50">
        <f t="shared" si="60"/>
        <v>1911312</v>
      </c>
      <c r="AA94" s="5">
        <f t="shared" si="47"/>
        <v>241.67424242424244</v>
      </c>
      <c r="AB94" s="5">
        <f t="shared" si="48"/>
        <v>241.67424242424244</v>
      </c>
      <c r="AC94" s="5">
        <f t="shared" si="49"/>
        <v>382.78757575757561</v>
      </c>
      <c r="AD94" s="5">
        <f t="shared" si="50"/>
        <v>164.05181818181816</v>
      </c>
      <c r="AE94" s="5">
        <f t="shared" si="51"/>
        <v>106.05000000000003</v>
      </c>
      <c r="AF94" s="5">
        <f t="shared" si="52"/>
        <v>11.783333333333335</v>
      </c>
      <c r="AG94" s="5">
        <f t="shared" si="53"/>
        <v>0</v>
      </c>
      <c r="AH94" s="5">
        <f t="shared" si="54"/>
        <v>0</v>
      </c>
      <c r="AI94" s="5">
        <f t="shared" si="61"/>
        <v>0</v>
      </c>
      <c r="AJ94" s="5">
        <f t="shared" si="62"/>
        <v>3.2223232323232329</v>
      </c>
      <c r="AK94" s="5">
        <f t="shared" si="63"/>
        <v>0</v>
      </c>
      <c r="AL94" s="5">
        <f t="shared" si="64"/>
        <v>2.356666666666666</v>
      </c>
      <c r="AM94" s="5">
        <f t="shared" si="65"/>
        <v>870423.636363636</v>
      </c>
    </row>
    <row r="95" spans="19:39" x14ac:dyDescent="0.15">
      <c r="S95" s="29">
        <f>基础状态预估!C95</f>
        <v>65535</v>
      </c>
      <c r="T95" s="29">
        <f>基础状态预估!D95</f>
        <v>160</v>
      </c>
      <c r="U95" s="29">
        <f t="shared" si="33"/>
        <v>48</v>
      </c>
      <c r="V95" s="50">
        <f t="shared" si="43"/>
        <v>0</v>
      </c>
      <c r="W95" s="50">
        <f t="shared" si="44"/>
        <v>7.407407407407407E-2</v>
      </c>
      <c r="X95" s="50">
        <f t="shared" si="45"/>
        <v>0.3</v>
      </c>
      <c r="Y95" s="50">
        <f t="shared" si="46"/>
        <v>0.3</v>
      </c>
      <c r="Z95" s="50">
        <f t="shared" si="60"/>
        <v>26399664</v>
      </c>
      <c r="AA95" s="5">
        <f t="shared" si="47"/>
        <v>3278.4242424242425</v>
      </c>
      <c r="AB95" s="5">
        <f t="shared" si="48"/>
        <v>3278.4242424242425</v>
      </c>
      <c r="AC95" s="5">
        <f t="shared" si="49"/>
        <v>5264.0820202020195</v>
      </c>
      <c r="AD95" s="5">
        <f t="shared" si="50"/>
        <v>2256.0351515151515</v>
      </c>
      <c r="AE95" s="5">
        <f t="shared" si="51"/>
        <v>1469.2133333333334</v>
      </c>
      <c r="AF95" s="5">
        <f t="shared" si="52"/>
        <v>163.24592592592592</v>
      </c>
      <c r="AG95" s="5">
        <f t="shared" si="53"/>
        <v>0</v>
      </c>
      <c r="AH95" s="5">
        <f t="shared" si="54"/>
        <v>0</v>
      </c>
      <c r="AI95" s="5">
        <f t="shared" si="61"/>
        <v>0</v>
      </c>
      <c r="AJ95" s="5">
        <f t="shared" si="62"/>
        <v>43.712323232323236</v>
      </c>
      <c r="AK95" s="5">
        <f t="shared" si="63"/>
        <v>0</v>
      </c>
      <c r="AL95" s="5">
        <f t="shared" si="64"/>
        <v>32.649185185185189</v>
      </c>
      <c r="AM95" s="5">
        <f t="shared" si="65"/>
        <v>11994676.22895623</v>
      </c>
    </row>
    <row r="97" spans="19:39" x14ac:dyDescent="0.15">
      <c r="S97" s="25" t="s">
        <v>19</v>
      </c>
      <c r="T97" s="26"/>
      <c r="U97" s="26"/>
      <c r="V97" s="84" t="s">
        <v>174</v>
      </c>
      <c r="W97" s="84"/>
      <c r="X97" s="84"/>
      <c r="Y97" s="84"/>
      <c r="AA97" s="85" t="s">
        <v>182</v>
      </c>
      <c r="AB97" s="95"/>
      <c r="AC97" s="95"/>
      <c r="AD97" s="95"/>
      <c r="AE97" s="95"/>
      <c r="AF97" s="86"/>
      <c r="AG97" s="85" t="s">
        <v>183</v>
      </c>
      <c r="AH97" s="95"/>
      <c r="AI97" s="95"/>
      <c r="AJ97" s="95"/>
      <c r="AK97" s="95"/>
      <c r="AL97" s="86"/>
      <c r="AM97" s="50"/>
    </row>
    <row r="98" spans="19:39" ht="22.5" x14ac:dyDescent="0.15">
      <c r="S98" s="27" t="s">
        <v>31</v>
      </c>
      <c r="T98" s="27" t="s">
        <v>25</v>
      </c>
      <c r="U98" s="27" t="s">
        <v>180</v>
      </c>
      <c r="V98" s="50" t="s">
        <v>175</v>
      </c>
      <c r="W98" s="50" t="s">
        <v>177</v>
      </c>
      <c r="X98" s="20" t="s">
        <v>177</v>
      </c>
      <c r="Y98" s="20" t="s">
        <v>178</v>
      </c>
      <c r="Z98" s="50" t="s">
        <v>193</v>
      </c>
      <c r="AA98" s="50" t="s">
        <v>185</v>
      </c>
      <c r="AB98" s="50" t="s">
        <v>186</v>
      </c>
      <c r="AC98" s="50" t="s">
        <v>27</v>
      </c>
      <c r="AD98" s="50" t="s">
        <v>29</v>
      </c>
      <c r="AE98" s="50" t="s">
        <v>28</v>
      </c>
      <c r="AF98" s="50" t="s">
        <v>43</v>
      </c>
      <c r="AG98" s="50" t="s">
        <v>185</v>
      </c>
      <c r="AH98" s="50" t="s">
        <v>186</v>
      </c>
      <c r="AI98" s="50" t="s">
        <v>27</v>
      </c>
      <c r="AJ98" s="50" t="s">
        <v>29</v>
      </c>
      <c r="AK98" s="50" t="s">
        <v>28</v>
      </c>
      <c r="AL98" s="50" t="s">
        <v>43</v>
      </c>
      <c r="AM98" s="50" t="s">
        <v>184</v>
      </c>
    </row>
    <row r="99" spans="19:39" x14ac:dyDescent="0.15">
      <c r="S99" s="29">
        <f>基础状态预估!C99</f>
        <v>15</v>
      </c>
      <c r="T99" s="29">
        <f>基础状态预估!D99</f>
        <v>44.442238853326032</v>
      </c>
      <c r="U99" s="29">
        <f t="shared" ref="U99:U139" si="66">$F$49/$C$49*15*$T$1</f>
        <v>300</v>
      </c>
      <c r="V99" s="50">
        <f>IF(W99&gt;0,0,MIN(IF($E$8&gt;$S99,0,1)*$U99/$F$8,$H$8))</f>
        <v>0</v>
      </c>
      <c r="W99" s="50">
        <f>MIN(IF($E$9&gt;$S99,0,1)*$U99/$F$9,$H$9)</f>
        <v>0</v>
      </c>
      <c r="X99" s="50">
        <f>IF($E$8&gt;$S99,0,0.5)</f>
        <v>0</v>
      </c>
      <c r="Y99" s="50">
        <f>IF($E$9&gt;$S99,0,0.5)</f>
        <v>0</v>
      </c>
      <c r="Z99" s="11">
        <f>S99/$D$8*(V99*$F$8*$G$8*10+W99*$F$9*$G$9*10+X99*$O$8+Y99*$O$9)</f>
        <v>0</v>
      </c>
      <c r="AA99" s="11">
        <f t="shared" ref="AA99" si="67">$S99/$D$8*($V99+$X99)*D$13+$S99/$D$9*($W99+$Y99)*D$14</f>
        <v>0</v>
      </c>
      <c r="AB99" s="11">
        <f t="shared" ref="AB99" si="68">$S99/$D$8*($V99+$X99)*E$13+$S99/$D$9*($W99+$Y99)*E$14</f>
        <v>0</v>
      </c>
      <c r="AC99" s="11">
        <f>$S99/$D$8*($V99+$X99)*F$13+$S99/$D$9*($W99+$Y99)*F$14</f>
        <v>0</v>
      </c>
      <c r="AD99" s="11">
        <f>$S99/$D$8*($V99+$X99)*G$13+$S99/$D$9*($W99+$Y99)*G$14</f>
        <v>0</v>
      </c>
      <c r="AE99" s="11">
        <f>$S99/$D$8*($V99+$X99)*H$13+$S99/$D$9*($W99+$Y99)*H$14</f>
        <v>0</v>
      </c>
      <c r="AF99" s="11">
        <f>$S99/$D$8*($V99+$X99)*I$13+$S99/$D$9*($W99+$Y99)*I$14</f>
        <v>0</v>
      </c>
      <c r="AG99" s="11">
        <f t="shared" ref="AG99" si="69">$S99/$D$8*($V99+$X99)*J$13+$S99/$D$9*($W99+$Y99)*J$14</f>
        <v>0</v>
      </c>
      <c r="AH99" s="11">
        <f t="shared" ref="AH99" si="70">$S99/$D$8*($V99+$X99)*K$13+$S99/$D$9*($W99+$Y99)*K$14</f>
        <v>0</v>
      </c>
      <c r="AI99" s="11">
        <f t="shared" ref="AI99" si="71">$S99/$D$8*($V99+$X99)*L$13+$S99/$D$9*($W99+$Y99)*L$14</f>
        <v>0</v>
      </c>
      <c r="AJ99" s="11">
        <f t="shared" ref="AJ99" si="72">$S99/$D$8*($V99+$X99)*M$13+$S99/$D$9*($W99+$Y99)*M$14</f>
        <v>0</v>
      </c>
      <c r="AK99" s="11">
        <f t="shared" ref="AK99" si="73">$S99/$D$8*($V99+$X99)*N$13+$S99/$D$9*($W99+$Y99)*N$14</f>
        <v>0</v>
      </c>
      <c r="AL99" s="11">
        <f t="shared" ref="AL99" si="74">$S99/$D$8*($V99+$X99)*O$13+$S99/$D$9*($W99+$Y99)*O$14</f>
        <v>0</v>
      </c>
      <c r="AM99" s="11">
        <f t="shared" ref="AM99" si="75">$S99/$D$8*($V99+$X99)*P$13+$S99/$D$9*($W99+$Y99)*P$14</f>
        <v>0</v>
      </c>
    </row>
    <row r="100" spans="19:39" x14ac:dyDescent="0.15">
      <c r="S100" s="29">
        <f>基础状态预估!C100</f>
        <v>30</v>
      </c>
      <c r="T100" s="29">
        <f>基础状态预估!D100</f>
        <v>54.213705787583436</v>
      </c>
      <c r="U100" s="29">
        <f t="shared" si="66"/>
        <v>300</v>
      </c>
      <c r="V100" s="50">
        <f t="shared" ref="V100:V139" si="76">IF(W100&gt;0,0,MIN(IF($E$8&gt;$S100,0,1)*$U100/$F$8,$H$8))</f>
        <v>1.5151515151515151</v>
      </c>
      <c r="W100" s="50">
        <f t="shared" ref="W100:W139" si="77">MIN(IF($E$9&gt;$S100,0,1)*$U100/$F$9,$H$9)</f>
        <v>0</v>
      </c>
      <c r="X100" s="50">
        <f t="shared" ref="X100:X139" si="78">IF($E$8&gt;$S100,0,0.5)</f>
        <v>0.5</v>
      </c>
      <c r="Y100" s="50">
        <f t="shared" ref="Y100:Y139" si="79">IF($E$9&gt;$S100,0,0.5)</f>
        <v>0</v>
      </c>
      <c r="Z100" s="50">
        <f>(S100-S99)/$D$8*(V100*$F$8+W100*$F$9+X100*$O$8+Y100*$O$9)+Z99</f>
        <v>2800</v>
      </c>
      <c r="AA100" s="5">
        <f t="shared" ref="AA100:AA139" si="80">($S100-$S99)/$D$8*($V100+$X100)*D$13+($S100-$S99)/$D$9*($W100+$Y100)*D$14+AA99</f>
        <v>5.0378787878787881</v>
      </c>
      <c r="AB100" s="5">
        <f t="shared" ref="AB100:AB139" si="81">($S100-$S99)/$D$8*($V100+$X100)*E$13+($S100-$S99)/$D$9*($W100+$Y100)*E$14+AB99</f>
        <v>5.0378787878787881</v>
      </c>
      <c r="AC100" s="5">
        <f t="shared" ref="AC100:AC139" si="82">($S100-$S99)/$D$8*($V100+$X100)*F$13+($S100-$S99)/$D$9*($W100+$Y100)*F$14+AC99</f>
        <v>2.8212121212121208</v>
      </c>
      <c r="AD100" s="5">
        <f t="shared" ref="AD100:AD139" si="83">($S100-$S99)/$D$8*($V100+$X100)*G$13+($S100-$S99)/$D$9*($W100+$Y100)*G$14+AD99</f>
        <v>1.209090909090909</v>
      </c>
      <c r="AE100" s="5">
        <f t="shared" ref="AE100:AE139" si="84">($S100-$S99)/$D$8*($V100+$X100)*H$13+($S100-$S99)/$D$9*($W100+$Y100)*H$14+AE99</f>
        <v>0</v>
      </c>
      <c r="AF100" s="5">
        <f t="shared" ref="AF100:AF139" si="85">($S100-$S99)/$D$8*($V100+$X100)*I$13+($S100-$S99)/$D$9*($W100+$Y100)*I$14+AF99</f>
        <v>0</v>
      </c>
      <c r="AG100" s="5">
        <f t="shared" ref="AG100:AG139" si="86">($S100-$S99)/$D$8*($V100+$X100)*J$13+($S100-$S99)/$D$9*($W100+$Y100)*J$14+AG99</f>
        <v>0</v>
      </c>
      <c r="AH100" s="5">
        <f t="shared" ref="AH100:AH139" si="87">($S100-$S99)/$D$8*($V100+$X100)*K$13+($S100-$S99)/$D$9*($W100+$Y100)*K$14+AH99</f>
        <v>0</v>
      </c>
      <c r="AI100" s="5">
        <f t="shared" ref="AI100" si="88">($S100-$S99)/$D$8*($V100+$X100)*L$13+($S100-$S99)/$D$9*($W100+$Y100)*L$14+AI99</f>
        <v>0</v>
      </c>
      <c r="AJ100" s="5">
        <f t="shared" ref="AJ100" si="89">($S100-$S99)/$D$8*($V100+$X100)*M$13+($S100-$S99)/$D$9*($W100+$Y100)*M$14+AJ99</f>
        <v>6.7171717171717174E-2</v>
      </c>
      <c r="AK100" s="5">
        <f t="shared" ref="AK100" si="90">($S100-$S99)/$D$8*($V100+$X100)*N$13+($S100-$S99)/$D$9*($W100+$Y100)*N$14+AK99</f>
        <v>0</v>
      </c>
      <c r="AL100" s="5">
        <f t="shared" ref="AL100" si="91">($S100-$S99)/$D$8*($V100+$X100)*O$13+($S100-$S99)/$D$9*($W100+$Y100)*O$14+AL99</f>
        <v>0</v>
      </c>
      <c r="AM100" s="5">
        <f t="shared" ref="AM100" si="92">($S100-$S99)/$D$8*($V100+$X100)*P$13+($S100-$S99)/$D$9*($W100+$Y100)*P$14+AM99</f>
        <v>4634.848484848485</v>
      </c>
    </row>
    <row r="101" spans="19:39" x14ac:dyDescent="0.15">
      <c r="S101" s="29">
        <f>基础状态预估!C101</f>
        <v>45</v>
      </c>
      <c r="T101" s="29">
        <f>基础状态预估!D101</f>
        <v>60.086674688654931</v>
      </c>
      <c r="U101" s="29">
        <f t="shared" si="66"/>
        <v>300</v>
      </c>
      <c r="V101" s="50">
        <f t="shared" si="76"/>
        <v>1.5151515151515151</v>
      </c>
      <c r="W101" s="50">
        <f t="shared" si="77"/>
        <v>0</v>
      </c>
      <c r="X101" s="50">
        <f t="shared" si="78"/>
        <v>0.5</v>
      </c>
      <c r="Y101" s="50">
        <f t="shared" si="79"/>
        <v>0</v>
      </c>
      <c r="Z101" s="50">
        <f t="shared" ref="Z101:Z139" si="93">(S101-S100)/$D$8*(V101*$F$8+W101*$F$9+X101*$O$8+Y101*$O$9)+Z100</f>
        <v>5600</v>
      </c>
      <c r="AA101" s="5">
        <f t="shared" si="80"/>
        <v>10.075757575757576</v>
      </c>
      <c r="AB101" s="5">
        <f t="shared" si="81"/>
        <v>10.075757575757576</v>
      </c>
      <c r="AC101" s="5">
        <f t="shared" si="82"/>
        <v>5.6424242424242417</v>
      </c>
      <c r="AD101" s="5">
        <f t="shared" si="83"/>
        <v>2.418181818181818</v>
      </c>
      <c r="AE101" s="5">
        <f t="shared" si="84"/>
        <v>0</v>
      </c>
      <c r="AF101" s="5">
        <f t="shared" si="85"/>
        <v>0</v>
      </c>
      <c r="AG101" s="5">
        <f t="shared" si="86"/>
        <v>0</v>
      </c>
      <c r="AH101" s="5">
        <f t="shared" si="87"/>
        <v>0</v>
      </c>
      <c r="AI101" s="5">
        <f t="shared" ref="AI101:AI139" si="94">($S101-$S100)/$D$8*($V101+$X101)*L$13+($S101-$S100)/$D$9*($W101+$Y101)*L$14+AI100</f>
        <v>0</v>
      </c>
      <c r="AJ101" s="5">
        <f t="shared" ref="AJ101:AJ139" si="95">($S101-$S100)/$D$8*($V101+$X101)*M$13+($S101-$S100)/$D$9*($W101+$Y101)*M$14+AJ100</f>
        <v>0.13434343434343435</v>
      </c>
      <c r="AK101" s="5">
        <f t="shared" ref="AK101:AK139" si="96">($S101-$S100)/$D$8*($V101+$X101)*N$13+($S101-$S100)/$D$9*($W101+$Y101)*N$14+AK100</f>
        <v>0</v>
      </c>
      <c r="AL101" s="5">
        <f t="shared" ref="AL101:AL139" si="97">($S101-$S100)/$D$8*($V101+$X101)*O$13+($S101-$S100)/$D$9*($W101+$Y101)*O$14+AL100</f>
        <v>0</v>
      </c>
      <c r="AM101" s="5">
        <f t="shared" ref="AM101:AM139" si="98">($S101-$S100)/$D$8*($V101+$X101)*P$13+($S101-$S100)/$D$9*($W101+$Y101)*P$14+AM100</f>
        <v>9269.69696969697</v>
      </c>
    </row>
    <row r="102" spans="19:39" x14ac:dyDescent="0.15">
      <c r="S102" s="29">
        <f>基础状态预估!C102</f>
        <v>60</v>
      </c>
      <c r="T102" s="29">
        <f>基础状态预估!D102</f>
        <v>64.14304723627319</v>
      </c>
      <c r="U102" s="29">
        <f t="shared" si="66"/>
        <v>300</v>
      </c>
      <c r="V102" s="50">
        <f t="shared" si="76"/>
        <v>1.5151515151515151</v>
      </c>
      <c r="W102" s="50">
        <f t="shared" si="77"/>
        <v>0</v>
      </c>
      <c r="X102" s="50">
        <f t="shared" si="78"/>
        <v>0.5</v>
      </c>
      <c r="Y102" s="50">
        <f t="shared" si="79"/>
        <v>0</v>
      </c>
      <c r="Z102" s="50">
        <f t="shared" si="93"/>
        <v>8400</v>
      </c>
      <c r="AA102" s="5">
        <f t="shared" si="80"/>
        <v>15.113636363636363</v>
      </c>
      <c r="AB102" s="5">
        <f t="shared" si="81"/>
        <v>15.113636363636363</v>
      </c>
      <c r="AC102" s="5">
        <f t="shared" si="82"/>
        <v>8.463636363636363</v>
      </c>
      <c r="AD102" s="5">
        <f t="shared" si="83"/>
        <v>3.627272727272727</v>
      </c>
      <c r="AE102" s="5">
        <f t="shared" si="84"/>
        <v>0</v>
      </c>
      <c r="AF102" s="5">
        <f t="shared" si="85"/>
        <v>0</v>
      </c>
      <c r="AG102" s="5">
        <f t="shared" si="86"/>
        <v>0</v>
      </c>
      <c r="AH102" s="5">
        <f t="shared" si="87"/>
        <v>0</v>
      </c>
      <c r="AI102" s="5">
        <f t="shared" si="94"/>
        <v>0</v>
      </c>
      <c r="AJ102" s="5">
        <f t="shared" si="95"/>
        <v>0.20151515151515154</v>
      </c>
      <c r="AK102" s="5">
        <f t="shared" si="96"/>
        <v>0</v>
      </c>
      <c r="AL102" s="5">
        <f t="shared" si="97"/>
        <v>0</v>
      </c>
      <c r="AM102" s="5">
        <f t="shared" si="98"/>
        <v>13904.545454545456</v>
      </c>
    </row>
    <row r="103" spans="19:39" x14ac:dyDescent="0.15">
      <c r="S103" s="29">
        <f>基础状态预估!C103</f>
        <v>75</v>
      </c>
      <c r="T103" s="29">
        <f>基础状态预估!D103</f>
        <v>67.344310856946692</v>
      </c>
      <c r="U103" s="29">
        <f t="shared" si="66"/>
        <v>300</v>
      </c>
      <c r="V103" s="50">
        <f t="shared" si="76"/>
        <v>1.5151515151515151</v>
      </c>
      <c r="W103" s="50">
        <f t="shared" si="77"/>
        <v>0</v>
      </c>
      <c r="X103" s="50">
        <f t="shared" si="78"/>
        <v>0.5</v>
      </c>
      <c r="Y103" s="50">
        <f t="shared" si="79"/>
        <v>0</v>
      </c>
      <c r="Z103" s="50">
        <f t="shared" si="93"/>
        <v>11200</v>
      </c>
      <c r="AA103" s="5">
        <f t="shared" si="80"/>
        <v>20.151515151515152</v>
      </c>
      <c r="AB103" s="5">
        <f t="shared" si="81"/>
        <v>20.151515151515152</v>
      </c>
      <c r="AC103" s="5">
        <f t="shared" si="82"/>
        <v>11.284848484848483</v>
      </c>
      <c r="AD103" s="5">
        <f t="shared" si="83"/>
        <v>4.836363636363636</v>
      </c>
      <c r="AE103" s="5">
        <f t="shared" si="84"/>
        <v>0</v>
      </c>
      <c r="AF103" s="5">
        <f t="shared" si="85"/>
        <v>0</v>
      </c>
      <c r="AG103" s="5">
        <f t="shared" si="86"/>
        <v>0</v>
      </c>
      <c r="AH103" s="5">
        <f t="shared" si="87"/>
        <v>0</v>
      </c>
      <c r="AI103" s="5">
        <f t="shared" si="94"/>
        <v>0</v>
      </c>
      <c r="AJ103" s="5">
        <f t="shared" si="95"/>
        <v>0.2686868686868687</v>
      </c>
      <c r="AK103" s="5">
        <f t="shared" si="96"/>
        <v>0</v>
      </c>
      <c r="AL103" s="5">
        <f t="shared" si="97"/>
        <v>0</v>
      </c>
      <c r="AM103" s="5">
        <f t="shared" si="98"/>
        <v>18539.39393939394</v>
      </c>
    </row>
    <row r="104" spans="19:39" x14ac:dyDescent="0.15">
      <c r="S104" s="29">
        <f>基础状态预估!C104</f>
        <v>90</v>
      </c>
      <c r="T104" s="29">
        <f>基础状态预估!D104</f>
        <v>69.982855616450394</v>
      </c>
      <c r="U104" s="29">
        <f t="shared" si="66"/>
        <v>300</v>
      </c>
      <c r="V104" s="50">
        <f t="shared" si="76"/>
        <v>0</v>
      </c>
      <c r="W104" s="50">
        <f t="shared" si="77"/>
        <v>0.46296296296296297</v>
      </c>
      <c r="X104" s="50">
        <f t="shared" si="78"/>
        <v>0.5</v>
      </c>
      <c r="Y104" s="50">
        <f t="shared" si="79"/>
        <v>0.5</v>
      </c>
      <c r="Z104" s="50">
        <f t="shared" si="93"/>
        <v>21500</v>
      </c>
      <c r="AA104" s="5">
        <f t="shared" si="80"/>
        <v>21.401515151515152</v>
      </c>
      <c r="AB104" s="5">
        <f t="shared" si="81"/>
        <v>21.401515151515152</v>
      </c>
      <c r="AC104" s="5">
        <f t="shared" si="82"/>
        <v>14.007070707070707</v>
      </c>
      <c r="AD104" s="5">
        <f t="shared" si="83"/>
        <v>6.0030303030303021</v>
      </c>
      <c r="AE104" s="5">
        <f t="shared" si="84"/>
        <v>0.8666666666666667</v>
      </c>
      <c r="AF104" s="5">
        <f t="shared" si="85"/>
        <v>9.629629629629631E-2</v>
      </c>
      <c r="AG104" s="5">
        <f t="shared" si="86"/>
        <v>0</v>
      </c>
      <c r="AH104" s="5">
        <f t="shared" si="87"/>
        <v>0</v>
      </c>
      <c r="AI104" s="5">
        <f t="shared" si="94"/>
        <v>0</v>
      </c>
      <c r="AJ104" s="5">
        <f t="shared" si="95"/>
        <v>0.28535353535353536</v>
      </c>
      <c r="AK104" s="5">
        <f t="shared" si="96"/>
        <v>0</v>
      </c>
      <c r="AL104" s="5">
        <f t="shared" si="97"/>
        <v>1.9259259259259261E-2</v>
      </c>
      <c r="AM104" s="5">
        <f t="shared" si="98"/>
        <v>24985.690235690236</v>
      </c>
    </row>
    <row r="105" spans="19:39" x14ac:dyDescent="0.15">
      <c r="S105" s="29">
        <f>基础状态预估!C105</f>
        <v>105</v>
      </c>
      <c r="T105" s="29">
        <f>基础状态预估!D105</f>
        <v>72.23150684883845</v>
      </c>
      <c r="U105" s="29">
        <f t="shared" si="66"/>
        <v>300</v>
      </c>
      <c r="V105" s="50">
        <f t="shared" si="76"/>
        <v>0</v>
      </c>
      <c r="W105" s="50">
        <f t="shared" si="77"/>
        <v>0.46296296296296297</v>
      </c>
      <c r="X105" s="50">
        <f t="shared" si="78"/>
        <v>0.5</v>
      </c>
      <c r="Y105" s="50">
        <f t="shared" si="79"/>
        <v>0.5</v>
      </c>
      <c r="Z105" s="50">
        <f t="shared" si="93"/>
        <v>31800</v>
      </c>
      <c r="AA105" s="5">
        <f t="shared" si="80"/>
        <v>22.651515151515152</v>
      </c>
      <c r="AB105" s="5">
        <f t="shared" si="81"/>
        <v>22.651515151515152</v>
      </c>
      <c r="AC105" s="5">
        <f t="shared" si="82"/>
        <v>16.729292929292928</v>
      </c>
      <c r="AD105" s="5">
        <f t="shared" si="83"/>
        <v>7.1696969696969681</v>
      </c>
      <c r="AE105" s="5">
        <f t="shared" si="84"/>
        <v>1.7333333333333334</v>
      </c>
      <c r="AF105" s="5">
        <f t="shared" si="85"/>
        <v>0.19259259259259262</v>
      </c>
      <c r="AG105" s="5">
        <f t="shared" si="86"/>
        <v>0</v>
      </c>
      <c r="AH105" s="5">
        <f t="shared" si="87"/>
        <v>0</v>
      </c>
      <c r="AI105" s="5">
        <f t="shared" si="94"/>
        <v>0</v>
      </c>
      <c r="AJ105" s="5">
        <f t="shared" si="95"/>
        <v>0.30202020202020202</v>
      </c>
      <c r="AK105" s="5">
        <f t="shared" si="96"/>
        <v>0</v>
      </c>
      <c r="AL105" s="5">
        <f t="shared" si="97"/>
        <v>3.8518518518518521E-2</v>
      </c>
      <c r="AM105" s="5">
        <f t="shared" si="98"/>
        <v>31431.986531986531</v>
      </c>
    </row>
    <row r="106" spans="19:39" x14ac:dyDescent="0.15">
      <c r="S106" s="29">
        <f>基础状态预估!C106</f>
        <v>120</v>
      </c>
      <c r="T106" s="29">
        <f>基础状态预估!D106</f>
        <v>74.149428238300118</v>
      </c>
      <c r="U106" s="29">
        <f t="shared" si="66"/>
        <v>300</v>
      </c>
      <c r="V106" s="50">
        <f t="shared" si="76"/>
        <v>0</v>
      </c>
      <c r="W106" s="50">
        <f t="shared" si="77"/>
        <v>0.46296296296296297</v>
      </c>
      <c r="X106" s="50">
        <f t="shared" si="78"/>
        <v>0.5</v>
      </c>
      <c r="Y106" s="50">
        <f t="shared" si="79"/>
        <v>0.5</v>
      </c>
      <c r="Z106" s="50">
        <f t="shared" si="93"/>
        <v>42100</v>
      </c>
      <c r="AA106" s="5">
        <f t="shared" si="80"/>
        <v>23.901515151515152</v>
      </c>
      <c r="AB106" s="5">
        <f t="shared" si="81"/>
        <v>23.901515151515152</v>
      </c>
      <c r="AC106" s="5">
        <f t="shared" si="82"/>
        <v>19.451515151515149</v>
      </c>
      <c r="AD106" s="5">
        <f t="shared" si="83"/>
        <v>8.3363636363636342</v>
      </c>
      <c r="AE106" s="5">
        <f t="shared" si="84"/>
        <v>2.6</v>
      </c>
      <c r="AF106" s="5">
        <f t="shared" si="85"/>
        <v>0.28888888888888892</v>
      </c>
      <c r="AG106" s="5">
        <f t="shared" si="86"/>
        <v>0</v>
      </c>
      <c r="AH106" s="5">
        <f t="shared" si="87"/>
        <v>0</v>
      </c>
      <c r="AI106" s="5">
        <f t="shared" si="94"/>
        <v>0</v>
      </c>
      <c r="AJ106" s="5">
        <f t="shared" si="95"/>
        <v>0.31868686868686869</v>
      </c>
      <c r="AK106" s="5">
        <f t="shared" si="96"/>
        <v>0</v>
      </c>
      <c r="AL106" s="5">
        <f t="shared" si="97"/>
        <v>5.7777777777777782E-2</v>
      </c>
      <c r="AM106" s="5">
        <f t="shared" si="98"/>
        <v>37878.282828282827</v>
      </c>
    </row>
    <row r="107" spans="19:39" x14ac:dyDescent="0.15">
      <c r="S107" s="29">
        <f>基础状态预估!C107</f>
        <v>150</v>
      </c>
      <c r="T107" s="29">
        <f>基础状态预估!D107</f>
        <v>77.324097991611154</v>
      </c>
      <c r="U107" s="29">
        <f t="shared" si="66"/>
        <v>300</v>
      </c>
      <c r="V107" s="50">
        <f t="shared" si="76"/>
        <v>0</v>
      </c>
      <c r="W107" s="50">
        <f t="shared" si="77"/>
        <v>0.46296296296296297</v>
      </c>
      <c r="X107" s="50">
        <f t="shared" si="78"/>
        <v>0.5</v>
      </c>
      <c r="Y107" s="50">
        <f t="shared" si="79"/>
        <v>0.5</v>
      </c>
      <c r="Z107" s="50">
        <f t="shared" si="93"/>
        <v>62700</v>
      </c>
      <c r="AA107" s="5">
        <f t="shared" si="80"/>
        <v>26.401515151515152</v>
      </c>
      <c r="AB107" s="5">
        <f t="shared" si="81"/>
        <v>26.401515151515152</v>
      </c>
      <c r="AC107" s="5">
        <f t="shared" si="82"/>
        <v>24.895959595959596</v>
      </c>
      <c r="AD107" s="5">
        <f t="shared" si="83"/>
        <v>10.669696969696968</v>
      </c>
      <c r="AE107" s="5">
        <f t="shared" si="84"/>
        <v>4.3333333333333339</v>
      </c>
      <c r="AF107" s="5">
        <f t="shared" si="85"/>
        <v>0.48148148148148151</v>
      </c>
      <c r="AG107" s="5">
        <f t="shared" si="86"/>
        <v>0</v>
      </c>
      <c r="AH107" s="5">
        <f t="shared" si="87"/>
        <v>0</v>
      </c>
      <c r="AI107" s="5">
        <f t="shared" si="94"/>
        <v>0</v>
      </c>
      <c r="AJ107" s="5">
        <f t="shared" si="95"/>
        <v>0.35202020202020201</v>
      </c>
      <c r="AK107" s="5">
        <f t="shared" si="96"/>
        <v>0</v>
      </c>
      <c r="AL107" s="5">
        <f t="shared" si="97"/>
        <v>9.6296296296296297E-2</v>
      </c>
      <c r="AM107" s="5">
        <f t="shared" si="98"/>
        <v>50770.875420875418</v>
      </c>
    </row>
    <row r="108" spans="19:39" x14ac:dyDescent="0.15">
      <c r="S108" s="29">
        <f>基础状态预估!C108</f>
        <v>180</v>
      </c>
      <c r="T108" s="29">
        <f>基础状态预估!D108</f>
        <v>79.97103607409106</v>
      </c>
      <c r="U108" s="29">
        <f t="shared" si="66"/>
        <v>300</v>
      </c>
      <c r="V108" s="50">
        <f t="shared" si="76"/>
        <v>0</v>
      </c>
      <c r="W108" s="50">
        <f t="shared" si="77"/>
        <v>0.46296296296296297</v>
      </c>
      <c r="X108" s="50">
        <f t="shared" si="78"/>
        <v>0.5</v>
      </c>
      <c r="Y108" s="50">
        <f t="shared" si="79"/>
        <v>0.5</v>
      </c>
      <c r="Z108" s="50">
        <f t="shared" si="93"/>
        <v>83300</v>
      </c>
      <c r="AA108" s="5">
        <f t="shared" si="80"/>
        <v>28.901515151515152</v>
      </c>
      <c r="AB108" s="5">
        <f t="shared" si="81"/>
        <v>28.901515151515152</v>
      </c>
      <c r="AC108" s="5">
        <f t="shared" si="82"/>
        <v>30.340404040404039</v>
      </c>
      <c r="AD108" s="5">
        <f t="shared" si="83"/>
        <v>13.0030303030303</v>
      </c>
      <c r="AE108" s="5">
        <f t="shared" si="84"/>
        <v>6.0666666666666673</v>
      </c>
      <c r="AF108" s="5">
        <f t="shared" si="85"/>
        <v>0.67407407407407416</v>
      </c>
      <c r="AG108" s="5">
        <f t="shared" si="86"/>
        <v>0</v>
      </c>
      <c r="AH108" s="5">
        <f t="shared" si="87"/>
        <v>0</v>
      </c>
      <c r="AI108" s="5">
        <f t="shared" si="94"/>
        <v>0</v>
      </c>
      <c r="AJ108" s="5">
        <f t="shared" si="95"/>
        <v>0.38535353535353534</v>
      </c>
      <c r="AK108" s="5">
        <f t="shared" si="96"/>
        <v>0</v>
      </c>
      <c r="AL108" s="5">
        <f t="shared" si="97"/>
        <v>0.13481481481481483</v>
      </c>
      <c r="AM108" s="5">
        <f t="shared" si="98"/>
        <v>63663.468013468009</v>
      </c>
    </row>
    <row r="109" spans="19:39" x14ac:dyDescent="0.15">
      <c r="S109" s="29">
        <f>基础状态预估!C109</f>
        <v>210</v>
      </c>
      <c r="T109" s="29">
        <f>基础状态预估!D109</f>
        <v>82.238672852681816</v>
      </c>
      <c r="U109" s="29">
        <f t="shared" si="66"/>
        <v>300</v>
      </c>
      <c r="V109" s="50">
        <f t="shared" si="76"/>
        <v>0</v>
      </c>
      <c r="W109" s="50">
        <f t="shared" si="77"/>
        <v>0.46296296296296297</v>
      </c>
      <c r="X109" s="50">
        <f t="shared" si="78"/>
        <v>0.5</v>
      </c>
      <c r="Y109" s="50">
        <f t="shared" si="79"/>
        <v>0.5</v>
      </c>
      <c r="Z109" s="50">
        <f t="shared" si="93"/>
        <v>103900</v>
      </c>
      <c r="AA109" s="5">
        <f t="shared" si="80"/>
        <v>31.401515151515152</v>
      </c>
      <c r="AB109" s="5">
        <f t="shared" si="81"/>
        <v>31.401515151515152</v>
      </c>
      <c r="AC109" s="5">
        <f t="shared" si="82"/>
        <v>35.784848484848482</v>
      </c>
      <c r="AD109" s="5">
        <f t="shared" si="83"/>
        <v>15.336363636363632</v>
      </c>
      <c r="AE109" s="5">
        <f t="shared" si="84"/>
        <v>7.8000000000000007</v>
      </c>
      <c r="AF109" s="5">
        <f t="shared" si="85"/>
        <v>0.86666666666666681</v>
      </c>
      <c r="AG109" s="5">
        <f t="shared" si="86"/>
        <v>0</v>
      </c>
      <c r="AH109" s="5">
        <f t="shared" si="87"/>
        <v>0</v>
      </c>
      <c r="AI109" s="5">
        <f t="shared" si="94"/>
        <v>0</v>
      </c>
      <c r="AJ109" s="5">
        <f t="shared" si="95"/>
        <v>0.41868686868686866</v>
      </c>
      <c r="AK109" s="5">
        <f t="shared" si="96"/>
        <v>0</v>
      </c>
      <c r="AL109" s="5">
        <f t="shared" si="97"/>
        <v>0.17333333333333334</v>
      </c>
      <c r="AM109" s="5">
        <f t="shared" si="98"/>
        <v>76556.060606060608</v>
      </c>
    </row>
    <row r="110" spans="19:39" x14ac:dyDescent="0.15">
      <c r="S110" s="29">
        <f>基础状态预估!C110</f>
        <v>240</v>
      </c>
      <c r="T110" s="29">
        <f>基础状态预估!D110</f>
        <v>84.163908914135135</v>
      </c>
      <c r="U110" s="29">
        <f t="shared" si="66"/>
        <v>300</v>
      </c>
      <c r="V110" s="50">
        <f t="shared" si="76"/>
        <v>0</v>
      </c>
      <c r="W110" s="50">
        <f t="shared" si="77"/>
        <v>0.46296296296296297</v>
      </c>
      <c r="X110" s="50">
        <f t="shared" si="78"/>
        <v>0.5</v>
      </c>
      <c r="Y110" s="50">
        <f t="shared" si="79"/>
        <v>0.5</v>
      </c>
      <c r="Z110" s="50">
        <f t="shared" si="93"/>
        <v>124500</v>
      </c>
      <c r="AA110" s="5">
        <f t="shared" si="80"/>
        <v>33.901515151515156</v>
      </c>
      <c r="AB110" s="5">
        <f t="shared" si="81"/>
        <v>33.901515151515156</v>
      </c>
      <c r="AC110" s="5">
        <f t="shared" si="82"/>
        <v>41.229292929292924</v>
      </c>
      <c r="AD110" s="5">
        <f t="shared" si="83"/>
        <v>17.669696969696965</v>
      </c>
      <c r="AE110" s="5">
        <f t="shared" si="84"/>
        <v>9.533333333333335</v>
      </c>
      <c r="AF110" s="5">
        <f t="shared" si="85"/>
        <v>1.0592592592592593</v>
      </c>
      <c r="AG110" s="5">
        <f t="shared" si="86"/>
        <v>0</v>
      </c>
      <c r="AH110" s="5">
        <f t="shared" si="87"/>
        <v>0</v>
      </c>
      <c r="AI110" s="5">
        <f t="shared" si="94"/>
        <v>0</v>
      </c>
      <c r="AJ110" s="5">
        <f t="shared" si="95"/>
        <v>0.45202020202020199</v>
      </c>
      <c r="AK110" s="5">
        <f t="shared" si="96"/>
        <v>0</v>
      </c>
      <c r="AL110" s="5">
        <f t="shared" si="97"/>
        <v>0.21185185185185185</v>
      </c>
      <c r="AM110" s="5">
        <f t="shared" si="98"/>
        <v>89448.653198653206</v>
      </c>
    </row>
    <row r="111" spans="19:39" x14ac:dyDescent="0.15">
      <c r="S111" s="29">
        <f>基础状态预估!C111</f>
        <v>270</v>
      </c>
      <c r="T111" s="29">
        <f>基础状态预估!D111</f>
        <v>85.878108880436827</v>
      </c>
      <c r="U111" s="29">
        <f t="shared" si="66"/>
        <v>300</v>
      </c>
      <c r="V111" s="50">
        <f t="shared" si="76"/>
        <v>0</v>
      </c>
      <c r="W111" s="50">
        <f t="shared" si="77"/>
        <v>0.46296296296296297</v>
      </c>
      <c r="X111" s="50">
        <f t="shared" si="78"/>
        <v>0.5</v>
      </c>
      <c r="Y111" s="50">
        <f t="shared" si="79"/>
        <v>0.5</v>
      </c>
      <c r="Z111" s="50">
        <f t="shared" si="93"/>
        <v>145100</v>
      </c>
      <c r="AA111" s="5">
        <f t="shared" si="80"/>
        <v>36.401515151515156</v>
      </c>
      <c r="AB111" s="5">
        <f t="shared" si="81"/>
        <v>36.401515151515156</v>
      </c>
      <c r="AC111" s="5">
        <f t="shared" si="82"/>
        <v>46.673737373737367</v>
      </c>
      <c r="AD111" s="5">
        <f t="shared" si="83"/>
        <v>20.003030303030297</v>
      </c>
      <c r="AE111" s="5">
        <f t="shared" si="84"/>
        <v>11.266666666666669</v>
      </c>
      <c r="AF111" s="5">
        <f t="shared" si="85"/>
        <v>1.251851851851852</v>
      </c>
      <c r="AG111" s="5">
        <f t="shared" si="86"/>
        <v>0</v>
      </c>
      <c r="AH111" s="5">
        <f t="shared" si="87"/>
        <v>0</v>
      </c>
      <c r="AI111" s="5">
        <f t="shared" si="94"/>
        <v>0</v>
      </c>
      <c r="AJ111" s="5">
        <f t="shared" si="95"/>
        <v>0.48535353535353531</v>
      </c>
      <c r="AK111" s="5">
        <f t="shared" si="96"/>
        <v>0</v>
      </c>
      <c r="AL111" s="5">
        <f t="shared" si="97"/>
        <v>0.25037037037037035</v>
      </c>
      <c r="AM111" s="5">
        <f t="shared" si="98"/>
        <v>102341.2457912458</v>
      </c>
    </row>
    <row r="112" spans="19:39" x14ac:dyDescent="0.15">
      <c r="S112" s="29">
        <f>基础状态预估!C112</f>
        <v>300</v>
      </c>
      <c r="T112" s="29">
        <f>基础状态预估!D112</f>
        <v>87.370536081129359</v>
      </c>
      <c r="U112" s="29">
        <f t="shared" si="66"/>
        <v>300</v>
      </c>
      <c r="V112" s="50">
        <f t="shared" si="76"/>
        <v>0</v>
      </c>
      <c r="W112" s="50">
        <f t="shared" si="77"/>
        <v>0.46296296296296297</v>
      </c>
      <c r="X112" s="50">
        <f t="shared" si="78"/>
        <v>0.5</v>
      </c>
      <c r="Y112" s="50">
        <f t="shared" si="79"/>
        <v>0.5</v>
      </c>
      <c r="Z112" s="50">
        <f t="shared" si="93"/>
        <v>165700</v>
      </c>
      <c r="AA112" s="5">
        <f t="shared" si="80"/>
        <v>38.901515151515156</v>
      </c>
      <c r="AB112" s="5">
        <f t="shared" si="81"/>
        <v>38.901515151515156</v>
      </c>
      <c r="AC112" s="5">
        <f t="shared" si="82"/>
        <v>52.11818181818181</v>
      </c>
      <c r="AD112" s="5">
        <f t="shared" si="83"/>
        <v>22.336363636363629</v>
      </c>
      <c r="AE112" s="5">
        <f t="shared" si="84"/>
        <v>13.000000000000004</v>
      </c>
      <c r="AF112" s="5">
        <f t="shared" si="85"/>
        <v>1.4444444444444446</v>
      </c>
      <c r="AG112" s="5">
        <f t="shared" si="86"/>
        <v>0</v>
      </c>
      <c r="AH112" s="5">
        <f t="shared" si="87"/>
        <v>0</v>
      </c>
      <c r="AI112" s="5">
        <f t="shared" si="94"/>
        <v>0</v>
      </c>
      <c r="AJ112" s="5">
        <f t="shared" si="95"/>
        <v>0.51868686868686864</v>
      </c>
      <c r="AK112" s="5">
        <f t="shared" si="96"/>
        <v>0</v>
      </c>
      <c r="AL112" s="5">
        <f t="shared" si="97"/>
        <v>0.28888888888888886</v>
      </c>
      <c r="AM112" s="5">
        <f t="shared" si="98"/>
        <v>115233.8383838384</v>
      </c>
    </row>
    <row r="113" spans="19:39" x14ac:dyDescent="0.15">
      <c r="S113" s="29">
        <f>基础状态预估!C113</f>
        <v>360</v>
      </c>
      <c r="T113" s="29">
        <f>基础状态预估!D113</f>
        <v>90.241691698216215</v>
      </c>
      <c r="U113" s="29">
        <f t="shared" si="66"/>
        <v>300</v>
      </c>
      <c r="V113" s="50">
        <f t="shared" si="76"/>
        <v>0</v>
      </c>
      <c r="W113" s="50">
        <f t="shared" si="77"/>
        <v>0.46296296296296297</v>
      </c>
      <c r="X113" s="50">
        <f t="shared" si="78"/>
        <v>0.5</v>
      </c>
      <c r="Y113" s="50">
        <f t="shared" si="79"/>
        <v>0.5</v>
      </c>
      <c r="Z113" s="50">
        <f t="shared" si="93"/>
        <v>206900</v>
      </c>
      <c r="AA113" s="5">
        <f t="shared" si="80"/>
        <v>43.901515151515156</v>
      </c>
      <c r="AB113" s="5">
        <f t="shared" si="81"/>
        <v>43.901515151515156</v>
      </c>
      <c r="AC113" s="5">
        <f t="shared" si="82"/>
        <v>63.007070707070696</v>
      </c>
      <c r="AD113" s="5">
        <f t="shared" si="83"/>
        <v>27.003030303030293</v>
      </c>
      <c r="AE113" s="5">
        <f t="shared" si="84"/>
        <v>16.466666666666669</v>
      </c>
      <c r="AF113" s="5">
        <f t="shared" si="85"/>
        <v>1.8296296296296299</v>
      </c>
      <c r="AG113" s="5">
        <f t="shared" si="86"/>
        <v>0</v>
      </c>
      <c r="AH113" s="5">
        <f t="shared" si="87"/>
        <v>0</v>
      </c>
      <c r="AI113" s="5">
        <f t="shared" si="94"/>
        <v>0</v>
      </c>
      <c r="AJ113" s="5">
        <f t="shared" si="95"/>
        <v>0.58535353535353529</v>
      </c>
      <c r="AK113" s="5">
        <f t="shared" si="96"/>
        <v>0</v>
      </c>
      <c r="AL113" s="5">
        <f t="shared" si="97"/>
        <v>0.36592592592592588</v>
      </c>
      <c r="AM113" s="5">
        <f t="shared" si="98"/>
        <v>141019.02356902359</v>
      </c>
    </row>
    <row r="114" spans="19:39" x14ac:dyDescent="0.15">
      <c r="S114" s="29">
        <f>基础状态预估!C114</f>
        <v>420</v>
      </c>
      <c r="T114" s="29">
        <f>基础状态预估!D114</f>
        <v>92.520930542961992</v>
      </c>
      <c r="U114" s="29">
        <f t="shared" si="66"/>
        <v>300</v>
      </c>
      <c r="V114" s="50">
        <f t="shared" si="76"/>
        <v>0</v>
      </c>
      <c r="W114" s="50">
        <f t="shared" si="77"/>
        <v>0.46296296296296297</v>
      </c>
      <c r="X114" s="50">
        <f t="shared" si="78"/>
        <v>0.5</v>
      </c>
      <c r="Y114" s="50">
        <f t="shared" si="79"/>
        <v>0.5</v>
      </c>
      <c r="Z114" s="50">
        <f t="shared" si="93"/>
        <v>248100</v>
      </c>
      <c r="AA114" s="5">
        <f t="shared" si="80"/>
        <v>48.901515151515156</v>
      </c>
      <c r="AB114" s="5">
        <f t="shared" si="81"/>
        <v>48.901515151515156</v>
      </c>
      <c r="AC114" s="5">
        <f t="shared" si="82"/>
        <v>73.895959595959582</v>
      </c>
      <c r="AD114" s="5">
        <f t="shared" si="83"/>
        <v>31.669696969696957</v>
      </c>
      <c r="AE114" s="5">
        <f t="shared" si="84"/>
        <v>19.933333333333337</v>
      </c>
      <c r="AF114" s="5">
        <f t="shared" si="85"/>
        <v>2.2148148148148152</v>
      </c>
      <c r="AG114" s="5">
        <f t="shared" si="86"/>
        <v>0</v>
      </c>
      <c r="AH114" s="5">
        <f t="shared" si="87"/>
        <v>0</v>
      </c>
      <c r="AI114" s="5">
        <f t="shared" si="94"/>
        <v>0</v>
      </c>
      <c r="AJ114" s="5">
        <f t="shared" si="95"/>
        <v>0.65202020202020194</v>
      </c>
      <c r="AK114" s="5">
        <f t="shared" si="96"/>
        <v>0</v>
      </c>
      <c r="AL114" s="5">
        <f t="shared" si="97"/>
        <v>0.44296296296296289</v>
      </c>
      <c r="AM114" s="5">
        <f t="shared" si="98"/>
        <v>166804.20875420878</v>
      </c>
    </row>
    <row r="115" spans="19:39" x14ac:dyDescent="0.15">
      <c r="S115" s="29">
        <f>基础状态预估!C115</f>
        <v>480</v>
      </c>
      <c r="T115" s="29">
        <f>基础状态预估!D115</f>
        <v>94.499876682726793</v>
      </c>
      <c r="U115" s="29">
        <f t="shared" si="66"/>
        <v>300</v>
      </c>
      <c r="V115" s="50">
        <f t="shared" si="76"/>
        <v>0</v>
      </c>
      <c r="W115" s="50">
        <f t="shared" si="77"/>
        <v>0.46296296296296297</v>
      </c>
      <c r="X115" s="50">
        <f t="shared" si="78"/>
        <v>0.5</v>
      </c>
      <c r="Y115" s="50">
        <f t="shared" si="79"/>
        <v>0.5</v>
      </c>
      <c r="Z115" s="50">
        <f t="shared" si="93"/>
        <v>289300</v>
      </c>
      <c r="AA115" s="5">
        <f t="shared" si="80"/>
        <v>53.901515151515156</v>
      </c>
      <c r="AB115" s="5">
        <f t="shared" si="81"/>
        <v>53.901515151515156</v>
      </c>
      <c r="AC115" s="5">
        <f t="shared" si="82"/>
        <v>84.784848484848467</v>
      </c>
      <c r="AD115" s="5">
        <f t="shared" si="83"/>
        <v>36.336363636363622</v>
      </c>
      <c r="AE115" s="5">
        <f t="shared" si="84"/>
        <v>23.400000000000006</v>
      </c>
      <c r="AF115" s="5">
        <f t="shared" si="85"/>
        <v>2.6000000000000005</v>
      </c>
      <c r="AG115" s="5">
        <f t="shared" si="86"/>
        <v>0</v>
      </c>
      <c r="AH115" s="5">
        <f t="shared" si="87"/>
        <v>0</v>
      </c>
      <c r="AI115" s="5">
        <f t="shared" si="94"/>
        <v>0</v>
      </c>
      <c r="AJ115" s="5">
        <f t="shared" si="95"/>
        <v>0.7186868686868686</v>
      </c>
      <c r="AK115" s="5">
        <f t="shared" si="96"/>
        <v>0</v>
      </c>
      <c r="AL115" s="5">
        <f t="shared" si="97"/>
        <v>0.51999999999999991</v>
      </c>
      <c r="AM115" s="5">
        <f t="shared" si="98"/>
        <v>192589.39393939398</v>
      </c>
    </row>
    <row r="116" spans="19:39" x14ac:dyDescent="0.15">
      <c r="S116" s="29">
        <f>基础状态预估!C116</f>
        <v>540</v>
      </c>
      <c r="T116" s="29">
        <f>基础状态预估!D116</f>
        <v>96.254819565842766</v>
      </c>
      <c r="U116" s="29">
        <f t="shared" si="66"/>
        <v>300</v>
      </c>
      <c r="V116" s="50">
        <f t="shared" si="76"/>
        <v>0</v>
      </c>
      <c r="W116" s="50">
        <f t="shared" si="77"/>
        <v>0.46296296296296297</v>
      </c>
      <c r="X116" s="50">
        <f t="shared" si="78"/>
        <v>0.5</v>
      </c>
      <c r="Y116" s="50">
        <f t="shared" si="79"/>
        <v>0.5</v>
      </c>
      <c r="Z116" s="50">
        <f t="shared" si="93"/>
        <v>330500</v>
      </c>
      <c r="AA116" s="5">
        <f t="shared" si="80"/>
        <v>58.901515151515156</v>
      </c>
      <c r="AB116" s="5">
        <f t="shared" si="81"/>
        <v>58.901515151515156</v>
      </c>
      <c r="AC116" s="5">
        <f t="shared" si="82"/>
        <v>95.673737373737353</v>
      </c>
      <c r="AD116" s="5">
        <f t="shared" si="83"/>
        <v>41.003030303030286</v>
      </c>
      <c r="AE116" s="5">
        <f t="shared" si="84"/>
        <v>26.866666666666674</v>
      </c>
      <c r="AF116" s="5">
        <f t="shared" si="85"/>
        <v>2.9851851851851858</v>
      </c>
      <c r="AG116" s="5">
        <f t="shared" si="86"/>
        <v>0</v>
      </c>
      <c r="AH116" s="5">
        <f t="shared" si="87"/>
        <v>0</v>
      </c>
      <c r="AI116" s="5">
        <f t="shared" si="94"/>
        <v>0</v>
      </c>
      <c r="AJ116" s="5">
        <f t="shared" si="95"/>
        <v>0.78535353535353525</v>
      </c>
      <c r="AK116" s="5">
        <f t="shared" si="96"/>
        <v>0</v>
      </c>
      <c r="AL116" s="5">
        <f t="shared" si="97"/>
        <v>0.59703703703703692</v>
      </c>
      <c r="AM116" s="5">
        <f t="shared" si="98"/>
        <v>218374.57912457918</v>
      </c>
    </row>
    <row r="117" spans="19:39" x14ac:dyDescent="0.15">
      <c r="S117" s="29">
        <f>基础状态预估!C117</f>
        <v>600</v>
      </c>
      <c r="T117" s="29">
        <f>基础状态预估!D117</f>
        <v>97.702742999048837</v>
      </c>
      <c r="U117" s="29">
        <f t="shared" si="66"/>
        <v>300</v>
      </c>
      <c r="V117" s="50">
        <f t="shared" si="76"/>
        <v>0</v>
      </c>
      <c r="W117" s="50">
        <f t="shared" si="77"/>
        <v>0.46296296296296297</v>
      </c>
      <c r="X117" s="50">
        <f t="shared" si="78"/>
        <v>0.5</v>
      </c>
      <c r="Y117" s="50">
        <f t="shared" si="79"/>
        <v>0.5</v>
      </c>
      <c r="Z117" s="50">
        <f t="shared" si="93"/>
        <v>371700</v>
      </c>
      <c r="AA117" s="5">
        <f t="shared" si="80"/>
        <v>63.901515151515156</v>
      </c>
      <c r="AB117" s="5">
        <f t="shared" si="81"/>
        <v>63.901515151515156</v>
      </c>
      <c r="AC117" s="5">
        <f t="shared" si="82"/>
        <v>106.56262626262624</v>
      </c>
      <c r="AD117" s="5">
        <f t="shared" si="83"/>
        <v>45.66969696969695</v>
      </c>
      <c r="AE117" s="5">
        <f t="shared" si="84"/>
        <v>30.333333333333343</v>
      </c>
      <c r="AF117" s="5">
        <f t="shared" si="85"/>
        <v>3.3703703703703711</v>
      </c>
      <c r="AG117" s="5">
        <f t="shared" si="86"/>
        <v>0</v>
      </c>
      <c r="AH117" s="5">
        <f t="shared" si="87"/>
        <v>0</v>
      </c>
      <c r="AI117" s="5">
        <f t="shared" si="94"/>
        <v>0</v>
      </c>
      <c r="AJ117" s="5">
        <f t="shared" si="95"/>
        <v>0.8520202020202019</v>
      </c>
      <c r="AK117" s="5">
        <f t="shared" si="96"/>
        <v>0</v>
      </c>
      <c r="AL117" s="5">
        <f t="shared" si="97"/>
        <v>0.67407407407407394</v>
      </c>
      <c r="AM117" s="5">
        <f t="shared" si="98"/>
        <v>244159.76430976437</v>
      </c>
    </row>
    <row r="118" spans="19:39" x14ac:dyDescent="0.15">
      <c r="S118" s="29">
        <f>基础状态预估!C118</f>
        <v>660</v>
      </c>
      <c r="T118" s="29">
        <f>基础状态预估!D118</f>
        <v>99.028118033845786</v>
      </c>
      <c r="U118" s="29">
        <f t="shared" si="66"/>
        <v>300</v>
      </c>
      <c r="V118" s="50">
        <f t="shared" si="76"/>
        <v>0</v>
      </c>
      <c r="W118" s="50">
        <f t="shared" si="77"/>
        <v>0.46296296296296297</v>
      </c>
      <c r="X118" s="50">
        <f t="shared" si="78"/>
        <v>0.5</v>
      </c>
      <c r="Y118" s="50">
        <f t="shared" si="79"/>
        <v>0.5</v>
      </c>
      <c r="Z118" s="50">
        <f t="shared" si="93"/>
        <v>412900</v>
      </c>
      <c r="AA118" s="5">
        <f t="shared" si="80"/>
        <v>68.901515151515156</v>
      </c>
      <c r="AB118" s="5">
        <f t="shared" si="81"/>
        <v>68.901515151515156</v>
      </c>
      <c r="AC118" s="5">
        <f t="shared" si="82"/>
        <v>117.45151515151512</v>
      </c>
      <c r="AD118" s="5">
        <f t="shared" si="83"/>
        <v>50.336363636363615</v>
      </c>
      <c r="AE118" s="5">
        <f t="shared" si="84"/>
        <v>33.800000000000011</v>
      </c>
      <c r="AF118" s="5">
        <f t="shared" si="85"/>
        <v>3.7555555555555564</v>
      </c>
      <c r="AG118" s="5">
        <f t="shared" si="86"/>
        <v>0</v>
      </c>
      <c r="AH118" s="5">
        <f t="shared" si="87"/>
        <v>0</v>
      </c>
      <c r="AI118" s="5">
        <f t="shared" si="94"/>
        <v>0</v>
      </c>
      <c r="AJ118" s="5">
        <f t="shared" si="95"/>
        <v>0.91868686868686855</v>
      </c>
      <c r="AK118" s="5">
        <f t="shared" si="96"/>
        <v>0</v>
      </c>
      <c r="AL118" s="5">
        <f t="shared" si="97"/>
        <v>0.75111111111111095</v>
      </c>
      <c r="AM118" s="5">
        <f t="shared" si="98"/>
        <v>269944.94949494954</v>
      </c>
    </row>
    <row r="119" spans="19:39" x14ac:dyDescent="0.15">
      <c r="S119" s="29">
        <f>基础状态预估!C119</f>
        <v>720</v>
      </c>
      <c r="T119" s="29">
        <f>基础状态预估!D119</f>
        <v>100.26856904007842</v>
      </c>
      <c r="U119" s="29">
        <f t="shared" si="66"/>
        <v>300</v>
      </c>
      <c r="V119" s="50">
        <f t="shared" si="76"/>
        <v>0</v>
      </c>
      <c r="W119" s="50">
        <f t="shared" si="77"/>
        <v>0.46296296296296297</v>
      </c>
      <c r="X119" s="50">
        <f t="shared" si="78"/>
        <v>0.5</v>
      </c>
      <c r="Y119" s="50">
        <f t="shared" si="79"/>
        <v>0.5</v>
      </c>
      <c r="Z119" s="50">
        <f t="shared" si="93"/>
        <v>454100</v>
      </c>
      <c r="AA119" s="5">
        <f t="shared" si="80"/>
        <v>73.901515151515156</v>
      </c>
      <c r="AB119" s="5">
        <f t="shared" si="81"/>
        <v>73.901515151515156</v>
      </c>
      <c r="AC119" s="5">
        <f t="shared" si="82"/>
        <v>128.34040404040402</v>
      </c>
      <c r="AD119" s="5">
        <f t="shared" si="83"/>
        <v>55.003030303030279</v>
      </c>
      <c r="AE119" s="5">
        <f t="shared" si="84"/>
        <v>37.26666666666668</v>
      </c>
      <c r="AF119" s="5">
        <f t="shared" si="85"/>
        <v>4.1407407407407417</v>
      </c>
      <c r="AG119" s="5">
        <f t="shared" si="86"/>
        <v>0</v>
      </c>
      <c r="AH119" s="5">
        <f t="shared" si="87"/>
        <v>0</v>
      </c>
      <c r="AI119" s="5">
        <f t="shared" si="94"/>
        <v>0</v>
      </c>
      <c r="AJ119" s="5">
        <f t="shared" si="95"/>
        <v>0.9853535353535352</v>
      </c>
      <c r="AK119" s="5">
        <f t="shared" si="96"/>
        <v>0</v>
      </c>
      <c r="AL119" s="5">
        <f t="shared" si="97"/>
        <v>0.82814814814814797</v>
      </c>
      <c r="AM119" s="5">
        <f t="shared" si="98"/>
        <v>295730.13468013471</v>
      </c>
    </row>
    <row r="120" spans="19:39" x14ac:dyDescent="0.15">
      <c r="S120" s="29">
        <f>基础状态预估!C120</f>
        <v>780</v>
      </c>
      <c r="T120" s="29">
        <f>基础状态预估!D120</f>
        <v>101.47512451488986</v>
      </c>
      <c r="U120" s="29">
        <f t="shared" si="66"/>
        <v>300</v>
      </c>
      <c r="V120" s="50">
        <f t="shared" si="76"/>
        <v>0</v>
      </c>
      <c r="W120" s="50">
        <f t="shared" si="77"/>
        <v>0.46296296296296297</v>
      </c>
      <c r="X120" s="50">
        <f t="shared" si="78"/>
        <v>0.5</v>
      </c>
      <c r="Y120" s="50">
        <f t="shared" si="79"/>
        <v>0.5</v>
      </c>
      <c r="Z120" s="50">
        <f t="shared" si="93"/>
        <v>495300</v>
      </c>
      <c r="AA120" s="5">
        <f t="shared" si="80"/>
        <v>78.901515151515156</v>
      </c>
      <c r="AB120" s="5">
        <f t="shared" si="81"/>
        <v>78.901515151515156</v>
      </c>
      <c r="AC120" s="5">
        <f t="shared" si="82"/>
        <v>139.22929292929291</v>
      </c>
      <c r="AD120" s="5">
        <f t="shared" si="83"/>
        <v>59.669696969696943</v>
      </c>
      <c r="AE120" s="5">
        <f t="shared" si="84"/>
        <v>40.733333333333348</v>
      </c>
      <c r="AF120" s="5">
        <f t="shared" si="85"/>
        <v>4.525925925925927</v>
      </c>
      <c r="AG120" s="5">
        <f t="shared" si="86"/>
        <v>0</v>
      </c>
      <c r="AH120" s="5">
        <f t="shared" si="87"/>
        <v>0</v>
      </c>
      <c r="AI120" s="5">
        <f t="shared" si="94"/>
        <v>0</v>
      </c>
      <c r="AJ120" s="5">
        <f t="shared" si="95"/>
        <v>1.0520202020202019</v>
      </c>
      <c r="AK120" s="5">
        <f t="shared" si="96"/>
        <v>0</v>
      </c>
      <c r="AL120" s="5">
        <f t="shared" si="97"/>
        <v>0.90518518518518498</v>
      </c>
      <c r="AM120" s="5">
        <f t="shared" si="98"/>
        <v>321515.31986531988</v>
      </c>
    </row>
    <row r="121" spans="19:39" x14ac:dyDescent="0.15">
      <c r="S121" s="29">
        <f>基础状态预估!C121</f>
        <v>840</v>
      </c>
      <c r="T121" s="29">
        <f>基础状态预估!D121</f>
        <v>102.61094151224314</v>
      </c>
      <c r="U121" s="29">
        <f t="shared" si="66"/>
        <v>300</v>
      </c>
      <c r="V121" s="50">
        <f t="shared" si="76"/>
        <v>0</v>
      </c>
      <c r="W121" s="50">
        <f t="shared" si="77"/>
        <v>0.46296296296296297</v>
      </c>
      <c r="X121" s="50">
        <f t="shared" si="78"/>
        <v>0.5</v>
      </c>
      <c r="Y121" s="50">
        <f t="shared" si="79"/>
        <v>0.5</v>
      </c>
      <c r="Z121" s="50">
        <f t="shared" si="93"/>
        <v>536500</v>
      </c>
      <c r="AA121" s="5">
        <f t="shared" si="80"/>
        <v>83.901515151515156</v>
      </c>
      <c r="AB121" s="5">
        <f t="shared" si="81"/>
        <v>83.901515151515156</v>
      </c>
      <c r="AC121" s="5">
        <f t="shared" si="82"/>
        <v>150.1181818181818</v>
      </c>
      <c r="AD121" s="5">
        <f t="shared" si="83"/>
        <v>64.336363636363615</v>
      </c>
      <c r="AE121" s="5">
        <f t="shared" si="84"/>
        <v>44.200000000000017</v>
      </c>
      <c r="AF121" s="5">
        <f t="shared" si="85"/>
        <v>4.9111111111111123</v>
      </c>
      <c r="AG121" s="5">
        <f t="shared" si="86"/>
        <v>0</v>
      </c>
      <c r="AH121" s="5">
        <f t="shared" si="87"/>
        <v>0</v>
      </c>
      <c r="AI121" s="5">
        <f t="shared" si="94"/>
        <v>0</v>
      </c>
      <c r="AJ121" s="5">
        <f t="shared" si="95"/>
        <v>1.1186868686868685</v>
      </c>
      <c r="AK121" s="5">
        <f t="shared" si="96"/>
        <v>0</v>
      </c>
      <c r="AL121" s="5">
        <f t="shared" si="97"/>
        <v>0.982222222222222</v>
      </c>
      <c r="AM121" s="5">
        <f t="shared" si="98"/>
        <v>347300.50505050505</v>
      </c>
    </row>
    <row r="122" spans="19:39" x14ac:dyDescent="0.15">
      <c r="S122" s="29">
        <f>基础状态预估!C122</f>
        <v>900</v>
      </c>
      <c r="T122" s="29">
        <f>基础状态预估!D122</f>
        <v>103.60238266350056</v>
      </c>
      <c r="U122" s="29">
        <f t="shared" si="66"/>
        <v>300</v>
      </c>
      <c r="V122" s="50">
        <f t="shared" si="76"/>
        <v>0</v>
      </c>
      <c r="W122" s="50">
        <f t="shared" si="77"/>
        <v>0.46296296296296297</v>
      </c>
      <c r="X122" s="50">
        <f t="shared" si="78"/>
        <v>0.5</v>
      </c>
      <c r="Y122" s="50">
        <f t="shared" si="79"/>
        <v>0.5</v>
      </c>
      <c r="Z122" s="50">
        <f t="shared" si="93"/>
        <v>577700</v>
      </c>
      <c r="AA122" s="5">
        <f t="shared" si="80"/>
        <v>88.901515151515156</v>
      </c>
      <c r="AB122" s="5">
        <f t="shared" si="81"/>
        <v>88.901515151515156</v>
      </c>
      <c r="AC122" s="5">
        <f t="shared" si="82"/>
        <v>161.00707070707068</v>
      </c>
      <c r="AD122" s="5">
        <f t="shared" si="83"/>
        <v>69.003030303030286</v>
      </c>
      <c r="AE122" s="5">
        <f t="shared" si="84"/>
        <v>47.666666666666686</v>
      </c>
      <c r="AF122" s="5">
        <f t="shared" si="85"/>
        <v>5.2962962962962976</v>
      </c>
      <c r="AG122" s="5">
        <f t="shared" si="86"/>
        <v>0</v>
      </c>
      <c r="AH122" s="5">
        <f t="shared" si="87"/>
        <v>0</v>
      </c>
      <c r="AI122" s="5">
        <f t="shared" si="94"/>
        <v>0</v>
      </c>
      <c r="AJ122" s="5">
        <f t="shared" si="95"/>
        <v>1.1853535353535352</v>
      </c>
      <c r="AK122" s="5">
        <f t="shared" si="96"/>
        <v>0</v>
      </c>
      <c r="AL122" s="5">
        <f t="shared" si="97"/>
        <v>1.0592592592592591</v>
      </c>
      <c r="AM122" s="5">
        <f t="shared" si="98"/>
        <v>373085.69023569021</v>
      </c>
    </row>
    <row r="123" spans="19:39" x14ac:dyDescent="0.15">
      <c r="S123" s="29">
        <f>基础状态预估!C123</f>
        <v>1020</v>
      </c>
      <c r="T123" s="29">
        <f>基础状态预估!D123</f>
        <v>105.37513360458028</v>
      </c>
      <c r="U123" s="29">
        <f t="shared" si="66"/>
        <v>300</v>
      </c>
      <c r="V123" s="50">
        <f t="shared" si="76"/>
        <v>0</v>
      </c>
      <c r="W123" s="50">
        <f t="shared" si="77"/>
        <v>0.46296296296296297</v>
      </c>
      <c r="X123" s="50">
        <f t="shared" si="78"/>
        <v>0.5</v>
      </c>
      <c r="Y123" s="50">
        <f t="shared" si="79"/>
        <v>0.5</v>
      </c>
      <c r="Z123" s="50">
        <f t="shared" si="93"/>
        <v>660100</v>
      </c>
      <c r="AA123" s="5">
        <f t="shared" si="80"/>
        <v>98.901515151515156</v>
      </c>
      <c r="AB123" s="5">
        <f t="shared" si="81"/>
        <v>98.901515151515156</v>
      </c>
      <c r="AC123" s="5">
        <f t="shared" si="82"/>
        <v>182.78484848484845</v>
      </c>
      <c r="AD123" s="5">
        <f t="shared" si="83"/>
        <v>78.336363636363615</v>
      </c>
      <c r="AE123" s="5">
        <f t="shared" si="84"/>
        <v>54.600000000000023</v>
      </c>
      <c r="AF123" s="5">
        <f t="shared" si="85"/>
        <v>6.0666666666666682</v>
      </c>
      <c r="AG123" s="5">
        <f t="shared" si="86"/>
        <v>0</v>
      </c>
      <c r="AH123" s="5">
        <f t="shared" si="87"/>
        <v>0</v>
      </c>
      <c r="AI123" s="5">
        <f t="shared" si="94"/>
        <v>0</v>
      </c>
      <c r="AJ123" s="5">
        <f t="shared" si="95"/>
        <v>1.3186868686868685</v>
      </c>
      <c r="AK123" s="5">
        <f t="shared" si="96"/>
        <v>0</v>
      </c>
      <c r="AL123" s="5">
        <f t="shared" si="97"/>
        <v>1.2133333333333332</v>
      </c>
      <c r="AM123" s="5">
        <f t="shared" si="98"/>
        <v>424656.06060606061</v>
      </c>
    </row>
    <row r="124" spans="19:39" x14ac:dyDescent="0.15">
      <c r="S124" s="29">
        <f>基础状态预估!C124</f>
        <v>1140</v>
      </c>
      <c r="T124" s="29">
        <f>基础状态预估!D124</f>
        <v>106.97877061452158</v>
      </c>
      <c r="U124" s="29">
        <f t="shared" si="66"/>
        <v>300</v>
      </c>
      <c r="V124" s="50">
        <f t="shared" si="76"/>
        <v>0</v>
      </c>
      <c r="W124" s="50">
        <f t="shared" si="77"/>
        <v>0.46296296296296297</v>
      </c>
      <c r="X124" s="50">
        <f t="shared" si="78"/>
        <v>0.5</v>
      </c>
      <c r="Y124" s="50">
        <f t="shared" si="79"/>
        <v>0.5</v>
      </c>
      <c r="Z124" s="50">
        <f t="shared" si="93"/>
        <v>742500</v>
      </c>
      <c r="AA124" s="5">
        <f t="shared" si="80"/>
        <v>108.90151515151516</v>
      </c>
      <c r="AB124" s="5">
        <f t="shared" si="81"/>
        <v>108.90151515151516</v>
      </c>
      <c r="AC124" s="5">
        <f t="shared" si="82"/>
        <v>204.56262626262622</v>
      </c>
      <c r="AD124" s="5">
        <f t="shared" si="83"/>
        <v>87.669696969696943</v>
      </c>
      <c r="AE124" s="5">
        <f t="shared" si="84"/>
        <v>61.53333333333336</v>
      </c>
      <c r="AF124" s="5">
        <f t="shared" si="85"/>
        <v>6.8370370370370388</v>
      </c>
      <c r="AG124" s="5">
        <f t="shared" si="86"/>
        <v>0</v>
      </c>
      <c r="AH124" s="5">
        <f t="shared" si="87"/>
        <v>0</v>
      </c>
      <c r="AI124" s="5">
        <f t="shared" si="94"/>
        <v>0</v>
      </c>
      <c r="AJ124" s="5">
        <f t="shared" si="95"/>
        <v>1.4520202020202018</v>
      </c>
      <c r="AK124" s="5">
        <f t="shared" si="96"/>
        <v>0</v>
      </c>
      <c r="AL124" s="5">
        <f t="shared" si="97"/>
        <v>1.3674074074074072</v>
      </c>
      <c r="AM124" s="5">
        <f t="shared" si="98"/>
        <v>476226.430976431</v>
      </c>
    </row>
    <row r="125" spans="19:39" x14ac:dyDescent="0.15">
      <c r="S125" s="29">
        <f>基础状态预估!C125</f>
        <v>1260</v>
      </c>
      <c r="T125" s="29">
        <f>基础状态预估!D125</f>
        <v>108.50202374400071</v>
      </c>
      <c r="U125" s="29">
        <f t="shared" si="66"/>
        <v>300</v>
      </c>
      <c r="V125" s="50">
        <f t="shared" si="76"/>
        <v>0</v>
      </c>
      <c r="W125" s="50">
        <f t="shared" si="77"/>
        <v>0.46296296296296297</v>
      </c>
      <c r="X125" s="50">
        <f t="shared" si="78"/>
        <v>0.5</v>
      </c>
      <c r="Y125" s="50">
        <f t="shared" si="79"/>
        <v>0.5</v>
      </c>
      <c r="Z125" s="50">
        <f t="shared" si="93"/>
        <v>824900</v>
      </c>
      <c r="AA125" s="5">
        <f t="shared" si="80"/>
        <v>118.90151515151516</v>
      </c>
      <c r="AB125" s="5">
        <f t="shared" si="81"/>
        <v>118.90151515151516</v>
      </c>
      <c r="AC125" s="5">
        <f t="shared" si="82"/>
        <v>226.340404040404</v>
      </c>
      <c r="AD125" s="5">
        <f t="shared" si="83"/>
        <v>97.003030303030272</v>
      </c>
      <c r="AE125" s="5">
        <f t="shared" si="84"/>
        <v>68.466666666666697</v>
      </c>
      <c r="AF125" s="5">
        <f t="shared" si="85"/>
        <v>7.6074074074074094</v>
      </c>
      <c r="AG125" s="5">
        <f t="shared" si="86"/>
        <v>0</v>
      </c>
      <c r="AH125" s="5">
        <f t="shared" si="87"/>
        <v>0</v>
      </c>
      <c r="AI125" s="5">
        <f t="shared" si="94"/>
        <v>0</v>
      </c>
      <c r="AJ125" s="5">
        <f t="shared" si="95"/>
        <v>1.5853535353535351</v>
      </c>
      <c r="AK125" s="5">
        <f t="shared" si="96"/>
        <v>0</v>
      </c>
      <c r="AL125" s="5">
        <f t="shared" si="97"/>
        <v>1.5214814814814812</v>
      </c>
      <c r="AM125" s="5">
        <f t="shared" si="98"/>
        <v>527796.80134680134</v>
      </c>
    </row>
    <row r="126" spans="19:39" x14ac:dyDescent="0.15">
      <c r="S126" s="29">
        <f>基础状态预估!C126</f>
        <v>1380</v>
      </c>
      <c r="T126" s="29">
        <f>基础状态预估!D126</f>
        <v>109.8194473820428</v>
      </c>
      <c r="U126" s="29">
        <f t="shared" si="66"/>
        <v>300</v>
      </c>
      <c r="V126" s="50">
        <f t="shared" si="76"/>
        <v>0</v>
      </c>
      <c r="W126" s="50">
        <f t="shared" si="77"/>
        <v>0.46296296296296297</v>
      </c>
      <c r="X126" s="50">
        <f t="shared" si="78"/>
        <v>0.5</v>
      </c>
      <c r="Y126" s="50">
        <f t="shared" si="79"/>
        <v>0.5</v>
      </c>
      <c r="Z126" s="50">
        <f t="shared" si="93"/>
        <v>907300</v>
      </c>
      <c r="AA126" s="5">
        <f t="shared" si="80"/>
        <v>128.90151515151516</v>
      </c>
      <c r="AB126" s="5">
        <f t="shared" si="81"/>
        <v>128.90151515151516</v>
      </c>
      <c r="AC126" s="5">
        <f t="shared" si="82"/>
        <v>248.11818181818177</v>
      </c>
      <c r="AD126" s="5">
        <f t="shared" si="83"/>
        <v>106.3363636363636</v>
      </c>
      <c r="AE126" s="5">
        <f t="shared" si="84"/>
        <v>75.400000000000034</v>
      </c>
      <c r="AF126" s="5">
        <f t="shared" si="85"/>
        <v>8.37777777777778</v>
      </c>
      <c r="AG126" s="5">
        <f t="shared" si="86"/>
        <v>0</v>
      </c>
      <c r="AH126" s="5">
        <f t="shared" si="87"/>
        <v>0</v>
      </c>
      <c r="AI126" s="5">
        <f t="shared" si="94"/>
        <v>0</v>
      </c>
      <c r="AJ126" s="5">
        <f t="shared" si="95"/>
        <v>1.7186868686868684</v>
      </c>
      <c r="AK126" s="5">
        <f t="shared" si="96"/>
        <v>0</v>
      </c>
      <c r="AL126" s="5">
        <f t="shared" si="97"/>
        <v>1.6755555555555552</v>
      </c>
      <c r="AM126" s="5">
        <f t="shared" si="98"/>
        <v>579367.17171717167</v>
      </c>
    </row>
    <row r="127" spans="19:39" x14ac:dyDescent="0.15">
      <c r="S127" s="29">
        <f>基础状态预估!C127</f>
        <v>1500</v>
      </c>
      <c r="T127" s="29">
        <f>基础状态预估!D127</f>
        <v>110.99543397036992</v>
      </c>
      <c r="U127" s="29">
        <f t="shared" si="66"/>
        <v>300</v>
      </c>
      <c r="V127" s="50">
        <f t="shared" si="76"/>
        <v>0</v>
      </c>
      <c r="W127" s="50">
        <f t="shared" si="77"/>
        <v>0.46296296296296297</v>
      </c>
      <c r="X127" s="50">
        <f t="shared" si="78"/>
        <v>0.5</v>
      </c>
      <c r="Y127" s="50">
        <f t="shared" si="79"/>
        <v>0.5</v>
      </c>
      <c r="Z127" s="50">
        <f t="shared" si="93"/>
        <v>989700</v>
      </c>
      <c r="AA127" s="5">
        <f t="shared" si="80"/>
        <v>138.90151515151516</v>
      </c>
      <c r="AB127" s="5">
        <f t="shared" si="81"/>
        <v>138.90151515151516</v>
      </c>
      <c r="AC127" s="5">
        <f t="shared" si="82"/>
        <v>269.89595959595954</v>
      </c>
      <c r="AD127" s="5">
        <f t="shared" si="83"/>
        <v>115.66969696969693</v>
      </c>
      <c r="AE127" s="5">
        <f t="shared" si="84"/>
        <v>82.333333333333371</v>
      </c>
      <c r="AF127" s="5">
        <f t="shared" si="85"/>
        <v>9.1481481481481506</v>
      </c>
      <c r="AG127" s="5">
        <f t="shared" si="86"/>
        <v>0</v>
      </c>
      <c r="AH127" s="5">
        <f t="shared" si="87"/>
        <v>0</v>
      </c>
      <c r="AI127" s="5">
        <f t="shared" si="94"/>
        <v>0</v>
      </c>
      <c r="AJ127" s="5">
        <f t="shared" si="95"/>
        <v>1.8520202020202017</v>
      </c>
      <c r="AK127" s="5">
        <f t="shared" si="96"/>
        <v>0</v>
      </c>
      <c r="AL127" s="5">
        <f t="shared" si="97"/>
        <v>1.8296296296296293</v>
      </c>
      <c r="AM127" s="5">
        <f t="shared" si="98"/>
        <v>630937.54208754201</v>
      </c>
    </row>
    <row r="128" spans="19:39" x14ac:dyDescent="0.15">
      <c r="S128" s="29">
        <f>基础状态预估!C128</f>
        <v>1800</v>
      </c>
      <c r="T128" s="29">
        <f>基础状态预估!D128</f>
        <v>113.61244781532119</v>
      </c>
      <c r="U128" s="29">
        <f t="shared" si="66"/>
        <v>300</v>
      </c>
      <c r="V128" s="50">
        <f t="shared" si="76"/>
        <v>0</v>
      </c>
      <c r="W128" s="50">
        <f t="shared" si="77"/>
        <v>0.46296296296296297</v>
      </c>
      <c r="X128" s="50">
        <f t="shared" si="78"/>
        <v>0.5</v>
      </c>
      <c r="Y128" s="50">
        <f t="shared" si="79"/>
        <v>0.5</v>
      </c>
      <c r="Z128" s="50">
        <f t="shared" si="93"/>
        <v>1195700</v>
      </c>
      <c r="AA128" s="5">
        <f t="shared" si="80"/>
        <v>163.90151515151516</v>
      </c>
      <c r="AB128" s="5">
        <f t="shared" si="81"/>
        <v>163.90151515151516</v>
      </c>
      <c r="AC128" s="5">
        <f t="shared" si="82"/>
        <v>324.340404040404</v>
      </c>
      <c r="AD128" s="5">
        <f t="shared" si="83"/>
        <v>139.00303030303027</v>
      </c>
      <c r="AE128" s="5">
        <f t="shared" si="84"/>
        <v>99.666666666666714</v>
      </c>
      <c r="AF128" s="5">
        <f t="shared" si="85"/>
        <v>11.074074074074076</v>
      </c>
      <c r="AG128" s="5">
        <f t="shared" si="86"/>
        <v>0</v>
      </c>
      <c r="AH128" s="5">
        <f t="shared" si="87"/>
        <v>0</v>
      </c>
      <c r="AI128" s="5">
        <f t="shared" si="94"/>
        <v>0</v>
      </c>
      <c r="AJ128" s="5">
        <f t="shared" si="95"/>
        <v>2.1853535353535349</v>
      </c>
      <c r="AK128" s="5">
        <f t="shared" si="96"/>
        <v>0</v>
      </c>
      <c r="AL128" s="5">
        <f t="shared" si="97"/>
        <v>2.2148148148148143</v>
      </c>
      <c r="AM128" s="5">
        <f t="shared" si="98"/>
        <v>759863.46801346797</v>
      </c>
    </row>
    <row r="129" spans="19:39" x14ac:dyDescent="0.15">
      <c r="S129" s="29">
        <f>基础状态预估!C129</f>
        <v>2100</v>
      </c>
      <c r="T129" s="29">
        <f>基础状态预估!D129</f>
        <v>115.93576288835948</v>
      </c>
      <c r="U129" s="29">
        <f t="shared" si="66"/>
        <v>300</v>
      </c>
      <c r="V129" s="50">
        <f t="shared" si="76"/>
        <v>0</v>
      </c>
      <c r="W129" s="50">
        <f t="shared" si="77"/>
        <v>0.46296296296296297</v>
      </c>
      <c r="X129" s="50">
        <f t="shared" si="78"/>
        <v>0.5</v>
      </c>
      <c r="Y129" s="50">
        <f t="shared" si="79"/>
        <v>0.5</v>
      </c>
      <c r="Z129" s="50">
        <f t="shared" si="93"/>
        <v>1401700</v>
      </c>
      <c r="AA129" s="5">
        <f t="shared" si="80"/>
        <v>188.90151515151516</v>
      </c>
      <c r="AB129" s="5">
        <f t="shared" si="81"/>
        <v>188.90151515151516</v>
      </c>
      <c r="AC129" s="5">
        <f t="shared" si="82"/>
        <v>378.78484848484845</v>
      </c>
      <c r="AD129" s="5">
        <f t="shared" si="83"/>
        <v>162.33636363636361</v>
      </c>
      <c r="AE129" s="5">
        <f t="shared" si="84"/>
        <v>117.00000000000006</v>
      </c>
      <c r="AF129" s="5">
        <f t="shared" si="85"/>
        <v>13.000000000000002</v>
      </c>
      <c r="AG129" s="5">
        <f t="shared" si="86"/>
        <v>0</v>
      </c>
      <c r="AH129" s="5">
        <f t="shared" si="87"/>
        <v>0</v>
      </c>
      <c r="AI129" s="5">
        <f t="shared" si="94"/>
        <v>0</v>
      </c>
      <c r="AJ129" s="5">
        <f t="shared" si="95"/>
        <v>2.5186868686868684</v>
      </c>
      <c r="AK129" s="5">
        <f t="shared" si="96"/>
        <v>0</v>
      </c>
      <c r="AL129" s="5">
        <f t="shared" si="97"/>
        <v>2.5999999999999996</v>
      </c>
      <c r="AM129" s="5">
        <f t="shared" si="98"/>
        <v>888789.39393939392</v>
      </c>
    </row>
    <row r="130" spans="19:39" x14ac:dyDescent="0.15">
      <c r="S130" s="29">
        <f>基础状态预估!C130</f>
        <v>2400</v>
      </c>
      <c r="T130" s="29">
        <f>基础状态预估!D130</f>
        <v>117.8398587801079</v>
      </c>
      <c r="U130" s="29">
        <f t="shared" si="66"/>
        <v>300</v>
      </c>
      <c r="V130" s="50">
        <f t="shared" si="76"/>
        <v>0</v>
      </c>
      <c r="W130" s="50">
        <f t="shared" si="77"/>
        <v>0.46296296296296297</v>
      </c>
      <c r="X130" s="50">
        <f t="shared" si="78"/>
        <v>0.5</v>
      </c>
      <c r="Y130" s="50">
        <f t="shared" si="79"/>
        <v>0.5</v>
      </c>
      <c r="Z130" s="50">
        <f t="shared" si="93"/>
        <v>1607700</v>
      </c>
      <c r="AA130" s="5">
        <f t="shared" si="80"/>
        <v>213.90151515151516</v>
      </c>
      <c r="AB130" s="5">
        <f t="shared" si="81"/>
        <v>213.90151515151516</v>
      </c>
      <c r="AC130" s="5">
        <f t="shared" si="82"/>
        <v>433.22929292929291</v>
      </c>
      <c r="AD130" s="5">
        <f t="shared" si="83"/>
        <v>185.66969696969696</v>
      </c>
      <c r="AE130" s="5">
        <f t="shared" si="84"/>
        <v>134.3333333333334</v>
      </c>
      <c r="AF130" s="5">
        <f t="shared" si="85"/>
        <v>14.925925925925927</v>
      </c>
      <c r="AG130" s="5">
        <f t="shared" si="86"/>
        <v>0</v>
      </c>
      <c r="AH130" s="5">
        <f t="shared" si="87"/>
        <v>0</v>
      </c>
      <c r="AI130" s="5">
        <f t="shared" si="94"/>
        <v>0</v>
      </c>
      <c r="AJ130" s="5">
        <f t="shared" si="95"/>
        <v>2.8520202020202019</v>
      </c>
      <c r="AK130" s="5">
        <f t="shared" si="96"/>
        <v>0</v>
      </c>
      <c r="AL130" s="5">
        <f t="shared" si="97"/>
        <v>2.9851851851851849</v>
      </c>
      <c r="AM130" s="5">
        <f t="shared" si="98"/>
        <v>1017715.3198653199</v>
      </c>
    </row>
    <row r="131" spans="19:39" x14ac:dyDescent="0.15">
      <c r="S131" s="29">
        <f>基础状态预估!C131</f>
        <v>2700</v>
      </c>
      <c r="T131" s="29">
        <f>基础状态预估!D131</f>
        <v>119.50922016248074</v>
      </c>
      <c r="U131" s="29">
        <f t="shared" si="66"/>
        <v>300</v>
      </c>
      <c r="V131" s="50">
        <f t="shared" si="76"/>
        <v>0</v>
      </c>
      <c r="W131" s="50">
        <f t="shared" si="77"/>
        <v>0.46296296296296297</v>
      </c>
      <c r="X131" s="50">
        <f t="shared" si="78"/>
        <v>0.5</v>
      </c>
      <c r="Y131" s="50">
        <f t="shared" si="79"/>
        <v>0.5</v>
      </c>
      <c r="Z131" s="50">
        <f t="shared" si="93"/>
        <v>1813700</v>
      </c>
      <c r="AA131" s="5">
        <f t="shared" si="80"/>
        <v>238.90151515151516</v>
      </c>
      <c r="AB131" s="5">
        <f t="shared" si="81"/>
        <v>238.90151515151516</v>
      </c>
      <c r="AC131" s="5">
        <f t="shared" si="82"/>
        <v>487.67373737373737</v>
      </c>
      <c r="AD131" s="5">
        <f t="shared" si="83"/>
        <v>209.0030303030303</v>
      </c>
      <c r="AE131" s="5">
        <f t="shared" si="84"/>
        <v>151.66666666666674</v>
      </c>
      <c r="AF131" s="5">
        <f t="shared" si="85"/>
        <v>16.851851851851855</v>
      </c>
      <c r="AG131" s="5">
        <f t="shared" si="86"/>
        <v>0</v>
      </c>
      <c r="AH131" s="5">
        <f t="shared" si="87"/>
        <v>0</v>
      </c>
      <c r="AI131" s="5">
        <f t="shared" si="94"/>
        <v>0</v>
      </c>
      <c r="AJ131" s="5">
        <f t="shared" si="95"/>
        <v>3.1853535353535354</v>
      </c>
      <c r="AK131" s="5">
        <f t="shared" si="96"/>
        <v>0</v>
      </c>
      <c r="AL131" s="5">
        <f t="shared" si="97"/>
        <v>3.3703703703703702</v>
      </c>
      <c r="AM131" s="5">
        <f t="shared" si="98"/>
        <v>1146641.2457912457</v>
      </c>
    </row>
    <row r="132" spans="19:39" x14ac:dyDescent="0.15">
      <c r="S132" s="29">
        <f>基础状态预估!C132</f>
        <v>3000</v>
      </c>
      <c r="T132" s="29">
        <f>基础状态预估!D132</f>
        <v>121.10344291172865</v>
      </c>
      <c r="U132" s="29">
        <f t="shared" si="66"/>
        <v>300</v>
      </c>
      <c r="V132" s="50">
        <f t="shared" si="76"/>
        <v>0</v>
      </c>
      <c r="W132" s="50">
        <f t="shared" si="77"/>
        <v>0.46296296296296297</v>
      </c>
      <c r="X132" s="50">
        <f t="shared" si="78"/>
        <v>0.5</v>
      </c>
      <c r="Y132" s="50">
        <f t="shared" si="79"/>
        <v>0.5</v>
      </c>
      <c r="Z132" s="50">
        <f t="shared" si="93"/>
        <v>2019700</v>
      </c>
      <c r="AA132" s="5">
        <f t="shared" si="80"/>
        <v>263.90151515151513</v>
      </c>
      <c r="AB132" s="5">
        <f t="shared" si="81"/>
        <v>263.90151515151513</v>
      </c>
      <c r="AC132" s="5">
        <f t="shared" si="82"/>
        <v>542.11818181818182</v>
      </c>
      <c r="AD132" s="5">
        <f t="shared" si="83"/>
        <v>232.33636363636364</v>
      </c>
      <c r="AE132" s="5">
        <f t="shared" si="84"/>
        <v>169.00000000000009</v>
      </c>
      <c r="AF132" s="5">
        <f t="shared" si="85"/>
        <v>18.777777777777782</v>
      </c>
      <c r="AG132" s="5">
        <f t="shared" si="86"/>
        <v>0</v>
      </c>
      <c r="AH132" s="5">
        <f t="shared" si="87"/>
        <v>0</v>
      </c>
      <c r="AI132" s="5">
        <f t="shared" si="94"/>
        <v>0</v>
      </c>
      <c r="AJ132" s="5">
        <f t="shared" si="95"/>
        <v>3.5186868686868689</v>
      </c>
      <c r="AK132" s="5">
        <f t="shared" si="96"/>
        <v>0</v>
      </c>
      <c r="AL132" s="5">
        <f t="shared" si="97"/>
        <v>3.7555555555555555</v>
      </c>
      <c r="AM132" s="5">
        <f t="shared" si="98"/>
        <v>1275567.1717171716</v>
      </c>
    </row>
    <row r="133" spans="19:39" x14ac:dyDescent="0.15">
      <c r="S133" s="29">
        <f>基础状态预估!C133</f>
        <v>3300</v>
      </c>
      <c r="T133" s="29">
        <f>基础状态预估!D133</f>
        <v>122.49249432194588</v>
      </c>
      <c r="U133" s="29">
        <f t="shared" si="66"/>
        <v>300</v>
      </c>
      <c r="V133" s="50">
        <f t="shared" si="76"/>
        <v>0</v>
      </c>
      <c r="W133" s="50">
        <f t="shared" si="77"/>
        <v>0.46296296296296297</v>
      </c>
      <c r="X133" s="50">
        <f t="shared" si="78"/>
        <v>0.5</v>
      </c>
      <c r="Y133" s="50">
        <f t="shared" si="79"/>
        <v>0.5</v>
      </c>
      <c r="Z133" s="50">
        <f t="shared" si="93"/>
        <v>2225700</v>
      </c>
      <c r="AA133" s="5">
        <f t="shared" si="80"/>
        <v>288.90151515151513</v>
      </c>
      <c r="AB133" s="5">
        <f t="shared" si="81"/>
        <v>288.90151515151513</v>
      </c>
      <c r="AC133" s="5">
        <f t="shared" si="82"/>
        <v>596.56262626262628</v>
      </c>
      <c r="AD133" s="5">
        <f t="shared" si="83"/>
        <v>255.66969696969699</v>
      </c>
      <c r="AE133" s="5">
        <f t="shared" si="84"/>
        <v>186.33333333333343</v>
      </c>
      <c r="AF133" s="5">
        <f t="shared" si="85"/>
        <v>20.703703703703709</v>
      </c>
      <c r="AG133" s="5">
        <f t="shared" si="86"/>
        <v>0</v>
      </c>
      <c r="AH133" s="5">
        <f t="shared" si="87"/>
        <v>0</v>
      </c>
      <c r="AI133" s="5">
        <f t="shared" si="94"/>
        <v>0</v>
      </c>
      <c r="AJ133" s="5">
        <f t="shared" si="95"/>
        <v>3.8520202020202023</v>
      </c>
      <c r="AK133" s="5">
        <f t="shared" si="96"/>
        <v>0</v>
      </c>
      <c r="AL133" s="5">
        <f t="shared" si="97"/>
        <v>4.1407407407407408</v>
      </c>
      <c r="AM133" s="5">
        <f t="shared" si="98"/>
        <v>1404493.0976430974</v>
      </c>
    </row>
    <row r="134" spans="19:39" x14ac:dyDescent="0.15">
      <c r="S134" s="29">
        <f>基础状态预估!C134</f>
        <v>3600</v>
      </c>
      <c r="T134" s="29">
        <f>基础状态预估!D134</f>
        <v>123.71653233872999</v>
      </c>
      <c r="U134" s="29">
        <f t="shared" si="66"/>
        <v>300</v>
      </c>
      <c r="V134" s="50">
        <f t="shared" si="76"/>
        <v>0</v>
      </c>
      <c r="W134" s="50">
        <f t="shared" si="77"/>
        <v>0.46296296296296297</v>
      </c>
      <c r="X134" s="50">
        <f t="shared" si="78"/>
        <v>0.5</v>
      </c>
      <c r="Y134" s="50">
        <f t="shared" si="79"/>
        <v>0.5</v>
      </c>
      <c r="Z134" s="50">
        <f t="shared" si="93"/>
        <v>2431700</v>
      </c>
      <c r="AA134" s="5">
        <f t="shared" si="80"/>
        <v>313.90151515151513</v>
      </c>
      <c r="AB134" s="5">
        <f t="shared" si="81"/>
        <v>313.90151515151513</v>
      </c>
      <c r="AC134" s="5">
        <f t="shared" si="82"/>
        <v>651.00707070707074</v>
      </c>
      <c r="AD134" s="5">
        <f t="shared" si="83"/>
        <v>279.0030303030303</v>
      </c>
      <c r="AE134" s="5">
        <f t="shared" si="84"/>
        <v>203.66666666666677</v>
      </c>
      <c r="AF134" s="5">
        <f t="shared" si="85"/>
        <v>22.629629629629637</v>
      </c>
      <c r="AG134" s="5">
        <f t="shared" si="86"/>
        <v>0</v>
      </c>
      <c r="AH134" s="5">
        <f t="shared" si="87"/>
        <v>0</v>
      </c>
      <c r="AI134" s="5">
        <f t="shared" si="94"/>
        <v>0</v>
      </c>
      <c r="AJ134" s="5">
        <f t="shared" si="95"/>
        <v>4.1853535353535358</v>
      </c>
      <c r="AK134" s="5">
        <f t="shared" si="96"/>
        <v>0</v>
      </c>
      <c r="AL134" s="5">
        <f t="shared" si="97"/>
        <v>4.5259259259259261</v>
      </c>
      <c r="AM134" s="5">
        <f t="shared" si="98"/>
        <v>1533419.0235690232</v>
      </c>
    </row>
    <row r="135" spans="19:39" x14ac:dyDescent="0.15">
      <c r="S135" s="29">
        <f>基础状态预估!C135</f>
        <v>3900</v>
      </c>
      <c r="T135" s="29">
        <f>基础状态预估!D135</f>
        <v>124.85102687042894</v>
      </c>
      <c r="U135" s="29">
        <f t="shared" si="66"/>
        <v>300</v>
      </c>
      <c r="V135" s="50">
        <f t="shared" si="76"/>
        <v>0</v>
      </c>
      <c r="W135" s="50">
        <f t="shared" si="77"/>
        <v>0.46296296296296297</v>
      </c>
      <c r="X135" s="50">
        <f t="shared" si="78"/>
        <v>0.5</v>
      </c>
      <c r="Y135" s="50">
        <f t="shared" si="79"/>
        <v>0.5</v>
      </c>
      <c r="Z135" s="50">
        <f t="shared" si="93"/>
        <v>2637700</v>
      </c>
      <c r="AA135" s="5">
        <f t="shared" si="80"/>
        <v>338.90151515151513</v>
      </c>
      <c r="AB135" s="5">
        <f t="shared" si="81"/>
        <v>338.90151515151513</v>
      </c>
      <c r="AC135" s="5">
        <f t="shared" si="82"/>
        <v>705.4515151515152</v>
      </c>
      <c r="AD135" s="5">
        <f t="shared" si="83"/>
        <v>302.33636363636361</v>
      </c>
      <c r="AE135" s="5">
        <f t="shared" si="84"/>
        <v>221.00000000000011</v>
      </c>
      <c r="AF135" s="5">
        <f t="shared" si="85"/>
        <v>24.555555555555564</v>
      </c>
      <c r="AG135" s="5">
        <f t="shared" si="86"/>
        <v>0</v>
      </c>
      <c r="AH135" s="5">
        <f t="shared" si="87"/>
        <v>0</v>
      </c>
      <c r="AI135" s="5">
        <f t="shared" si="94"/>
        <v>0</v>
      </c>
      <c r="AJ135" s="5">
        <f t="shared" si="95"/>
        <v>4.5186868686868689</v>
      </c>
      <c r="AK135" s="5">
        <f t="shared" si="96"/>
        <v>0</v>
      </c>
      <c r="AL135" s="5">
        <f t="shared" si="97"/>
        <v>4.9111111111111114</v>
      </c>
      <c r="AM135" s="5">
        <f t="shared" si="98"/>
        <v>1662344.9494949491</v>
      </c>
    </row>
    <row r="136" spans="19:39" x14ac:dyDescent="0.15">
      <c r="S136" s="29">
        <f>基础状态预估!C136</f>
        <v>4200</v>
      </c>
      <c r="T136" s="29">
        <f>基础状态预估!D136</f>
        <v>125.90913935465674</v>
      </c>
      <c r="U136" s="29">
        <f t="shared" si="66"/>
        <v>300</v>
      </c>
      <c r="V136" s="50">
        <f t="shared" si="76"/>
        <v>0</v>
      </c>
      <c r="W136" s="50">
        <f t="shared" si="77"/>
        <v>0.46296296296296297</v>
      </c>
      <c r="X136" s="50">
        <f t="shared" si="78"/>
        <v>0.5</v>
      </c>
      <c r="Y136" s="50">
        <f t="shared" si="79"/>
        <v>0.5</v>
      </c>
      <c r="Z136" s="50">
        <f t="shared" si="93"/>
        <v>2843700</v>
      </c>
      <c r="AA136" s="5">
        <f t="shared" si="80"/>
        <v>363.90151515151513</v>
      </c>
      <c r="AB136" s="5">
        <f t="shared" si="81"/>
        <v>363.90151515151513</v>
      </c>
      <c r="AC136" s="5">
        <f t="shared" si="82"/>
        <v>759.89595959595965</v>
      </c>
      <c r="AD136" s="5">
        <f t="shared" si="83"/>
        <v>325.66969696969693</v>
      </c>
      <c r="AE136" s="5">
        <f t="shared" si="84"/>
        <v>238.33333333333346</v>
      </c>
      <c r="AF136" s="5">
        <f t="shared" si="85"/>
        <v>26.481481481481492</v>
      </c>
      <c r="AG136" s="5">
        <f t="shared" si="86"/>
        <v>0</v>
      </c>
      <c r="AH136" s="5">
        <f t="shared" si="87"/>
        <v>0</v>
      </c>
      <c r="AI136" s="5">
        <f t="shared" si="94"/>
        <v>0</v>
      </c>
      <c r="AJ136" s="5">
        <f t="shared" si="95"/>
        <v>4.8520202020202019</v>
      </c>
      <c r="AK136" s="5">
        <f t="shared" si="96"/>
        <v>0</v>
      </c>
      <c r="AL136" s="5">
        <f t="shared" si="97"/>
        <v>5.2962962962962967</v>
      </c>
      <c r="AM136" s="5">
        <f t="shared" si="98"/>
        <v>1791270.8754208749</v>
      </c>
    </row>
    <row r="137" spans="19:39" x14ac:dyDescent="0.15">
      <c r="S137" s="29">
        <f>基础状态预估!C137</f>
        <v>4500</v>
      </c>
      <c r="T137" s="29">
        <f>基础状态预估!D137</f>
        <v>126.96916270090227</v>
      </c>
      <c r="U137" s="29">
        <f t="shared" si="66"/>
        <v>300</v>
      </c>
      <c r="V137" s="50">
        <f t="shared" si="76"/>
        <v>0</v>
      </c>
      <c r="W137" s="50">
        <f t="shared" si="77"/>
        <v>0.46296296296296297</v>
      </c>
      <c r="X137" s="50">
        <f t="shared" si="78"/>
        <v>0.5</v>
      </c>
      <c r="Y137" s="50">
        <f t="shared" si="79"/>
        <v>0.5</v>
      </c>
      <c r="Z137" s="50">
        <f t="shared" si="93"/>
        <v>3049700</v>
      </c>
      <c r="AA137" s="5">
        <f t="shared" si="80"/>
        <v>388.90151515151513</v>
      </c>
      <c r="AB137" s="5">
        <f t="shared" si="81"/>
        <v>388.90151515151513</v>
      </c>
      <c r="AC137" s="5">
        <f t="shared" si="82"/>
        <v>814.34040404040411</v>
      </c>
      <c r="AD137" s="5">
        <f t="shared" si="83"/>
        <v>349.00303030303024</v>
      </c>
      <c r="AE137" s="5">
        <f t="shared" si="84"/>
        <v>255.6666666666668</v>
      </c>
      <c r="AF137" s="5">
        <f t="shared" si="85"/>
        <v>28.407407407407419</v>
      </c>
      <c r="AG137" s="5">
        <f t="shared" si="86"/>
        <v>0</v>
      </c>
      <c r="AH137" s="5">
        <f t="shared" si="87"/>
        <v>0</v>
      </c>
      <c r="AI137" s="5">
        <f t="shared" si="94"/>
        <v>0</v>
      </c>
      <c r="AJ137" s="5">
        <f t="shared" si="95"/>
        <v>5.1853535353535349</v>
      </c>
      <c r="AK137" s="5">
        <f t="shared" si="96"/>
        <v>0</v>
      </c>
      <c r="AL137" s="5">
        <f t="shared" si="97"/>
        <v>5.681481481481482</v>
      </c>
      <c r="AM137" s="5">
        <f t="shared" si="98"/>
        <v>1920196.8013468008</v>
      </c>
    </row>
    <row r="138" spans="19:39" x14ac:dyDescent="0.15">
      <c r="S138" s="29">
        <f>基础状态预估!C138</f>
        <v>4800</v>
      </c>
      <c r="T138" s="29">
        <f>基础状态预估!D138</f>
        <v>127.97984726046715</v>
      </c>
      <c r="U138" s="29">
        <f t="shared" si="66"/>
        <v>300</v>
      </c>
      <c r="V138" s="50">
        <f t="shared" si="76"/>
        <v>0</v>
      </c>
      <c r="W138" s="50">
        <f t="shared" si="77"/>
        <v>0.46296296296296297</v>
      </c>
      <c r="X138" s="50">
        <f t="shared" si="78"/>
        <v>0.5</v>
      </c>
      <c r="Y138" s="50">
        <f t="shared" si="79"/>
        <v>0.5</v>
      </c>
      <c r="Z138" s="50">
        <f t="shared" si="93"/>
        <v>3255700</v>
      </c>
      <c r="AA138" s="5">
        <f t="shared" si="80"/>
        <v>413.90151515151513</v>
      </c>
      <c r="AB138" s="5">
        <f t="shared" si="81"/>
        <v>413.90151515151513</v>
      </c>
      <c r="AC138" s="5">
        <f t="shared" si="82"/>
        <v>868.78484848484857</v>
      </c>
      <c r="AD138" s="5">
        <f t="shared" si="83"/>
        <v>372.33636363636356</v>
      </c>
      <c r="AE138" s="5">
        <f t="shared" si="84"/>
        <v>273.00000000000011</v>
      </c>
      <c r="AF138" s="5">
        <f t="shared" si="85"/>
        <v>30.333333333333346</v>
      </c>
      <c r="AG138" s="5">
        <f t="shared" si="86"/>
        <v>0</v>
      </c>
      <c r="AH138" s="5">
        <f t="shared" si="87"/>
        <v>0</v>
      </c>
      <c r="AI138" s="5">
        <f t="shared" si="94"/>
        <v>0</v>
      </c>
      <c r="AJ138" s="5">
        <f t="shared" si="95"/>
        <v>5.518686868686868</v>
      </c>
      <c r="AK138" s="5">
        <f t="shared" si="96"/>
        <v>0</v>
      </c>
      <c r="AL138" s="5">
        <f t="shared" si="97"/>
        <v>6.0666666666666673</v>
      </c>
      <c r="AM138" s="5">
        <f t="shared" si="98"/>
        <v>2049122.7272727266</v>
      </c>
    </row>
    <row r="139" spans="19:39" x14ac:dyDescent="0.15">
      <c r="S139" s="29">
        <f>基础状态预估!C139</f>
        <v>65535</v>
      </c>
      <c r="T139" s="29">
        <f>基础状态预估!D139</f>
        <v>160</v>
      </c>
      <c r="U139" s="29">
        <f t="shared" si="66"/>
        <v>300</v>
      </c>
      <c r="V139" s="50">
        <f t="shared" si="76"/>
        <v>0</v>
      </c>
      <c r="W139" s="50">
        <f t="shared" si="77"/>
        <v>0.46296296296296297</v>
      </c>
      <c r="X139" s="50">
        <f t="shared" si="78"/>
        <v>0.5</v>
      </c>
      <c r="Y139" s="50">
        <f t="shared" si="79"/>
        <v>0.5</v>
      </c>
      <c r="Z139" s="50">
        <f t="shared" si="93"/>
        <v>44960400</v>
      </c>
      <c r="AA139" s="5">
        <f t="shared" si="80"/>
        <v>5475.151515151515</v>
      </c>
      <c r="AB139" s="5">
        <f t="shared" si="81"/>
        <v>5475.151515151515</v>
      </c>
      <c r="AC139" s="5">
        <f t="shared" si="82"/>
        <v>11891.062626262627</v>
      </c>
      <c r="AD139" s="5">
        <f t="shared" si="83"/>
        <v>5096.1696969696968</v>
      </c>
      <c r="AE139" s="5">
        <f t="shared" si="84"/>
        <v>3782.1333333333337</v>
      </c>
      <c r="AF139" s="5">
        <f t="shared" si="85"/>
        <v>420.23703703703711</v>
      </c>
      <c r="AG139" s="5">
        <f t="shared" si="86"/>
        <v>0</v>
      </c>
      <c r="AH139" s="5">
        <f t="shared" si="87"/>
        <v>0</v>
      </c>
      <c r="AI139" s="5">
        <f t="shared" si="94"/>
        <v>0</v>
      </c>
      <c r="AJ139" s="5">
        <f t="shared" si="95"/>
        <v>73.002020202020205</v>
      </c>
      <c r="AK139" s="5">
        <f t="shared" si="96"/>
        <v>0</v>
      </c>
      <c r="AL139" s="5">
        <f t="shared" si="97"/>
        <v>84.04740740740742</v>
      </c>
      <c r="AM139" s="5">
        <f t="shared" si="98"/>
        <v>28150176.430976432</v>
      </c>
    </row>
    <row r="141" spans="19:39" x14ac:dyDescent="0.15">
      <c r="S141" s="25" t="s">
        <v>20</v>
      </c>
      <c r="T141" s="26"/>
      <c r="U141" s="26"/>
      <c r="V141" s="84" t="s">
        <v>174</v>
      </c>
      <c r="W141" s="84"/>
      <c r="X141" s="84"/>
      <c r="Y141" s="84"/>
      <c r="AA141" s="85" t="s">
        <v>182</v>
      </c>
      <c r="AB141" s="95"/>
      <c r="AC141" s="95"/>
      <c r="AD141" s="95"/>
      <c r="AE141" s="95"/>
      <c r="AF141" s="86"/>
      <c r="AG141" s="85" t="s">
        <v>183</v>
      </c>
      <c r="AH141" s="95"/>
      <c r="AI141" s="95"/>
      <c r="AJ141" s="95"/>
      <c r="AK141" s="95"/>
      <c r="AL141" s="86"/>
      <c r="AM141" s="50"/>
    </row>
    <row r="142" spans="19:39" ht="22.5" x14ac:dyDescent="0.15">
      <c r="S142" s="27" t="s">
        <v>31</v>
      </c>
      <c r="T142" s="27" t="s">
        <v>25</v>
      </c>
      <c r="U142" s="27" t="s">
        <v>180</v>
      </c>
      <c r="V142" s="50" t="s">
        <v>175</v>
      </c>
      <c r="W142" s="50" t="s">
        <v>177</v>
      </c>
      <c r="X142" s="20" t="s">
        <v>177</v>
      </c>
      <c r="Y142" s="20" t="s">
        <v>178</v>
      </c>
      <c r="Z142" s="50" t="s">
        <v>193</v>
      </c>
      <c r="AA142" s="50" t="s">
        <v>185</v>
      </c>
      <c r="AB142" s="50" t="s">
        <v>186</v>
      </c>
      <c r="AC142" s="50" t="s">
        <v>27</v>
      </c>
      <c r="AD142" s="50" t="s">
        <v>29</v>
      </c>
      <c r="AE142" s="50" t="s">
        <v>28</v>
      </c>
      <c r="AF142" s="50" t="s">
        <v>43</v>
      </c>
      <c r="AG142" s="50" t="s">
        <v>185</v>
      </c>
      <c r="AH142" s="50" t="s">
        <v>186</v>
      </c>
      <c r="AI142" s="50" t="s">
        <v>27</v>
      </c>
      <c r="AJ142" s="50" t="s">
        <v>29</v>
      </c>
      <c r="AK142" s="50" t="s">
        <v>28</v>
      </c>
      <c r="AL142" s="50" t="s">
        <v>43</v>
      </c>
      <c r="AM142" s="50" t="s">
        <v>184</v>
      </c>
    </row>
    <row r="143" spans="19:39" x14ac:dyDescent="0.15">
      <c r="S143" s="29">
        <f>基础状态预估!C143</f>
        <v>15</v>
      </c>
      <c r="T143" s="29">
        <f>基础状态预估!D143</f>
        <v>48.731413734867289</v>
      </c>
      <c r="U143" s="29">
        <f t="shared" ref="U143:U183" si="99">$G$49/$C$49*15*$T$1</f>
        <v>2100</v>
      </c>
      <c r="V143" s="50">
        <f>IF(W143&gt;0,0,MIN(IF($E$8&gt;$S143,0,1)*$U143/$F$8,$H$8))</f>
        <v>0</v>
      </c>
      <c r="W143" s="50">
        <f>MIN(IF($E$9&gt;$S143,0,1)*$U143/$F$9,$H$9)</f>
        <v>0</v>
      </c>
      <c r="X143" s="50">
        <f>IF($E$8&gt;$S143,0,1)</f>
        <v>0</v>
      </c>
      <c r="Y143" s="50">
        <f>IF($E$9&gt;$S143,0,1)</f>
        <v>0</v>
      </c>
      <c r="Z143" s="11">
        <f>S143/$D$8*(V143*$F$8*$G$8*10+W143*$F$9*$G$9*10+X143*$O$8+Y143*$O$9)</f>
        <v>0</v>
      </c>
      <c r="AA143" s="11">
        <f t="shared" ref="AA143" si="100">$S143/$D$8*($V143+$X143)*D$13+$S143/$D$9*($W143+$Y143)*D$14</f>
        <v>0</v>
      </c>
      <c r="AB143" s="11">
        <f t="shared" ref="AB143" si="101">$S143/$D$8*($V143+$X143)*E$13+$S143/$D$9*($W143+$Y143)*E$14</f>
        <v>0</v>
      </c>
      <c r="AC143" s="11">
        <f>$S143/$D$8*($V143+$X143)*F$13+$S143/$D$9*($W143+$Y143)*F$14</f>
        <v>0</v>
      </c>
      <c r="AD143" s="11">
        <f>$S143/$D$8*($V143+$X143)*G$13+$S143/$D$9*($W143+$Y143)*G$14</f>
        <v>0</v>
      </c>
      <c r="AE143" s="11">
        <f>$S143/$D$8*($V143+$X143)*H$13+$S143/$D$9*($W143+$Y143)*H$14</f>
        <v>0</v>
      </c>
      <c r="AF143" s="11">
        <f>$S143/$D$8*($V143+$X143)*I$13+$S143/$D$9*($W143+$Y143)*I$14</f>
        <v>0</v>
      </c>
      <c r="AG143" s="11">
        <f t="shared" ref="AG143" si="102">$S143/$D$8*($V143+$X143)*J$13+$S143/$D$9*($W143+$Y143)*J$14</f>
        <v>0</v>
      </c>
      <c r="AH143" s="11">
        <f t="shared" ref="AH143" si="103">$S143/$D$8*($V143+$X143)*K$13+$S143/$D$9*($W143+$Y143)*K$14</f>
        <v>0</v>
      </c>
      <c r="AI143" s="11">
        <f t="shared" ref="AI143" si="104">$S143/$D$8*($V143+$X143)*L$13+$S143/$D$9*($W143+$Y143)*L$14</f>
        <v>0</v>
      </c>
      <c r="AJ143" s="11">
        <f t="shared" ref="AJ143" si="105">$S143/$D$8*($V143+$X143)*M$13+$S143/$D$9*($W143+$Y143)*M$14</f>
        <v>0</v>
      </c>
      <c r="AK143" s="11">
        <f t="shared" ref="AK143" si="106">$S143/$D$8*($V143+$X143)*N$13+$S143/$D$9*($W143+$Y143)*N$14</f>
        <v>0</v>
      </c>
      <c r="AL143" s="11">
        <f t="shared" ref="AL143" si="107">$S143/$D$8*($V143+$X143)*O$13+$S143/$D$9*($W143+$Y143)*O$14</f>
        <v>0</v>
      </c>
      <c r="AM143" s="11">
        <f t="shared" ref="AM143" si="108">$S143/$D$8*($V143+$X143)*P$13+$S143/$D$9*($W143+$Y143)*P$14</f>
        <v>0</v>
      </c>
    </row>
    <row r="144" spans="19:39" x14ac:dyDescent="0.15">
      <c r="S144" s="29">
        <f>基础状态预估!C144</f>
        <v>30</v>
      </c>
      <c r="T144" s="29">
        <f>基础状态预估!D144</f>
        <v>58.701446767877648</v>
      </c>
      <c r="U144" s="29">
        <f t="shared" si="99"/>
        <v>2100</v>
      </c>
      <c r="V144" s="50">
        <f t="shared" ref="V144:V183" si="109">IF(W144&gt;0,0,MIN(IF($E$8&gt;$S144,0,1)*$U144/$F$8,$H$8))</f>
        <v>10</v>
      </c>
      <c r="W144" s="50">
        <f t="shared" ref="W144:W183" si="110">MIN(IF($E$9&gt;$S144,0,1)*$U144/$F$9,$H$9)</f>
        <v>0</v>
      </c>
      <c r="X144" s="50">
        <f t="shared" ref="X144:X183" si="111">IF($E$8&gt;$S144,0,1)</f>
        <v>1</v>
      </c>
      <c r="Y144" s="50">
        <f t="shared" ref="Y144:Y183" si="112">IF($E$9&gt;$S144,0,1)</f>
        <v>0</v>
      </c>
      <c r="Z144" s="50">
        <f>(S144-S143)/$D$8*(V144*$F$8+W144*$F$9+X144*$O$8+Y144*$O$9)+Z143</f>
        <v>6980</v>
      </c>
      <c r="AA144" s="5">
        <f t="shared" ref="AA144:AA183" si="113">($S144-$S143)/$D$8*($V144+$X144)*D$13+($S144-$S143)/$D$9*($W144+$Y144)*D$14+AA143</f>
        <v>27.5</v>
      </c>
      <c r="AB144" s="5">
        <f t="shared" ref="AB144:AB183" si="114">($S144-$S143)/$D$8*($V144+$X144)*E$13+($S144-$S143)/$D$9*($W144+$Y144)*E$14+AB143</f>
        <v>27.5</v>
      </c>
      <c r="AC144" s="5">
        <f t="shared" ref="AC144:AC183" si="115">($S144-$S143)/$D$8*($V144+$X144)*F$13+($S144-$S143)/$D$9*($W144+$Y144)*F$14+AC143</f>
        <v>15.399999999999999</v>
      </c>
      <c r="AD144" s="5">
        <f t="shared" ref="AD144:AD183" si="116">($S144-$S143)/$D$8*($V144+$X144)*G$13+($S144-$S143)/$D$9*($W144+$Y144)*G$14+AD143</f>
        <v>6.6</v>
      </c>
      <c r="AE144" s="5">
        <f t="shared" ref="AE144:AE183" si="117">($S144-$S143)/$D$8*($V144+$X144)*H$13+($S144-$S143)/$D$9*($W144+$Y144)*H$14+AE143</f>
        <v>0</v>
      </c>
      <c r="AF144" s="5">
        <f t="shared" ref="AF144:AF183" si="118">($S144-$S143)/$D$8*($V144+$X144)*I$13+($S144-$S143)/$D$9*($W144+$Y144)*I$14+AF143</f>
        <v>0</v>
      </c>
      <c r="AG144" s="5">
        <f t="shared" ref="AG144:AG183" si="119">($S144-$S143)/$D$8*($V144+$X144)*J$13+($S144-$S143)/$D$9*($W144+$Y144)*J$14+AG143</f>
        <v>0</v>
      </c>
      <c r="AH144" s="5">
        <f t="shared" ref="AH144:AH183" si="120">($S144-$S143)/$D$8*($V144+$X144)*K$13+($S144-$S143)/$D$9*($W144+$Y144)*K$14+AH143</f>
        <v>0</v>
      </c>
      <c r="AI144" s="5">
        <f t="shared" ref="AI144" si="121">($S144-$S143)/$D$8*($V144+$X144)*L$13+($S144-$S143)/$D$9*($W144+$Y144)*L$14+AI143</f>
        <v>0</v>
      </c>
      <c r="AJ144" s="5">
        <f t="shared" ref="AJ144" si="122">($S144-$S143)/$D$8*($V144+$X144)*M$13+($S144-$S143)/$D$9*($W144+$Y144)*M$14+AJ143</f>
        <v>0.36666666666666664</v>
      </c>
      <c r="AK144" s="5">
        <f t="shared" ref="AK144" si="123">($S144-$S143)/$D$8*($V144+$X144)*N$13+($S144-$S143)/$D$9*($W144+$Y144)*N$14+AK143</f>
        <v>0</v>
      </c>
      <c r="AL144" s="5">
        <f t="shared" ref="AL144" si="124">($S144-$S143)/$D$8*($V144+$X144)*O$13+($S144-$S143)/$D$9*($W144+$Y144)*O$14+AL143</f>
        <v>0</v>
      </c>
      <c r="AM144" s="5">
        <f t="shared" ref="AM144" si="125">($S144-$S143)/$D$8*($V144+$X144)*P$13+($S144-$S143)/$D$9*($W144+$Y144)*P$14+AM143</f>
        <v>25300</v>
      </c>
    </row>
    <row r="145" spans="19:39" x14ac:dyDescent="0.15">
      <c r="S145" s="29">
        <f>基础状态预估!C145</f>
        <v>45</v>
      </c>
      <c r="T145" s="29">
        <f>基础状态预估!D145</f>
        <v>64.399012521055653</v>
      </c>
      <c r="U145" s="29">
        <f t="shared" si="99"/>
        <v>2100</v>
      </c>
      <c r="V145" s="50">
        <f t="shared" si="109"/>
        <v>10</v>
      </c>
      <c r="W145" s="50">
        <f t="shared" si="110"/>
        <v>0</v>
      </c>
      <c r="X145" s="50">
        <f t="shared" si="111"/>
        <v>1</v>
      </c>
      <c r="Y145" s="50">
        <f t="shared" si="112"/>
        <v>0</v>
      </c>
      <c r="Z145" s="50">
        <f t="shared" ref="Z145:Z183" si="126">(S145-S144)/$D$8*(V145*$F$8+W145*$F$9+X145*$O$8+Y145*$O$9)+Z144</f>
        <v>13960</v>
      </c>
      <c r="AA145" s="5">
        <f t="shared" si="113"/>
        <v>55</v>
      </c>
      <c r="AB145" s="5">
        <f t="shared" si="114"/>
        <v>55</v>
      </c>
      <c r="AC145" s="5">
        <f t="shared" si="115"/>
        <v>30.799999999999997</v>
      </c>
      <c r="AD145" s="5">
        <f t="shared" si="116"/>
        <v>13.2</v>
      </c>
      <c r="AE145" s="5">
        <f t="shared" si="117"/>
        <v>0</v>
      </c>
      <c r="AF145" s="5">
        <f t="shared" si="118"/>
        <v>0</v>
      </c>
      <c r="AG145" s="5">
        <f t="shared" si="119"/>
        <v>0</v>
      </c>
      <c r="AH145" s="5">
        <f t="shared" si="120"/>
        <v>0</v>
      </c>
      <c r="AI145" s="5">
        <f t="shared" ref="AI145:AI183" si="127">($S145-$S144)/$D$8*($V145+$X145)*L$13+($S145-$S144)/$D$9*($W145+$Y145)*L$14+AI144</f>
        <v>0</v>
      </c>
      <c r="AJ145" s="5">
        <f t="shared" ref="AJ145:AJ183" si="128">($S145-$S144)/$D$8*($V145+$X145)*M$13+($S145-$S144)/$D$9*($W145+$Y145)*M$14+AJ144</f>
        <v>0.73333333333333328</v>
      </c>
      <c r="AK145" s="5">
        <f t="shared" ref="AK145:AK183" si="129">($S145-$S144)/$D$8*($V145+$X145)*N$13+($S145-$S144)/$D$9*($W145+$Y145)*N$14+AK144</f>
        <v>0</v>
      </c>
      <c r="AL145" s="5">
        <f t="shared" ref="AL145:AL183" si="130">($S145-$S144)/$D$8*($V145+$X145)*O$13+($S145-$S144)/$D$9*($W145+$Y145)*O$14+AL144</f>
        <v>0</v>
      </c>
      <c r="AM145" s="5">
        <f t="shared" ref="AM145:AM183" si="131">($S145-$S144)/$D$8*($V145+$X145)*P$13+($S145-$S144)/$D$9*($W145+$Y145)*P$14+AM144</f>
        <v>50600</v>
      </c>
    </row>
    <row r="146" spans="19:39" x14ac:dyDescent="0.15">
      <c r="S146" s="29">
        <f>基础状态预估!C146</f>
        <v>60</v>
      </c>
      <c r="T146" s="29">
        <f>基础状态预估!D146</f>
        <v>68.627579426319684</v>
      </c>
      <c r="U146" s="29">
        <f t="shared" si="99"/>
        <v>2100</v>
      </c>
      <c r="V146" s="50">
        <f t="shared" si="109"/>
        <v>10</v>
      </c>
      <c r="W146" s="50">
        <f t="shared" si="110"/>
        <v>0</v>
      </c>
      <c r="X146" s="50">
        <f t="shared" si="111"/>
        <v>1</v>
      </c>
      <c r="Y146" s="50">
        <f t="shared" si="112"/>
        <v>0</v>
      </c>
      <c r="Z146" s="50">
        <f t="shared" si="126"/>
        <v>20940</v>
      </c>
      <c r="AA146" s="5">
        <f t="shared" si="113"/>
        <v>82.5</v>
      </c>
      <c r="AB146" s="5">
        <f t="shared" si="114"/>
        <v>82.5</v>
      </c>
      <c r="AC146" s="5">
        <f t="shared" si="115"/>
        <v>46.199999999999996</v>
      </c>
      <c r="AD146" s="5">
        <f t="shared" si="116"/>
        <v>19.799999999999997</v>
      </c>
      <c r="AE146" s="5">
        <f t="shared" si="117"/>
        <v>0</v>
      </c>
      <c r="AF146" s="5">
        <f t="shared" si="118"/>
        <v>0</v>
      </c>
      <c r="AG146" s="5">
        <f t="shared" si="119"/>
        <v>0</v>
      </c>
      <c r="AH146" s="5">
        <f t="shared" si="120"/>
        <v>0</v>
      </c>
      <c r="AI146" s="5">
        <f t="shared" si="127"/>
        <v>0</v>
      </c>
      <c r="AJ146" s="5">
        <f t="shared" si="128"/>
        <v>1.0999999999999999</v>
      </c>
      <c r="AK146" s="5">
        <f t="shared" si="129"/>
        <v>0</v>
      </c>
      <c r="AL146" s="5">
        <f t="shared" si="130"/>
        <v>0</v>
      </c>
      <c r="AM146" s="5">
        <f t="shared" si="131"/>
        <v>75900</v>
      </c>
    </row>
    <row r="147" spans="19:39" x14ac:dyDescent="0.15">
      <c r="S147" s="29">
        <f>基础状态预估!C147</f>
        <v>75</v>
      </c>
      <c r="T147" s="29">
        <f>基础状态预估!D147</f>
        <v>71.882008108111634</v>
      </c>
      <c r="U147" s="29">
        <f t="shared" si="99"/>
        <v>2100</v>
      </c>
      <c r="V147" s="50">
        <f t="shared" si="109"/>
        <v>10</v>
      </c>
      <c r="W147" s="50">
        <f t="shared" si="110"/>
        <v>0</v>
      </c>
      <c r="X147" s="50">
        <f t="shared" si="111"/>
        <v>1</v>
      </c>
      <c r="Y147" s="50">
        <f t="shared" si="112"/>
        <v>0</v>
      </c>
      <c r="Z147" s="50">
        <f t="shared" si="126"/>
        <v>27920</v>
      </c>
      <c r="AA147" s="5">
        <f t="shared" si="113"/>
        <v>110</v>
      </c>
      <c r="AB147" s="5">
        <f t="shared" si="114"/>
        <v>110</v>
      </c>
      <c r="AC147" s="5">
        <f t="shared" si="115"/>
        <v>61.599999999999994</v>
      </c>
      <c r="AD147" s="5">
        <f t="shared" si="116"/>
        <v>26.4</v>
      </c>
      <c r="AE147" s="5">
        <f t="shared" si="117"/>
        <v>0</v>
      </c>
      <c r="AF147" s="5">
        <f t="shared" si="118"/>
        <v>0</v>
      </c>
      <c r="AG147" s="5">
        <f t="shared" si="119"/>
        <v>0</v>
      </c>
      <c r="AH147" s="5">
        <f t="shared" si="120"/>
        <v>0</v>
      </c>
      <c r="AI147" s="5">
        <f t="shared" si="127"/>
        <v>0</v>
      </c>
      <c r="AJ147" s="5">
        <f t="shared" si="128"/>
        <v>1.4666666666666666</v>
      </c>
      <c r="AK147" s="5">
        <f t="shared" si="129"/>
        <v>0</v>
      </c>
      <c r="AL147" s="5">
        <f t="shared" si="130"/>
        <v>0</v>
      </c>
      <c r="AM147" s="5">
        <f t="shared" si="131"/>
        <v>101200</v>
      </c>
    </row>
    <row r="148" spans="19:39" x14ac:dyDescent="0.15">
      <c r="S148" s="29">
        <f>基础状态预估!C148</f>
        <v>90</v>
      </c>
      <c r="T148" s="29">
        <f>基础状态预估!D148</f>
        <v>74.493385467679886</v>
      </c>
      <c r="U148" s="29">
        <f t="shared" si="99"/>
        <v>2100</v>
      </c>
      <c r="V148" s="50">
        <f t="shared" si="109"/>
        <v>0</v>
      </c>
      <c r="W148" s="50">
        <f t="shared" si="110"/>
        <v>3.2407407407407409</v>
      </c>
      <c r="X148" s="50">
        <f t="shared" si="111"/>
        <v>1</v>
      </c>
      <c r="Y148" s="50">
        <f t="shared" si="112"/>
        <v>1</v>
      </c>
      <c r="Z148" s="50">
        <f t="shared" si="126"/>
        <v>50020</v>
      </c>
      <c r="AA148" s="5">
        <f t="shared" si="113"/>
        <v>112.5</v>
      </c>
      <c r="AB148" s="5">
        <f t="shared" si="114"/>
        <v>112.5</v>
      </c>
      <c r="AC148" s="5">
        <f t="shared" si="115"/>
        <v>71.905555555555551</v>
      </c>
      <c r="AD148" s="5">
        <f t="shared" si="116"/>
        <v>30.816666666666663</v>
      </c>
      <c r="AE148" s="5">
        <f t="shared" si="117"/>
        <v>3.8166666666666664</v>
      </c>
      <c r="AF148" s="5">
        <f t="shared" si="118"/>
        <v>0.42407407407407405</v>
      </c>
      <c r="AG148" s="5">
        <f t="shared" si="119"/>
        <v>0</v>
      </c>
      <c r="AH148" s="5">
        <f t="shared" si="120"/>
        <v>0</v>
      </c>
      <c r="AI148" s="5">
        <f t="shared" si="127"/>
        <v>0</v>
      </c>
      <c r="AJ148" s="5">
        <f t="shared" si="128"/>
        <v>1.5</v>
      </c>
      <c r="AK148" s="5">
        <f t="shared" si="129"/>
        <v>0</v>
      </c>
      <c r="AL148" s="5">
        <f t="shared" si="130"/>
        <v>8.4814814814814815E-2</v>
      </c>
      <c r="AM148" s="5">
        <f t="shared" si="131"/>
        <v>126824.07407407407</v>
      </c>
    </row>
    <row r="149" spans="19:39" x14ac:dyDescent="0.15">
      <c r="S149" s="29">
        <f>基础状态预估!C149</f>
        <v>105</v>
      </c>
      <c r="T149" s="29">
        <f>基础状态预估!D149</f>
        <v>76.672104206565521</v>
      </c>
      <c r="U149" s="29">
        <f t="shared" si="99"/>
        <v>2100</v>
      </c>
      <c r="V149" s="50">
        <f t="shared" si="109"/>
        <v>0</v>
      </c>
      <c r="W149" s="50">
        <f t="shared" si="110"/>
        <v>3.2407407407407409</v>
      </c>
      <c r="X149" s="50">
        <f t="shared" si="111"/>
        <v>1</v>
      </c>
      <c r="Y149" s="50">
        <f t="shared" si="112"/>
        <v>1</v>
      </c>
      <c r="Z149" s="50">
        <f t="shared" si="126"/>
        <v>72120</v>
      </c>
      <c r="AA149" s="5">
        <f t="shared" si="113"/>
        <v>115</v>
      </c>
      <c r="AB149" s="5">
        <f t="shared" si="114"/>
        <v>115</v>
      </c>
      <c r="AC149" s="5">
        <f t="shared" si="115"/>
        <v>82.211111111111109</v>
      </c>
      <c r="AD149" s="5">
        <f t="shared" si="116"/>
        <v>35.233333333333327</v>
      </c>
      <c r="AE149" s="5">
        <f t="shared" si="117"/>
        <v>7.6333333333333329</v>
      </c>
      <c r="AF149" s="5">
        <f t="shared" si="118"/>
        <v>0.8481481481481481</v>
      </c>
      <c r="AG149" s="5">
        <f t="shared" si="119"/>
        <v>0</v>
      </c>
      <c r="AH149" s="5">
        <f t="shared" si="120"/>
        <v>0</v>
      </c>
      <c r="AI149" s="5">
        <f t="shared" si="127"/>
        <v>0</v>
      </c>
      <c r="AJ149" s="5">
        <f t="shared" si="128"/>
        <v>1.5333333333333334</v>
      </c>
      <c r="AK149" s="5">
        <f t="shared" si="129"/>
        <v>0</v>
      </c>
      <c r="AL149" s="5">
        <f t="shared" si="130"/>
        <v>0.16962962962962963</v>
      </c>
      <c r="AM149" s="5">
        <f t="shared" si="131"/>
        <v>152448.14814814815</v>
      </c>
    </row>
    <row r="150" spans="19:39" x14ac:dyDescent="0.15">
      <c r="S150" s="29">
        <f>基础状态预估!C150</f>
        <v>120</v>
      </c>
      <c r="T150" s="29">
        <f>基础状态预估!D150</f>
        <v>78.608065926757661</v>
      </c>
      <c r="U150" s="29">
        <f t="shared" si="99"/>
        <v>2100</v>
      </c>
      <c r="V150" s="50">
        <f t="shared" si="109"/>
        <v>0</v>
      </c>
      <c r="W150" s="50">
        <f t="shared" si="110"/>
        <v>3.2407407407407409</v>
      </c>
      <c r="X150" s="50">
        <f t="shared" si="111"/>
        <v>1</v>
      </c>
      <c r="Y150" s="50">
        <f t="shared" si="112"/>
        <v>1</v>
      </c>
      <c r="Z150" s="50">
        <f t="shared" si="126"/>
        <v>94220</v>
      </c>
      <c r="AA150" s="5">
        <f t="shared" si="113"/>
        <v>117.5</v>
      </c>
      <c r="AB150" s="5">
        <f t="shared" si="114"/>
        <v>117.5</v>
      </c>
      <c r="AC150" s="5">
        <f t="shared" si="115"/>
        <v>92.516666666666666</v>
      </c>
      <c r="AD150" s="5">
        <f t="shared" si="116"/>
        <v>39.649999999999991</v>
      </c>
      <c r="AE150" s="5">
        <f t="shared" si="117"/>
        <v>11.45</v>
      </c>
      <c r="AF150" s="5">
        <f t="shared" si="118"/>
        <v>1.2722222222222221</v>
      </c>
      <c r="AG150" s="5">
        <f t="shared" si="119"/>
        <v>0</v>
      </c>
      <c r="AH150" s="5">
        <f t="shared" si="120"/>
        <v>0</v>
      </c>
      <c r="AI150" s="5">
        <f t="shared" si="127"/>
        <v>0</v>
      </c>
      <c r="AJ150" s="5">
        <f t="shared" si="128"/>
        <v>1.5666666666666669</v>
      </c>
      <c r="AK150" s="5">
        <f t="shared" si="129"/>
        <v>0</v>
      </c>
      <c r="AL150" s="5">
        <f t="shared" si="130"/>
        <v>0.25444444444444447</v>
      </c>
      <c r="AM150" s="5">
        <f t="shared" si="131"/>
        <v>178072.22222222222</v>
      </c>
    </row>
    <row r="151" spans="19:39" x14ac:dyDescent="0.15">
      <c r="S151" s="29">
        <f>基础状态预估!C151</f>
        <v>150</v>
      </c>
      <c r="T151" s="29">
        <f>基础状态预估!D151</f>
        <v>81.919202803497143</v>
      </c>
      <c r="U151" s="29">
        <f t="shared" si="99"/>
        <v>2100</v>
      </c>
      <c r="V151" s="50">
        <f t="shared" si="109"/>
        <v>0</v>
      </c>
      <c r="W151" s="50">
        <f t="shared" si="110"/>
        <v>3.2407407407407409</v>
      </c>
      <c r="X151" s="50">
        <f t="shared" si="111"/>
        <v>1</v>
      </c>
      <c r="Y151" s="50">
        <f t="shared" si="112"/>
        <v>1</v>
      </c>
      <c r="Z151" s="50">
        <f t="shared" si="126"/>
        <v>138420</v>
      </c>
      <c r="AA151" s="5">
        <f t="shared" si="113"/>
        <v>122.5</v>
      </c>
      <c r="AB151" s="5">
        <f t="shared" si="114"/>
        <v>122.5</v>
      </c>
      <c r="AC151" s="5">
        <f t="shared" si="115"/>
        <v>113.12777777777777</v>
      </c>
      <c r="AD151" s="5">
        <f t="shared" si="116"/>
        <v>48.48333333333332</v>
      </c>
      <c r="AE151" s="5">
        <f t="shared" si="117"/>
        <v>19.083333333333332</v>
      </c>
      <c r="AF151" s="5">
        <f t="shared" si="118"/>
        <v>2.1203703703703702</v>
      </c>
      <c r="AG151" s="5">
        <f t="shared" si="119"/>
        <v>0</v>
      </c>
      <c r="AH151" s="5">
        <f t="shared" si="120"/>
        <v>0</v>
      </c>
      <c r="AI151" s="5">
        <f t="shared" si="127"/>
        <v>0</v>
      </c>
      <c r="AJ151" s="5">
        <f t="shared" si="128"/>
        <v>1.6333333333333335</v>
      </c>
      <c r="AK151" s="5">
        <f t="shared" si="129"/>
        <v>0</v>
      </c>
      <c r="AL151" s="5">
        <f t="shared" si="130"/>
        <v>0.4240740740740741</v>
      </c>
      <c r="AM151" s="5">
        <f t="shared" si="131"/>
        <v>229320.37037037036</v>
      </c>
    </row>
    <row r="152" spans="19:39" x14ac:dyDescent="0.15">
      <c r="S152" s="29">
        <f>基础状态预估!C152</f>
        <v>180</v>
      </c>
      <c r="T152" s="29">
        <f>基础状态预估!D152</f>
        <v>84.557504671530296</v>
      </c>
      <c r="U152" s="29">
        <f t="shared" si="99"/>
        <v>2100</v>
      </c>
      <c r="V152" s="50">
        <f t="shared" si="109"/>
        <v>0</v>
      </c>
      <c r="W152" s="50">
        <f t="shared" si="110"/>
        <v>3.2407407407407409</v>
      </c>
      <c r="X152" s="50">
        <f t="shared" si="111"/>
        <v>1</v>
      </c>
      <c r="Y152" s="50">
        <f t="shared" si="112"/>
        <v>1</v>
      </c>
      <c r="Z152" s="50">
        <f t="shared" si="126"/>
        <v>182620</v>
      </c>
      <c r="AA152" s="5">
        <f t="shared" si="113"/>
        <v>127.5</v>
      </c>
      <c r="AB152" s="5">
        <f t="shared" si="114"/>
        <v>127.5</v>
      </c>
      <c r="AC152" s="5">
        <f t="shared" si="115"/>
        <v>133.73888888888888</v>
      </c>
      <c r="AD152" s="5">
        <f t="shared" si="116"/>
        <v>57.316666666666649</v>
      </c>
      <c r="AE152" s="5">
        <f t="shared" si="117"/>
        <v>26.716666666666665</v>
      </c>
      <c r="AF152" s="5">
        <f t="shared" si="118"/>
        <v>2.9685185185185183</v>
      </c>
      <c r="AG152" s="5">
        <f t="shared" si="119"/>
        <v>0</v>
      </c>
      <c r="AH152" s="5">
        <f t="shared" si="120"/>
        <v>0</v>
      </c>
      <c r="AI152" s="5">
        <f t="shared" si="127"/>
        <v>0</v>
      </c>
      <c r="AJ152" s="5">
        <f t="shared" si="128"/>
        <v>1.7000000000000002</v>
      </c>
      <c r="AK152" s="5">
        <f t="shared" si="129"/>
        <v>0</v>
      </c>
      <c r="AL152" s="5">
        <f t="shared" si="130"/>
        <v>0.59370370370370373</v>
      </c>
      <c r="AM152" s="5">
        <f t="shared" si="131"/>
        <v>280568.51851851854</v>
      </c>
    </row>
    <row r="153" spans="19:39" x14ac:dyDescent="0.15">
      <c r="S153" s="29">
        <f>基础状态预估!C153</f>
        <v>210</v>
      </c>
      <c r="T153" s="29">
        <f>基础状态预估!D153</f>
        <v>86.804267332174788</v>
      </c>
      <c r="U153" s="29">
        <f t="shared" si="99"/>
        <v>2100</v>
      </c>
      <c r="V153" s="50">
        <f t="shared" si="109"/>
        <v>0</v>
      </c>
      <c r="W153" s="50">
        <f t="shared" si="110"/>
        <v>3.2407407407407409</v>
      </c>
      <c r="X153" s="50">
        <f t="shared" si="111"/>
        <v>1</v>
      </c>
      <c r="Y153" s="50">
        <f t="shared" si="112"/>
        <v>1</v>
      </c>
      <c r="Z153" s="50">
        <f t="shared" si="126"/>
        <v>226820</v>
      </c>
      <c r="AA153" s="5">
        <f t="shared" si="113"/>
        <v>132.5</v>
      </c>
      <c r="AB153" s="5">
        <f t="shared" si="114"/>
        <v>132.5</v>
      </c>
      <c r="AC153" s="5">
        <f t="shared" si="115"/>
        <v>154.35</v>
      </c>
      <c r="AD153" s="5">
        <f t="shared" si="116"/>
        <v>66.149999999999977</v>
      </c>
      <c r="AE153" s="5">
        <f t="shared" si="117"/>
        <v>34.349999999999994</v>
      </c>
      <c r="AF153" s="5">
        <f t="shared" si="118"/>
        <v>3.8166666666666664</v>
      </c>
      <c r="AG153" s="5">
        <f t="shared" si="119"/>
        <v>0</v>
      </c>
      <c r="AH153" s="5">
        <f t="shared" si="120"/>
        <v>0</v>
      </c>
      <c r="AI153" s="5">
        <f t="shared" si="127"/>
        <v>0</v>
      </c>
      <c r="AJ153" s="5">
        <f t="shared" si="128"/>
        <v>1.7666666666666668</v>
      </c>
      <c r="AK153" s="5">
        <f t="shared" si="129"/>
        <v>0</v>
      </c>
      <c r="AL153" s="5">
        <f t="shared" si="130"/>
        <v>0.76333333333333342</v>
      </c>
      <c r="AM153" s="5">
        <f t="shared" si="131"/>
        <v>331816.66666666669</v>
      </c>
    </row>
    <row r="154" spans="19:39" x14ac:dyDescent="0.15">
      <c r="S154" s="29">
        <f>基础状态预估!C154</f>
        <v>240</v>
      </c>
      <c r="T154" s="29">
        <f>基础状态预估!D154</f>
        <v>88.978258962579233</v>
      </c>
      <c r="U154" s="29">
        <f t="shared" si="99"/>
        <v>2100</v>
      </c>
      <c r="V154" s="50">
        <f t="shared" si="109"/>
        <v>0</v>
      </c>
      <c r="W154" s="50">
        <f t="shared" si="110"/>
        <v>3.2407407407407409</v>
      </c>
      <c r="X154" s="50">
        <f t="shared" si="111"/>
        <v>1</v>
      </c>
      <c r="Y154" s="50">
        <f t="shared" si="112"/>
        <v>1</v>
      </c>
      <c r="Z154" s="50">
        <f t="shared" si="126"/>
        <v>271020</v>
      </c>
      <c r="AA154" s="5">
        <f t="shared" si="113"/>
        <v>137.5</v>
      </c>
      <c r="AB154" s="5">
        <f t="shared" si="114"/>
        <v>137.5</v>
      </c>
      <c r="AC154" s="5">
        <f t="shared" si="115"/>
        <v>174.96111111111111</v>
      </c>
      <c r="AD154" s="5">
        <f t="shared" si="116"/>
        <v>74.983333333333306</v>
      </c>
      <c r="AE154" s="5">
        <f t="shared" si="117"/>
        <v>41.983333333333327</v>
      </c>
      <c r="AF154" s="5">
        <f t="shared" si="118"/>
        <v>4.6648148148148145</v>
      </c>
      <c r="AG154" s="5">
        <f t="shared" si="119"/>
        <v>0</v>
      </c>
      <c r="AH154" s="5">
        <f t="shared" si="120"/>
        <v>0</v>
      </c>
      <c r="AI154" s="5">
        <f t="shared" si="127"/>
        <v>0</v>
      </c>
      <c r="AJ154" s="5">
        <f t="shared" si="128"/>
        <v>1.8333333333333335</v>
      </c>
      <c r="AK154" s="5">
        <f t="shared" si="129"/>
        <v>0</v>
      </c>
      <c r="AL154" s="5">
        <f t="shared" si="130"/>
        <v>0.93296296296296299</v>
      </c>
      <c r="AM154" s="5">
        <f t="shared" si="131"/>
        <v>383064.81481481483</v>
      </c>
    </row>
    <row r="155" spans="19:39" x14ac:dyDescent="0.15">
      <c r="S155" s="29">
        <f>基础状态预估!C155</f>
        <v>270</v>
      </c>
      <c r="T155" s="29">
        <f>基础状态预估!D155</f>
        <v>90.852534040676616</v>
      </c>
      <c r="U155" s="29">
        <f t="shared" si="99"/>
        <v>2100</v>
      </c>
      <c r="V155" s="50">
        <f t="shared" si="109"/>
        <v>0</v>
      </c>
      <c r="W155" s="50">
        <f t="shared" si="110"/>
        <v>3.2407407407407409</v>
      </c>
      <c r="X155" s="50">
        <f t="shared" si="111"/>
        <v>1</v>
      </c>
      <c r="Y155" s="50">
        <f t="shared" si="112"/>
        <v>1</v>
      </c>
      <c r="Z155" s="50">
        <f t="shared" si="126"/>
        <v>315220</v>
      </c>
      <c r="AA155" s="5">
        <f t="shared" si="113"/>
        <v>142.5</v>
      </c>
      <c r="AB155" s="5">
        <f t="shared" si="114"/>
        <v>142.5</v>
      </c>
      <c r="AC155" s="5">
        <f t="shared" si="115"/>
        <v>195.57222222222222</v>
      </c>
      <c r="AD155" s="5">
        <f t="shared" si="116"/>
        <v>83.816666666666634</v>
      </c>
      <c r="AE155" s="5">
        <f t="shared" si="117"/>
        <v>49.61666666666666</v>
      </c>
      <c r="AF155" s="5">
        <f t="shared" si="118"/>
        <v>5.5129629629629626</v>
      </c>
      <c r="AG155" s="5">
        <f t="shared" si="119"/>
        <v>0</v>
      </c>
      <c r="AH155" s="5">
        <f t="shared" si="120"/>
        <v>0</v>
      </c>
      <c r="AI155" s="5">
        <f t="shared" si="127"/>
        <v>0</v>
      </c>
      <c r="AJ155" s="5">
        <f t="shared" si="128"/>
        <v>1.9000000000000001</v>
      </c>
      <c r="AK155" s="5">
        <f t="shared" si="129"/>
        <v>0</v>
      </c>
      <c r="AL155" s="5">
        <f t="shared" si="130"/>
        <v>1.1025925925925926</v>
      </c>
      <c r="AM155" s="5">
        <f t="shared" si="131"/>
        <v>434312.96296296298</v>
      </c>
    </row>
    <row r="156" spans="19:39" x14ac:dyDescent="0.15">
      <c r="S156" s="29">
        <f>基础状态预估!C156</f>
        <v>300</v>
      </c>
      <c r="T156" s="29">
        <f>基础状态预估!D156</f>
        <v>92.422409073065808</v>
      </c>
      <c r="U156" s="29">
        <f t="shared" si="99"/>
        <v>2100</v>
      </c>
      <c r="V156" s="50">
        <f t="shared" si="109"/>
        <v>0</v>
      </c>
      <c r="W156" s="50">
        <f t="shared" si="110"/>
        <v>3.2407407407407409</v>
      </c>
      <c r="X156" s="50">
        <f t="shared" si="111"/>
        <v>1</v>
      </c>
      <c r="Y156" s="50">
        <f t="shared" si="112"/>
        <v>1</v>
      </c>
      <c r="Z156" s="50">
        <f t="shared" si="126"/>
        <v>359420</v>
      </c>
      <c r="AA156" s="5">
        <f t="shared" si="113"/>
        <v>147.5</v>
      </c>
      <c r="AB156" s="5">
        <f t="shared" si="114"/>
        <v>147.5</v>
      </c>
      <c r="AC156" s="5">
        <f t="shared" si="115"/>
        <v>216.18333333333334</v>
      </c>
      <c r="AD156" s="5">
        <f t="shared" si="116"/>
        <v>92.649999999999963</v>
      </c>
      <c r="AE156" s="5">
        <f t="shared" si="117"/>
        <v>57.249999999999993</v>
      </c>
      <c r="AF156" s="5">
        <f t="shared" si="118"/>
        <v>6.3611111111111107</v>
      </c>
      <c r="AG156" s="5">
        <f t="shared" si="119"/>
        <v>0</v>
      </c>
      <c r="AH156" s="5">
        <f t="shared" si="120"/>
        <v>0</v>
      </c>
      <c r="AI156" s="5">
        <f t="shared" si="127"/>
        <v>0</v>
      </c>
      <c r="AJ156" s="5">
        <f t="shared" si="128"/>
        <v>1.9666666666666668</v>
      </c>
      <c r="AK156" s="5">
        <f t="shared" si="129"/>
        <v>0</v>
      </c>
      <c r="AL156" s="5">
        <f t="shared" si="130"/>
        <v>1.2722222222222221</v>
      </c>
      <c r="AM156" s="5">
        <f t="shared" si="131"/>
        <v>485561.11111111112</v>
      </c>
    </row>
    <row r="157" spans="19:39" x14ac:dyDescent="0.15">
      <c r="S157" s="29">
        <f>基础状态预估!C157</f>
        <v>360</v>
      </c>
      <c r="T157" s="29">
        <f>基础状态预估!D157</f>
        <v>95.182038399947245</v>
      </c>
      <c r="U157" s="29">
        <f t="shared" si="99"/>
        <v>2100</v>
      </c>
      <c r="V157" s="50">
        <f t="shared" si="109"/>
        <v>0</v>
      </c>
      <c r="W157" s="50">
        <f t="shared" si="110"/>
        <v>3.2407407407407409</v>
      </c>
      <c r="X157" s="50">
        <f t="shared" si="111"/>
        <v>1</v>
      </c>
      <c r="Y157" s="50">
        <f t="shared" si="112"/>
        <v>1</v>
      </c>
      <c r="Z157" s="50">
        <f t="shared" si="126"/>
        <v>447820</v>
      </c>
      <c r="AA157" s="5">
        <f t="shared" si="113"/>
        <v>157.5</v>
      </c>
      <c r="AB157" s="5">
        <f t="shared" si="114"/>
        <v>157.5</v>
      </c>
      <c r="AC157" s="5">
        <f t="shared" si="115"/>
        <v>257.40555555555557</v>
      </c>
      <c r="AD157" s="5">
        <f t="shared" si="116"/>
        <v>110.31666666666663</v>
      </c>
      <c r="AE157" s="5">
        <f t="shared" si="117"/>
        <v>72.516666666666652</v>
      </c>
      <c r="AF157" s="5">
        <f t="shared" si="118"/>
        <v>8.0574074074074069</v>
      </c>
      <c r="AG157" s="5">
        <f t="shared" si="119"/>
        <v>0</v>
      </c>
      <c r="AH157" s="5">
        <f t="shared" si="120"/>
        <v>0</v>
      </c>
      <c r="AI157" s="5">
        <f t="shared" si="127"/>
        <v>0</v>
      </c>
      <c r="AJ157" s="5">
        <f t="shared" si="128"/>
        <v>2.1</v>
      </c>
      <c r="AK157" s="5">
        <f t="shared" si="129"/>
        <v>0</v>
      </c>
      <c r="AL157" s="5">
        <f t="shared" si="130"/>
        <v>1.6114814814814813</v>
      </c>
      <c r="AM157" s="5">
        <f t="shared" si="131"/>
        <v>588057.40740740742</v>
      </c>
    </row>
    <row r="158" spans="19:39" x14ac:dyDescent="0.15">
      <c r="S158" s="29">
        <f>基础状态预估!C158</f>
        <v>420</v>
      </c>
      <c r="T158" s="29">
        <f>基础状态预估!D158</f>
        <v>97.317333988949088</v>
      </c>
      <c r="U158" s="29">
        <f t="shared" si="99"/>
        <v>2100</v>
      </c>
      <c r="V158" s="50">
        <f t="shared" si="109"/>
        <v>0</v>
      </c>
      <c r="W158" s="50">
        <f t="shared" si="110"/>
        <v>3.2407407407407409</v>
      </c>
      <c r="X158" s="50">
        <f t="shared" si="111"/>
        <v>1</v>
      </c>
      <c r="Y158" s="50">
        <f t="shared" si="112"/>
        <v>1</v>
      </c>
      <c r="Z158" s="50">
        <f t="shared" si="126"/>
        <v>536220</v>
      </c>
      <c r="AA158" s="5">
        <f t="shared" si="113"/>
        <v>167.5</v>
      </c>
      <c r="AB158" s="5">
        <f t="shared" si="114"/>
        <v>167.5</v>
      </c>
      <c r="AC158" s="5">
        <f t="shared" si="115"/>
        <v>298.62777777777779</v>
      </c>
      <c r="AD158" s="5">
        <f t="shared" si="116"/>
        <v>127.98333333333329</v>
      </c>
      <c r="AE158" s="5">
        <f t="shared" si="117"/>
        <v>87.783333333333317</v>
      </c>
      <c r="AF158" s="5">
        <f t="shared" si="118"/>
        <v>9.7537037037037031</v>
      </c>
      <c r="AG158" s="5">
        <f t="shared" si="119"/>
        <v>0</v>
      </c>
      <c r="AH158" s="5">
        <f t="shared" si="120"/>
        <v>0</v>
      </c>
      <c r="AI158" s="5">
        <f t="shared" si="127"/>
        <v>0</v>
      </c>
      <c r="AJ158" s="5">
        <f t="shared" si="128"/>
        <v>2.2333333333333334</v>
      </c>
      <c r="AK158" s="5">
        <f t="shared" si="129"/>
        <v>0</v>
      </c>
      <c r="AL158" s="5">
        <f t="shared" si="130"/>
        <v>1.9507407407407404</v>
      </c>
      <c r="AM158" s="5">
        <f t="shared" si="131"/>
        <v>690553.70370370371</v>
      </c>
    </row>
    <row r="159" spans="19:39" x14ac:dyDescent="0.15">
      <c r="S159" s="29">
        <f>基础状态预估!C159</f>
        <v>480</v>
      </c>
      <c r="T159" s="29">
        <f>基础状态预估!D159</f>
        <v>99.140144664710178</v>
      </c>
      <c r="U159" s="29">
        <f t="shared" si="99"/>
        <v>2100</v>
      </c>
      <c r="V159" s="50">
        <f t="shared" si="109"/>
        <v>0</v>
      </c>
      <c r="W159" s="50">
        <f t="shared" si="110"/>
        <v>3.2407407407407409</v>
      </c>
      <c r="X159" s="50">
        <f t="shared" si="111"/>
        <v>1</v>
      </c>
      <c r="Y159" s="50">
        <f t="shared" si="112"/>
        <v>1</v>
      </c>
      <c r="Z159" s="50">
        <f t="shared" si="126"/>
        <v>624620</v>
      </c>
      <c r="AA159" s="5">
        <f t="shared" si="113"/>
        <v>177.5</v>
      </c>
      <c r="AB159" s="5">
        <f t="shared" si="114"/>
        <v>177.5</v>
      </c>
      <c r="AC159" s="5">
        <f t="shared" si="115"/>
        <v>339.85</v>
      </c>
      <c r="AD159" s="5">
        <f t="shared" si="116"/>
        <v>145.64999999999995</v>
      </c>
      <c r="AE159" s="5">
        <f t="shared" si="117"/>
        <v>103.04999999999998</v>
      </c>
      <c r="AF159" s="5">
        <f t="shared" si="118"/>
        <v>11.45</v>
      </c>
      <c r="AG159" s="5">
        <f t="shared" si="119"/>
        <v>0</v>
      </c>
      <c r="AH159" s="5">
        <f t="shared" si="120"/>
        <v>0</v>
      </c>
      <c r="AI159" s="5">
        <f t="shared" si="127"/>
        <v>0</v>
      </c>
      <c r="AJ159" s="5">
        <f t="shared" si="128"/>
        <v>2.3666666666666667</v>
      </c>
      <c r="AK159" s="5">
        <f t="shared" si="129"/>
        <v>0</v>
      </c>
      <c r="AL159" s="5">
        <f t="shared" si="130"/>
        <v>2.2899999999999996</v>
      </c>
      <c r="AM159" s="5">
        <f t="shared" si="131"/>
        <v>793050</v>
      </c>
    </row>
    <row r="160" spans="19:39" x14ac:dyDescent="0.15">
      <c r="S160" s="29">
        <f>基础状态预估!C160</f>
        <v>540</v>
      </c>
      <c r="T160" s="29">
        <f>基础状态预估!D160</f>
        <v>100.94083826848818</v>
      </c>
      <c r="U160" s="29">
        <f t="shared" si="99"/>
        <v>2100</v>
      </c>
      <c r="V160" s="50">
        <f t="shared" si="109"/>
        <v>0</v>
      </c>
      <c r="W160" s="50">
        <f t="shared" si="110"/>
        <v>3.2407407407407409</v>
      </c>
      <c r="X160" s="50">
        <f t="shared" si="111"/>
        <v>1</v>
      </c>
      <c r="Y160" s="50">
        <f t="shared" si="112"/>
        <v>1</v>
      </c>
      <c r="Z160" s="50">
        <f t="shared" si="126"/>
        <v>713020</v>
      </c>
      <c r="AA160" s="5">
        <f t="shared" si="113"/>
        <v>187.5</v>
      </c>
      <c r="AB160" s="5">
        <f t="shared" si="114"/>
        <v>187.5</v>
      </c>
      <c r="AC160" s="5">
        <f t="shared" si="115"/>
        <v>381.07222222222225</v>
      </c>
      <c r="AD160" s="5">
        <f t="shared" si="116"/>
        <v>163.31666666666661</v>
      </c>
      <c r="AE160" s="5">
        <f t="shared" si="117"/>
        <v>118.31666666666665</v>
      </c>
      <c r="AF160" s="5">
        <f t="shared" si="118"/>
        <v>13.146296296296295</v>
      </c>
      <c r="AG160" s="5">
        <f t="shared" si="119"/>
        <v>0</v>
      </c>
      <c r="AH160" s="5">
        <f t="shared" si="120"/>
        <v>0</v>
      </c>
      <c r="AI160" s="5">
        <f t="shared" si="127"/>
        <v>0</v>
      </c>
      <c r="AJ160" s="5">
        <f t="shared" si="128"/>
        <v>2.5</v>
      </c>
      <c r="AK160" s="5">
        <f t="shared" si="129"/>
        <v>0</v>
      </c>
      <c r="AL160" s="5">
        <f t="shared" si="130"/>
        <v>2.6292592592592587</v>
      </c>
      <c r="AM160" s="5">
        <f t="shared" si="131"/>
        <v>895546.29629629629</v>
      </c>
    </row>
    <row r="161" spans="19:39" x14ac:dyDescent="0.15">
      <c r="S161" s="29">
        <f>基础状态预估!C161</f>
        <v>600</v>
      </c>
      <c r="T161" s="29">
        <f>基础状态预估!D161</f>
        <v>102.53646170914388</v>
      </c>
      <c r="U161" s="29">
        <f t="shared" si="99"/>
        <v>2100</v>
      </c>
      <c r="V161" s="50">
        <f t="shared" si="109"/>
        <v>0</v>
      </c>
      <c r="W161" s="50">
        <f t="shared" si="110"/>
        <v>3.2407407407407409</v>
      </c>
      <c r="X161" s="50">
        <f t="shared" si="111"/>
        <v>1</v>
      </c>
      <c r="Y161" s="50">
        <f t="shared" si="112"/>
        <v>1</v>
      </c>
      <c r="Z161" s="50">
        <f t="shared" si="126"/>
        <v>801420</v>
      </c>
      <c r="AA161" s="5">
        <f t="shared" si="113"/>
        <v>197.5</v>
      </c>
      <c r="AB161" s="5">
        <f t="shared" si="114"/>
        <v>197.5</v>
      </c>
      <c r="AC161" s="5">
        <f t="shared" si="115"/>
        <v>422.29444444444448</v>
      </c>
      <c r="AD161" s="5">
        <f t="shared" si="116"/>
        <v>180.98333333333326</v>
      </c>
      <c r="AE161" s="5">
        <f t="shared" si="117"/>
        <v>133.58333333333331</v>
      </c>
      <c r="AF161" s="5">
        <f t="shared" si="118"/>
        <v>14.842592592592592</v>
      </c>
      <c r="AG161" s="5">
        <f t="shared" si="119"/>
        <v>0</v>
      </c>
      <c r="AH161" s="5">
        <f t="shared" si="120"/>
        <v>0</v>
      </c>
      <c r="AI161" s="5">
        <f t="shared" si="127"/>
        <v>0</v>
      </c>
      <c r="AJ161" s="5">
        <f t="shared" si="128"/>
        <v>2.6333333333333333</v>
      </c>
      <c r="AK161" s="5">
        <f t="shared" si="129"/>
        <v>0</v>
      </c>
      <c r="AL161" s="5">
        <f t="shared" si="130"/>
        <v>2.9685185185185179</v>
      </c>
      <c r="AM161" s="5">
        <f t="shared" si="131"/>
        <v>998042.59259259258</v>
      </c>
    </row>
    <row r="162" spans="19:39" x14ac:dyDescent="0.15">
      <c r="S162" s="29">
        <f>基础状态预估!C162</f>
        <v>660</v>
      </c>
      <c r="T162" s="29">
        <f>基础状态预估!D162</f>
        <v>103.88940348646028</v>
      </c>
      <c r="U162" s="29">
        <f t="shared" si="99"/>
        <v>2100</v>
      </c>
      <c r="V162" s="50">
        <f t="shared" si="109"/>
        <v>0</v>
      </c>
      <c r="W162" s="50">
        <f t="shared" si="110"/>
        <v>3.2407407407407409</v>
      </c>
      <c r="X162" s="50">
        <f t="shared" si="111"/>
        <v>1</v>
      </c>
      <c r="Y162" s="50">
        <f t="shared" si="112"/>
        <v>1</v>
      </c>
      <c r="Z162" s="50">
        <f t="shared" si="126"/>
        <v>889820</v>
      </c>
      <c r="AA162" s="5">
        <f t="shared" si="113"/>
        <v>207.5</v>
      </c>
      <c r="AB162" s="5">
        <f t="shared" si="114"/>
        <v>207.5</v>
      </c>
      <c r="AC162" s="5">
        <f t="shared" si="115"/>
        <v>463.51666666666671</v>
      </c>
      <c r="AD162" s="5">
        <f t="shared" si="116"/>
        <v>198.64999999999992</v>
      </c>
      <c r="AE162" s="5">
        <f t="shared" si="117"/>
        <v>148.84999999999997</v>
      </c>
      <c r="AF162" s="5">
        <f t="shared" si="118"/>
        <v>16.538888888888888</v>
      </c>
      <c r="AG162" s="5">
        <f t="shared" si="119"/>
        <v>0</v>
      </c>
      <c r="AH162" s="5">
        <f t="shared" si="120"/>
        <v>0</v>
      </c>
      <c r="AI162" s="5">
        <f t="shared" si="127"/>
        <v>0</v>
      </c>
      <c r="AJ162" s="5">
        <f t="shared" si="128"/>
        <v>2.7666666666666666</v>
      </c>
      <c r="AK162" s="5">
        <f t="shared" si="129"/>
        <v>0</v>
      </c>
      <c r="AL162" s="5">
        <f t="shared" si="130"/>
        <v>3.307777777777777</v>
      </c>
      <c r="AM162" s="5">
        <f t="shared" si="131"/>
        <v>1100538.888888889</v>
      </c>
    </row>
    <row r="163" spans="19:39" x14ac:dyDescent="0.15">
      <c r="S163" s="29">
        <f>基础状态预估!C163</f>
        <v>720</v>
      </c>
      <c r="T163" s="29">
        <f>基础状态预估!D163</f>
        <v>105.12617440644733</v>
      </c>
      <c r="U163" s="29">
        <f t="shared" si="99"/>
        <v>2100</v>
      </c>
      <c r="V163" s="50">
        <f t="shared" si="109"/>
        <v>0</v>
      </c>
      <c r="W163" s="50">
        <f t="shared" si="110"/>
        <v>3.2407407407407409</v>
      </c>
      <c r="X163" s="50">
        <f t="shared" si="111"/>
        <v>1</v>
      </c>
      <c r="Y163" s="50">
        <f t="shared" si="112"/>
        <v>1</v>
      </c>
      <c r="Z163" s="50">
        <f t="shared" si="126"/>
        <v>978220</v>
      </c>
      <c r="AA163" s="5">
        <f t="shared" si="113"/>
        <v>217.5</v>
      </c>
      <c r="AB163" s="5">
        <f t="shared" si="114"/>
        <v>217.5</v>
      </c>
      <c r="AC163" s="5">
        <f t="shared" si="115"/>
        <v>504.73888888888894</v>
      </c>
      <c r="AD163" s="5">
        <f t="shared" si="116"/>
        <v>216.31666666666658</v>
      </c>
      <c r="AE163" s="5">
        <f t="shared" si="117"/>
        <v>164.11666666666662</v>
      </c>
      <c r="AF163" s="5">
        <f t="shared" si="118"/>
        <v>18.235185185185184</v>
      </c>
      <c r="AG163" s="5">
        <f t="shared" si="119"/>
        <v>0</v>
      </c>
      <c r="AH163" s="5">
        <f t="shared" si="120"/>
        <v>0</v>
      </c>
      <c r="AI163" s="5">
        <f t="shared" si="127"/>
        <v>0</v>
      </c>
      <c r="AJ163" s="5">
        <f t="shared" si="128"/>
        <v>2.9</v>
      </c>
      <c r="AK163" s="5">
        <f t="shared" si="129"/>
        <v>0</v>
      </c>
      <c r="AL163" s="5">
        <f t="shared" si="130"/>
        <v>3.6470370370370362</v>
      </c>
      <c r="AM163" s="5">
        <f t="shared" si="131"/>
        <v>1203035.1851851852</v>
      </c>
    </row>
    <row r="164" spans="19:39" x14ac:dyDescent="0.15">
      <c r="S164" s="29">
        <f>基础状态预估!C164</f>
        <v>780</v>
      </c>
      <c r="T164" s="29">
        <f>基础状态预估!D164</f>
        <v>106.30192050618264</v>
      </c>
      <c r="U164" s="29">
        <f t="shared" si="99"/>
        <v>2100</v>
      </c>
      <c r="V164" s="50">
        <f t="shared" si="109"/>
        <v>0</v>
      </c>
      <c r="W164" s="50">
        <f t="shared" si="110"/>
        <v>3.2407407407407409</v>
      </c>
      <c r="X164" s="50">
        <f t="shared" si="111"/>
        <v>1</v>
      </c>
      <c r="Y164" s="50">
        <f t="shared" si="112"/>
        <v>1</v>
      </c>
      <c r="Z164" s="50">
        <f t="shared" si="126"/>
        <v>1066620</v>
      </c>
      <c r="AA164" s="5">
        <f t="shared" si="113"/>
        <v>227.5</v>
      </c>
      <c r="AB164" s="5">
        <f t="shared" si="114"/>
        <v>227.5</v>
      </c>
      <c r="AC164" s="5">
        <f t="shared" si="115"/>
        <v>545.96111111111111</v>
      </c>
      <c r="AD164" s="5">
        <f t="shared" si="116"/>
        <v>233.98333333333323</v>
      </c>
      <c r="AE164" s="5">
        <f t="shared" si="117"/>
        <v>179.38333333333327</v>
      </c>
      <c r="AF164" s="5">
        <f t="shared" si="118"/>
        <v>19.93148148148148</v>
      </c>
      <c r="AG164" s="5">
        <f t="shared" si="119"/>
        <v>0</v>
      </c>
      <c r="AH164" s="5">
        <f t="shared" si="120"/>
        <v>0</v>
      </c>
      <c r="AI164" s="5">
        <f t="shared" si="127"/>
        <v>0</v>
      </c>
      <c r="AJ164" s="5">
        <f t="shared" si="128"/>
        <v>3.0333333333333332</v>
      </c>
      <c r="AK164" s="5">
        <f t="shared" si="129"/>
        <v>0</v>
      </c>
      <c r="AL164" s="5">
        <f t="shared" si="130"/>
        <v>3.9862962962962953</v>
      </c>
      <c r="AM164" s="5">
        <f t="shared" si="131"/>
        <v>1305531.4814814813</v>
      </c>
    </row>
    <row r="165" spans="19:39" x14ac:dyDescent="0.15">
      <c r="S165" s="29">
        <f>基础状态预估!C165</f>
        <v>840</v>
      </c>
      <c r="T165" s="29">
        <f>基础状态预估!D165</f>
        <v>107.429678558787</v>
      </c>
      <c r="U165" s="29">
        <f t="shared" si="99"/>
        <v>2100</v>
      </c>
      <c r="V165" s="50">
        <f t="shared" si="109"/>
        <v>0</v>
      </c>
      <c r="W165" s="50">
        <f t="shared" si="110"/>
        <v>3.2407407407407409</v>
      </c>
      <c r="X165" s="50">
        <f t="shared" si="111"/>
        <v>1</v>
      </c>
      <c r="Y165" s="50">
        <f t="shared" si="112"/>
        <v>1</v>
      </c>
      <c r="Z165" s="50">
        <f t="shared" si="126"/>
        <v>1155020</v>
      </c>
      <c r="AA165" s="5">
        <f t="shared" si="113"/>
        <v>237.5</v>
      </c>
      <c r="AB165" s="5">
        <f t="shared" si="114"/>
        <v>237.5</v>
      </c>
      <c r="AC165" s="5">
        <f t="shared" si="115"/>
        <v>587.18333333333328</v>
      </c>
      <c r="AD165" s="5">
        <f t="shared" si="116"/>
        <v>251.64999999999989</v>
      </c>
      <c r="AE165" s="5">
        <f t="shared" si="117"/>
        <v>194.64999999999992</v>
      </c>
      <c r="AF165" s="5">
        <f t="shared" si="118"/>
        <v>21.627777777777776</v>
      </c>
      <c r="AG165" s="5">
        <f t="shared" si="119"/>
        <v>0</v>
      </c>
      <c r="AH165" s="5">
        <f t="shared" si="120"/>
        <v>0</v>
      </c>
      <c r="AI165" s="5">
        <f t="shared" si="127"/>
        <v>0</v>
      </c>
      <c r="AJ165" s="5">
        <f t="shared" si="128"/>
        <v>3.1666666666666665</v>
      </c>
      <c r="AK165" s="5">
        <f t="shared" si="129"/>
        <v>0</v>
      </c>
      <c r="AL165" s="5">
        <f t="shared" si="130"/>
        <v>4.3255555555555549</v>
      </c>
      <c r="AM165" s="5">
        <f t="shared" si="131"/>
        <v>1408027.7777777775</v>
      </c>
    </row>
    <row r="166" spans="19:39" x14ac:dyDescent="0.15">
      <c r="S166" s="29">
        <f>基础状态预估!C166</f>
        <v>900</v>
      </c>
      <c r="T166" s="29">
        <f>基础状态预估!D166</f>
        <v>108.47075735973553</v>
      </c>
      <c r="U166" s="29">
        <f t="shared" si="99"/>
        <v>2100</v>
      </c>
      <c r="V166" s="50">
        <f t="shared" si="109"/>
        <v>0</v>
      </c>
      <c r="W166" s="50">
        <f t="shared" si="110"/>
        <v>3.2407407407407409</v>
      </c>
      <c r="X166" s="50">
        <f t="shared" si="111"/>
        <v>1</v>
      </c>
      <c r="Y166" s="50">
        <f t="shared" si="112"/>
        <v>1</v>
      </c>
      <c r="Z166" s="50">
        <f t="shared" si="126"/>
        <v>1243420</v>
      </c>
      <c r="AA166" s="5">
        <f t="shared" si="113"/>
        <v>247.5</v>
      </c>
      <c r="AB166" s="5">
        <f t="shared" si="114"/>
        <v>247.5</v>
      </c>
      <c r="AC166" s="5">
        <f t="shared" si="115"/>
        <v>628.40555555555545</v>
      </c>
      <c r="AD166" s="5">
        <f t="shared" si="116"/>
        <v>269.31666666666655</v>
      </c>
      <c r="AE166" s="5">
        <f t="shared" si="117"/>
        <v>209.91666666666657</v>
      </c>
      <c r="AF166" s="5">
        <f t="shared" si="118"/>
        <v>23.324074074074073</v>
      </c>
      <c r="AG166" s="5">
        <f t="shared" si="119"/>
        <v>0</v>
      </c>
      <c r="AH166" s="5">
        <f t="shared" si="120"/>
        <v>0</v>
      </c>
      <c r="AI166" s="5">
        <f t="shared" si="127"/>
        <v>0</v>
      </c>
      <c r="AJ166" s="5">
        <f t="shared" si="128"/>
        <v>3.3</v>
      </c>
      <c r="AK166" s="5">
        <f t="shared" si="129"/>
        <v>0</v>
      </c>
      <c r="AL166" s="5">
        <f t="shared" si="130"/>
        <v>4.6648148148148145</v>
      </c>
      <c r="AM166" s="5">
        <f t="shared" si="131"/>
        <v>1510524.0740740737</v>
      </c>
    </row>
    <row r="167" spans="19:39" x14ac:dyDescent="0.15">
      <c r="S167" s="29">
        <f>基础状态预估!C167</f>
        <v>1020</v>
      </c>
      <c r="T167" s="29">
        <f>基础状态预估!D167</f>
        <v>110.24744313604209</v>
      </c>
      <c r="U167" s="29">
        <f t="shared" si="99"/>
        <v>2100</v>
      </c>
      <c r="V167" s="50">
        <f t="shared" si="109"/>
        <v>0</v>
      </c>
      <c r="W167" s="50">
        <f t="shared" si="110"/>
        <v>3.2407407407407409</v>
      </c>
      <c r="X167" s="50">
        <f t="shared" si="111"/>
        <v>1</v>
      </c>
      <c r="Y167" s="50">
        <f t="shared" si="112"/>
        <v>1</v>
      </c>
      <c r="Z167" s="50">
        <f t="shared" si="126"/>
        <v>1420220</v>
      </c>
      <c r="AA167" s="5">
        <f t="shared" si="113"/>
        <v>267.5</v>
      </c>
      <c r="AB167" s="5">
        <f t="shared" si="114"/>
        <v>267.5</v>
      </c>
      <c r="AC167" s="5">
        <f t="shared" si="115"/>
        <v>710.84999999999991</v>
      </c>
      <c r="AD167" s="5">
        <f t="shared" si="116"/>
        <v>304.64999999999986</v>
      </c>
      <c r="AE167" s="5">
        <f t="shared" si="117"/>
        <v>240.4499999999999</v>
      </c>
      <c r="AF167" s="5">
        <f t="shared" si="118"/>
        <v>26.716666666666665</v>
      </c>
      <c r="AG167" s="5">
        <f t="shared" si="119"/>
        <v>0</v>
      </c>
      <c r="AH167" s="5">
        <f t="shared" si="120"/>
        <v>0</v>
      </c>
      <c r="AI167" s="5">
        <f t="shared" si="127"/>
        <v>0</v>
      </c>
      <c r="AJ167" s="5">
        <f t="shared" si="128"/>
        <v>3.5666666666666664</v>
      </c>
      <c r="AK167" s="5">
        <f t="shared" si="129"/>
        <v>0</v>
      </c>
      <c r="AL167" s="5">
        <f t="shared" si="130"/>
        <v>5.3433333333333328</v>
      </c>
      <c r="AM167" s="5">
        <f t="shared" si="131"/>
        <v>1715516.6666666663</v>
      </c>
    </row>
    <row r="168" spans="19:39" x14ac:dyDescent="0.15">
      <c r="S168" s="29">
        <f>基础状态预估!C168</f>
        <v>1140</v>
      </c>
      <c r="T168" s="29">
        <f>基础状态预估!D168</f>
        <v>111.80552112822316</v>
      </c>
      <c r="U168" s="29">
        <f t="shared" si="99"/>
        <v>2100</v>
      </c>
      <c r="V168" s="50">
        <f t="shared" si="109"/>
        <v>0</v>
      </c>
      <c r="W168" s="50">
        <f t="shared" si="110"/>
        <v>3.2407407407407409</v>
      </c>
      <c r="X168" s="50">
        <f t="shared" si="111"/>
        <v>1</v>
      </c>
      <c r="Y168" s="50">
        <f t="shared" si="112"/>
        <v>1</v>
      </c>
      <c r="Z168" s="50">
        <f t="shared" si="126"/>
        <v>1597020</v>
      </c>
      <c r="AA168" s="5">
        <f t="shared" si="113"/>
        <v>287.5</v>
      </c>
      <c r="AB168" s="5">
        <f t="shared" si="114"/>
        <v>287.5</v>
      </c>
      <c r="AC168" s="5">
        <f t="shared" si="115"/>
        <v>793.29444444444437</v>
      </c>
      <c r="AD168" s="5">
        <f t="shared" si="116"/>
        <v>339.98333333333318</v>
      </c>
      <c r="AE168" s="5">
        <f t="shared" si="117"/>
        <v>270.98333333333323</v>
      </c>
      <c r="AF168" s="5">
        <f t="shared" si="118"/>
        <v>30.109259259259257</v>
      </c>
      <c r="AG168" s="5">
        <f t="shared" si="119"/>
        <v>0</v>
      </c>
      <c r="AH168" s="5">
        <f t="shared" si="120"/>
        <v>0</v>
      </c>
      <c r="AI168" s="5">
        <f t="shared" si="127"/>
        <v>0</v>
      </c>
      <c r="AJ168" s="5">
        <f t="shared" si="128"/>
        <v>3.833333333333333</v>
      </c>
      <c r="AK168" s="5">
        <f t="shared" si="129"/>
        <v>0</v>
      </c>
      <c r="AL168" s="5">
        <f t="shared" si="130"/>
        <v>6.0218518518518511</v>
      </c>
      <c r="AM168" s="5">
        <f t="shared" si="131"/>
        <v>1920509.2592592589</v>
      </c>
    </row>
    <row r="169" spans="19:39" x14ac:dyDescent="0.15">
      <c r="S169" s="29">
        <f>基础状态预估!C169</f>
        <v>1260</v>
      </c>
      <c r="T169" s="29">
        <f>基础状态预估!D169</f>
        <v>113.29015465152274</v>
      </c>
      <c r="U169" s="29">
        <f t="shared" si="99"/>
        <v>2100</v>
      </c>
      <c r="V169" s="50">
        <f t="shared" si="109"/>
        <v>0</v>
      </c>
      <c r="W169" s="50">
        <f t="shared" si="110"/>
        <v>3.2407407407407409</v>
      </c>
      <c r="X169" s="50">
        <f t="shared" si="111"/>
        <v>1</v>
      </c>
      <c r="Y169" s="50">
        <f t="shared" si="112"/>
        <v>1</v>
      </c>
      <c r="Z169" s="50">
        <f t="shared" si="126"/>
        <v>1773820</v>
      </c>
      <c r="AA169" s="5">
        <f t="shared" si="113"/>
        <v>307.5</v>
      </c>
      <c r="AB169" s="5">
        <f t="shared" si="114"/>
        <v>307.5</v>
      </c>
      <c r="AC169" s="5">
        <f t="shared" si="115"/>
        <v>875.73888888888882</v>
      </c>
      <c r="AD169" s="5">
        <f t="shared" si="116"/>
        <v>375.31666666666649</v>
      </c>
      <c r="AE169" s="5">
        <f t="shared" si="117"/>
        <v>301.51666666666654</v>
      </c>
      <c r="AF169" s="5">
        <f t="shared" si="118"/>
        <v>33.501851851851853</v>
      </c>
      <c r="AG169" s="5">
        <f t="shared" si="119"/>
        <v>0</v>
      </c>
      <c r="AH169" s="5">
        <f t="shared" si="120"/>
        <v>0</v>
      </c>
      <c r="AI169" s="5">
        <f t="shared" si="127"/>
        <v>0</v>
      </c>
      <c r="AJ169" s="5">
        <f t="shared" si="128"/>
        <v>4.0999999999999996</v>
      </c>
      <c r="AK169" s="5">
        <f t="shared" si="129"/>
        <v>0</v>
      </c>
      <c r="AL169" s="5">
        <f t="shared" si="130"/>
        <v>6.7003703703703694</v>
      </c>
      <c r="AM169" s="5">
        <f t="shared" si="131"/>
        <v>2125501.8518518517</v>
      </c>
    </row>
    <row r="170" spans="19:39" x14ac:dyDescent="0.15">
      <c r="S170" s="29">
        <f>基础状态预估!C170</f>
        <v>1380</v>
      </c>
      <c r="T170" s="29">
        <f>基础状态预估!D170</f>
        <v>114.69104152791324</v>
      </c>
      <c r="U170" s="29">
        <f t="shared" si="99"/>
        <v>2100</v>
      </c>
      <c r="V170" s="50">
        <f t="shared" si="109"/>
        <v>0</v>
      </c>
      <c r="W170" s="50">
        <f t="shared" si="110"/>
        <v>3.2407407407407409</v>
      </c>
      <c r="X170" s="50">
        <f t="shared" si="111"/>
        <v>1</v>
      </c>
      <c r="Y170" s="50">
        <f t="shared" si="112"/>
        <v>1</v>
      </c>
      <c r="Z170" s="50">
        <f t="shared" si="126"/>
        <v>1950620</v>
      </c>
      <c r="AA170" s="5">
        <f t="shared" si="113"/>
        <v>327.5</v>
      </c>
      <c r="AB170" s="5">
        <f t="shared" si="114"/>
        <v>327.5</v>
      </c>
      <c r="AC170" s="5">
        <f t="shared" si="115"/>
        <v>958.18333333333328</v>
      </c>
      <c r="AD170" s="5">
        <f t="shared" si="116"/>
        <v>410.64999999999981</v>
      </c>
      <c r="AE170" s="5">
        <f t="shared" si="117"/>
        <v>332.04999999999984</v>
      </c>
      <c r="AF170" s="5">
        <f t="shared" si="118"/>
        <v>36.894444444444446</v>
      </c>
      <c r="AG170" s="5">
        <f t="shared" si="119"/>
        <v>0</v>
      </c>
      <c r="AH170" s="5">
        <f t="shared" si="120"/>
        <v>0</v>
      </c>
      <c r="AI170" s="5">
        <f t="shared" si="127"/>
        <v>0</v>
      </c>
      <c r="AJ170" s="5">
        <f t="shared" si="128"/>
        <v>4.3666666666666663</v>
      </c>
      <c r="AK170" s="5">
        <f t="shared" si="129"/>
        <v>0</v>
      </c>
      <c r="AL170" s="5">
        <f t="shared" si="130"/>
        <v>7.3788888888888877</v>
      </c>
      <c r="AM170" s="5">
        <f t="shared" si="131"/>
        <v>2330494.444444444</v>
      </c>
    </row>
    <row r="171" spans="19:39" x14ac:dyDescent="0.15">
      <c r="S171" s="29">
        <f>基础状态预估!C171</f>
        <v>1500</v>
      </c>
      <c r="T171" s="29">
        <f>基础状态预估!D171</f>
        <v>115.91094430884056</v>
      </c>
      <c r="U171" s="29">
        <f t="shared" si="99"/>
        <v>2100</v>
      </c>
      <c r="V171" s="50">
        <f t="shared" si="109"/>
        <v>0</v>
      </c>
      <c r="W171" s="50">
        <f t="shared" si="110"/>
        <v>3.2407407407407409</v>
      </c>
      <c r="X171" s="50">
        <f t="shared" si="111"/>
        <v>1</v>
      </c>
      <c r="Y171" s="50">
        <f t="shared" si="112"/>
        <v>1</v>
      </c>
      <c r="Z171" s="50">
        <f t="shared" si="126"/>
        <v>2127420</v>
      </c>
      <c r="AA171" s="5">
        <f t="shared" si="113"/>
        <v>347.5</v>
      </c>
      <c r="AB171" s="5">
        <f t="shared" si="114"/>
        <v>347.5</v>
      </c>
      <c r="AC171" s="5">
        <f t="shared" si="115"/>
        <v>1040.6277777777777</v>
      </c>
      <c r="AD171" s="5">
        <f t="shared" si="116"/>
        <v>445.98333333333312</v>
      </c>
      <c r="AE171" s="5">
        <f t="shared" si="117"/>
        <v>362.58333333333314</v>
      </c>
      <c r="AF171" s="5">
        <f t="shared" si="118"/>
        <v>40.287037037037038</v>
      </c>
      <c r="AG171" s="5">
        <f t="shared" si="119"/>
        <v>0</v>
      </c>
      <c r="AH171" s="5">
        <f t="shared" si="120"/>
        <v>0</v>
      </c>
      <c r="AI171" s="5">
        <f t="shared" si="127"/>
        <v>0</v>
      </c>
      <c r="AJ171" s="5">
        <f t="shared" si="128"/>
        <v>4.6333333333333329</v>
      </c>
      <c r="AK171" s="5">
        <f t="shared" si="129"/>
        <v>0</v>
      </c>
      <c r="AL171" s="5">
        <f t="shared" si="130"/>
        <v>8.0574074074074069</v>
      </c>
      <c r="AM171" s="5">
        <f t="shared" si="131"/>
        <v>2535487.0370370364</v>
      </c>
    </row>
    <row r="172" spans="19:39" x14ac:dyDescent="0.15">
      <c r="S172" s="29">
        <f>基础状态预估!C172</f>
        <v>1800</v>
      </c>
      <c r="T172" s="29">
        <f>基础状态预估!D172</f>
        <v>118.49671008494479</v>
      </c>
      <c r="U172" s="29">
        <f t="shared" si="99"/>
        <v>2100</v>
      </c>
      <c r="V172" s="50">
        <f t="shared" si="109"/>
        <v>0</v>
      </c>
      <c r="W172" s="50">
        <f t="shared" si="110"/>
        <v>3.2407407407407409</v>
      </c>
      <c r="X172" s="50">
        <f t="shared" si="111"/>
        <v>1</v>
      </c>
      <c r="Y172" s="50">
        <f t="shared" si="112"/>
        <v>1</v>
      </c>
      <c r="Z172" s="50">
        <f t="shared" si="126"/>
        <v>2569420</v>
      </c>
      <c r="AA172" s="5">
        <f t="shared" si="113"/>
        <v>397.5</v>
      </c>
      <c r="AB172" s="5">
        <f t="shared" si="114"/>
        <v>397.5</v>
      </c>
      <c r="AC172" s="5">
        <f t="shared" si="115"/>
        <v>1246.7388888888888</v>
      </c>
      <c r="AD172" s="5">
        <f t="shared" si="116"/>
        <v>534.31666666666638</v>
      </c>
      <c r="AE172" s="5">
        <f t="shared" si="117"/>
        <v>438.91666666666646</v>
      </c>
      <c r="AF172" s="5">
        <f t="shared" si="118"/>
        <v>48.768518518518519</v>
      </c>
      <c r="AG172" s="5">
        <f t="shared" si="119"/>
        <v>0</v>
      </c>
      <c r="AH172" s="5">
        <f t="shared" si="120"/>
        <v>0</v>
      </c>
      <c r="AI172" s="5">
        <f t="shared" si="127"/>
        <v>0</v>
      </c>
      <c r="AJ172" s="5">
        <f t="shared" si="128"/>
        <v>5.3</v>
      </c>
      <c r="AK172" s="5">
        <f t="shared" si="129"/>
        <v>0</v>
      </c>
      <c r="AL172" s="5">
        <f t="shared" si="130"/>
        <v>9.7537037037037031</v>
      </c>
      <c r="AM172" s="5">
        <f t="shared" si="131"/>
        <v>3047968.5185185177</v>
      </c>
    </row>
    <row r="173" spans="19:39" x14ac:dyDescent="0.15">
      <c r="S173" s="29">
        <f>基础状态预估!C173</f>
        <v>2100</v>
      </c>
      <c r="T173" s="29">
        <f>基础状态预估!D173</f>
        <v>120.83470485393194</v>
      </c>
      <c r="U173" s="29">
        <f t="shared" si="99"/>
        <v>2100</v>
      </c>
      <c r="V173" s="50">
        <f t="shared" si="109"/>
        <v>0</v>
      </c>
      <c r="W173" s="50">
        <f t="shared" si="110"/>
        <v>3.2407407407407409</v>
      </c>
      <c r="X173" s="50">
        <f t="shared" si="111"/>
        <v>1</v>
      </c>
      <c r="Y173" s="50">
        <f t="shared" si="112"/>
        <v>1</v>
      </c>
      <c r="Z173" s="50">
        <f t="shared" si="126"/>
        <v>3011420</v>
      </c>
      <c r="AA173" s="5">
        <f t="shared" si="113"/>
        <v>447.5</v>
      </c>
      <c r="AB173" s="5">
        <f t="shared" si="114"/>
        <v>447.5</v>
      </c>
      <c r="AC173" s="5">
        <f t="shared" si="115"/>
        <v>1452.85</v>
      </c>
      <c r="AD173" s="5">
        <f t="shared" si="116"/>
        <v>622.64999999999964</v>
      </c>
      <c r="AE173" s="5">
        <f t="shared" si="117"/>
        <v>515.24999999999977</v>
      </c>
      <c r="AF173" s="5">
        <f t="shared" si="118"/>
        <v>57.25</v>
      </c>
      <c r="AG173" s="5">
        <f t="shared" si="119"/>
        <v>0</v>
      </c>
      <c r="AH173" s="5">
        <f t="shared" si="120"/>
        <v>0</v>
      </c>
      <c r="AI173" s="5">
        <f t="shared" si="127"/>
        <v>0</v>
      </c>
      <c r="AJ173" s="5">
        <f t="shared" si="128"/>
        <v>5.9666666666666668</v>
      </c>
      <c r="AK173" s="5">
        <f t="shared" si="129"/>
        <v>0</v>
      </c>
      <c r="AL173" s="5">
        <f t="shared" si="130"/>
        <v>11.45</v>
      </c>
      <c r="AM173" s="5">
        <f t="shared" si="131"/>
        <v>3560449.9999999991</v>
      </c>
    </row>
    <row r="174" spans="19:39" x14ac:dyDescent="0.15">
      <c r="S174" s="29">
        <f>基础状态预估!C174</f>
        <v>2400</v>
      </c>
      <c r="T174" s="29">
        <f>基础状态预估!D174</f>
        <v>122.7509711734089</v>
      </c>
      <c r="U174" s="29">
        <f t="shared" si="99"/>
        <v>2100</v>
      </c>
      <c r="V174" s="50">
        <f t="shared" si="109"/>
        <v>0</v>
      </c>
      <c r="W174" s="50">
        <f t="shared" si="110"/>
        <v>3.2407407407407409</v>
      </c>
      <c r="X174" s="50">
        <f t="shared" si="111"/>
        <v>1</v>
      </c>
      <c r="Y174" s="50">
        <f t="shared" si="112"/>
        <v>1</v>
      </c>
      <c r="Z174" s="50">
        <f t="shared" si="126"/>
        <v>3453420</v>
      </c>
      <c r="AA174" s="5">
        <f t="shared" si="113"/>
        <v>497.5</v>
      </c>
      <c r="AB174" s="5">
        <f t="shared" si="114"/>
        <v>497.5</v>
      </c>
      <c r="AC174" s="5">
        <f t="shared" si="115"/>
        <v>1658.961111111111</v>
      </c>
      <c r="AD174" s="5">
        <f t="shared" si="116"/>
        <v>710.98333333333289</v>
      </c>
      <c r="AE174" s="5">
        <f t="shared" si="117"/>
        <v>591.58333333333314</v>
      </c>
      <c r="AF174" s="5">
        <f t="shared" si="118"/>
        <v>65.731481481481481</v>
      </c>
      <c r="AG174" s="5">
        <f t="shared" si="119"/>
        <v>0</v>
      </c>
      <c r="AH174" s="5">
        <f t="shared" si="120"/>
        <v>0</v>
      </c>
      <c r="AI174" s="5">
        <f t="shared" si="127"/>
        <v>0</v>
      </c>
      <c r="AJ174" s="5">
        <f t="shared" si="128"/>
        <v>6.6333333333333337</v>
      </c>
      <c r="AK174" s="5">
        <f t="shared" si="129"/>
        <v>0</v>
      </c>
      <c r="AL174" s="5">
        <f t="shared" si="130"/>
        <v>13.146296296296295</v>
      </c>
      <c r="AM174" s="5">
        <f t="shared" si="131"/>
        <v>4072931.4814814804</v>
      </c>
    </row>
    <row r="175" spans="19:39" x14ac:dyDescent="0.15">
      <c r="S175" s="29">
        <f>基础状态预估!C175</f>
        <v>2700</v>
      </c>
      <c r="T175" s="29">
        <f>基础状态预估!D175</f>
        <v>124.39475643772953</v>
      </c>
      <c r="U175" s="29">
        <f t="shared" si="99"/>
        <v>2100</v>
      </c>
      <c r="V175" s="50">
        <f t="shared" si="109"/>
        <v>0</v>
      </c>
      <c r="W175" s="50">
        <f t="shared" si="110"/>
        <v>3.2407407407407409</v>
      </c>
      <c r="X175" s="50">
        <f t="shared" si="111"/>
        <v>1</v>
      </c>
      <c r="Y175" s="50">
        <f t="shared" si="112"/>
        <v>1</v>
      </c>
      <c r="Z175" s="50">
        <f t="shared" si="126"/>
        <v>3895420</v>
      </c>
      <c r="AA175" s="5">
        <f t="shared" si="113"/>
        <v>547.5</v>
      </c>
      <c r="AB175" s="5">
        <f t="shared" si="114"/>
        <v>547.5</v>
      </c>
      <c r="AC175" s="5">
        <f t="shared" si="115"/>
        <v>1865.0722222222221</v>
      </c>
      <c r="AD175" s="5">
        <f t="shared" si="116"/>
        <v>799.31666666666615</v>
      </c>
      <c r="AE175" s="5">
        <f t="shared" si="117"/>
        <v>667.91666666666652</v>
      </c>
      <c r="AF175" s="5">
        <f t="shared" si="118"/>
        <v>74.212962962962962</v>
      </c>
      <c r="AG175" s="5">
        <f t="shared" si="119"/>
        <v>0</v>
      </c>
      <c r="AH175" s="5">
        <f t="shared" si="120"/>
        <v>0</v>
      </c>
      <c r="AI175" s="5">
        <f t="shared" si="127"/>
        <v>0</v>
      </c>
      <c r="AJ175" s="5">
        <f t="shared" si="128"/>
        <v>7.3000000000000007</v>
      </c>
      <c r="AK175" s="5">
        <f t="shared" si="129"/>
        <v>0</v>
      </c>
      <c r="AL175" s="5">
        <f t="shared" si="130"/>
        <v>14.842592592592592</v>
      </c>
      <c r="AM175" s="5">
        <f t="shared" si="131"/>
        <v>4585412.9629629618</v>
      </c>
    </row>
    <row r="176" spans="19:39" x14ac:dyDescent="0.15">
      <c r="S176" s="29">
        <f>基础状态预估!C176</f>
        <v>3000</v>
      </c>
      <c r="T176" s="29">
        <f>基础状态预估!D176</f>
        <v>125.96400788227379</v>
      </c>
      <c r="U176" s="29">
        <f t="shared" si="99"/>
        <v>2100</v>
      </c>
      <c r="V176" s="50">
        <f t="shared" si="109"/>
        <v>0</v>
      </c>
      <c r="W176" s="50">
        <f t="shared" si="110"/>
        <v>3.2407407407407409</v>
      </c>
      <c r="X176" s="50">
        <f t="shared" si="111"/>
        <v>1</v>
      </c>
      <c r="Y176" s="50">
        <f t="shared" si="112"/>
        <v>1</v>
      </c>
      <c r="Z176" s="50">
        <f t="shared" si="126"/>
        <v>4337420</v>
      </c>
      <c r="AA176" s="5">
        <f t="shared" si="113"/>
        <v>597.5</v>
      </c>
      <c r="AB176" s="5">
        <f t="shared" si="114"/>
        <v>597.5</v>
      </c>
      <c r="AC176" s="5">
        <f t="shared" si="115"/>
        <v>2071.1833333333329</v>
      </c>
      <c r="AD176" s="5">
        <f t="shared" si="116"/>
        <v>887.64999999999941</v>
      </c>
      <c r="AE176" s="5">
        <f t="shared" si="117"/>
        <v>744.24999999999989</v>
      </c>
      <c r="AF176" s="5">
        <f t="shared" si="118"/>
        <v>82.694444444444443</v>
      </c>
      <c r="AG176" s="5">
        <f t="shared" si="119"/>
        <v>0</v>
      </c>
      <c r="AH176" s="5">
        <f t="shared" si="120"/>
        <v>0</v>
      </c>
      <c r="AI176" s="5">
        <f t="shared" si="127"/>
        <v>0</v>
      </c>
      <c r="AJ176" s="5">
        <f t="shared" si="128"/>
        <v>7.9666666666666677</v>
      </c>
      <c r="AK176" s="5">
        <f t="shared" si="129"/>
        <v>0</v>
      </c>
      <c r="AL176" s="5">
        <f t="shared" si="130"/>
        <v>16.538888888888888</v>
      </c>
      <c r="AM176" s="5">
        <f t="shared" si="131"/>
        <v>5097894.4444444431</v>
      </c>
    </row>
    <row r="177" spans="19:39" x14ac:dyDescent="0.15">
      <c r="S177" s="29">
        <f>基础状态预估!C177</f>
        <v>3300</v>
      </c>
      <c r="T177" s="29">
        <f>基础状态预估!D177</f>
        <v>127.44783171112725</v>
      </c>
      <c r="U177" s="29">
        <f t="shared" si="99"/>
        <v>2100</v>
      </c>
      <c r="V177" s="50">
        <f t="shared" si="109"/>
        <v>0</v>
      </c>
      <c r="W177" s="50">
        <f t="shared" si="110"/>
        <v>3.2407407407407409</v>
      </c>
      <c r="X177" s="50">
        <f t="shared" si="111"/>
        <v>1</v>
      </c>
      <c r="Y177" s="50">
        <f t="shared" si="112"/>
        <v>1</v>
      </c>
      <c r="Z177" s="50">
        <f t="shared" si="126"/>
        <v>4779420</v>
      </c>
      <c r="AA177" s="5">
        <f t="shared" si="113"/>
        <v>647.5</v>
      </c>
      <c r="AB177" s="5">
        <f t="shared" si="114"/>
        <v>647.5</v>
      </c>
      <c r="AC177" s="5">
        <f t="shared" si="115"/>
        <v>2277.2944444444438</v>
      </c>
      <c r="AD177" s="5">
        <f t="shared" si="116"/>
        <v>975.98333333333267</v>
      </c>
      <c r="AE177" s="5">
        <f t="shared" si="117"/>
        <v>820.58333333333326</v>
      </c>
      <c r="AF177" s="5">
        <f t="shared" si="118"/>
        <v>91.175925925925924</v>
      </c>
      <c r="AG177" s="5">
        <f t="shared" si="119"/>
        <v>0</v>
      </c>
      <c r="AH177" s="5">
        <f t="shared" si="120"/>
        <v>0</v>
      </c>
      <c r="AI177" s="5">
        <f t="shared" si="127"/>
        <v>0</v>
      </c>
      <c r="AJ177" s="5">
        <f t="shared" si="128"/>
        <v>8.6333333333333346</v>
      </c>
      <c r="AK177" s="5">
        <f t="shared" si="129"/>
        <v>0</v>
      </c>
      <c r="AL177" s="5">
        <f t="shared" si="130"/>
        <v>18.235185185185184</v>
      </c>
      <c r="AM177" s="5">
        <f t="shared" si="131"/>
        <v>5610375.9259259244</v>
      </c>
    </row>
    <row r="178" spans="19:39" x14ac:dyDescent="0.15">
      <c r="S178" s="29">
        <f>基础状态预估!C178</f>
        <v>3600</v>
      </c>
      <c r="T178" s="29">
        <f>基础状态预估!D178</f>
        <v>128.7020848688999</v>
      </c>
      <c r="U178" s="29">
        <f t="shared" si="99"/>
        <v>2100</v>
      </c>
      <c r="V178" s="50">
        <f t="shared" si="109"/>
        <v>0</v>
      </c>
      <c r="W178" s="50">
        <f t="shared" si="110"/>
        <v>3.2407407407407409</v>
      </c>
      <c r="X178" s="50">
        <f t="shared" si="111"/>
        <v>1</v>
      </c>
      <c r="Y178" s="50">
        <f t="shared" si="112"/>
        <v>1</v>
      </c>
      <c r="Z178" s="50">
        <f t="shared" si="126"/>
        <v>5221420</v>
      </c>
      <c r="AA178" s="5">
        <f t="shared" si="113"/>
        <v>697.5</v>
      </c>
      <c r="AB178" s="5">
        <f t="shared" si="114"/>
        <v>697.5</v>
      </c>
      <c r="AC178" s="5">
        <f t="shared" si="115"/>
        <v>2483.4055555555547</v>
      </c>
      <c r="AD178" s="5">
        <f t="shared" si="116"/>
        <v>1064.3166666666659</v>
      </c>
      <c r="AE178" s="5">
        <f t="shared" si="117"/>
        <v>896.91666666666663</v>
      </c>
      <c r="AF178" s="5">
        <f t="shared" si="118"/>
        <v>99.657407407407405</v>
      </c>
      <c r="AG178" s="5">
        <f t="shared" si="119"/>
        <v>0</v>
      </c>
      <c r="AH178" s="5">
        <f t="shared" si="120"/>
        <v>0</v>
      </c>
      <c r="AI178" s="5">
        <f t="shared" si="127"/>
        <v>0</v>
      </c>
      <c r="AJ178" s="5">
        <f t="shared" si="128"/>
        <v>9.3000000000000007</v>
      </c>
      <c r="AK178" s="5">
        <f t="shared" si="129"/>
        <v>0</v>
      </c>
      <c r="AL178" s="5">
        <f t="shared" si="130"/>
        <v>19.93148148148148</v>
      </c>
      <c r="AM178" s="5">
        <f t="shared" si="131"/>
        <v>6122857.4074074058</v>
      </c>
    </row>
    <row r="179" spans="19:39" x14ac:dyDescent="0.15">
      <c r="S179" s="29">
        <f>基础状态预估!C179</f>
        <v>3900</v>
      </c>
      <c r="T179" s="29">
        <f>基础状态预估!D179</f>
        <v>129.81302713753013</v>
      </c>
      <c r="U179" s="29">
        <f t="shared" si="99"/>
        <v>2100</v>
      </c>
      <c r="V179" s="50">
        <f t="shared" si="109"/>
        <v>0</v>
      </c>
      <c r="W179" s="50">
        <f t="shared" si="110"/>
        <v>3.2407407407407409</v>
      </c>
      <c r="X179" s="50">
        <f t="shared" si="111"/>
        <v>1</v>
      </c>
      <c r="Y179" s="50">
        <f t="shared" si="112"/>
        <v>1</v>
      </c>
      <c r="Z179" s="50">
        <f t="shared" si="126"/>
        <v>5663420</v>
      </c>
      <c r="AA179" s="5">
        <f t="shared" si="113"/>
        <v>747.5</v>
      </c>
      <c r="AB179" s="5">
        <f t="shared" si="114"/>
        <v>747.5</v>
      </c>
      <c r="AC179" s="5">
        <f t="shared" si="115"/>
        <v>2689.5166666666655</v>
      </c>
      <c r="AD179" s="5">
        <f t="shared" si="116"/>
        <v>1152.6499999999992</v>
      </c>
      <c r="AE179" s="5">
        <f t="shared" si="117"/>
        <v>973.25</v>
      </c>
      <c r="AF179" s="5">
        <f t="shared" si="118"/>
        <v>108.13888888888889</v>
      </c>
      <c r="AG179" s="5">
        <f t="shared" si="119"/>
        <v>0</v>
      </c>
      <c r="AH179" s="5">
        <f t="shared" si="120"/>
        <v>0</v>
      </c>
      <c r="AI179" s="5">
        <f t="shared" si="127"/>
        <v>0</v>
      </c>
      <c r="AJ179" s="5">
        <f t="shared" si="128"/>
        <v>9.9666666666666668</v>
      </c>
      <c r="AK179" s="5">
        <f t="shared" si="129"/>
        <v>0</v>
      </c>
      <c r="AL179" s="5">
        <f t="shared" si="130"/>
        <v>21.627777777777776</v>
      </c>
      <c r="AM179" s="5">
        <f t="shared" si="131"/>
        <v>6635338.8888888871</v>
      </c>
    </row>
    <row r="180" spans="19:39" x14ac:dyDescent="0.15">
      <c r="S180" s="29">
        <f>基础状态预估!C180</f>
        <v>4200</v>
      </c>
      <c r="T180" s="29">
        <f>基础状态预估!D180</f>
        <v>130.84782736484456</v>
      </c>
      <c r="U180" s="29">
        <f t="shared" si="99"/>
        <v>2100</v>
      </c>
      <c r="V180" s="50">
        <f t="shared" si="109"/>
        <v>0</v>
      </c>
      <c r="W180" s="50">
        <f t="shared" si="110"/>
        <v>3.2407407407407409</v>
      </c>
      <c r="X180" s="50">
        <f t="shared" si="111"/>
        <v>1</v>
      </c>
      <c r="Y180" s="50">
        <f t="shared" si="112"/>
        <v>1</v>
      </c>
      <c r="Z180" s="50">
        <f t="shared" si="126"/>
        <v>6105420</v>
      </c>
      <c r="AA180" s="5">
        <f t="shared" si="113"/>
        <v>797.5</v>
      </c>
      <c r="AB180" s="5">
        <f t="shared" si="114"/>
        <v>797.5</v>
      </c>
      <c r="AC180" s="5">
        <f t="shared" si="115"/>
        <v>2895.6277777777764</v>
      </c>
      <c r="AD180" s="5">
        <f t="shared" si="116"/>
        <v>1240.9833333333324</v>
      </c>
      <c r="AE180" s="5">
        <f t="shared" si="117"/>
        <v>1049.5833333333333</v>
      </c>
      <c r="AF180" s="5">
        <f t="shared" si="118"/>
        <v>116.62037037037037</v>
      </c>
      <c r="AG180" s="5">
        <f t="shared" si="119"/>
        <v>0</v>
      </c>
      <c r="AH180" s="5">
        <f t="shared" si="120"/>
        <v>0</v>
      </c>
      <c r="AI180" s="5">
        <f t="shared" si="127"/>
        <v>0</v>
      </c>
      <c r="AJ180" s="5">
        <f t="shared" si="128"/>
        <v>10.633333333333333</v>
      </c>
      <c r="AK180" s="5">
        <f t="shared" si="129"/>
        <v>0</v>
      </c>
      <c r="AL180" s="5">
        <f t="shared" si="130"/>
        <v>23.324074074074073</v>
      </c>
      <c r="AM180" s="5">
        <f t="shared" si="131"/>
        <v>7147820.3703703685</v>
      </c>
    </row>
    <row r="181" spans="19:39" x14ac:dyDescent="0.15">
      <c r="S181" s="29">
        <f>基础状态预估!C181</f>
        <v>4500</v>
      </c>
      <c r="T181" s="29">
        <f>基础状态预估!D181</f>
        <v>131.85128063254527</v>
      </c>
      <c r="U181" s="29">
        <f t="shared" si="99"/>
        <v>2100</v>
      </c>
      <c r="V181" s="50">
        <f t="shared" si="109"/>
        <v>0</v>
      </c>
      <c r="W181" s="50">
        <f t="shared" si="110"/>
        <v>3.2407407407407409</v>
      </c>
      <c r="X181" s="50">
        <f t="shared" si="111"/>
        <v>1</v>
      </c>
      <c r="Y181" s="50">
        <f t="shared" si="112"/>
        <v>1</v>
      </c>
      <c r="Z181" s="50">
        <f t="shared" si="126"/>
        <v>6547420</v>
      </c>
      <c r="AA181" s="5">
        <f t="shared" si="113"/>
        <v>847.5</v>
      </c>
      <c r="AB181" s="5">
        <f t="shared" si="114"/>
        <v>847.5</v>
      </c>
      <c r="AC181" s="5">
        <f t="shared" si="115"/>
        <v>3101.7388888888872</v>
      </c>
      <c r="AD181" s="5">
        <f t="shared" si="116"/>
        <v>1329.3166666666657</v>
      </c>
      <c r="AE181" s="5">
        <f t="shared" si="117"/>
        <v>1125.9166666666665</v>
      </c>
      <c r="AF181" s="5">
        <f t="shared" si="118"/>
        <v>125.10185185185185</v>
      </c>
      <c r="AG181" s="5">
        <f t="shared" si="119"/>
        <v>0</v>
      </c>
      <c r="AH181" s="5">
        <f t="shared" si="120"/>
        <v>0</v>
      </c>
      <c r="AI181" s="5">
        <f t="shared" si="127"/>
        <v>0</v>
      </c>
      <c r="AJ181" s="5">
        <f t="shared" si="128"/>
        <v>11.299999999999999</v>
      </c>
      <c r="AK181" s="5">
        <f t="shared" si="129"/>
        <v>0</v>
      </c>
      <c r="AL181" s="5">
        <f t="shared" si="130"/>
        <v>25.020370370370369</v>
      </c>
      <c r="AM181" s="5">
        <f t="shared" si="131"/>
        <v>7660301.8518518498</v>
      </c>
    </row>
    <row r="182" spans="19:39" x14ac:dyDescent="0.15">
      <c r="S182" s="29">
        <f>基础状态预估!C182</f>
        <v>4800</v>
      </c>
      <c r="T182" s="29">
        <f>基础状态预估!D182</f>
        <v>132.84279736701905</v>
      </c>
      <c r="U182" s="29">
        <f t="shared" si="99"/>
        <v>2100</v>
      </c>
      <c r="V182" s="50">
        <f t="shared" si="109"/>
        <v>0</v>
      </c>
      <c r="W182" s="50">
        <f t="shared" si="110"/>
        <v>3.2407407407407409</v>
      </c>
      <c r="X182" s="50">
        <f t="shared" si="111"/>
        <v>1</v>
      </c>
      <c r="Y182" s="50">
        <f t="shared" si="112"/>
        <v>1</v>
      </c>
      <c r="Z182" s="50">
        <f t="shared" si="126"/>
        <v>6989420</v>
      </c>
      <c r="AA182" s="5">
        <f t="shared" si="113"/>
        <v>897.5</v>
      </c>
      <c r="AB182" s="5">
        <f t="shared" si="114"/>
        <v>897.5</v>
      </c>
      <c r="AC182" s="5">
        <f t="shared" si="115"/>
        <v>3307.8499999999981</v>
      </c>
      <c r="AD182" s="5">
        <f t="shared" si="116"/>
        <v>1417.649999999999</v>
      </c>
      <c r="AE182" s="5">
        <f t="shared" si="117"/>
        <v>1202.2499999999998</v>
      </c>
      <c r="AF182" s="5">
        <f t="shared" si="118"/>
        <v>133.58333333333331</v>
      </c>
      <c r="AG182" s="5">
        <f t="shared" si="119"/>
        <v>0</v>
      </c>
      <c r="AH182" s="5">
        <f t="shared" si="120"/>
        <v>0</v>
      </c>
      <c r="AI182" s="5">
        <f t="shared" si="127"/>
        <v>0</v>
      </c>
      <c r="AJ182" s="5">
        <f t="shared" si="128"/>
        <v>11.966666666666665</v>
      </c>
      <c r="AK182" s="5">
        <f t="shared" si="129"/>
        <v>0</v>
      </c>
      <c r="AL182" s="5">
        <f t="shared" si="130"/>
        <v>26.716666666666665</v>
      </c>
      <c r="AM182" s="5">
        <f t="shared" si="131"/>
        <v>8172783.3333333312</v>
      </c>
    </row>
    <row r="183" spans="19:39" x14ac:dyDescent="0.15">
      <c r="S183" s="29">
        <f>基础状态预估!C183</f>
        <v>65535</v>
      </c>
      <c r="T183" s="29">
        <f>基础状态预估!D183</f>
        <v>160</v>
      </c>
      <c r="U183" s="29">
        <f t="shared" si="99"/>
        <v>2100</v>
      </c>
      <c r="V183" s="50">
        <f t="shared" si="109"/>
        <v>0</v>
      </c>
      <c r="W183" s="50">
        <f t="shared" si="110"/>
        <v>3.2407407407407409</v>
      </c>
      <c r="X183" s="50">
        <f t="shared" si="111"/>
        <v>1</v>
      </c>
      <c r="Y183" s="50">
        <f t="shared" si="112"/>
        <v>1</v>
      </c>
      <c r="Z183" s="50">
        <f t="shared" si="126"/>
        <v>96472320</v>
      </c>
      <c r="AA183" s="5">
        <f t="shared" si="113"/>
        <v>11020</v>
      </c>
      <c r="AB183" s="5">
        <f t="shared" si="114"/>
        <v>11020</v>
      </c>
      <c r="AC183" s="5">
        <f t="shared" si="115"/>
        <v>45035.044444444437</v>
      </c>
      <c r="AD183" s="5">
        <f t="shared" si="116"/>
        <v>19300.73333333333</v>
      </c>
      <c r="AE183" s="5">
        <f t="shared" si="117"/>
        <v>16655.933333333334</v>
      </c>
      <c r="AF183" s="5">
        <f t="shared" si="118"/>
        <v>1850.6592592592592</v>
      </c>
      <c r="AG183" s="5">
        <f t="shared" si="119"/>
        <v>0</v>
      </c>
      <c r="AH183" s="5">
        <f t="shared" si="120"/>
        <v>0</v>
      </c>
      <c r="AI183" s="5">
        <f t="shared" si="127"/>
        <v>0</v>
      </c>
      <c r="AJ183" s="5">
        <f t="shared" si="128"/>
        <v>146.93333333333334</v>
      </c>
      <c r="AK183" s="5">
        <f t="shared" si="129"/>
        <v>0</v>
      </c>
      <c r="AL183" s="5">
        <f t="shared" si="130"/>
        <v>370.13185185185182</v>
      </c>
      <c r="AM183" s="5">
        <f t="shared" si="131"/>
        <v>111924659.25925925</v>
      </c>
    </row>
    <row r="185" spans="19:39" x14ac:dyDescent="0.15">
      <c r="S185" s="25" t="s">
        <v>21</v>
      </c>
      <c r="T185" s="26"/>
      <c r="U185" s="26"/>
      <c r="V185" s="84" t="s">
        <v>174</v>
      </c>
      <c r="W185" s="84"/>
      <c r="X185" s="84"/>
      <c r="Y185" s="84"/>
      <c r="AA185" s="85" t="s">
        <v>182</v>
      </c>
      <c r="AB185" s="95"/>
      <c r="AC185" s="95"/>
      <c r="AD185" s="95"/>
      <c r="AE185" s="95"/>
      <c r="AF185" s="86"/>
      <c r="AG185" s="85" t="s">
        <v>183</v>
      </c>
      <c r="AH185" s="95"/>
      <c r="AI185" s="95"/>
      <c r="AJ185" s="95"/>
      <c r="AK185" s="95"/>
      <c r="AL185" s="86"/>
      <c r="AM185" s="50"/>
    </row>
    <row r="186" spans="19:39" ht="22.5" x14ac:dyDescent="0.15">
      <c r="S186" s="27" t="s">
        <v>31</v>
      </c>
      <c r="T186" s="27" t="s">
        <v>25</v>
      </c>
      <c r="U186" s="27" t="s">
        <v>180</v>
      </c>
      <c r="V186" s="50" t="s">
        <v>175</v>
      </c>
      <c r="W186" s="50" t="s">
        <v>177</v>
      </c>
      <c r="X186" s="20" t="s">
        <v>177</v>
      </c>
      <c r="Y186" s="20" t="s">
        <v>178</v>
      </c>
      <c r="Z186" s="50" t="s">
        <v>193</v>
      </c>
      <c r="AA186" s="50" t="s">
        <v>185</v>
      </c>
      <c r="AB186" s="50" t="s">
        <v>186</v>
      </c>
      <c r="AC186" s="50" t="s">
        <v>27</v>
      </c>
      <c r="AD186" s="50" t="s">
        <v>29</v>
      </c>
      <c r="AE186" s="50" t="s">
        <v>28</v>
      </c>
      <c r="AF186" s="50" t="s">
        <v>43</v>
      </c>
      <c r="AG186" s="50" t="s">
        <v>185</v>
      </c>
      <c r="AH186" s="50" t="s">
        <v>186</v>
      </c>
      <c r="AI186" s="50" t="s">
        <v>27</v>
      </c>
      <c r="AJ186" s="50" t="s">
        <v>29</v>
      </c>
      <c r="AK186" s="50" t="s">
        <v>28</v>
      </c>
      <c r="AL186" s="50" t="s">
        <v>43</v>
      </c>
      <c r="AM186" s="50" t="s">
        <v>184</v>
      </c>
    </row>
    <row r="187" spans="19:39" x14ac:dyDescent="0.15">
      <c r="S187" s="29">
        <f>基础状态预估!C187</f>
        <v>15</v>
      </c>
      <c r="T187" s="29">
        <f>基础状态预估!D187</f>
        <v>57.176846218996921</v>
      </c>
      <c r="U187" s="29">
        <f t="shared" ref="U187:U227" si="132">$H$49/$C$49*15*$T$1</f>
        <v>9000</v>
      </c>
      <c r="V187" s="50">
        <f>IF(W187&gt;0,0,MIN(IF($E$8&gt;$S187,0,1)*$U187/$F$8,$H$8))</f>
        <v>0</v>
      </c>
      <c r="W187" s="50">
        <f>MIN(IF($E$9&gt;$S187,0,1)*$U187/$F$9,$H$9)</f>
        <v>0</v>
      </c>
      <c r="X187" s="50">
        <f>IF($E$8&gt;$S187,0,1)</f>
        <v>0</v>
      </c>
      <c r="Y187" s="50">
        <f>IF($E$9&gt;$S187,0,1)</f>
        <v>0</v>
      </c>
      <c r="Z187" s="11">
        <f>S187/$D$8*(V187*$F$8*$G$8*10+W187*$F$9*$G$9*10+X187*$O$8+Y187*$O$9)</f>
        <v>0</v>
      </c>
      <c r="AA187" s="11">
        <f t="shared" ref="AA187" si="133">$S187/$D$8*($V187+$X187)*D$13+$S187/$D$9*($W187+$Y187)*D$14</f>
        <v>0</v>
      </c>
      <c r="AB187" s="11">
        <f t="shared" ref="AB187" si="134">$S187/$D$8*($V187+$X187)*E$13+$S187/$D$9*($W187+$Y187)*E$14</f>
        <v>0</v>
      </c>
      <c r="AC187" s="11">
        <f>$S187/$D$8*($V187+$X187)*F$13+$S187/$D$9*($W187+$Y187)*F$14</f>
        <v>0</v>
      </c>
      <c r="AD187" s="11">
        <f>$S187/$D$8*($V187+$X187)*G$13+$S187/$D$9*($W187+$Y187)*G$14</f>
        <v>0</v>
      </c>
      <c r="AE187" s="11">
        <f>$S187/$D$8*($V187+$X187)*H$13+$S187/$D$9*($W187+$Y187)*H$14</f>
        <v>0</v>
      </c>
      <c r="AF187" s="11">
        <f>$S187/$D$8*($V187+$X187)*I$13+$S187/$D$9*($W187+$Y187)*I$14</f>
        <v>0</v>
      </c>
      <c r="AG187" s="11">
        <f t="shared" ref="AG187" si="135">$S187/$D$8*($V187+$X187)*J$13+$S187/$D$9*($W187+$Y187)*J$14</f>
        <v>0</v>
      </c>
      <c r="AH187" s="11">
        <f t="shared" ref="AH187" si="136">$S187/$D$8*($V187+$X187)*K$13+$S187/$D$9*($W187+$Y187)*K$14</f>
        <v>0</v>
      </c>
      <c r="AI187" s="11">
        <f t="shared" ref="AI187" si="137">$S187/$D$8*($V187+$X187)*L$13+$S187/$D$9*($W187+$Y187)*L$14</f>
        <v>0</v>
      </c>
      <c r="AJ187" s="11">
        <f t="shared" ref="AJ187" si="138">$S187/$D$8*($V187+$X187)*M$13+$S187/$D$9*($W187+$Y187)*M$14</f>
        <v>0</v>
      </c>
      <c r="AK187" s="11">
        <f t="shared" ref="AK187" si="139">$S187/$D$8*($V187+$X187)*N$13+$S187/$D$9*($W187+$Y187)*N$14</f>
        <v>0</v>
      </c>
      <c r="AL187" s="11">
        <f t="shared" ref="AL187" si="140">$S187/$D$8*($V187+$X187)*O$13+$S187/$D$9*($W187+$Y187)*O$14</f>
        <v>0</v>
      </c>
      <c r="AM187" s="11">
        <f t="shared" ref="AM187" si="141">$S187/$D$8*($V187+$X187)*P$13+$S187/$D$9*($W187+$Y187)*P$14</f>
        <v>0</v>
      </c>
    </row>
    <row r="188" spans="19:39" x14ac:dyDescent="0.15">
      <c r="S188" s="29">
        <f>基础状态预估!C188</f>
        <v>30</v>
      </c>
      <c r="T188" s="29">
        <f>基础状态预估!D188</f>
        <v>67.097551508592701</v>
      </c>
      <c r="U188" s="29">
        <f t="shared" si="132"/>
        <v>9000</v>
      </c>
      <c r="V188" s="50">
        <f t="shared" ref="V188:V227" si="142">IF(W188&gt;0,0,MIN(IF($E$8&gt;$S188,0,1)*$U188/$F$8,$H$8))</f>
        <v>10</v>
      </c>
      <c r="W188" s="50">
        <f t="shared" ref="W188:W227" si="143">MIN(IF($E$9&gt;$S188,0,1)*$U188/$F$9,$H$9)</f>
        <v>0</v>
      </c>
      <c r="X188" s="50">
        <f t="shared" ref="X188:X227" si="144">IF($E$8&gt;$S188,0,1)</f>
        <v>1</v>
      </c>
      <c r="Y188" s="50">
        <f t="shared" ref="Y188:Y227" si="145">IF($E$9&gt;$S188,0,1)</f>
        <v>0</v>
      </c>
      <c r="Z188" s="50">
        <f>(S188-S187)/$D$8*(V188*$F$8+W188*$F$9+X188*$O$8+Y188*$O$9)+Z187</f>
        <v>6980</v>
      </c>
      <c r="AA188" s="5">
        <f t="shared" ref="AA188:AA227" si="146">($S188-$S187)/$D$8*($V188+$X188)*D$13+($S188-$S187)/$D$9*($W188+$Y188)*D$14+AA187</f>
        <v>27.5</v>
      </c>
      <c r="AB188" s="5">
        <f t="shared" ref="AB188:AB227" si="147">($S188-$S187)/$D$8*($V188+$X188)*E$13+($S188-$S187)/$D$9*($W188+$Y188)*E$14+AB187</f>
        <v>27.5</v>
      </c>
      <c r="AC188" s="5">
        <f t="shared" ref="AC188:AC227" si="148">($S188-$S187)/$D$8*($V188+$X188)*F$13+($S188-$S187)/$D$9*($W188+$Y188)*F$14+AC187</f>
        <v>15.399999999999999</v>
      </c>
      <c r="AD188" s="5">
        <f t="shared" ref="AD188:AD227" si="149">($S188-$S187)/$D$8*($V188+$X188)*G$13+($S188-$S187)/$D$9*($W188+$Y188)*G$14+AD187</f>
        <v>6.6</v>
      </c>
      <c r="AE188" s="5">
        <f t="shared" ref="AE188:AE227" si="150">($S188-$S187)/$D$8*($V188+$X188)*H$13+($S188-$S187)/$D$9*($W188+$Y188)*H$14+AE187</f>
        <v>0</v>
      </c>
      <c r="AF188" s="5">
        <f t="shared" ref="AF188:AF227" si="151">($S188-$S187)/$D$8*($V188+$X188)*I$13+($S188-$S187)/$D$9*($W188+$Y188)*I$14+AF187</f>
        <v>0</v>
      </c>
      <c r="AG188" s="5">
        <f t="shared" ref="AG188:AG227" si="152">($S188-$S187)/$D$8*($V188+$X188)*J$13+($S188-$S187)/$D$9*($W188+$Y188)*J$14+AG187</f>
        <v>0</v>
      </c>
      <c r="AH188" s="5">
        <f t="shared" ref="AH188:AH227" si="153">($S188-$S187)/$D$8*($V188+$X188)*K$13+($S188-$S187)/$D$9*($W188+$Y188)*K$14+AH187</f>
        <v>0</v>
      </c>
      <c r="AI188" s="5">
        <f t="shared" ref="AI188" si="154">($S188-$S187)/$D$8*($V188+$X188)*L$13+($S188-$S187)/$D$9*($W188+$Y188)*L$14+AI187</f>
        <v>0</v>
      </c>
      <c r="AJ188" s="5">
        <f t="shared" ref="AJ188" si="155">($S188-$S187)/$D$8*($V188+$X188)*M$13+($S188-$S187)/$D$9*($W188+$Y188)*M$14+AJ187</f>
        <v>0.36666666666666664</v>
      </c>
      <c r="AK188" s="5">
        <f t="shared" ref="AK188" si="156">($S188-$S187)/$D$8*($V188+$X188)*N$13+($S188-$S187)/$D$9*($W188+$Y188)*N$14+AK187</f>
        <v>0</v>
      </c>
      <c r="AL188" s="5">
        <f t="shared" ref="AL188" si="157">($S188-$S187)/$D$8*($V188+$X188)*O$13+($S188-$S187)/$D$9*($W188+$Y188)*O$14+AL187</f>
        <v>0</v>
      </c>
      <c r="AM188" s="5">
        <f t="shared" ref="AM188" si="158">($S188-$S187)/$D$8*($V188+$X188)*P$13+($S188-$S187)/$D$9*($W188+$Y188)*P$14+AM187</f>
        <v>25300</v>
      </c>
    </row>
    <row r="189" spans="19:39" x14ac:dyDescent="0.15">
      <c r="S189" s="29">
        <f>基础状态预估!C189</f>
        <v>45</v>
      </c>
      <c r="T189" s="29">
        <f>基础状态预估!D189</f>
        <v>73.037155126421851</v>
      </c>
      <c r="U189" s="29">
        <f t="shared" si="132"/>
        <v>9000</v>
      </c>
      <c r="V189" s="50">
        <f t="shared" si="142"/>
        <v>10</v>
      </c>
      <c r="W189" s="50">
        <f t="shared" si="143"/>
        <v>0</v>
      </c>
      <c r="X189" s="50">
        <f t="shared" si="144"/>
        <v>1</v>
      </c>
      <c r="Y189" s="50">
        <f t="shared" si="145"/>
        <v>0</v>
      </c>
      <c r="Z189" s="50">
        <f t="shared" ref="Z189:Z227" si="159">(S189-S188)/$D$8*(V189*$F$8+W189*$F$9+X189*$O$8+Y189*$O$9)+Z188</f>
        <v>13960</v>
      </c>
      <c r="AA189" s="5">
        <f t="shared" si="146"/>
        <v>55</v>
      </c>
      <c r="AB189" s="5">
        <f t="shared" si="147"/>
        <v>55</v>
      </c>
      <c r="AC189" s="5">
        <f t="shared" si="148"/>
        <v>30.799999999999997</v>
      </c>
      <c r="AD189" s="5">
        <f t="shared" si="149"/>
        <v>13.2</v>
      </c>
      <c r="AE189" s="5">
        <f t="shared" si="150"/>
        <v>0</v>
      </c>
      <c r="AF189" s="5">
        <f t="shared" si="151"/>
        <v>0</v>
      </c>
      <c r="AG189" s="5">
        <f t="shared" si="152"/>
        <v>0</v>
      </c>
      <c r="AH189" s="5">
        <f t="shared" si="153"/>
        <v>0</v>
      </c>
      <c r="AI189" s="5">
        <f t="shared" ref="AI189:AI227" si="160">($S189-$S188)/$D$8*($V189+$X189)*L$13+($S189-$S188)/$D$9*($W189+$Y189)*L$14+AI188</f>
        <v>0</v>
      </c>
      <c r="AJ189" s="5">
        <f t="shared" ref="AJ189:AJ227" si="161">($S189-$S188)/$D$8*($V189+$X189)*M$13+($S189-$S188)/$D$9*($W189+$Y189)*M$14+AJ188</f>
        <v>0.73333333333333328</v>
      </c>
      <c r="AK189" s="5">
        <f t="shared" ref="AK189:AK227" si="162">($S189-$S188)/$D$8*($V189+$X189)*N$13+($S189-$S188)/$D$9*($W189+$Y189)*N$14+AK188</f>
        <v>0</v>
      </c>
      <c r="AL189" s="5">
        <f t="shared" ref="AL189:AL227" si="163">($S189-$S188)/$D$8*($V189+$X189)*O$13+($S189-$S188)/$D$9*($W189+$Y189)*O$14+AL188</f>
        <v>0</v>
      </c>
      <c r="AM189" s="5">
        <f t="shared" ref="AM189:AM227" si="164">($S189-$S188)/$D$8*($V189+$X189)*P$13+($S189-$S188)/$D$9*($W189+$Y189)*P$14+AM188</f>
        <v>50600</v>
      </c>
    </row>
    <row r="190" spans="19:39" x14ac:dyDescent="0.15">
      <c r="S190" s="29">
        <f>基础状态预估!C190</f>
        <v>60</v>
      </c>
      <c r="T190" s="29">
        <f>基础状态预估!D190</f>
        <v>77.112805903056142</v>
      </c>
      <c r="U190" s="29">
        <f t="shared" si="132"/>
        <v>9000</v>
      </c>
      <c r="V190" s="50">
        <f t="shared" si="142"/>
        <v>10</v>
      </c>
      <c r="W190" s="50">
        <f t="shared" si="143"/>
        <v>0</v>
      </c>
      <c r="X190" s="50">
        <f t="shared" si="144"/>
        <v>1</v>
      </c>
      <c r="Y190" s="50">
        <f t="shared" si="145"/>
        <v>0</v>
      </c>
      <c r="Z190" s="50">
        <f t="shared" si="159"/>
        <v>20940</v>
      </c>
      <c r="AA190" s="5">
        <f t="shared" si="146"/>
        <v>82.5</v>
      </c>
      <c r="AB190" s="5">
        <f t="shared" si="147"/>
        <v>82.5</v>
      </c>
      <c r="AC190" s="5">
        <f t="shared" si="148"/>
        <v>46.199999999999996</v>
      </c>
      <c r="AD190" s="5">
        <f t="shared" si="149"/>
        <v>19.799999999999997</v>
      </c>
      <c r="AE190" s="5">
        <f t="shared" si="150"/>
        <v>0</v>
      </c>
      <c r="AF190" s="5">
        <f t="shared" si="151"/>
        <v>0</v>
      </c>
      <c r="AG190" s="5">
        <f t="shared" si="152"/>
        <v>0</v>
      </c>
      <c r="AH190" s="5">
        <f t="shared" si="153"/>
        <v>0</v>
      </c>
      <c r="AI190" s="5">
        <f t="shared" si="160"/>
        <v>0</v>
      </c>
      <c r="AJ190" s="5">
        <f t="shared" si="161"/>
        <v>1.0999999999999999</v>
      </c>
      <c r="AK190" s="5">
        <f t="shared" si="162"/>
        <v>0</v>
      </c>
      <c r="AL190" s="5">
        <f t="shared" si="163"/>
        <v>0</v>
      </c>
      <c r="AM190" s="5">
        <f t="shared" si="164"/>
        <v>75900</v>
      </c>
    </row>
    <row r="191" spans="19:39" x14ac:dyDescent="0.15">
      <c r="S191" s="29">
        <f>基础状态预估!C191</f>
        <v>75</v>
      </c>
      <c r="T191" s="29">
        <f>基础状态预估!D191</f>
        <v>80.437605572866573</v>
      </c>
      <c r="U191" s="29">
        <f t="shared" si="132"/>
        <v>9000</v>
      </c>
      <c r="V191" s="50">
        <f t="shared" si="142"/>
        <v>10</v>
      </c>
      <c r="W191" s="50">
        <f t="shared" si="143"/>
        <v>0</v>
      </c>
      <c r="X191" s="50">
        <f t="shared" si="144"/>
        <v>1</v>
      </c>
      <c r="Y191" s="50">
        <f t="shared" si="145"/>
        <v>0</v>
      </c>
      <c r="Z191" s="50">
        <f t="shared" si="159"/>
        <v>27920</v>
      </c>
      <c r="AA191" s="5">
        <f t="shared" si="146"/>
        <v>110</v>
      </c>
      <c r="AB191" s="5">
        <f t="shared" si="147"/>
        <v>110</v>
      </c>
      <c r="AC191" s="5">
        <f t="shared" si="148"/>
        <v>61.599999999999994</v>
      </c>
      <c r="AD191" s="5">
        <f t="shared" si="149"/>
        <v>26.4</v>
      </c>
      <c r="AE191" s="5">
        <f t="shared" si="150"/>
        <v>0</v>
      </c>
      <c r="AF191" s="5">
        <f t="shared" si="151"/>
        <v>0</v>
      </c>
      <c r="AG191" s="5">
        <f t="shared" si="152"/>
        <v>0</v>
      </c>
      <c r="AH191" s="5">
        <f t="shared" si="153"/>
        <v>0</v>
      </c>
      <c r="AI191" s="5">
        <f t="shared" si="160"/>
        <v>0</v>
      </c>
      <c r="AJ191" s="5">
        <f t="shared" si="161"/>
        <v>1.4666666666666666</v>
      </c>
      <c r="AK191" s="5">
        <f t="shared" si="162"/>
        <v>0</v>
      </c>
      <c r="AL191" s="5">
        <f t="shared" si="163"/>
        <v>0</v>
      </c>
      <c r="AM191" s="5">
        <f t="shared" si="164"/>
        <v>101200</v>
      </c>
    </row>
    <row r="192" spans="19:39" x14ac:dyDescent="0.15">
      <c r="S192" s="29">
        <f>基础状态预估!C192</f>
        <v>90</v>
      </c>
      <c r="T192" s="29">
        <f>基础状态预估!D192</f>
        <v>83.124894550960335</v>
      </c>
      <c r="U192" s="29">
        <f t="shared" si="132"/>
        <v>9000</v>
      </c>
      <c r="V192" s="50">
        <f t="shared" si="142"/>
        <v>0</v>
      </c>
      <c r="W192" s="50">
        <f t="shared" si="143"/>
        <v>10</v>
      </c>
      <c r="X192" s="50">
        <f t="shared" si="144"/>
        <v>1</v>
      </c>
      <c r="Y192" s="50">
        <f t="shared" si="145"/>
        <v>1</v>
      </c>
      <c r="Z192" s="50">
        <f t="shared" si="159"/>
        <v>54400</v>
      </c>
      <c r="AA192" s="5">
        <f t="shared" si="146"/>
        <v>112.5</v>
      </c>
      <c r="AB192" s="5">
        <f t="shared" si="147"/>
        <v>112.5</v>
      </c>
      <c r="AC192" s="5">
        <f t="shared" si="148"/>
        <v>86.1</v>
      </c>
      <c r="AD192" s="5">
        <f t="shared" si="149"/>
        <v>36.9</v>
      </c>
      <c r="AE192" s="5">
        <f t="shared" si="150"/>
        <v>9.9</v>
      </c>
      <c r="AF192" s="5">
        <f t="shared" si="151"/>
        <v>1.1000000000000001</v>
      </c>
      <c r="AG192" s="5">
        <f t="shared" si="152"/>
        <v>0</v>
      </c>
      <c r="AH192" s="5">
        <f t="shared" si="153"/>
        <v>0</v>
      </c>
      <c r="AI192" s="5">
        <f t="shared" si="160"/>
        <v>0</v>
      </c>
      <c r="AJ192" s="5">
        <f t="shared" si="161"/>
        <v>1.5</v>
      </c>
      <c r="AK192" s="5">
        <f t="shared" si="162"/>
        <v>0</v>
      </c>
      <c r="AL192" s="5">
        <f t="shared" si="163"/>
        <v>0.22</v>
      </c>
      <c r="AM192" s="5">
        <f t="shared" si="164"/>
        <v>164000</v>
      </c>
    </row>
    <row r="193" spans="19:39" x14ac:dyDescent="0.15">
      <c r="S193" s="29">
        <f>基础状态预估!C193</f>
        <v>105</v>
      </c>
      <c r="T193" s="29">
        <f>基础状态预估!D193</f>
        <v>85.384431166588271</v>
      </c>
      <c r="U193" s="29">
        <f t="shared" si="132"/>
        <v>9000</v>
      </c>
      <c r="V193" s="50">
        <f t="shared" si="142"/>
        <v>0</v>
      </c>
      <c r="W193" s="50">
        <f t="shared" si="143"/>
        <v>10</v>
      </c>
      <c r="X193" s="50">
        <f t="shared" si="144"/>
        <v>1</v>
      </c>
      <c r="Y193" s="50">
        <f t="shared" si="145"/>
        <v>1</v>
      </c>
      <c r="Z193" s="50">
        <f t="shared" si="159"/>
        <v>80880</v>
      </c>
      <c r="AA193" s="5">
        <f t="shared" si="146"/>
        <v>115</v>
      </c>
      <c r="AB193" s="5">
        <f t="shared" si="147"/>
        <v>115</v>
      </c>
      <c r="AC193" s="5">
        <f t="shared" si="148"/>
        <v>110.6</v>
      </c>
      <c r="AD193" s="5">
        <f t="shared" si="149"/>
        <v>47.4</v>
      </c>
      <c r="AE193" s="5">
        <f t="shared" si="150"/>
        <v>19.8</v>
      </c>
      <c r="AF193" s="5">
        <f t="shared" si="151"/>
        <v>2.2000000000000002</v>
      </c>
      <c r="AG193" s="5">
        <f t="shared" si="152"/>
        <v>0</v>
      </c>
      <c r="AH193" s="5">
        <f t="shared" si="153"/>
        <v>0</v>
      </c>
      <c r="AI193" s="5">
        <f t="shared" si="160"/>
        <v>0</v>
      </c>
      <c r="AJ193" s="5">
        <f t="shared" si="161"/>
        <v>1.5333333333333334</v>
      </c>
      <c r="AK193" s="5">
        <f t="shared" si="162"/>
        <v>0</v>
      </c>
      <c r="AL193" s="5">
        <f t="shared" si="163"/>
        <v>0.44</v>
      </c>
      <c r="AM193" s="5">
        <f t="shared" si="164"/>
        <v>226800</v>
      </c>
    </row>
    <row r="194" spans="19:39" x14ac:dyDescent="0.15">
      <c r="S194" s="29">
        <f>基础状态预估!C194</f>
        <v>120</v>
      </c>
      <c r="T194" s="29">
        <f>基础状态预估!D194</f>
        <v>87.571414295961461</v>
      </c>
      <c r="U194" s="29">
        <f t="shared" si="132"/>
        <v>9000</v>
      </c>
      <c r="V194" s="50">
        <f t="shared" si="142"/>
        <v>0</v>
      </c>
      <c r="W194" s="50">
        <f t="shared" si="143"/>
        <v>10</v>
      </c>
      <c r="X194" s="50">
        <f t="shared" si="144"/>
        <v>1</v>
      </c>
      <c r="Y194" s="50">
        <f t="shared" si="145"/>
        <v>1</v>
      </c>
      <c r="Z194" s="50">
        <f t="shared" si="159"/>
        <v>107360</v>
      </c>
      <c r="AA194" s="5">
        <f t="shared" si="146"/>
        <v>117.5</v>
      </c>
      <c r="AB194" s="5">
        <f t="shared" si="147"/>
        <v>117.5</v>
      </c>
      <c r="AC194" s="5">
        <f t="shared" si="148"/>
        <v>135.1</v>
      </c>
      <c r="AD194" s="5">
        <f t="shared" si="149"/>
        <v>57.9</v>
      </c>
      <c r="AE194" s="5">
        <f t="shared" si="150"/>
        <v>29.700000000000003</v>
      </c>
      <c r="AF194" s="5">
        <f t="shared" si="151"/>
        <v>3.3000000000000003</v>
      </c>
      <c r="AG194" s="5">
        <f t="shared" si="152"/>
        <v>0</v>
      </c>
      <c r="AH194" s="5">
        <f t="shared" si="153"/>
        <v>0</v>
      </c>
      <c r="AI194" s="5">
        <f t="shared" si="160"/>
        <v>0</v>
      </c>
      <c r="AJ194" s="5">
        <f t="shared" si="161"/>
        <v>1.5666666666666669</v>
      </c>
      <c r="AK194" s="5">
        <f t="shared" si="162"/>
        <v>0</v>
      </c>
      <c r="AL194" s="5">
        <f t="shared" si="163"/>
        <v>0.66</v>
      </c>
      <c r="AM194" s="5">
        <f t="shared" si="164"/>
        <v>289600</v>
      </c>
    </row>
    <row r="195" spans="19:39" x14ac:dyDescent="0.15">
      <c r="S195" s="29">
        <f>基础状态预估!C195</f>
        <v>150</v>
      </c>
      <c r="T195" s="29">
        <f>基础状态预估!D195</f>
        <v>91.216133577135096</v>
      </c>
      <c r="U195" s="29">
        <f t="shared" si="132"/>
        <v>9000</v>
      </c>
      <c r="V195" s="50">
        <f t="shared" si="142"/>
        <v>0</v>
      </c>
      <c r="W195" s="50">
        <f t="shared" si="143"/>
        <v>10</v>
      </c>
      <c r="X195" s="50">
        <f t="shared" si="144"/>
        <v>1</v>
      </c>
      <c r="Y195" s="50">
        <f t="shared" si="145"/>
        <v>1</v>
      </c>
      <c r="Z195" s="50">
        <f t="shared" si="159"/>
        <v>160320</v>
      </c>
      <c r="AA195" s="5">
        <f t="shared" si="146"/>
        <v>122.5</v>
      </c>
      <c r="AB195" s="5">
        <f t="shared" si="147"/>
        <v>122.5</v>
      </c>
      <c r="AC195" s="5">
        <f t="shared" si="148"/>
        <v>184.09999999999997</v>
      </c>
      <c r="AD195" s="5">
        <f t="shared" si="149"/>
        <v>78.899999999999991</v>
      </c>
      <c r="AE195" s="5">
        <f t="shared" si="150"/>
        <v>49.5</v>
      </c>
      <c r="AF195" s="5">
        <f t="shared" si="151"/>
        <v>5.5</v>
      </c>
      <c r="AG195" s="5">
        <f t="shared" si="152"/>
        <v>0</v>
      </c>
      <c r="AH195" s="5">
        <f t="shared" si="153"/>
        <v>0</v>
      </c>
      <c r="AI195" s="5">
        <f t="shared" si="160"/>
        <v>0</v>
      </c>
      <c r="AJ195" s="5">
        <f t="shared" si="161"/>
        <v>1.6333333333333335</v>
      </c>
      <c r="AK195" s="5">
        <f t="shared" si="162"/>
        <v>0</v>
      </c>
      <c r="AL195" s="5">
        <f t="shared" si="163"/>
        <v>1.1000000000000001</v>
      </c>
      <c r="AM195" s="5">
        <f t="shared" si="164"/>
        <v>415200</v>
      </c>
    </row>
    <row r="196" spans="19:39" x14ac:dyDescent="0.15">
      <c r="S196" s="29">
        <f>基础状态预估!C196</f>
        <v>180</v>
      </c>
      <c r="T196" s="29">
        <f>基础状态预估!D196</f>
        <v>94.027056817114342</v>
      </c>
      <c r="U196" s="29">
        <f t="shared" si="132"/>
        <v>9000</v>
      </c>
      <c r="V196" s="50">
        <f t="shared" si="142"/>
        <v>0</v>
      </c>
      <c r="W196" s="50">
        <f t="shared" si="143"/>
        <v>10</v>
      </c>
      <c r="X196" s="50">
        <f t="shared" si="144"/>
        <v>1</v>
      </c>
      <c r="Y196" s="50">
        <f t="shared" si="145"/>
        <v>1</v>
      </c>
      <c r="Z196" s="50">
        <f t="shared" si="159"/>
        <v>213280</v>
      </c>
      <c r="AA196" s="5">
        <f t="shared" si="146"/>
        <v>127.5</v>
      </c>
      <c r="AB196" s="5">
        <f t="shared" si="147"/>
        <v>127.5</v>
      </c>
      <c r="AC196" s="5">
        <f t="shared" si="148"/>
        <v>233.09999999999997</v>
      </c>
      <c r="AD196" s="5">
        <f t="shared" si="149"/>
        <v>99.899999999999991</v>
      </c>
      <c r="AE196" s="5">
        <f t="shared" si="150"/>
        <v>69.3</v>
      </c>
      <c r="AF196" s="5">
        <f t="shared" si="151"/>
        <v>7.7</v>
      </c>
      <c r="AG196" s="5">
        <f t="shared" si="152"/>
        <v>0</v>
      </c>
      <c r="AH196" s="5">
        <f t="shared" si="153"/>
        <v>0</v>
      </c>
      <c r="AI196" s="5">
        <f t="shared" si="160"/>
        <v>0</v>
      </c>
      <c r="AJ196" s="5">
        <f t="shared" si="161"/>
        <v>1.7000000000000002</v>
      </c>
      <c r="AK196" s="5">
        <f t="shared" si="162"/>
        <v>0</v>
      </c>
      <c r="AL196" s="5">
        <f t="shared" si="163"/>
        <v>1.54</v>
      </c>
      <c r="AM196" s="5">
        <f t="shared" si="164"/>
        <v>540800</v>
      </c>
    </row>
    <row r="197" spans="19:39" x14ac:dyDescent="0.15">
      <c r="S197" s="29">
        <f>基础状态预估!C197</f>
        <v>210</v>
      </c>
      <c r="T197" s="29">
        <f>基础状态预估!D197</f>
        <v>96.190942965578103</v>
      </c>
      <c r="U197" s="29">
        <f t="shared" si="132"/>
        <v>9000</v>
      </c>
      <c r="V197" s="50">
        <f t="shared" si="142"/>
        <v>0</v>
      </c>
      <c r="W197" s="50">
        <f t="shared" si="143"/>
        <v>10</v>
      </c>
      <c r="X197" s="50">
        <f t="shared" si="144"/>
        <v>1</v>
      </c>
      <c r="Y197" s="50">
        <f t="shared" si="145"/>
        <v>1</v>
      </c>
      <c r="Z197" s="50">
        <f t="shared" si="159"/>
        <v>266240</v>
      </c>
      <c r="AA197" s="5">
        <f t="shared" si="146"/>
        <v>132.5</v>
      </c>
      <c r="AB197" s="5">
        <f t="shared" si="147"/>
        <v>132.5</v>
      </c>
      <c r="AC197" s="5">
        <f t="shared" si="148"/>
        <v>282.09999999999997</v>
      </c>
      <c r="AD197" s="5">
        <f t="shared" si="149"/>
        <v>120.89999999999999</v>
      </c>
      <c r="AE197" s="5">
        <f t="shared" si="150"/>
        <v>89.1</v>
      </c>
      <c r="AF197" s="5">
        <f t="shared" si="151"/>
        <v>9.9</v>
      </c>
      <c r="AG197" s="5">
        <f t="shared" si="152"/>
        <v>0</v>
      </c>
      <c r="AH197" s="5">
        <f t="shared" si="153"/>
        <v>0</v>
      </c>
      <c r="AI197" s="5">
        <f t="shared" si="160"/>
        <v>0</v>
      </c>
      <c r="AJ197" s="5">
        <f t="shared" si="161"/>
        <v>1.7666666666666668</v>
      </c>
      <c r="AK197" s="5">
        <f t="shared" si="162"/>
        <v>0</v>
      </c>
      <c r="AL197" s="5">
        <f t="shared" si="163"/>
        <v>1.98</v>
      </c>
      <c r="AM197" s="5">
        <f t="shared" si="164"/>
        <v>666400</v>
      </c>
    </row>
    <row r="198" spans="19:39" x14ac:dyDescent="0.15">
      <c r="S198" s="29">
        <f>基础状态预估!C198</f>
        <v>240</v>
      </c>
      <c r="T198" s="29">
        <f>基础状态预估!D198</f>
        <v>97.955584586719908</v>
      </c>
      <c r="U198" s="29">
        <f t="shared" si="132"/>
        <v>9000</v>
      </c>
      <c r="V198" s="50">
        <f t="shared" si="142"/>
        <v>0</v>
      </c>
      <c r="W198" s="50">
        <f t="shared" si="143"/>
        <v>10</v>
      </c>
      <c r="X198" s="50">
        <f t="shared" si="144"/>
        <v>1</v>
      </c>
      <c r="Y198" s="50">
        <f t="shared" si="145"/>
        <v>1</v>
      </c>
      <c r="Z198" s="50">
        <f t="shared" si="159"/>
        <v>319200</v>
      </c>
      <c r="AA198" s="5">
        <f t="shared" si="146"/>
        <v>137.5</v>
      </c>
      <c r="AB198" s="5">
        <f t="shared" si="147"/>
        <v>137.5</v>
      </c>
      <c r="AC198" s="5">
        <f t="shared" si="148"/>
        <v>331.09999999999997</v>
      </c>
      <c r="AD198" s="5">
        <f t="shared" si="149"/>
        <v>141.89999999999998</v>
      </c>
      <c r="AE198" s="5">
        <f t="shared" si="150"/>
        <v>108.89999999999999</v>
      </c>
      <c r="AF198" s="5">
        <f t="shared" si="151"/>
        <v>12.100000000000001</v>
      </c>
      <c r="AG198" s="5">
        <f t="shared" si="152"/>
        <v>0</v>
      </c>
      <c r="AH198" s="5">
        <f t="shared" si="153"/>
        <v>0</v>
      </c>
      <c r="AI198" s="5">
        <f t="shared" si="160"/>
        <v>0</v>
      </c>
      <c r="AJ198" s="5">
        <f t="shared" si="161"/>
        <v>1.8333333333333335</v>
      </c>
      <c r="AK198" s="5">
        <f t="shared" si="162"/>
        <v>0</v>
      </c>
      <c r="AL198" s="5">
        <f t="shared" si="163"/>
        <v>2.42</v>
      </c>
      <c r="AM198" s="5">
        <f t="shared" si="164"/>
        <v>792000</v>
      </c>
    </row>
    <row r="199" spans="19:39" x14ac:dyDescent="0.15">
      <c r="S199" s="29">
        <f>基础状态预估!C199</f>
        <v>270</v>
      </c>
      <c r="T199" s="29">
        <f>基础状态预估!D199</f>
        <v>99.721869727346999</v>
      </c>
      <c r="U199" s="29">
        <f t="shared" si="132"/>
        <v>9000</v>
      </c>
      <c r="V199" s="50">
        <f t="shared" si="142"/>
        <v>0</v>
      </c>
      <c r="W199" s="50">
        <f t="shared" si="143"/>
        <v>10</v>
      </c>
      <c r="X199" s="50">
        <f t="shared" si="144"/>
        <v>1</v>
      </c>
      <c r="Y199" s="50">
        <f t="shared" si="145"/>
        <v>1</v>
      </c>
      <c r="Z199" s="50">
        <f t="shared" si="159"/>
        <v>372160</v>
      </c>
      <c r="AA199" s="5">
        <f t="shared" si="146"/>
        <v>142.5</v>
      </c>
      <c r="AB199" s="5">
        <f t="shared" si="147"/>
        <v>142.5</v>
      </c>
      <c r="AC199" s="5">
        <f t="shared" si="148"/>
        <v>380.09999999999997</v>
      </c>
      <c r="AD199" s="5">
        <f t="shared" si="149"/>
        <v>162.89999999999998</v>
      </c>
      <c r="AE199" s="5">
        <f t="shared" si="150"/>
        <v>128.69999999999999</v>
      </c>
      <c r="AF199" s="5">
        <f t="shared" si="151"/>
        <v>14.3</v>
      </c>
      <c r="AG199" s="5">
        <f t="shared" si="152"/>
        <v>0</v>
      </c>
      <c r="AH199" s="5">
        <f t="shared" si="153"/>
        <v>0</v>
      </c>
      <c r="AI199" s="5">
        <f t="shared" si="160"/>
        <v>0</v>
      </c>
      <c r="AJ199" s="5">
        <f t="shared" si="161"/>
        <v>1.9000000000000001</v>
      </c>
      <c r="AK199" s="5">
        <f t="shared" si="162"/>
        <v>0</v>
      </c>
      <c r="AL199" s="5">
        <f t="shared" si="163"/>
        <v>2.86</v>
      </c>
      <c r="AM199" s="5">
        <f t="shared" si="164"/>
        <v>917600</v>
      </c>
    </row>
    <row r="200" spans="19:39" x14ac:dyDescent="0.15">
      <c r="S200" s="29">
        <f>基础状态预估!C200</f>
        <v>300</v>
      </c>
      <c r="T200" s="29">
        <f>基础状态预估!D200</f>
        <v>101.32661435104789</v>
      </c>
      <c r="U200" s="29">
        <f t="shared" si="132"/>
        <v>9000</v>
      </c>
      <c r="V200" s="50">
        <f t="shared" si="142"/>
        <v>0</v>
      </c>
      <c r="W200" s="50">
        <f t="shared" si="143"/>
        <v>10</v>
      </c>
      <c r="X200" s="50">
        <f t="shared" si="144"/>
        <v>1</v>
      </c>
      <c r="Y200" s="50">
        <f t="shared" si="145"/>
        <v>1</v>
      </c>
      <c r="Z200" s="50">
        <f t="shared" si="159"/>
        <v>425120</v>
      </c>
      <c r="AA200" s="5">
        <f t="shared" si="146"/>
        <v>147.5</v>
      </c>
      <c r="AB200" s="5">
        <f t="shared" si="147"/>
        <v>147.5</v>
      </c>
      <c r="AC200" s="5">
        <f t="shared" si="148"/>
        <v>429.09999999999997</v>
      </c>
      <c r="AD200" s="5">
        <f t="shared" si="149"/>
        <v>183.89999999999998</v>
      </c>
      <c r="AE200" s="5">
        <f t="shared" si="150"/>
        <v>148.5</v>
      </c>
      <c r="AF200" s="5">
        <f t="shared" si="151"/>
        <v>16.5</v>
      </c>
      <c r="AG200" s="5">
        <f t="shared" si="152"/>
        <v>0</v>
      </c>
      <c r="AH200" s="5">
        <f t="shared" si="153"/>
        <v>0</v>
      </c>
      <c r="AI200" s="5">
        <f t="shared" si="160"/>
        <v>0</v>
      </c>
      <c r="AJ200" s="5">
        <f t="shared" si="161"/>
        <v>1.9666666666666668</v>
      </c>
      <c r="AK200" s="5">
        <f t="shared" si="162"/>
        <v>0</v>
      </c>
      <c r="AL200" s="5">
        <f t="shared" si="163"/>
        <v>3.3</v>
      </c>
      <c r="AM200" s="5">
        <f t="shared" si="164"/>
        <v>1043200</v>
      </c>
    </row>
    <row r="201" spans="19:39" x14ac:dyDescent="0.15">
      <c r="S201" s="29">
        <f>基础状态预估!C201</f>
        <v>360</v>
      </c>
      <c r="T201" s="29">
        <f>基础状态预估!D201</f>
        <v>103.97984772466795</v>
      </c>
      <c r="U201" s="29">
        <f t="shared" si="132"/>
        <v>9000</v>
      </c>
      <c r="V201" s="50">
        <f t="shared" si="142"/>
        <v>0</v>
      </c>
      <c r="W201" s="50">
        <f t="shared" si="143"/>
        <v>10</v>
      </c>
      <c r="X201" s="50">
        <f t="shared" si="144"/>
        <v>1</v>
      </c>
      <c r="Y201" s="50">
        <f t="shared" si="145"/>
        <v>1</v>
      </c>
      <c r="Z201" s="50">
        <f t="shared" si="159"/>
        <v>531040</v>
      </c>
      <c r="AA201" s="5">
        <f t="shared" si="146"/>
        <v>157.5</v>
      </c>
      <c r="AB201" s="5">
        <f t="shared" si="147"/>
        <v>157.5</v>
      </c>
      <c r="AC201" s="5">
        <f t="shared" si="148"/>
        <v>527.09999999999991</v>
      </c>
      <c r="AD201" s="5">
        <f t="shared" si="149"/>
        <v>225.89999999999998</v>
      </c>
      <c r="AE201" s="5">
        <f t="shared" si="150"/>
        <v>188.1</v>
      </c>
      <c r="AF201" s="5">
        <f t="shared" si="151"/>
        <v>20.9</v>
      </c>
      <c r="AG201" s="5">
        <f t="shared" si="152"/>
        <v>0</v>
      </c>
      <c r="AH201" s="5">
        <f t="shared" si="153"/>
        <v>0</v>
      </c>
      <c r="AI201" s="5">
        <f t="shared" si="160"/>
        <v>0</v>
      </c>
      <c r="AJ201" s="5">
        <f t="shared" si="161"/>
        <v>2.1</v>
      </c>
      <c r="AK201" s="5">
        <f t="shared" si="162"/>
        <v>0</v>
      </c>
      <c r="AL201" s="5">
        <f t="shared" si="163"/>
        <v>4.18</v>
      </c>
      <c r="AM201" s="5">
        <f t="shared" si="164"/>
        <v>1294400</v>
      </c>
    </row>
    <row r="202" spans="19:39" x14ac:dyDescent="0.15">
      <c r="S202" s="29">
        <f>基础状态预估!C202</f>
        <v>420</v>
      </c>
      <c r="T202" s="29">
        <f>基础状态预估!D202</f>
        <v>106.26808301554426</v>
      </c>
      <c r="U202" s="29">
        <f t="shared" si="132"/>
        <v>9000</v>
      </c>
      <c r="V202" s="50">
        <f t="shared" si="142"/>
        <v>0</v>
      </c>
      <c r="W202" s="50">
        <f t="shared" si="143"/>
        <v>10</v>
      </c>
      <c r="X202" s="50">
        <f t="shared" si="144"/>
        <v>1</v>
      </c>
      <c r="Y202" s="50">
        <f t="shared" si="145"/>
        <v>1</v>
      </c>
      <c r="Z202" s="50">
        <f t="shared" si="159"/>
        <v>636960</v>
      </c>
      <c r="AA202" s="5">
        <f t="shared" si="146"/>
        <v>167.5</v>
      </c>
      <c r="AB202" s="5">
        <f t="shared" si="147"/>
        <v>167.5</v>
      </c>
      <c r="AC202" s="5">
        <f t="shared" si="148"/>
        <v>625.09999999999991</v>
      </c>
      <c r="AD202" s="5">
        <f t="shared" si="149"/>
        <v>267.89999999999998</v>
      </c>
      <c r="AE202" s="5">
        <f t="shared" si="150"/>
        <v>227.7</v>
      </c>
      <c r="AF202" s="5">
        <f t="shared" si="151"/>
        <v>25.299999999999997</v>
      </c>
      <c r="AG202" s="5">
        <f t="shared" si="152"/>
        <v>0</v>
      </c>
      <c r="AH202" s="5">
        <f t="shared" si="153"/>
        <v>0</v>
      </c>
      <c r="AI202" s="5">
        <f t="shared" si="160"/>
        <v>0</v>
      </c>
      <c r="AJ202" s="5">
        <f t="shared" si="161"/>
        <v>2.2333333333333334</v>
      </c>
      <c r="AK202" s="5">
        <f t="shared" si="162"/>
        <v>0</v>
      </c>
      <c r="AL202" s="5">
        <f t="shared" si="163"/>
        <v>5.0599999999999996</v>
      </c>
      <c r="AM202" s="5">
        <f t="shared" si="164"/>
        <v>1545600</v>
      </c>
    </row>
    <row r="203" spans="19:39" x14ac:dyDescent="0.15">
      <c r="S203" s="29">
        <f>基础状态预估!C203</f>
        <v>480</v>
      </c>
      <c r="T203" s="29">
        <f>基础状态预估!D203</f>
        <v>108.26512634376826</v>
      </c>
      <c r="U203" s="29">
        <f t="shared" si="132"/>
        <v>9000</v>
      </c>
      <c r="V203" s="50">
        <f t="shared" si="142"/>
        <v>0</v>
      </c>
      <c r="W203" s="50">
        <f t="shared" si="143"/>
        <v>10</v>
      </c>
      <c r="X203" s="50">
        <f t="shared" si="144"/>
        <v>1</v>
      </c>
      <c r="Y203" s="50">
        <f t="shared" si="145"/>
        <v>1</v>
      </c>
      <c r="Z203" s="50">
        <f t="shared" si="159"/>
        <v>742880</v>
      </c>
      <c r="AA203" s="5">
        <f t="shared" si="146"/>
        <v>177.5</v>
      </c>
      <c r="AB203" s="5">
        <f t="shared" si="147"/>
        <v>177.5</v>
      </c>
      <c r="AC203" s="5">
        <f t="shared" si="148"/>
        <v>723.09999999999991</v>
      </c>
      <c r="AD203" s="5">
        <f t="shared" si="149"/>
        <v>309.89999999999998</v>
      </c>
      <c r="AE203" s="5">
        <f t="shared" si="150"/>
        <v>267.3</v>
      </c>
      <c r="AF203" s="5">
        <f t="shared" si="151"/>
        <v>29.699999999999996</v>
      </c>
      <c r="AG203" s="5">
        <f t="shared" si="152"/>
        <v>0</v>
      </c>
      <c r="AH203" s="5">
        <f t="shared" si="153"/>
        <v>0</v>
      </c>
      <c r="AI203" s="5">
        <f t="shared" si="160"/>
        <v>0</v>
      </c>
      <c r="AJ203" s="5">
        <f t="shared" si="161"/>
        <v>2.3666666666666667</v>
      </c>
      <c r="AK203" s="5">
        <f t="shared" si="162"/>
        <v>0</v>
      </c>
      <c r="AL203" s="5">
        <f t="shared" si="163"/>
        <v>5.9399999999999995</v>
      </c>
      <c r="AM203" s="5">
        <f t="shared" si="164"/>
        <v>1796800</v>
      </c>
    </row>
    <row r="204" spans="19:39" x14ac:dyDescent="0.15">
      <c r="S204" s="29">
        <f>基础状态预估!C204</f>
        <v>540</v>
      </c>
      <c r="T204" s="29">
        <f>基础状态预估!D204</f>
        <v>109.94539652344133</v>
      </c>
      <c r="U204" s="29">
        <f t="shared" si="132"/>
        <v>9000</v>
      </c>
      <c r="V204" s="50">
        <f t="shared" si="142"/>
        <v>0</v>
      </c>
      <c r="W204" s="50">
        <f t="shared" si="143"/>
        <v>10</v>
      </c>
      <c r="X204" s="50">
        <f t="shared" si="144"/>
        <v>1</v>
      </c>
      <c r="Y204" s="50">
        <f t="shared" si="145"/>
        <v>1</v>
      </c>
      <c r="Z204" s="50">
        <f t="shared" si="159"/>
        <v>848800</v>
      </c>
      <c r="AA204" s="5">
        <f t="shared" si="146"/>
        <v>187.5</v>
      </c>
      <c r="AB204" s="5">
        <f t="shared" si="147"/>
        <v>187.5</v>
      </c>
      <c r="AC204" s="5">
        <f t="shared" si="148"/>
        <v>821.09999999999991</v>
      </c>
      <c r="AD204" s="5">
        <f t="shared" si="149"/>
        <v>351.9</v>
      </c>
      <c r="AE204" s="5">
        <f t="shared" si="150"/>
        <v>306.90000000000003</v>
      </c>
      <c r="AF204" s="5">
        <f t="shared" si="151"/>
        <v>34.099999999999994</v>
      </c>
      <c r="AG204" s="5">
        <f t="shared" si="152"/>
        <v>0</v>
      </c>
      <c r="AH204" s="5">
        <f t="shared" si="153"/>
        <v>0</v>
      </c>
      <c r="AI204" s="5">
        <f t="shared" si="160"/>
        <v>0</v>
      </c>
      <c r="AJ204" s="5">
        <f t="shared" si="161"/>
        <v>2.5</v>
      </c>
      <c r="AK204" s="5">
        <f t="shared" si="162"/>
        <v>0</v>
      </c>
      <c r="AL204" s="5">
        <f t="shared" si="163"/>
        <v>6.8199999999999994</v>
      </c>
      <c r="AM204" s="5">
        <f t="shared" si="164"/>
        <v>2048000</v>
      </c>
    </row>
    <row r="205" spans="19:39" x14ac:dyDescent="0.15">
      <c r="S205" s="29">
        <f>基础状态预估!C205</f>
        <v>600</v>
      </c>
      <c r="T205" s="29">
        <f>基础状态预估!D205</f>
        <v>111.42099139883071</v>
      </c>
      <c r="U205" s="29">
        <f t="shared" si="132"/>
        <v>9000</v>
      </c>
      <c r="V205" s="50">
        <f t="shared" si="142"/>
        <v>0</v>
      </c>
      <c r="W205" s="50">
        <f t="shared" si="143"/>
        <v>10</v>
      </c>
      <c r="X205" s="50">
        <f t="shared" si="144"/>
        <v>1</v>
      </c>
      <c r="Y205" s="50">
        <f t="shared" si="145"/>
        <v>1</v>
      </c>
      <c r="Z205" s="50">
        <f t="shared" si="159"/>
        <v>954720</v>
      </c>
      <c r="AA205" s="5">
        <f t="shared" si="146"/>
        <v>197.5</v>
      </c>
      <c r="AB205" s="5">
        <f t="shared" si="147"/>
        <v>197.5</v>
      </c>
      <c r="AC205" s="5">
        <f t="shared" si="148"/>
        <v>919.09999999999991</v>
      </c>
      <c r="AD205" s="5">
        <f t="shared" si="149"/>
        <v>393.9</v>
      </c>
      <c r="AE205" s="5">
        <f t="shared" si="150"/>
        <v>346.50000000000006</v>
      </c>
      <c r="AF205" s="5">
        <f t="shared" si="151"/>
        <v>38.499999999999993</v>
      </c>
      <c r="AG205" s="5">
        <f t="shared" si="152"/>
        <v>0</v>
      </c>
      <c r="AH205" s="5">
        <f t="shared" si="153"/>
        <v>0</v>
      </c>
      <c r="AI205" s="5">
        <f t="shared" si="160"/>
        <v>0</v>
      </c>
      <c r="AJ205" s="5">
        <f t="shared" si="161"/>
        <v>2.6333333333333333</v>
      </c>
      <c r="AK205" s="5">
        <f t="shared" si="162"/>
        <v>0</v>
      </c>
      <c r="AL205" s="5">
        <f t="shared" si="163"/>
        <v>7.6999999999999993</v>
      </c>
      <c r="AM205" s="5">
        <f t="shared" si="164"/>
        <v>2299200</v>
      </c>
    </row>
    <row r="206" spans="19:39" x14ac:dyDescent="0.15">
      <c r="S206" s="29">
        <f>基础状态预估!C206</f>
        <v>660</v>
      </c>
      <c r="T206" s="29">
        <f>基础状态预估!D206</f>
        <v>112.86737811324367</v>
      </c>
      <c r="U206" s="29">
        <f t="shared" si="132"/>
        <v>9000</v>
      </c>
      <c r="V206" s="50">
        <f t="shared" si="142"/>
        <v>0</v>
      </c>
      <c r="W206" s="50">
        <f t="shared" si="143"/>
        <v>10</v>
      </c>
      <c r="X206" s="50">
        <f t="shared" si="144"/>
        <v>1</v>
      </c>
      <c r="Y206" s="50">
        <f t="shared" si="145"/>
        <v>1</v>
      </c>
      <c r="Z206" s="50">
        <f t="shared" si="159"/>
        <v>1060640</v>
      </c>
      <c r="AA206" s="5">
        <f t="shared" si="146"/>
        <v>207.5</v>
      </c>
      <c r="AB206" s="5">
        <f t="shared" si="147"/>
        <v>207.5</v>
      </c>
      <c r="AC206" s="5">
        <f t="shared" si="148"/>
        <v>1017.0999999999999</v>
      </c>
      <c r="AD206" s="5">
        <f t="shared" si="149"/>
        <v>435.9</v>
      </c>
      <c r="AE206" s="5">
        <f t="shared" si="150"/>
        <v>386.10000000000008</v>
      </c>
      <c r="AF206" s="5">
        <f t="shared" si="151"/>
        <v>42.899999999999991</v>
      </c>
      <c r="AG206" s="5">
        <f t="shared" si="152"/>
        <v>0</v>
      </c>
      <c r="AH206" s="5">
        <f t="shared" si="153"/>
        <v>0</v>
      </c>
      <c r="AI206" s="5">
        <f t="shared" si="160"/>
        <v>0</v>
      </c>
      <c r="AJ206" s="5">
        <f t="shared" si="161"/>
        <v>2.7666666666666666</v>
      </c>
      <c r="AK206" s="5">
        <f t="shared" si="162"/>
        <v>0</v>
      </c>
      <c r="AL206" s="5">
        <f t="shared" si="163"/>
        <v>8.58</v>
      </c>
      <c r="AM206" s="5">
        <f t="shared" si="164"/>
        <v>2550400</v>
      </c>
    </row>
    <row r="207" spans="19:39" x14ac:dyDescent="0.15">
      <c r="S207" s="29">
        <f>基础状态预估!C207</f>
        <v>720</v>
      </c>
      <c r="T207" s="29">
        <f>基础状态预估!D207</f>
        <v>114.18811572794328</v>
      </c>
      <c r="U207" s="29">
        <f t="shared" si="132"/>
        <v>9000</v>
      </c>
      <c r="V207" s="50">
        <f t="shared" si="142"/>
        <v>0</v>
      </c>
      <c r="W207" s="50">
        <f t="shared" si="143"/>
        <v>10</v>
      </c>
      <c r="X207" s="50">
        <f t="shared" si="144"/>
        <v>1</v>
      </c>
      <c r="Y207" s="50">
        <f t="shared" si="145"/>
        <v>1</v>
      </c>
      <c r="Z207" s="50">
        <f t="shared" si="159"/>
        <v>1166560</v>
      </c>
      <c r="AA207" s="5">
        <f t="shared" si="146"/>
        <v>217.5</v>
      </c>
      <c r="AB207" s="5">
        <f t="shared" si="147"/>
        <v>217.5</v>
      </c>
      <c r="AC207" s="5">
        <f t="shared" si="148"/>
        <v>1115.0999999999999</v>
      </c>
      <c r="AD207" s="5">
        <f t="shared" si="149"/>
        <v>477.9</v>
      </c>
      <c r="AE207" s="5">
        <f t="shared" si="150"/>
        <v>425.7000000000001</v>
      </c>
      <c r="AF207" s="5">
        <f t="shared" si="151"/>
        <v>47.29999999999999</v>
      </c>
      <c r="AG207" s="5">
        <f t="shared" si="152"/>
        <v>0</v>
      </c>
      <c r="AH207" s="5">
        <f t="shared" si="153"/>
        <v>0</v>
      </c>
      <c r="AI207" s="5">
        <f t="shared" si="160"/>
        <v>0</v>
      </c>
      <c r="AJ207" s="5">
        <f t="shared" si="161"/>
        <v>2.9</v>
      </c>
      <c r="AK207" s="5">
        <f t="shared" si="162"/>
        <v>0</v>
      </c>
      <c r="AL207" s="5">
        <f t="shared" si="163"/>
        <v>9.4600000000000009</v>
      </c>
      <c r="AM207" s="5">
        <f t="shared" si="164"/>
        <v>2801600</v>
      </c>
    </row>
    <row r="208" spans="19:39" x14ac:dyDescent="0.15">
      <c r="S208" s="29">
        <f>基础状态预估!C208</f>
        <v>780</v>
      </c>
      <c r="T208" s="29">
        <f>基础状态预估!D208</f>
        <v>115.38798688586955</v>
      </c>
      <c r="U208" s="29">
        <f t="shared" si="132"/>
        <v>9000</v>
      </c>
      <c r="V208" s="50">
        <f t="shared" si="142"/>
        <v>0</v>
      </c>
      <c r="W208" s="50">
        <f t="shared" si="143"/>
        <v>10</v>
      </c>
      <c r="X208" s="50">
        <f t="shared" si="144"/>
        <v>1</v>
      </c>
      <c r="Y208" s="50">
        <f t="shared" si="145"/>
        <v>1</v>
      </c>
      <c r="Z208" s="50">
        <f t="shared" si="159"/>
        <v>1272480</v>
      </c>
      <c r="AA208" s="5">
        <f t="shared" si="146"/>
        <v>227.5</v>
      </c>
      <c r="AB208" s="5">
        <f t="shared" si="147"/>
        <v>227.5</v>
      </c>
      <c r="AC208" s="5">
        <f t="shared" si="148"/>
        <v>1213.0999999999999</v>
      </c>
      <c r="AD208" s="5">
        <f t="shared" si="149"/>
        <v>519.9</v>
      </c>
      <c r="AE208" s="5">
        <f t="shared" si="150"/>
        <v>465.30000000000013</v>
      </c>
      <c r="AF208" s="5">
        <f t="shared" si="151"/>
        <v>51.699999999999989</v>
      </c>
      <c r="AG208" s="5">
        <f t="shared" si="152"/>
        <v>0</v>
      </c>
      <c r="AH208" s="5">
        <f t="shared" si="153"/>
        <v>0</v>
      </c>
      <c r="AI208" s="5">
        <f t="shared" si="160"/>
        <v>0</v>
      </c>
      <c r="AJ208" s="5">
        <f t="shared" si="161"/>
        <v>3.0333333333333332</v>
      </c>
      <c r="AK208" s="5">
        <f t="shared" si="162"/>
        <v>0</v>
      </c>
      <c r="AL208" s="5">
        <f t="shared" si="163"/>
        <v>10.340000000000002</v>
      </c>
      <c r="AM208" s="5">
        <f t="shared" si="164"/>
        <v>3052800</v>
      </c>
    </row>
    <row r="209" spans="19:39" x14ac:dyDescent="0.15">
      <c r="S209" s="29">
        <f>基础状态预估!C209</f>
        <v>840</v>
      </c>
      <c r="T209" s="29">
        <f>基础状态预估!D209</f>
        <v>116.44628179968991</v>
      </c>
      <c r="U209" s="29">
        <f t="shared" si="132"/>
        <v>9000</v>
      </c>
      <c r="V209" s="50">
        <f t="shared" si="142"/>
        <v>0</v>
      </c>
      <c r="W209" s="50">
        <f t="shared" si="143"/>
        <v>10</v>
      </c>
      <c r="X209" s="50">
        <f t="shared" si="144"/>
        <v>1</v>
      </c>
      <c r="Y209" s="50">
        <f t="shared" si="145"/>
        <v>1</v>
      </c>
      <c r="Z209" s="50">
        <f t="shared" si="159"/>
        <v>1378400</v>
      </c>
      <c r="AA209" s="5">
        <f t="shared" si="146"/>
        <v>237.5</v>
      </c>
      <c r="AB209" s="5">
        <f t="shared" si="147"/>
        <v>237.5</v>
      </c>
      <c r="AC209" s="5">
        <f t="shared" si="148"/>
        <v>1311.1</v>
      </c>
      <c r="AD209" s="5">
        <f t="shared" si="149"/>
        <v>561.9</v>
      </c>
      <c r="AE209" s="5">
        <f t="shared" si="150"/>
        <v>504.90000000000015</v>
      </c>
      <c r="AF209" s="5">
        <f t="shared" si="151"/>
        <v>56.099999999999987</v>
      </c>
      <c r="AG209" s="5">
        <f t="shared" si="152"/>
        <v>0</v>
      </c>
      <c r="AH209" s="5">
        <f t="shared" si="153"/>
        <v>0</v>
      </c>
      <c r="AI209" s="5">
        <f t="shared" si="160"/>
        <v>0</v>
      </c>
      <c r="AJ209" s="5">
        <f t="shared" si="161"/>
        <v>3.1666666666666665</v>
      </c>
      <c r="AK209" s="5">
        <f t="shared" si="162"/>
        <v>0</v>
      </c>
      <c r="AL209" s="5">
        <f t="shared" si="163"/>
        <v>11.220000000000002</v>
      </c>
      <c r="AM209" s="5">
        <f t="shared" si="164"/>
        <v>3304000</v>
      </c>
    </row>
    <row r="210" spans="19:39" x14ac:dyDescent="0.15">
      <c r="S210" s="29">
        <f>基础状态预估!C210</f>
        <v>900</v>
      </c>
      <c r="T210" s="29">
        <f>基础状态预估!D210</f>
        <v>117.4271778717454</v>
      </c>
      <c r="U210" s="29">
        <f t="shared" si="132"/>
        <v>9000</v>
      </c>
      <c r="V210" s="50">
        <f t="shared" si="142"/>
        <v>0</v>
      </c>
      <c r="W210" s="50">
        <f t="shared" si="143"/>
        <v>10</v>
      </c>
      <c r="X210" s="50">
        <f t="shared" si="144"/>
        <v>1</v>
      </c>
      <c r="Y210" s="50">
        <f t="shared" si="145"/>
        <v>1</v>
      </c>
      <c r="Z210" s="50">
        <f t="shared" si="159"/>
        <v>1484320</v>
      </c>
      <c r="AA210" s="5">
        <f t="shared" si="146"/>
        <v>247.5</v>
      </c>
      <c r="AB210" s="5">
        <f t="shared" si="147"/>
        <v>247.5</v>
      </c>
      <c r="AC210" s="5">
        <f t="shared" si="148"/>
        <v>1409.1</v>
      </c>
      <c r="AD210" s="5">
        <f t="shared" si="149"/>
        <v>603.9</v>
      </c>
      <c r="AE210" s="5">
        <f t="shared" si="150"/>
        <v>544.50000000000011</v>
      </c>
      <c r="AF210" s="5">
        <f t="shared" si="151"/>
        <v>60.499999999999986</v>
      </c>
      <c r="AG210" s="5">
        <f t="shared" si="152"/>
        <v>0</v>
      </c>
      <c r="AH210" s="5">
        <f t="shared" si="153"/>
        <v>0</v>
      </c>
      <c r="AI210" s="5">
        <f t="shared" si="160"/>
        <v>0</v>
      </c>
      <c r="AJ210" s="5">
        <f t="shared" si="161"/>
        <v>3.3</v>
      </c>
      <c r="AK210" s="5">
        <f t="shared" si="162"/>
        <v>0</v>
      </c>
      <c r="AL210" s="5">
        <f t="shared" si="163"/>
        <v>12.100000000000003</v>
      </c>
      <c r="AM210" s="5">
        <f t="shared" si="164"/>
        <v>3555200</v>
      </c>
    </row>
    <row r="211" spans="19:39" x14ac:dyDescent="0.15">
      <c r="S211" s="29">
        <f>基础状态预估!C211</f>
        <v>1020</v>
      </c>
      <c r="T211" s="29">
        <f>基础状态预估!D211</f>
        <v>119.29151076707612</v>
      </c>
      <c r="U211" s="29">
        <f t="shared" si="132"/>
        <v>9000</v>
      </c>
      <c r="V211" s="50">
        <f t="shared" si="142"/>
        <v>0</v>
      </c>
      <c r="W211" s="50">
        <f t="shared" si="143"/>
        <v>10</v>
      </c>
      <c r="X211" s="50">
        <f t="shared" si="144"/>
        <v>1</v>
      </c>
      <c r="Y211" s="50">
        <f t="shared" si="145"/>
        <v>1</v>
      </c>
      <c r="Z211" s="50">
        <f t="shared" si="159"/>
        <v>1696160</v>
      </c>
      <c r="AA211" s="5">
        <f t="shared" si="146"/>
        <v>267.5</v>
      </c>
      <c r="AB211" s="5">
        <f t="shared" si="147"/>
        <v>267.5</v>
      </c>
      <c r="AC211" s="5">
        <f t="shared" si="148"/>
        <v>1605.1</v>
      </c>
      <c r="AD211" s="5">
        <f t="shared" si="149"/>
        <v>687.9</v>
      </c>
      <c r="AE211" s="5">
        <f t="shared" si="150"/>
        <v>623.70000000000016</v>
      </c>
      <c r="AF211" s="5">
        <f t="shared" si="151"/>
        <v>69.299999999999983</v>
      </c>
      <c r="AG211" s="5">
        <f t="shared" si="152"/>
        <v>0</v>
      </c>
      <c r="AH211" s="5">
        <f t="shared" si="153"/>
        <v>0</v>
      </c>
      <c r="AI211" s="5">
        <f t="shared" si="160"/>
        <v>0</v>
      </c>
      <c r="AJ211" s="5">
        <f t="shared" si="161"/>
        <v>3.5666666666666664</v>
      </c>
      <c r="AK211" s="5">
        <f t="shared" si="162"/>
        <v>0</v>
      </c>
      <c r="AL211" s="5">
        <f t="shared" si="163"/>
        <v>13.860000000000003</v>
      </c>
      <c r="AM211" s="5">
        <f t="shared" si="164"/>
        <v>4057600</v>
      </c>
    </row>
    <row r="212" spans="19:39" x14ac:dyDescent="0.15">
      <c r="S212" s="29">
        <f>基础状态预估!C212</f>
        <v>1140</v>
      </c>
      <c r="T212" s="29">
        <f>基础状态预估!D212</f>
        <v>120.95580403349236</v>
      </c>
      <c r="U212" s="29">
        <f t="shared" si="132"/>
        <v>9000</v>
      </c>
      <c r="V212" s="50">
        <f t="shared" si="142"/>
        <v>0</v>
      </c>
      <c r="W212" s="50">
        <f t="shared" si="143"/>
        <v>10</v>
      </c>
      <c r="X212" s="50">
        <f t="shared" si="144"/>
        <v>1</v>
      </c>
      <c r="Y212" s="50">
        <f t="shared" si="145"/>
        <v>1</v>
      </c>
      <c r="Z212" s="50">
        <f t="shared" si="159"/>
        <v>1908000</v>
      </c>
      <c r="AA212" s="5">
        <f t="shared" si="146"/>
        <v>287.5</v>
      </c>
      <c r="AB212" s="5">
        <f t="shared" si="147"/>
        <v>287.5</v>
      </c>
      <c r="AC212" s="5">
        <f t="shared" si="148"/>
        <v>1801.1</v>
      </c>
      <c r="AD212" s="5">
        <f t="shared" si="149"/>
        <v>771.9</v>
      </c>
      <c r="AE212" s="5">
        <f t="shared" si="150"/>
        <v>702.9000000000002</v>
      </c>
      <c r="AF212" s="5">
        <f t="shared" si="151"/>
        <v>78.09999999999998</v>
      </c>
      <c r="AG212" s="5">
        <f t="shared" si="152"/>
        <v>0</v>
      </c>
      <c r="AH212" s="5">
        <f t="shared" si="153"/>
        <v>0</v>
      </c>
      <c r="AI212" s="5">
        <f t="shared" si="160"/>
        <v>0</v>
      </c>
      <c r="AJ212" s="5">
        <f t="shared" si="161"/>
        <v>3.833333333333333</v>
      </c>
      <c r="AK212" s="5">
        <f t="shared" si="162"/>
        <v>0</v>
      </c>
      <c r="AL212" s="5">
        <f t="shared" si="163"/>
        <v>15.620000000000003</v>
      </c>
      <c r="AM212" s="5">
        <f t="shared" si="164"/>
        <v>4560000</v>
      </c>
    </row>
    <row r="213" spans="19:39" x14ac:dyDescent="0.15">
      <c r="S213" s="29">
        <f>基础状态预估!C213</f>
        <v>1260</v>
      </c>
      <c r="T213" s="29">
        <f>基础状态预估!D213</f>
        <v>122.38959636199006</v>
      </c>
      <c r="U213" s="29">
        <f t="shared" si="132"/>
        <v>9000</v>
      </c>
      <c r="V213" s="50">
        <f t="shared" si="142"/>
        <v>0</v>
      </c>
      <c r="W213" s="50">
        <f t="shared" si="143"/>
        <v>10</v>
      </c>
      <c r="X213" s="50">
        <f t="shared" si="144"/>
        <v>1</v>
      </c>
      <c r="Y213" s="50">
        <f t="shared" si="145"/>
        <v>1</v>
      </c>
      <c r="Z213" s="50">
        <f t="shared" si="159"/>
        <v>2119840</v>
      </c>
      <c r="AA213" s="5">
        <f t="shared" si="146"/>
        <v>307.5</v>
      </c>
      <c r="AB213" s="5">
        <f t="shared" si="147"/>
        <v>307.5</v>
      </c>
      <c r="AC213" s="5">
        <f t="shared" si="148"/>
        <v>1997.1</v>
      </c>
      <c r="AD213" s="5">
        <f t="shared" si="149"/>
        <v>855.9</v>
      </c>
      <c r="AE213" s="5">
        <f t="shared" si="150"/>
        <v>782.10000000000025</v>
      </c>
      <c r="AF213" s="5">
        <f t="shared" si="151"/>
        <v>86.899999999999977</v>
      </c>
      <c r="AG213" s="5">
        <f t="shared" si="152"/>
        <v>0</v>
      </c>
      <c r="AH213" s="5">
        <f t="shared" si="153"/>
        <v>0</v>
      </c>
      <c r="AI213" s="5">
        <f t="shared" si="160"/>
        <v>0</v>
      </c>
      <c r="AJ213" s="5">
        <f t="shared" si="161"/>
        <v>4.0999999999999996</v>
      </c>
      <c r="AK213" s="5">
        <f t="shared" si="162"/>
        <v>0</v>
      </c>
      <c r="AL213" s="5">
        <f t="shared" si="163"/>
        <v>17.380000000000003</v>
      </c>
      <c r="AM213" s="5">
        <f t="shared" si="164"/>
        <v>5062400</v>
      </c>
    </row>
    <row r="214" spans="19:39" x14ac:dyDescent="0.15">
      <c r="S214" s="29">
        <f>基础状态预估!C214</f>
        <v>1380</v>
      </c>
      <c r="T214" s="29">
        <f>基础状态预估!D214</f>
        <v>123.64000871786199</v>
      </c>
      <c r="U214" s="29">
        <f t="shared" si="132"/>
        <v>9000</v>
      </c>
      <c r="V214" s="50">
        <f t="shared" si="142"/>
        <v>0</v>
      </c>
      <c r="W214" s="50">
        <f t="shared" si="143"/>
        <v>10</v>
      </c>
      <c r="X214" s="50">
        <f t="shared" si="144"/>
        <v>1</v>
      </c>
      <c r="Y214" s="50">
        <f t="shared" si="145"/>
        <v>1</v>
      </c>
      <c r="Z214" s="50">
        <f t="shared" si="159"/>
        <v>2331680</v>
      </c>
      <c r="AA214" s="5">
        <f t="shared" si="146"/>
        <v>327.5</v>
      </c>
      <c r="AB214" s="5">
        <f t="shared" si="147"/>
        <v>327.5</v>
      </c>
      <c r="AC214" s="5">
        <f t="shared" si="148"/>
        <v>2193.1</v>
      </c>
      <c r="AD214" s="5">
        <f t="shared" si="149"/>
        <v>939.9</v>
      </c>
      <c r="AE214" s="5">
        <f t="shared" si="150"/>
        <v>861.3000000000003</v>
      </c>
      <c r="AF214" s="5">
        <f t="shared" si="151"/>
        <v>95.699999999999974</v>
      </c>
      <c r="AG214" s="5">
        <f t="shared" si="152"/>
        <v>0</v>
      </c>
      <c r="AH214" s="5">
        <f t="shared" si="153"/>
        <v>0</v>
      </c>
      <c r="AI214" s="5">
        <f t="shared" si="160"/>
        <v>0</v>
      </c>
      <c r="AJ214" s="5">
        <f t="shared" si="161"/>
        <v>4.3666666666666663</v>
      </c>
      <c r="AK214" s="5">
        <f t="shared" si="162"/>
        <v>0</v>
      </c>
      <c r="AL214" s="5">
        <f t="shared" si="163"/>
        <v>19.140000000000004</v>
      </c>
      <c r="AM214" s="5">
        <f t="shared" si="164"/>
        <v>5564800</v>
      </c>
    </row>
    <row r="215" spans="19:39" x14ac:dyDescent="0.15">
      <c r="S215" s="29">
        <f>基础状态预估!C215</f>
        <v>1500</v>
      </c>
      <c r="T215" s="29">
        <f>基础状态预估!D215</f>
        <v>124.89506332611212</v>
      </c>
      <c r="U215" s="29">
        <f t="shared" si="132"/>
        <v>9000</v>
      </c>
      <c r="V215" s="50">
        <f t="shared" si="142"/>
        <v>0</v>
      </c>
      <c r="W215" s="50">
        <f t="shared" si="143"/>
        <v>10</v>
      </c>
      <c r="X215" s="50">
        <f t="shared" si="144"/>
        <v>1</v>
      </c>
      <c r="Y215" s="50">
        <f t="shared" si="145"/>
        <v>1</v>
      </c>
      <c r="Z215" s="50">
        <f t="shared" si="159"/>
        <v>2543520</v>
      </c>
      <c r="AA215" s="5">
        <f t="shared" si="146"/>
        <v>347.5</v>
      </c>
      <c r="AB215" s="5">
        <f t="shared" si="147"/>
        <v>347.5</v>
      </c>
      <c r="AC215" s="5">
        <f t="shared" si="148"/>
        <v>2389.1</v>
      </c>
      <c r="AD215" s="5">
        <f t="shared" si="149"/>
        <v>1023.9</v>
      </c>
      <c r="AE215" s="5">
        <f t="shared" si="150"/>
        <v>940.50000000000034</v>
      </c>
      <c r="AF215" s="5">
        <f t="shared" si="151"/>
        <v>104.49999999999997</v>
      </c>
      <c r="AG215" s="5">
        <f t="shared" si="152"/>
        <v>0</v>
      </c>
      <c r="AH215" s="5">
        <f t="shared" si="153"/>
        <v>0</v>
      </c>
      <c r="AI215" s="5">
        <f t="shared" si="160"/>
        <v>0</v>
      </c>
      <c r="AJ215" s="5">
        <f t="shared" si="161"/>
        <v>4.6333333333333329</v>
      </c>
      <c r="AK215" s="5">
        <f t="shared" si="162"/>
        <v>0</v>
      </c>
      <c r="AL215" s="5">
        <f t="shared" si="163"/>
        <v>20.900000000000006</v>
      </c>
      <c r="AM215" s="5">
        <f t="shared" si="164"/>
        <v>6067200</v>
      </c>
    </row>
    <row r="216" spans="19:39" x14ac:dyDescent="0.15">
      <c r="S216" s="29">
        <f>基础状态预估!C216</f>
        <v>1800</v>
      </c>
      <c r="T216" s="29">
        <f>基础状态预估!D216</f>
        <v>127.67301312853458</v>
      </c>
      <c r="U216" s="29">
        <f t="shared" si="132"/>
        <v>9000</v>
      </c>
      <c r="V216" s="50">
        <f t="shared" si="142"/>
        <v>0</v>
      </c>
      <c r="W216" s="50">
        <f t="shared" si="143"/>
        <v>10</v>
      </c>
      <c r="X216" s="50">
        <f t="shared" si="144"/>
        <v>1</v>
      </c>
      <c r="Y216" s="50">
        <f t="shared" si="145"/>
        <v>1</v>
      </c>
      <c r="Z216" s="50">
        <f t="shared" si="159"/>
        <v>3073120</v>
      </c>
      <c r="AA216" s="5">
        <f t="shared" si="146"/>
        <v>397.5</v>
      </c>
      <c r="AB216" s="5">
        <f t="shared" si="147"/>
        <v>397.5</v>
      </c>
      <c r="AC216" s="5">
        <f t="shared" si="148"/>
        <v>2879.1</v>
      </c>
      <c r="AD216" s="5">
        <f t="shared" si="149"/>
        <v>1233.8999999999999</v>
      </c>
      <c r="AE216" s="5">
        <f t="shared" si="150"/>
        <v>1138.5000000000005</v>
      </c>
      <c r="AF216" s="5">
        <f t="shared" si="151"/>
        <v>126.49999999999997</v>
      </c>
      <c r="AG216" s="5">
        <f t="shared" si="152"/>
        <v>0</v>
      </c>
      <c r="AH216" s="5">
        <f t="shared" si="153"/>
        <v>0</v>
      </c>
      <c r="AI216" s="5">
        <f t="shared" si="160"/>
        <v>0</v>
      </c>
      <c r="AJ216" s="5">
        <f t="shared" si="161"/>
        <v>5.3</v>
      </c>
      <c r="AK216" s="5">
        <f t="shared" si="162"/>
        <v>0</v>
      </c>
      <c r="AL216" s="5">
        <f t="shared" si="163"/>
        <v>25.300000000000004</v>
      </c>
      <c r="AM216" s="5">
        <f t="shared" si="164"/>
        <v>7323200</v>
      </c>
    </row>
    <row r="217" spans="19:39" x14ac:dyDescent="0.15">
      <c r="S217" s="29">
        <f>基础状态预估!C217</f>
        <v>2100</v>
      </c>
      <c r="T217" s="29">
        <f>基础状态预估!D217</f>
        <v>129.83412763547076</v>
      </c>
      <c r="U217" s="29">
        <f t="shared" si="132"/>
        <v>9000</v>
      </c>
      <c r="V217" s="50">
        <f t="shared" si="142"/>
        <v>0</v>
      </c>
      <c r="W217" s="50">
        <f t="shared" si="143"/>
        <v>10</v>
      </c>
      <c r="X217" s="50">
        <f t="shared" si="144"/>
        <v>1</v>
      </c>
      <c r="Y217" s="50">
        <f t="shared" si="145"/>
        <v>1</v>
      </c>
      <c r="Z217" s="50">
        <f t="shared" si="159"/>
        <v>3602720</v>
      </c>
      <c r="AA217" s="5">
        <f t="shared" si="146"/>
        <v>447.5</v>
      </c>
      <c r="AB217" s="5">
        <f t="shared" si="147"/>
        <v>447.5</v>
      </c>
      <c r="AC217" s="5">
        <f t="shared" si="148"/>
        <v>3369.1</v>
      </c>
      <c r="AD217" s="5">
        <f t="shared" si="149"/>
        <v>1443.8999999999999</v>
      </c>
      <c r="AE217" s="5">
        <f t="shared" si="150"/>
        <v>1336.5000000000005</v>
      </c>
      <c r="AF217" s="5">
        <f t="shared" si="151"/>
        <v>148.49999999999997</v>
      </c>
      <c r="AG217" s="5">
        <f t="shared" si="152"/>
        <v>0</v>
      </c>
      <c r="AH217" s="5">
        <f t="shared" si="153"/>
        <v>0</v>
      </c>
      <c r="AI217" s="5">
        <f t="shared" si="160"/>
        <v>0</v>
      </c>
      <c r="AJ217" s="5">
        <f t="shared" si="161"/>
        <v>5.9666666666666668</v>
      </c>
      <c r="AK217" s="5">
        <f t="shared" si="162"/>
        <v>0</v>
      </c>
      <c r="AL217" s="5">
        <f t="shared" si="163"/>
        <v>29.700000000000003</v>
      </c>
      <c r="AM217" s="5">
        <f t="shared" si="164"/>
        <v>8579200</v>
      </c>
    </row>
    <row r="218" spans="19:39" x14ac:dyDescent="0.15">
      <c r="S218" s="29">
        <f>基础状态预估!C218</f>
        <v>2400</v>
      </c>
      <c r="T218" s="29">
        <f>基础状态预估!D218</f>
        <v>131.79898277231624</v>
      </c>
      <c r="U218" s="29">
        <f t="shared" si="132"/>
        <v>9000</v>
      </c>
      <c r="V218" s="50">
        <f t="shared" si="142"/>
        <v>0</v>
      </c>
      <c r="W218" s="50">
        <f t="shared" si="143"/>
        <v>10</v>
      </c>
      <c r="X218" s="50">
        <f t="shared" si="144"/>
        <v>1</v>
      </c>
      <c r="Y218" s="50">
        <f t="shared" si="145"/>
        <v>1</v>
      </c>
      <c r="Z218" s="50">
        <f t="shared" si="159"/>
        <v>4132320</v>
      </c>
      <c r="AA218" s="5">
        <f t="shared" si="146"/>
        <v>497.5</v>
      </c>
      <c r="AB218" s="5">
        <f t="shared" si="147"/>
        <v>497.5</v>
      </c>
      <c r="AC218" s="5">
        <f t="shared" si="148"/>
        <v>3859.1</v>
      </c>
      <c r="AD218" s="5">
        <f t="shared" si="149"/>
        <v>1653.8999999999999</v>
      </c>
      <c r="AE218" s="5">
        <f t="shared" si="150"/>
        <v>1534.5000000000005</v>
      </c>
      <c r="AF218" s="5">
        <f t="shared" si="151"/>
        <v>170.49999999999997</v>
      </c>
      <c r="AG218" s="5">
        <f t="shared" si="152"/>
        <v>0</v>
      </c>
      <c r="AH218" s="5">
        <f t="shared" si="153"/>
        <v>0</v>
      </c>
      <c r="AI218" s="5">
        <f t="shared" si="160"/>
        <v>0</v>
      </c>
      <c r="AJ218" s="5">
        <f t="shared" si="161"/>
        <v>6.6333333333333337</v>
      </c>
      <c r="AK218" s="5">
        <f t="shared" si="162"/>
        <v>0</v>
      </c>
      <c r="AL218" s="5">
        <f t="shared" si="163"/>
        <v>34.1</v>
      </c>
      <c r="AM218" s="5">
        <f t="shared" si="164"/>
        <v>9835200</v>
      </c>
    </row>
    <row r="219" spans="19:39" x14ac:dyDescent="0.15">
      <c r="S219" s="29">
        <f>基础状态预估!C219</f>
        <v>2700</v>
      </c>
      <c r="T219" s="29">
        <f>基础状态预估!D219</f>
        <v>133.57962992379356</v>
      </c>
      <c r="U219" s="29">
        <f t="shared" si="132"/>
        <v>9000</v>
      </c>
      <c r="V219" s="50">
        <f t="shared" si="142"/>
        <v>0</v>
      </c>
      <c r="W219" s="50">
        <f t="shared" si="143"/>
        <v>10</v>
      </c>
      <c r="X219" s="50">
        <f t="shared" si="144"/>
        <v>1</v>
      </c>
      <c r="Y219" s="50">
        <f t="shared" si="145"/>
        <v>1</v>
      </c>
      <c r="Z219" s="50">
        <f t="shared" si="159"/>
        <v>4661920</v>
      </c>
      <c r="AA219" s="5">
        <f t="shared" si="146"/>
        <v>547.5</v>
      </c>
      <c r="AB219" s="5">
        <f t="shared" si="147"/>
        <v>547.5</v>
      </c>
      <c r="AC219" s="5">
        <f t="shared" si="148"/>
        <v>4349.0999999999995</v>
      </c>
      <c r="AD219" s="5">
        <f t="shared" si="149"/>
        <v>1863.8999999999999</v>
      </c>
      <c r="AE219" s="5">
        <f t="shared" si="150"/>
        <v>1732.5000000000005</v>
      </c>
      <c r="AF219" s="5">
        <f t="shared" si="151"/>
        <v>192.49999999999997</v>
      </c>
      <c r="AG219" s="5">
        <f t="shared" si="152"/>
        <v>0</v>
      </c>
      <c r="AH219" s="5">
        <f t="shared" si="153"/>
        <v>0</v>
      </c>
      <c r="AI219" s="5">
        <f t="shared" si="160"/>
        <v>0</v>
      </c>
      <c r="AJ219" s="5">
        <f t="shared" si="161"/>
        <v>7.3000000000000007</v>
      </c>
      <c r="AK219" s="5">
        <f t="shared" si="162"/>
        <v>0</v>
      </c>
      <c r="AL219" s="5">
        <f t="shared" si="163"/>
        <v>38.5</v>
      </c>
      <c r="AM219" s="5">
        <f t="shared" si="164"/>
        <v>11091200</v>
      </c>
    </row>
    <row r="220" spans="19:39" x14ac:dyDescent="0.15">
      <c r="S220" s="29">
        <f>基础状态预估!C220</f>
        <v>3000</v>
      </c>
      <c r="T220" s="29">
        <f>基础状态预估!D220</f>
        <v>135.09124682527644</v>
      </c>
      <c r="U220" s="29">
        <f t="shared" si="132"/>
        <v>9000</v>
      </c>
      <c r="V220" s="50">
        <f t="shared" si="142"/>
        <v>0</v>
      </c>
      <c r="W220" s="50">
        <f t="shared" si="143"/>
        <v>10</v>
      </c>
      <c r="X220" s="50">
        <f t="shared" si="144"/>
        <v>1</v>
      </c>
      <c r="Y220" s="50">
        <f t="shared" si="145"/>
        <v>1</v>
      </c>
      <c r="Z220" s="50">
        <f t="shared" si="159"/>
        <v>5191520</v>
      </c>
      <c r="AA220" s="5">
        <f t="shared" si="146"/>
        <v>597.5</v>
      </c>
      <c r="AB220" s="5">
        <f t="shared" si="147"/>
        <v>597.5</v>
      </c>
      <c r="AC220" s="5">
        <f t="shared" si="148"/>
        <v>4839.0999999999995</v>
      </c>
      <c r="AD220" s="5">
        <f t="shared" si="149"/>
        <v>2073.8999999999996</v>
      </c>
      <c r="AE220" s="5">
        <f t="shared" si="150"/>
        <v>1930.5000000000005</v>
      </c>
      <c r="AF220" s="5">
        <f t="shared" si="151"/>
        <v>214.49999999999997</v>
      </c>
      <c r="AG220" s="5">
        <f t="shared" si="152"/>
        <v>0</v>
      </c>
      <c r="AH220" s="5">
        <f t="shared" si="153"/>
        <v>0</v>
      </c>
      <c r="AI220" s="5">
        <f t="shared" si="160"/>
        <v>0</v>
      </c>
      <c r="AJ220" s="5">
        <f t="shared" si="161"/>
        <v>7.9666666666666677</v>
      </c>
      <c r="AK220" s="5">
        <f t="shared" si="162"/>
        <v>0</v>
      </c>
      <c r="AL220" s="5">
        <f t="shared" si="163"/>
        <v>42.9</v>
      </c>
      <c r="AM220" s="5">
        <f t="shared" si="164"/>
        <v>12347200</v>
      </c>
    </row>
    <row r="221" spans="19:39" x14ac:dyDescent="0.15">
      <c r="S221" s="29">
        <f>基础状态预估!C221</f>
        <v>3300</v>
      </c>
      <c r="T221" s="29">
        <f>基础状态预估!D221</f>
        <v>136.4080820895465</v>
      </c>
      <c r="U221" s="29">
        <f t="shared" si="132"/>
        <v>9000</v>
      </c>
      <c r="V221" s="50">
        <f t="shared" si="142"/>
        <v>0</v>
      </c>
      <c r="W221" s="50">
        <f t="shared" si="143"/>
        <v>10</v>
      </c>
      <c r="X221" s="50">
        <f t="shared" si="144"/>
        <v>1</v>
      </c>
      <c r="Y221" s="50">
        <f t="shared" si="145"/>
        <v>1</v>
      </c>
      <c r="Z221" s="50">
        <f t="shared" si="159"/>
        <v>5721120</v>
      </c>
      <c r="AA221" s="5">
        <f t="shared" si="146"/>
        <v>647.5</v>
      </c>
      <c r="AB221" s="5">
        <f t="shared" si="147"/>
        <v>647.5</v>
      </c>
      <c r="AC221" s="5">
        <f t="shared" si="148"/>
        <v>5329.0999999999995</v>
      </c>
      <c r="AD221" s="5">
        <f t="shared" si="149"/>
        <v>2283.8999999999996</v>
      </c>
      <c r="AE221" s="5">
        <f t="shared" si="150"/>
        <v>2128.5000000000005</v>
      </c>
      <c r="AF221" s="5">
        <f t="shared" si="151"/>
        <v>236.49999999999997</v>
      </c>
      <c r="AG221" s="5">
        <f t="shared" si="152"/>
        <v>0</v>
      </c>
      <c r="AH221" s="5">
        <f t="shared" si="153"/>
        <v>0</v>
      </c>
      <c r="AI221" s="5">
        <f t="shared" si="160"/>
        <v>0</v>
      </c>
      <c r="AJ221" s="5">
        <f t="shared" si="161"/>
        <v>8.6333333333333346</v>
      </c>
      <c r="AK221" s="5">
        <f t="shared" si="162"/>
        <v>0</v>
      </c>
      <c r="AL221" s="5">
        <f t="shared" si="163"/>
        <v>47.3</v>
      </c>
      <c r="AM221" s="5">
        <f t="shared" si="164"/>
        <v>13603200</v>
      </c>
    </row>
    <row r="222" spans="19:39" x14ac:dyDescent="0.15">
      <c r="S222" s="29">
        <f>基础状态预估!C222</f>
        <v>3600</v>
      </c>
      <c r="T222" s="29">
        <f>基础状态预估!D222</f>
        <v>137.69441197975056</v>
      </c>
      <c r="U222" s="29">
        <f t="shared" si="132"/>
        <v>9000</v>
      </c>
      <c r="V222" s="50">
        <f t="shared" si="142"/>
        <v>0</v>
      </c>
      <c r="W222" s="50">
        <f t="shared" si="143"/>
        <v>10</v>
      </c>
      <c r="X222" s="50">
        <f t="shared" si="144"/>
        <v>1</v>
      </c>
      <c r="Y222" s="50">
        <f t="shared" si="145"/>
        <v>1</v>
      </c>
      <c r="Z222" s="50">
        <f t="shared" si="159"/>
        <v>6250720</v>
      </c>
      <c r="AA222" s="5">
        <f t="shared" si="146"/>
        <v>697.5</v>
      </c>
      <c r="AB222" s="5">
        <f t="shared" si="147"/>
        <v>697.5</v>
      </c>
      <c r="AC222" s="5">
        <f t="shared" si="148"/>
        <v>5819.0999999999995</v>
      </c>
      <c r="AD222" s="5">
        <f t="shared" si="149"/>
        <v>2493.8999999999996</v>
      </c>
      <c r="AE222" s="5">
        <f t="shared" si="150"/>
        <v>2326.5000000000005</v>
      </c>
      <c r="AF222" s="5">
        <f t="shared" si="151"/>
        <v>258.5</v>
      </c>
      <c r="AG222" s="5">
        <f t="shared" si="152"/>
        <v>0</v>
      </c>
      <c r="AH222" s="5">
        <f t="shared" si="153"/>
        <v>0</v>
      </c>
      <c r="AI222" s="5">
        <f t="shared" si="160"/>
        <v>0</v>
      </c>
      <c r="AJ222" s="5">
        <f t="shared" si="161"/>
        <v>9.3000000000000007</v>
      </c>
      <c r="AK222" s="5">
        <f t="shared" si="162"/>
        <v>0</v>
      </c>
      <c r="AL222" s="5">
        <f t="shared" si="163"/>
        <v>51.699999999999996</v>
      </c>
      <c r="AM222" s="5">
        <f t="shared" si="164"/>
        <v>14859200</v>
      </c>
    </row>
    <row r="223" spans="19:39" x14ac:dyDescent="0.15">
      <c r="S223" s="29">
        <f>基础状态预估!C223</f>
        <v>3900</v>
      </c>
      <c r="T223" s="29">
        <f>基础状态预估!D223</f>
        <v>138.91667176742632</v>
      </c>
      <c r="U223" s="29">
        <f t="shared" si="132"/>
        <v>9000</v>
      </c>
      <c r="V223" s="50">
        <f t="shared" si="142"/>
        <v>0</v>
      </c>
      <c r="W223" s="50">
        <f t="shared" si="143"/>
        <v>10</v>
      </c>
      <c r="X223" s="50">
        <f t="shared" si="144"/>
        <v>1</v>
      </c>
      <c r="Y223" s="50">
        <f t="shared" si="145"/>
        <v>1</v>
      </c>
      <c r="Z223" s="50">
        <f t="shared" si="159"/>
        <v>6780320</v>
      </c>
      <c r="AA223" s="5">
        <f t="shared" si="146"/>
        <v>747.5</v>
      </c>
      <c r="AB223" s="5">
        <f t="shared" si="147"/>
        <v>747.5</v>
      </c>
      <c r="AC223" s="5">
        <f t="shared" si="148"/>
        <v>6309.0999999999995</v>
      </c>
      <c r="AD223" s="5">
        <f t="shared" si="149"/>
        <v>2703.8999999999996</v>
      </c>
      <c r="AE223" s="5">
        <f t="shared" si="150"/>
        <v>2524.5000000000005</v>
      </c>
      <c r="AF223" s="5">
        <f t="shared" si="151"/>
        <v>280.5</v>
      </c>
      <c r="AG223" s="5">
        <f t="shared" si="152"/>
        <v>0</v>
      </c>
      <c r="AH223" s="5">
        <f t="shared" si="153"/>
        <v>0</v>
      </c>
      <c r="AI223" s="5">
        <f t="shared" si="160"/>
        <v>0</v>
      </c>
      <c r="AJ223" s="5">
        <f t="shared" si="161"/>
        <v>9.9666666666666668</v>
      </c>
      <c r="AK223" s="5">
        <f t="shared" si="162"/>
        <v>0</v>
      </c>
      <c r="AL223" s="5">
        <f t="shared" si="163"/>
        <v>56.099999999999994</v>
      </c>
      <c r="AM223" s="5">
        <f t="shared" si="164"/>
        <v>16115200</v>
      </c>
    </row>
    <row r="224" spans="19:39" x14ac:dyDescent="0.15">
      <c r="S224" s="29">
        <f>基础状态预估!C224</f>
        <v>4200</v>
      </c>
      <c r="T224" s="29">
        <f>基础状态预估!D224</f>
        <v>140.02552130500166</v>
      </c>
      <c r="U224" s="29">
        <f t="shared" si="132"/>
        <v>9000</v>
      </c>
      <c r="V224" s="50">
        <f t="shared" si="142"/>
        <v>0</v>
      </c>
      <c r="W224" s="50">
        <f t="shared" si="143"/>
        <v>10</v>
      </c>
      <c r="X224" s="50">
        <f t="shared" si="144"/>
        <v>1</v>
      </c>
      <c r="Y224" s="50">
        <f t="shared" si="145"/>
        <v>1</v>
      </c>
      <c r="Z224" s="50">
        <f t="shared" si="159"/>
        <v>7309920</v>
      </c>
      <c r="AA224" s="5">
        <f t="shared" si="146"/>
        <v>797.5</v>
      </c>
      <c r="AB224" s="5">
        <f t="shared" si="147"/>
        <v>797.5</v>
      </c>
      <c r="AC224" s="5">
        <f t="shared" si="148"/>
        <v>6799.0999999999995</v>
      </c>
      <c r="AD224" s="5">
        <f t="shared" si="149"/>
        <v>2913.8999999999996</v>
      </c>
      <c r="AE224" s="5">
        <f t="shared" si="150"/>
        <v>2722.5000000000005</v>
      </c>
      <c r="AF224" s="5">
        <f t="shared" si="151"/>
        <v>302.5</v>
      </c>
      <c r="AG224" s="5">
        <f t="shared" si="152"/>
        <v>0</v>
      </c>
      <c r="AH224" s="5">
        <f t="shared" si="153"/>
        <v>0</v>
      </c>
      <c r="AI224" s="5">
        <f t="shared" si="160"/>
        <v>0</v>
      </c>
      <c r="AJ224" s="5">
        <f t="shared" si="161"/>
        <v>10.633333333333333</v>
      </c>
      <c r="AK224" s="5">
        <f t="shared" si="162"/>
        <v>0</v>
      </c>
      <c r="AL224" s="5">
        <f t="shared" si="163"/>
        <v>60.499999999999993</v>
      </c>
      <c r="AM224" s="5">
        <f t="shared" si="164"/>
        <v>17371200</v>
      </c>
    </row>
    <row r="225" spans="19:39" x14ac:dyDescent="0.15">
      <c r="S225" s="29">
        <f>基础状态预估!C225</f>
        <v>4500</v>
      </c>
      <c r="T225" s="29">
        <f>基础状态预估!D225</f>
        <v>141.0305191407117</v>
      </c>
      <c r="U225" s="29">
        <f t="shared" si="132"/>
        <v>9000</v>
      </c>
      <c r="V225" s="50">
        <f t="shared" si="142"/>
        <v>0</v>
      </c>
      <c r="W225" s="50">
        <f t="shared" si="143"/>
        <v>10</v>
      </c>
      <c r="X225" s="50">
        <f t="shared" si="144"/>
        <v>1</v>
      </c>
      <c r="Y225" s="50">
        <f t="shared" si="145"/>
        <v>1</v>
      </c>
      <c r="Z225" s="50">
        <f t="shared" si="159"/>
        <v>7839520</v>
      </c>
      <c r="AA225" s="5">
        <f t="shared" si="146"/>
        <v>847.5</v>
      </c>
      <c r="AB225" s="5">
        <f t="shared" si="147"/>
        <v>847.5</v>
      </c>
      <c r="AC225" s="5">
        <f t="shared" si="148"/>
        <v>7289.0999999999995</v>
      </c>
      <c r="AD225" s="5">
        <f t="shared" si="149"/>
        <v>3123.8999999999996</v>
      </c>
      <c r="AE225" s="5">
        <f t="shared" si="150"/>
        <v>2920.5000000000005</v>
      </c>
      <c r="AF225" s="5">
        <f t="shared" si="151"/>
        <v>324.5</v>
      </c>
      <c r="AG225" s="5">
        <f t="shared" si="152"/>
        <v>0</v>
      </c>
      <c r="AH225" s="5">
        <f t="shared" si="153"/>
        <v>0</v>
      </c>
      <c r="AI225" s="5">
        <f t="shared" si="160"/>
        <v>0</v>
      </c>
      <c r="AJ225" s="5">
        <f t="shared" si="161"/>
        <v>11.299999999999999</v>
      </c>
      <c r="AK225" s="5">
        <f t="shared" si="162"/>
        <v>0</v>
      </c>
      <c r="AL225" s="5">
        <f t="shared" si="163"/>
        <v>64.899999999999991</v>
      </c>
      <c r="AM225" s="5">
        <f t="shared" si="164"/>
        <v>18627200</v>
      </c>
    </row>
    <row r="226" spans="19:39" x14ac:dyDescent="0.15">
      <c r="S226" s="29">
        <f>基础状态预估!C226</f>
        <v>4800</v>
      </c>
      <c r="T226" s="29">
        <f>基础状态预估!D226</f>
        <v>141.92990796852064</v>
      </c>
      <c r="U226" s="29">
        <f t="shared" si="132"/>
        <v>9000</v>
      </c>
      <c r="V226" s="50">
        <f t="shared" si="142"/>
        <v>0</v>
      </c>
      <c r="W226" s="50">
        <f t="shared" si="143"/>
        <v>10</v>
      </c>
      <c r="X226" s="50">
        <f t="shared" si="144"/>
        <v>1</v>
      </c>
      <c r="Y226" s="50">
        <f t="shared" si="145"/>
        <v>1</v>
      </c>
      <c r="Z226" s="50">
        <f t="shared" si="159"/>
        <v>8369120</v>
      </c>
      <c r="AA226" s="5">
        <f t="shared" si="146"/>
        <v>897.5</v>
      </c>
      <c r="AB226" s="5">
        <f t="shared" si="147"/>
        <v>897.5</v>
      </c>
      <c r="AC226" s="5">
        <f t="shared" si="148"/>
        <v>7779.0999999999995</v>
      </c>
      <c r="AD226" s="5">
        <f t="shared" si="149"/>
        <v>3333.8999999999996</v>
      </c>
      <c r="AE226" s="5">
        <f t="shared" si="150"/>
        <v>3118.5000000000005</v>
      </c>
      <c r="AF226" s="5">
        <f t="shared" si="151"/>
        <v>346.5</v>
      </c>
      <c r="AG226" s="5">
        <f t="shared" si="152"/>
        <v>0</v>
      </c>
      <c r="AH226" s="5">
        <f t="shared" si="153"/>
        <v>0</v>
      </c>
      <c r="AI226" s="5">
        <f t="shared" si="160"/>
        <v>0</v>
      </c>
      <c r="AJ226" s="5">
        <f t="shared" si="161"/>
        <v>11.966666666666665</v>
      </c>
      <c r="AK226" s="5">
        <f t="shared" si="162"/>
        <v>0</v>
      </c>
      <c r="AL226" s="5">
        <f t="shared" si="163"/>
        <v>69.3</v>
      </c>
      <c r="AM226" s="5">
        <f t="shared" si="164"/>
        <v>19883200</v>
      </c>
    </row>
    <row r="227" spans="19:39" x14ac:dyDescent="0.15">
      <c r="S227" s="29">
        <f>基础状态预估!C227</f>
        <v>65535</v>
      </c>
      <c r="T227" s="29">
        <f>基础状态预估!D227</f>
        <v>160</v>
      </c>
      <c r="U227" s="29">
        <f t="shared" si="132"/>
        <v>9000</v>
      </c>
      <c r="V227" s="50">
        <f t="shared" si="142"/>
        <v>0</v>
      </c>
      <c r="W227" s="50">
        <f t="shared" si="143"/>
        <v>10</v>
      </c>
      <c r="X227" s="50">
        <f t="shared" si="144"/>
        <v>1</v>
      </c>
      <c r="Y227" s="50">
        <f t="shared" si="145"/>
        <v>1</v>
      </c>
      <c r="Z227" s="50">
        <f t="shared" si="159"/>
        <v>115586640</v>
      </c>
      <c r="AA227" s="5">
        <f t="shared" si="146"/>
        <v>11020</v>
      </c>
      <c r="AB227" s="5">
        <f t="shared" si="147"/>
        <v>11020</v>
      </c>
      <c r="AC227" s="5">
        <f t="shared" si="148"/>
        <v>106979.59999999999</v>
      </c>
      <c r="AD227" s="5">
        <f t="shared" si="149"/>
        <v>45848.4</v>
      </c>
      <c r="AE227" s="5">
        <f t="shared" si="150"/>
        <v>43203.6</v>
      </c>
      <c r="AF227" s="5">
        <f t="shared" si="151"/>
        <v>4800.4000000000005</v>
      </c>
      <c r="AG227" s="5">
        <f t="shared" si="152"/>
        <v>0</v>
      </c>
      <c r="AH227" s="5">
        <f t="shared" si="153"/>
        <v>0</v>
      </c>
      <c r="AI227" s="5">
        <f t="shared" si="160"/>
        <v>0</v>
      </c>
      <c r="AJ227" s="5">
        <f t="shared" si="161"/>
        <v>146.93333333333334</v>
      </c>
      <c r="AK227" s="5">
        <f t="shared" si="162"/>
        <v>0</v>
      </c>
      <c r="AL227" s="5">
        <f t="shared" si="163"/>
        <v>960.07999999999993</v>
      </c>
      <c r="AM227" s="5">
        <f t="shared" si="164"/>
        <v>274160400</v>
      </c>
    </row>
  </sheetData>
  <mergeCells count="19">
    <mergeCell ref="AA141:AF141"/>
    <mergeCell ref="AG141:AL141"/>
    <mergeCell ref="AA185:AF185"/>
    <mergeCell ref="AG185:AL185"/>
    <mergeCell ref="AA9:AF9"/>
    <mergeCell ref="AG9:AL9"/>
    <mergeCell ref="AA53:AF53"/>
    <mergeCell ref="AG53:AL53"/>
    <mergeCell ref="AA97:AF97"/>
    <mergeCell ref="AG97:AL97"/>
    <mergeCell ref="V141:Y141"/>
    <mergeCell ref="V185:Y185"/>
    <mergeCell ref="I6:M6"/>
    <mergeCell ref="V9:Y9"/>
    <mergeCell ref="V53:Y53"/>
    <mergeCell ref="D11:I11"/>
    <mergeCell ref="J11:O11"/>
    <mergeCell ref="V97:Y97"/>
    <mergeCell ref="D41:H41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73B0E-831E-4BA3-94E3-3C0EEFC428FE}">
  <dimension ref="C2:AE66"/>
  <sheetViews>
    <sheetView workbookViewId="0">
      <selection activeCell="D16" sqref="D16"/>
    </sheetView>
  </sheetViews>
  <sheetFormatPr defaultColWidth="9" defaultRowHeight="11.25" x14ac:dyDescent="0.15"/>
  <cols>
    <col min="1" max="3" width="9" style="30"/>
    <col min="4" max="9" width="11.375" style="43" bestFit="1" customWidth="1"/>
    <col min="10" max="12" width="9" style="30"/>
    <col min="13" max="13" width="6" style="30" bestFit="1" customWidth="1"/>
    <col min="14" max="15" width="9.75" style="30" bestFit="1" customWidth="1"/>
    <col min="16" max="16" width="10.375" style="30" bestFit="1" customWidth="1"/>
    <col min="17" max="17" width="10.375" style="30" customWidth="1"/>
    <col min="18" max="19" width="9" style="30"/>
    <col min="20" max="20" width="6" style="30" bestFit="1" customWidth="1"/>
    <col min="21" max="22" width="9.75" style="30" bestFit="1" customWidth="1"/>
    <col min="23" max="24" width="10.375" style="30" bestFit="1" customWidth="1"/>
    <col min="25" max="26" width="9" style="30"/>
    <col min="27" max="27" width="6" style="30" bestFit="1" customWidth="1"/>
    <col min="28" max="29" width="9.75" style="30" bestFit="1" customWidth="1"/>
    <col min="30" max="31" width="10.375" style="30" bestFit="1" customWidth="1"/>
    <col min="32" max="16384" width="9" style="30"/>
  </cols>
  <sheetData>
    <row r="2" spans="3:31" x14ac:dyDescent="0.15">
      <c r="C2" s="30" t="s">
        <v>131</v>
      </c>
      <c r="L2" s="30" t="s">
        <v>129</v>
      </c>
      <c r="M2" s="30">
        <v>0.5</v>
      </c>
      <c r="S2" s="30" t="s">
        <v>129</v>
      </c>
      <c r="T2" s="30">
        <v>0.3</v>
      </c>
      <c r="Z2" s="30" t="s">
        <v>129</v>
      </c>
      <c r="AA2" s="30">
        <v>0.1</v>
      </c>
    </row>
    <row r="4" spans="3:31" x14ac:dyDescent="0.15">
      <c r="L4" s="30" t="s">
        <v>126</v>
      </c>
      <c r="S4" s="30" t="s">
        <v>127</v>
      </c>
      <c r="Z4" s="30" t="s">
        <v>128</v>
      </c>
    </row>
    <row r="5" spans="3:31" x14ac:dyDescent="0.15">
      <c r="C5" s="18" t="s">
        <v>123</v>
      </c>
      <c r="D5" s="46" t="s">
        <v>26</v>
      </c>
      <c r="E5" s="46" t="s">
        <v>38</v>
      </c>
      <c r="F5" s="46" t="s">
        <v>27</v>
      </c>
      <c r="G5" s="46" t="s">
        <v>29</v>
      </c>
      <c r="H5" s="46" t="s">
        <v>28</v>
      </c>
      <c r="I5" s="46" t="s">
        <v>43</v>
      </c>
      <c r="L5" s="18" t="s">
        <v>123</v>
      </c>
      <c r="M5" s="18" t="s">
        <v>33</v>
      </c>
      <c r="N5" s="18" t="s">
        <v>124</v>
      </c>
      <c r="O5" s="18" t="s">
        <v>34</v>
      </c>
      <c r="P5" s="18" t="s">
        <v>125</v>
      </c>
      <c r="Q5" s="18" t="s">
        <v>130</v>
      </c>
      <c r="S5" s="18" t="s">
        <v>123</v>
      </c>
      <c r="T5" s="18" t="s">
        <v>33</v>
      </c>
      <c r="U5" s="18" t="s">
        <v>124</v>
      </c>
      <c r="V5" s="18" t="s">
        <v>34</v>
      </c>
      <c r="W5" s="18" t="s">
        <v>125</v>
      </c>
      <c r="X5" s="18" t="s">
        <v>130</v>
      </c>
      <c r="Z5" s="18" t="s">
        <v>123</v>
      </c>
      <c r="AA5" s="18" t="s">
        <v>33</v>
      </c>
      <c r="AB5" s="18" t="s">
        <v>124</v>
      </c>
      <c r="AC5" s="18" t="s">
        <v>34</v>
      </c>
      <c r="AD5" s="18" t="s">
        <v>125</v>
      </c>
      <c r="AE5" s="18" t="s">
        <v>130</v>
      </c>
    </row>
    <row r="6" spans="3:31" x14ac:dyDescent="0.15">
      <c r="C6" s="18">
        <v>1</v>
      </c>
      <c r="D6" s="46">
        <f>IF(Q6="",999999999,Q6)</f>
        <v>2</v>
      </c>
      <c r="E6" s="46">
        <f>IF(P6="",999999999,P6)</f>
        <v>2</v>
      </c>
      <c r="F6" s="46">
        <f>IF(X6="",999999999,X6)</f>
        <v>1.4285714285714286</v>
      </c>
      <c r="G6" s="46">
        <f>IF(W6="",999999999,W6)</f>
        <v>3.3333333333333335</v>
      </c>
      <c r="H6" s="46">
        <f>IF(AE6="",999999999,AE6)</f>
        <v>1.1111111111111112</v>
      </c>
      <c r="I6" s="46">
        <f>IF(AD6="",999999999,AD6)</f>
        <v>10</v>
      </c>
      <c r="L6" s="18">
        <v>1</v>
      </c>
      <c r="M6" s="18">
        <f>LARGE($L$6:$L$14,L6)</f>
        <v>9</v>
      </c>
      <c r="N6" s="18">
        <f>M6/$M$6</f>
        <v>1</v>
      </c>
      <c r="O6" s="18">
        <f>1/N6</f>
        <v>1</v>
      </c>
      <c r="P6" s="18">
        <f>(SUM(O$6:O6)*1/$M$2)</f>
        <v>2</v>
      </c>
      <c r="Q6" s="18">
        <f>(SUM(O$6:O6)*1/(1-$M$2))</f>
        <v>2</v>
      </c>
      <c r="S6" s="18">
        <v>1</v>
      </c>
      <c r="T6" s="18">
        <f>LARGE($S$6:$S$32,S6)</f>
        <v>27</v>
      </c>
      <c r="U6" s="18">
        <f>T6/$T$6</f>
        <v>1</v>
      </c>
      <c r="V6" s="18">
        <f>1/U6</f>
        <v>1</v>
      </c>
      <c r="W6" s="18">
        <f>(SUM(V$6:V6)*1/$T$2)</f>
        <v>3.3333333333333335</v>
      </c>
      <c r="X6" s="18">
        <f>(SUM(V$6:V6)*1/(1-$T$2))</f>
        <v>1.4285714285714286</v>
      </c>
      <c r="Z6" s="18">
        <v>1</v>
      </c>
      <c r="AA6" s="18">
        <f>LARGE($Z$6:$Z$65,Z6)</f>
        <v>60</v>
      </c>
      <c r="AB6" s="18">
        <f>AA6/$AA$6</f>
        <v>1</v>
      </c>
      <c r="AC6" s="18">
        <f>1/AB6</f>
        <v>1</v>
      </c>
      <c r="AD6" s="18">
        <f>(SUM(AC$6:AC6)*1/$AA$2)</f>
        <v>10</v>
      </c>
      <c r="AE6" s="18">
        <f>(SUM(AC$6:AC6)*1/(1-$AA$2))</f>
        <v>1.1111111111111112</v>
      </c>
    </row>
    <row r="7" spans="3:31" x14ac:dyDescent="0.15">
      <c r="C7" s="18">
        <v>2</v>
      </c>
      <c r="D7" s="46">
        <f t="shared" ref="D7:D65" si="0">IF(Q7="",999999999,Q7)</f>
        <v>4.25</v>
      </c>
      <c r="E7" s="46">
        <f t="shared" ref="E7:E65" si="1">IF(P7="",999999999,P7)</f>
        <v>4.25</v>
      </c>
      <c r="F7" s="46">
        <f t="shared" ref="F7:F65" si="2">IF(X7="",999999999,X7)</f>
        <v>2.912087912087912</v>
      </c>
      <c r="G7" s="46">
        <f t="shared" ref="G7:G65" si="3">IF(W7="",999999999,W7)</f>
        <v>6.7948717948717947</v>
      </c>
      <c r="H7" s="46">
        <f t="shared" ref="H7:H65" si="4">IF(AE7="",999999999,AE7)</f>
        <v>2.2410546139359697</v>
      </c>
      <c r="I7" s="46">
        <f t="shared" ref="I7:I65" si="5">IF(AD7="",999999999,AD7)</f>
        <v>20.169491525423727</v>
      </c>
      <c r="L7" s="18">
        <v>2</v>
      </c>
      <c r="M7" s="18">
        <f>LARGE($L$6:$L$14,L7)</f>
        <v>8</v>
      </c>
      <c r="N7" s="18">
        <f t="shared" ref="N7:N14" si="6">M7/$M$6</f>
        <v>0.88888888888888884</v>
      </c>
      <c r="O7" s="18">
        <f>1/N7</f>
        <v>1.125</v>
      </c>
      <c r="P7" s="18">
        <f>(SUM(O$6:O7)*1/$M$2)</f>
        <v>4.25</v>
      </c>
      <c r="Q7" s="18">
        <f>(SUM(O$6:O7)*1/(1-$M$2))</f>
        <v>4.25</v>
      </c>
      <c r="R7" s="71"/>
      <c r="S7" s="18">
        <v>2</v>
      </c>
      <c r="T7" s="18">
        <f t="shared" ref="T7:T32" si="7">LARGE($S$6:$S$32,S7)</f>
        <v>26</v>
      </c>
      <c r="U7" s="18">
        <f t="shared" ref="U7:U32" si="8">T7/$T$6</f>
        <v>0.96296296296296291</v>
      </c>
      <c r="V7" s="18">
        <f t="shared" ref="V7:V32" si="9">1/U7</f>
        <v>1.0384615384615385</v>
      </c>
      <c r="W7" s="18">
        <f>(SUM(V$6:V7)*1/$T$2)</f>
        <v>6.7948717948717947</v>
      </c>
      <c r="X7" s="18">
        <f>(SUM(V$6:V7)*1/(1-$T$2))</f>
        <v>2.912087912087912</v>
      </c>
      <c r="Z7" s="18">
        <v>2</v>
      </c>
      <c r="AA7" s="18">
        <f t="shared" ref="AA7:AA65" si="10">LARGE($Z$6:$Z$65,Z7)</f>
        <v>59</v>
      </c>
      <c r="AB7" s="18">
        <f t="shared" ref="AB7:AB65" si="11">AA7/$AA$6</f>
        <v>0.98333333333333328</v>
      </c>
      <c r="AC7" s="18">
        <f t="shared" ref="AC7:AC65" si="12">1/AB7</f>
        <v>1.0169491525423728</v>
      </c>
      <c r="AD7" s="18">
        <f>(SUM(AC$6:AC7)*1/$AA$2)</f>
        <v>20.169491525423727</v>
      </c>
      <c r="AE7" s="18">
        <f>(SUM(AC$6:AC7)*1/(1-$AA$2))</f>
        <v>2.2410546139359697</v>
      </c>
    </row>
    <row r="8" spans="3:31" x14ac:dyDescent="0.15">
      <c r="C8" s="18">
        <v>3</v>
      </c>
      <c r="D8" s="46">
        <f t="shared" si="0"/>
        <v>6.8214285714285712</v>
      </c>
      <c r="E8" s="46">
        <f t="shared" si="1"/>
        <v>6.8214285714285712</v>
      </c>
      <c r="F8" s="46">
        <f t="shared" si="2"/>
        <v>4.4549450549450551</v>
      </c>
      <c r="G8" s="46">
        <f t="shared" si="3"/>
        <v>10.394871794871795</v>
      </c>
      <c r="H8" s="46">
        <f t="shared" si="4"/>
        <v>3.3904799012922915</v>
      </c>
      <c r="I8" s="46">
        <f t="shared" si="5"/>
        <v>30.514319111630623</v>
      </c>
      <c r="L8" s="18">
        <v>3</v>
      </c>
      <c r="M8" s="18">
        <f t="shared" ref="M8:M14" si="13">LARGE($L$6:$L$14,L8)</f>
        <v>7</v>
      </c>
      <c r="N8" s="18">
        <f t="shared" si="6"/>
        <v>0.77777777777777779</v>
      </c>
      <c r="O8" s="18">
        <f t="shared" ref="O8:O14" si="14">1/N8</f>
        <v>1.2857142857142856</v>
      </c>
      <c r="P8" s="18">
        <f>(SUM(O$6:O8)*1/$M$2)</f>
        <v>6.8214285714285712</v>
      </c>
      <c r="Q8" s="18">
        <f>(SUM(O$6:O8)*1/(1-$M$2))</f>
        <v>6.8214285714285712</v>
      </c>
      <c r="R8" s="71"/>
      <c r="S8" s="18">
        <v>3</v>
      </c>
      <c r="T8" s="18">
        <f t="shared" si="7"/>
        <v>25</v>
      </c>
      <c r="U8" s="18">
        <f t="shared" si="8"/>
        <v>0.92592592592592593</v>
      </c>
      <c r="V8" s="18">
        <f t="shared" si="9"/>
        <v>1.08</v>
      </c>
      <c r="W8" s="18">
        <f>(SUM(V$6:V8)*1/$T$2)</f>
        <v>10.394871794871795</v>
      </c>
      <c r="X8" s="18">
        <f>(SUM(V$6:V8)*1/(1-$T$2))</f>
        <v>4.4549450549450551</v>
      </c>
      <c r="Z8" s="18">
        <v>3</v>
      </c>
      <c r="AA8" s="18">
        <f t="shared" si="10"/>
        <v>58</v>
      </c>
      <c r="AB8" s="18">
        <f t="shared" si="11"/>
        <v>0.96666666666666667</v>
      </c>
      <c r="AC8" s="18">
        <f t="shared" si="12"/>
        <v>1.0344827586206897</v>
      </c>
      <c r="AD8" s="18">
        <f>(SUM(AC$6:AC8)*1/$AA$2)</f>
        <v>30.514319111630623</v>
      </c>
      <c r="AE8" s="18">
        <f>(SUM(AC$6:AC8)*1/(1-$AA$2))</f>
        <v>3.3904799012922915</v>
      </c>
    </row>
    <row r="9" spans="3:31" x14ac:dyDescent="0.15">
      <c r="C9" s="18">
        <v>4</v>
      </c>
      <c r="D9" s="46">
        <f t="shared" si="0"/>
        <v>9.8214285714285712</v>
      </c>
      <c r="E9" s="46">
        <f t="shared" si="1"/>
        <v>9.8214285714285712</v>
      </c>
      <c r="F9" s="46">
        <f t="shared" si="2"/>
        <v>6.0620879120879128</v>
      </c>
      <c r="G9" s="46">
        <f t="shared" si="3"/>
        <v>14.144871794871795</v>
      </c>
      <c r="H9" s="46">
        <f t="shared" si="4"/>
        <v>4.5600705445671448</v>
      </c>
      <c r="I9" s="46">
        <f t="shared" si="5"/>
        <v>41.040634901104305</v>
      </c>
      <c r="L9" s="18">
        <v>4</v>
      </c>
      <c r="M9" s="18">
        <f t="shared" si="13"/>
        <v>6</v>
      </c>
      <c r="N9" s="18">
        <f t="shared" si="6"/>
        <v>0.66666666666666663</v>
      </c>
      <c r="O9" s="18">
        <f t="shared" si="14"/>
        <v>1.5</v>
      </c>
      <c r="P9" s="18">
        <f>(SUM(O$6:O9)*1/$M$2)</f>
        <v>9.8214285714285712</v>
      </c>
      <c r="Q9" s="18">
        <f>(SUM(O$6:O9)*1/(1-$M$2))</f>
        <v>9.8214285714285712</v>
      </c>
      <c r="R9" s="71"/>
      <c r="S9" s="18">
        <v>4</v>
      </c>
      <c r="T9" s="18">
        <f t="shared" si="7"/>
        <v>24</v>
      </c>
      <c r="U9" s="18">
        <f t="shared" si="8"/>
        <v>0.88888888888888884</v>
      </c>
      <c r="V9" s="18">
        <f t="shared" si="9"/>
        <v>1.125</v>
      </c>
      <c r="W9" s="18">
        <f>(SUM(V$6:V9)*1/$T$2)</f>
        <v>14.144871794871795</v>
      </c>
      <c r="X9" s="18">
        <f>(SUM(V$6:V9)*1/(1-$T$2))</f>
        <v>6.0620879120879128</v>
      </c>
      <c r="Z9" s="18">
        <v>4</v>
      </c>
      <c r="AA9" s="18">
        <f t="shared" si="10"/>
        <v>57</v>
      </c>
      <c r="AB9" s="18">
        <f t="shared" si="11"/>
        <v>0.95</v>
      </c>
      <c r="AC9" s="18">
        <f t="shared" si="12"/>
        <v>1.0526315789473684</v>
      </c>
      <c r="AD9" s="18">
        <f>(SUM(AC$6:AC9)*1/$AA$2)</f>
        <v>41.040634901104305</v>
      </c>
      <c r="AE9" s="18">
        <f>(SUM(AC$6:AC9)*1/(1-$AA$2))</f>
        <v>4.5600705445671448</v>
      </c>
    </row>
    <row r="10" spans="3:31" x14ac:dyDescent="0.15">
      <c r="C10" s="18">
        <v>5</v>
      </c>
      <c r="D10" s="46">
        <f t="shared" si="0"/>
        <v>13.421428571428571</v>
      </c>
      <c r="E10" s="46">
        <f t="shared" si="1"/>
        <v>13.421428571428571</v>
      </c>
      <c r="F10" s="46">
        <f t="shared" si="2"/>
        <v>7.7391065456282853</v>
      </c>
      <c r="G10" s="46">
        <f t="shared" si="3"/>
        <v>18.057915273132664</v>
      </c>
      <c r="H10" s="46">
        <f t="shared" si="4"/>
        <v>5.7505467350433355</v>
      </c>
      <c r="I10" s="46">
        <f t="shared" si="5"/>
        <v>51.754920615390013</v>
      </c>
      <c r="L10" s="18">
        <v>5</v>
      </c>
      <c r="M10" s="18">
        <f t="shared" si="13"/>
        <v>5</v>
      </c>
      <c r="N10" s="18">
        <f t="shared" si="6"/>
        <v>0.55555555555555558</v>
      </c>
      <c r="O10" s="18">
        <f t="shared" si="14"/>
        <v>1.7999999999999998</v>
      </c>
      <c r="P10" s="18">
        <f>(SUM(O$6:O10)*1/$M$2)</f>
        <v>13.421428571428571</v>
      </c>
      <c r="Q10" s="18">
        <f>(SUM(O$6:O10)*1/(1-$M$2))</f>
        <v>13.421428571428571</v>
      </c>
      <c r="R10" s="71"/>
      <c r="S10" s="18">
        <v>5</v>
      </c>
      <c r="T10" s="18">
        <f t="shared" si="7"/>
        <v>23</v>
      </c>
      <c r="U10" s="18">
        <f t="shared" si="8"/>
        <v>0.85185185185185186</v>
      </c>
      <c r="V10" s="18">
        <f t="shared" si="9"/>
        <v>1.1739130434782608</v>
      </c>
      <c r="W10" s="18">
        <f>(SUM(V$6:V10)*1/$T$2)</f>
        <v>18.057915273132664</v>
      </c>
      <c r="X10" s="18">
        <f>(SUM(V$6:V10)*1/(1-$T$2))</f>
        <v>7.7391065456282853</v>
      </c>
      <c r="Z10" s="18">
        <v>5</v>
      </c>
      <c r="AA10" s="18">
        <f t="shared" si="10"/>
        <v>56</v>
      </c>
      <c r="AB10" s="18">
        <f t="shared" si="11"/>
        <v>0.93333333333333335</v>
      </c>
      <c r="AC10" s="18">
        <f t="shared" si="12"/>
        <v>1.0714285714285714</v>
      </c>
      <c r="AD10" s="18">
        <f>(SUM(AC$6:AC10)*1/$AA$2)</f>
        <v>51.754920615390013</v>
      </c>
      <c r="AE10" s="18">
        <f>(SUM(AC$6:AC10)*1/(1-$AA$2))</f>
        <v>5.7505467350433355</v>
      </c>
    </row>
    <row r="11" spans="3:31" x14ac:dyDescent="0.15">
      <c r="C11" s="18">
        <v>6</v>
      </c>
      <c r="D11" s="46">
        <f t="shared" si="0"/>
        <v>17.921428571428571</v>
      </c>
      <c r="E11" s="46">
        <f t="shared" si="1"/>
        <v>17.921428571428571</v>
      </c>
      <c r="F11" s="46">
        <f t="shared" si="2"/>
        <v>9.4923532988750381</v>
      </c>
      <c r="G11" s="46">
        <f t="shared" si="3"/>
        <v>22.148824364041758</v>
      </c>
      <c r="H11" s="46">
        <f t="shared" si="4"/>
        <v>6.9626679471645474</v>
      </c>
      <c r="I11" s="46">
        <f t="shared" si="5"/>
        <v>62.664011524480919</v>
      </c>
      <c r="L11" s="18">
        <v>6</v>
      </c>
      <c r="M11" s="18">
        <f t="shared" si="13"/>
        <v>4</v>
      </c>
      <c r="N11" s="18">
        <f t="shared" si="6"/>
        <v>0.44444444444444442</v>
      </c>
      <c r="O11" s="18">
        <f t="shared" si="14"/>
        <v>2.25</v>
      </c>
      <c r="P11" s="18">
        <f>(SUM(O$6:O11)*1/$M$2)</f>
        <v>17.921428571428571</v>
      </c>
      <c r="Q11" s="18">
        <f>(SUM(O$6:O11)*1/(1-$M$2))</f>
        <v>17.921428571428571</v>
      </c>
      <c r="R11" s="71"/>
      <c r="S11" s="18">
        <v>6</v>
      </c>
      <c r="T11" s="18">
        <f t="shared" si="7"/>
        <v>22</v>
      </c>
      <c r="U11" s="18">
        <f t="shared" si="8"/>
        <v>0.81481481481481477</v>
      </c>
      <c r="V11" s="18">
        <f t="shared" si="9"/>
        <v>1.2272727272727273</v>
      </c>
      <c r="W11" s="18">
        <f>(SUM(V$6:V11)*1/$T$2)</f>
        <v>22.148824364041758</v>
      </c>
      <c r="X11" s="18">
        <f>(SUM(V$6:V11)*1/(1-$T$2))</f>
        <v>9.4923532988750381</v>
      </c>
      <c r="Z11" s="18">
        <v>6</v>
      </c>
      <c r="AA11" s="18">
        <f t="shared" si="10"/>
        <v>55</v>
      </c>
      <c r="AB11" s="18">
        <f t="shared" si="11"/>
        <v>0.91666666666666663</v>
      </c>
      <c r="AC11" s="18">
        <f t="shared" si="12"/>
        <v>1.0909090909090911</v>
      </c>
      <c r="AD11" s="18">
        <f>(SUM(AC$6:AC11)*1/$AA$2)</f>
        <v>62.664011524480919</v>
      </c>
      <c r="AE11" s="18">
        <f>(SUM(AC$6:AC11)*1/(1-$AA$2))</f>
        <v>6.9626679471645474</v>
      </c>
    </row>
    <row r="12" spans="3:31" x14ac:dyDescent="0.15">
      <c r="C12" s="18">
        <v>7</v>
      </c>
      <c r="D12" s="46">
        <f t="shared" si="0"/>
        <v>23.921428571428571</v>
      </c>
      <c r="E12" s="46">
        <f t="shared" si="1"/>
        <v>23.921428571428571</v>
      </c>
      <c r="F12" s="46">
        <f t="shared" si="2"/>
        <v>11.329087992752589</v>
      </c>
      <c r="G12" s="46">
        <f t="shared" si="3"/>
        <v>26.434538649756043</v>
      </c>
      <c r="H12" s="46">
        <f t="shared" si="4"/>
        <v>8.1972358483991155</v>
      </c>
      <c r="I12" s="46">
        <f t="shared" si="5"/>
        <v>73.775122635592041</v>
      </c>
      <c r="L12" s="18">
        <v>7</v>
      </c>
      <c r="M12" s="18">
        <f t="shared" si="13"/>
        <v>3</v>
      </c>
      <c r="N12" s="18">
        <f t="shared" si="6"/>
        <v>0.33333333333333331</v>
      </c>
      <c r="O12" s="18">
        <f t="shared" si="14"/>
        <v>3</v>
      </c>
      <c r="P12" s="18">
        <f>(SUM(O$6:O12)*1/$M$2)</f>
        <v>23.921428571428571</v>
      </c>
      <c r="Q12" s="18">
        <f>(SUM(O$6:O12)*1/(1-$M$2))</f>
        <v>23.921428571428571</v>
      </c>
      <c r="R12" s="71"/>
      <c r="S12" s="18">
        <v>7</v>
      </c>
      <c r="T12" s="18">
        <f t="shared" si="7"/>
        <v>21</v>
      </c>
      <c r="U12" s="18">
        <f t="shared" si="8"/>
        <v>0.77777777777777779</v>
      </c>
      <c r="V12" s="18">
        <f t="shared" si="9"/>
        <v>1.2857142857142856</v>
      </c>
      <c r="W12" s="18">
        <f>(SUM(V$6:V12)*1/$T$2)</f>
        <v>26.434538649756043</v>
      </c>
      <c r="X12" s="18">
        <f>(SUM(V$6:V12)*1/(1-$T$2))</f>
        <v>11.329087992752589</v>
      </c>
      <c r="Z12" s="18">
        <v>7</v>
      </c>
      <c r="AA12" s="18">
        <f t="shared" si="10"/>
        <v>54</v>
      </c>
      <c r="AB12" s="18">
        <f t="shared" si="11"/>
        <v>0.9</v>
      </c>
      <c r="AC12" s="18">
        <f t="shared" si="12"/>
        <v>1.1111111111111112</v>
      </c>
      <c r="AD12" s="18">
        <f>(SUM(AC$6:AC12)*1/$AA$2)</f>
        <v>73.775122635592041</v>
      </c>
      <c r="AE12" s="18">
        <f>(SUM(AC$6:AC12)*1/(1-$AA$2))</f>
        <v>8.1972358483991155</v>
      </c>
    </row>
    <row r="13" spans="3:31" x14ac:dyDescent="0.15">
      <c r="C13" s="18">
        <v>8</v>
      </c>
      <c r="D13" s="46">
        <f t="shared" si="0"/>
        <v>32.921428571428571</v>
      </c>
      <c r="E13" s="46">
        <f t="shared" si="1"/>
        <v>32.921428571428571</v>
      </c>
      <c r="F13" s="46">
        <f t="shared" si="2"/>
        <v>13.25765942132402</v>
      </c>
      <c r="G13" s="46">
        <f t="shared" si="3"/>
        <v>30.934538649756043</v>
      </c>
      <c r="H13" s="46">
        <f t="shared" si="4"/>
        <v>9.4550974836192427</v>
      </c>
      <c r="I13" s="46">
        <f t="shared" si="5"/>
        <v>85.095877352573169</v>
      </c>
      <c r="L13" s="18">
        <v>8</v>
      </c>
      <c r="M13" s="18">
        <f t="shared" si="13"/>
        <v>2</v>
      </c>
      <c r="N13" s="18">
        <f t="shared" si="6"/>
        <v>0.22222222222222221</v>
      </c>
      <c r="O13" s="18">
        <f t="shared" si="14"/>
        <v>4.5</v>
      </c>
      <c r="P13" s="18">
        <f>(SUM(O$6:O13)*1/$M$2)</f>
        <v>32.921428571428571</v>
      </c>
      <c r="Q13" s="18">
        <f>(SUM(O$6:O13)*1/(1-$M$2))</f>
        <v>32.921428571428571</v>
      </c>
      <c r="R13" s="71"/>
      <c r="S13" s="18">
        <v>8</v>
      </c>
      <c r="T13" s="18">
        <f t="shared" si="7"/>
        <v>20</v>
      </c>
      <c r="U13" s="18">
        <f t="shared" si="8"/>
        <v>0.7407407407407407</v>
      </c>
      <c r="V13" s="18">
        <f t="shared" si="9"/>
        <v>1.35</v>
      </c>
      <c r="W13" s="18">
        <f>(SUM(V$6:V13)*1/$T$2)</f>
        <v>30.934538649756043</v>
      </c>
      <c r="X13" s="18">
        <f>(SUM(V$6:V13)*1/(1-$T$2))</f>
        <v>13.25765942132402</v>
      </c>
      <c r="Z13" s="18">
        <v>8</v>
      </c>
      <c r="AA13" s="18">
        <f t="shared" si="10"/>
        <v>53</v>
      </c>
      <c r="AB13" s="18">
        <f t="shared" si="11"/>
        <v>0.8833333333333333</v>
      </c>
      <c r="AC13" s="18">
        <f t="shared" si="12"/>
        <v>1.1320754716981132</v>
      </c>
      <c r="AD13" s="18">
        <f>(SUM(AC$6:AC13)*1/$AA$2)</f>
        <v>85.095877352573169</v>
      </c>
      <c r="AE13" s="18">
        <f>(SUM(AC$6:AC13)*1/(1-$AA$2))</f>
        <v>9.4550974836192427</v>
      </c>
    </row>
    <row r="14" spans="3:31" x14ac:dyDescent="0.15">
      <c r="C14" s="18">
        <v>9</v>
      </c>
      <c r="D14" s="46">
        <f>IF(Q14="",999999999,Q14)</f>
        <v>50.921428571428571</v>
      </c>
      <c r="E14" s="46">
        <f t="shared" si="1"/>
        <v>50.921428571428571</v>
      </c>
      <c r="F14" s="46">
        <f t="shared" si="2"/>
        <v>15.287734609293944</v>
      </c>
      <c r="G14" s="46">
        <f t="shared" si="3"/>
        <v>35.6713807550192</v>
      </c>
      <c r="H14" s="46">
        <f t="shared" si="4"/>
        <v>10.737148765670524</v>
      </c>
      <c r="I14" s="46">
        <f t="shared" si="5"/>
        <v>96.634338891034702</v>
      </c>
      <c r="L14" s="18">
        <v>9</v>
      </c>
      <c r="M14" s="18">
        <f t="shared" si="13"/>
        <v>1</v>
      </c>
      <c r="N14" s="18">
        <f t="shared" si="6"/>
        <v>0.1111111111111111</v>
      </c>
      <c r="O14" s="18">
        <f t="shared" si="14"/>
        <v>9</v>
      </c>
      <c r="P14" s="18">
        <f>(SUM(O$6:O14)*1/$M$2)</f>
        <v>50.921428571428571</v>
      </c>
      <c r="Q14" s="18">
        <f>(SUM(O$6:O14)*1/(1-$M$2))</f>
        <v>50.921428571428571</v>
      </c>
      <c r="R14" s="71"/>
      <c r="S14" s="18">
        <v>9</v>
      </c>
      <c r="T14" s="18">
        <f t="shared" si="7"/>
        <v>19</v>
      </c>
      <c r="U14" s="18">
        <f t="shared" si="8"/>
        <v>0.70370370370370372</v>
      </c>
      <c r="V14" s="18">
        <f t="shared" si="9"/>
        <v>1.4210526315789473</v>
      </c>
      <c r="W14" s="18">
        <f>(SUM(V$6:V14)*1/$T$2)</f>
        <v>35.6713807550192</v>
      </c>
      <c r="X14" s="18">
        <f>(SUM(V$6:V14)*1/(1-$T$2))</f>
        <v>15.287734609293944</v>
      </c>
      <c r="Z14" s="18">
        <v>9</v>
      </c>
      <c r="AA14" s="18">
        <f t="shared" si="10"/>
        <v>52</v>
      </c>
      <c r="AB14" s="18">
        <f t="shared" si="11"/>
        <v>0.8666666666666667</v>
      </c>
      <c r="AC14" s="18">
        <f t="shared" si="12"/>
        <v>1.1538461538461537</v>
      </c>
      <c r="AD14" s="18">
        <f>(SUM(AC$6:AC14)*1/$AA$2)</f>
        <v>96.634338891034702</v>
      </c>
      <c r="AE14" s="18">
        <f>(SUM(AC$6:AC14)*1/(1-$AA$2))</f>
        <v>10.737148765670524</v>
      </c>
    </row>
    <row r="15" spans="3:31" x14ac:dyDescent="0.15">
      <c r="C15" s="18">
        <v>10</v>
      </c>
      <c r="D15" s="46">
        <f>IF(Q15="",999999999,Q15)</f>
        <v>999999999</v>
      </c>
      <c r="E15" s="46">
        <f t="shared" si="1"/>
        <v>999999999</v>
      </c>
      <c r="F15" s="46">
        <f t="shared" si="2"/>
        <v>17.430591752151088</v>
      </c>
      <c r="G15" s="46">
        <f t="shared" si="3"/>
        <v>40.6713807550192</v>
      </c>
      <c r="H15" s="46">
        <f t="shared" si="4"/>
        <v>12.044338308154183</v>
      </c>
      <c r="I15" s="46">
        <f t="shared" si="5"/>
        <v>108.39904477338764</v>
      </c>
      <c r="S15" s="18">
        <v>10</v>
      </c>
      <c r="T15" s="18">
        <f t="shared" si="7"/>
        <v>18</v>
      </c>
      <c r="U15" s="18">
        <f t="shared" si="8"/>
        <v>0.66666666666666663</v>
      </c>
      <c r="V15" s="18">
        <f t="shared" si="9"/>
        <v>1.5</v>
      </c>
      <c r="W15" s="18">
        <f>(SUM(V$6:V15)*1/$T$2)</f>
        <v>40.6713807550192</v>
      </c>
      <c r="X15" s="18">
        <f>(SUM(V$6:V15)*1/(1-$T$2))</f>
        <v>17.430591752151088</v>
      </c>
      <c r="Z15" s="18">
        <v>10</v>
      </c>
      <c r="AA15" s="18">
        <f t="shared" si="10"/>
        <v>51</v>
      </c>
      <c r="AB15" s="18">
        <f t="shared" si="11"/>
        <v>0.85</v>
      </c>
      <c r="AC15" s="18">
        <f t="shared" si="12"/>
        <v>1.1764705882352942</v>
      </c>
      <c r="AD15" s="18">
        <f>(SUM(AC$6:AC15)*1/$AA$2)</f>
        <v>108.39904477338764</v>
      </c>
      <c r="AE15" s="18">
        <f>(SUM(AC$6:AC15)*1/(1-$AA$2))</f>
        <v>12.044338308154183</v>
      </c>
    </row>
    <row r="16" spans="3:31" x14ac:dyDescent="0.15">
      <c r="C16" s="18">
        <v>11</v>
      </c>
      <c r="D16" s="46">
        <f t="shared" si="0"/>
        <v>999999999</v>
      </c>
      <c r="E16" s="46">
        <f t="shared" si="1"/>
        <v>999999999</v>
      </c>
      <c r="F16" s="46">
        <f t="shared" si="2"/>
        <v>19.699499315176297</v>
      </c>
      <c r="G16" s="46">
        <f t="shared" si="3"/>
        <v>45.965498402078026</v>
      </c>
      <c r="H16" s="46">
        <f t="shared" si="4"/>
        <v>13.377671641487515</v>
      </c>
      <c r="I16" s="46">
        <f t="shared" si="5"/>
        <v>120.39904477338763</v>
      </c>
      <c r="S16" s="18">
        <v>11</v>
      </c>
      <c r="T16" s="18">
        <f t="shared" si="7"/>
        <v>17</v>
      </c>
      <c r="U16" s="18">
        <f t="shared" si="8"/>
        <v>0.62962962962962965</v>
      </c>
      <c r="V16" s="18">
        <f t="shared" si="9"/>
        <v>1.588235294117647</v>
      </c>
      <c r="W16" s="18">
        <f>(SUM(V$6:V16)*1/$T$2)</f>
        <v>45.965498402078026</v>
      </c>
      <c r="X16" s="18">
        <f>(SUM(V$6:V16)*1/(1-$T$2))</f>
        <v>19.699499315176297</v>
      </c>
      <c r="Z16" s="18">
        <v>11</v>
      </c>
      <c r="AA16" s="18">
        <f t="shared" si="10"/>
        <v>50</v>
      </c>
      <c r="AB16" s="18">
        <f t="shared" si="11"/>
        <v>0.83333333333333337</v>
      </c>
      <c r="AC16" s="18">
        <f t="shared" si="12"/>
        <v>1.2</v>
      </c>
      <c r="AD16" s="18">
        <f>(SUM(AC$6:AC16)*1/$AA$2)</f>
        <v>120.39904477338763</v>
      </c>
      <c r="AE16" s="18">
        <f>(SUM(AC$6:AC16)*1/(1-$AA$2))</f>
        <v>13.377671641487515</v>
      </c>
    </row>
    <row r="17" spans="3:31" x14ac:dyDescent="0.15">
      <c r="C17" s="18">
        <v>12</v>
      </c>
      <c r="D17" s="46">
        <f t="shared" si="0"/>
        <v>999999999</v>
      </c>
      <c r="E17" s="46">
        <f t="shared" si="1"/>
        <v>999999999</v>
      </c>
      <c r="F17" s="46">
        <f t="shared" si="2"/>
        <v>22.110213600890582</v>
      </c>
      <c r="G17" s="46">
        <f t="shared" si="3"/>
        <v>51.590498402078026</v>
      </c>
      <c r="H17" s="46">
        <f t="shared" si="4"/>
        <v>14.738215859174591</v>
      </c>
      <c r="I17" s="46">
        <f t="shared" si="5"/>
        <v>132.6439427325713</v>
      </c>
      <c r="S17" s="18">
        <v>12</v>
      </c>
      <c r="T17" s="18">
        <f t="shared" si="7"/>
        <v>16</v>
      </c>
      <c r="U17" s="18">
        <f t="shared" si="8"/>
        <v>0.59259259259259256</v>
      </c>
      <c r="V17" s="18">
        <f t="shared" si="9"/>
        <v>1.6875</v>
      </c>
      <c r="W17" s="18">
        <f>(SUM(V$6:V17)*1/$T$2)</f>
        <v>51.590498402078026</v>
      </c>
      <c r="X17" s="18">
        <f>(SUM(V$6:V17)*1/(1-$T$2))</f>
        <v>22.110213600890582</v>
      </c>
      <c r="Z17" s="18">
        <v>12</v>
      </c>
      <c r="AA17" s="18">
        <f t="shared" si="10"/>
        <v>49</v>
      </c>
      <c r="AB17" s="18">
        <f t="shared" si="11"/>
        <v>0.81666666666666665</v>
      </c>
      <c r="AC17" s="18">
        <f t="shared" si="12"/>
        <v>1.2244897959183674</v>
      </c>
      <c r="AD17" s="18">
        <f>(SUM(AC$6:AC17)*1/$AA$2)</f>
        <v>132.6439427325713</v>
      </c>
      <c r="AE17" s="18">
        <f>(SUM(AC$6:AC17)*1/(1-$AA$2))</f>
        <v>14.738215859174591</v>
      </c>
    </row>
    <row r="18" spans="3:31" x14ac:dyDescent="0.15">
      <c r="C18" s="18">
        <v>13</v>
      </c>
      <c r="D18" s="46">
        <f t="shared" si="0"/>
        <v>999999999</v>
      </c>
      <c r="E18" s="46">
        <f t="shared" si="1"/>
        <v>999999999</v>
      </c>
      <c r="F18" s="46">
        <f t="shared" si="2"/>
        <v>24.681642172319155</v>
      </c>
      <c r="G18" s="46">
        <f t="shared" si="3"/>
        <v>57.590498402078026</v>
      </c>
      <c r="H18" s="46">
        <f t="shared" si="4"/>
        <v>16.127104748063481</v>
      </c>
      <c r="I18" s="46">
        <f t="shared" si="5"/>
        <v>145.1439427325713</v>
      </c>
      <c r="S18" s="18">
        <v>13</v>
      </c>
      <c r="T18" s="18">
        <f t="shared" si="7"/>
        <v>15</v>
      </c>
      <c r="U18" s="18">
        <f t="shared" si="8"/>
        <v>0.55555555555555558</v>
      </c>
      <c r="V18" s="18">
        <f t="shared" si="9"/>
        <v>1.7999999999999998</v>
      </c>
      <c r="W18" s="18">
        <f>(SUM(V$6:V18)*1/$T$2)</f>
        <v>57.590498402078026</v>
      </c>
      <c r="X18" s="18">
        <f>(SUM(V$6:V18)*1/(1-$T$2))</f>
        <v>24.681642172319155</v>
      </c>
      <c r="Z18" s="18">
        <v>13</v>
      </c>
      <c r="AA18" s="18">
        <f t="shared" si="10"/>
        <v>48</v>
      </c>
      <c r="AB18" s="18">
        <f t="shared" si="11"/>
        <v>0.8</v>
      </c>
      <c r="AC18" s="18">
        <f t="shared" si="12"/>
        <v>1.25</v>
      </c>
      <c r="AD18" s="18">
        <f>(SUM(AC$6:AC18)*1/$AA$2)</f>
        <v>145.1439427325713</v>
      </c>
      <c r="AE18" s="18">
        <f>(SUM(AC$6:AC18)*1/(1-$AA$2))</f>
        <v>16.127104748063481</v>
      </c>
    </row>
    <row r="19" spans="3:31" x14ac:dyDescent="0.15">
      <c r="C19" s="18">
        <v>14</v>
      </c>
      <c r="D19" s="46">
        <f t="shared" si="0"/>
        <v>999999999</v>
      </c>
      <c r="E19" s="46">
        <f t="shared" si="1"/>
        <v>999999999</v>
      </c>
      <c r="F19" s="46">
        <f t="shared" si="2"/>
        <v>27.43674421313548</v>
      </c>
      <c r="G19" s="46">
        <f t="shared" si="3"/>
        <v>64.019069830649457</v>
      </c>
      <c r="H19" s="46">
        <f t="shared" si="4"/>
        <v>17.545544464375535</v>
      </c>
      <c r="I19" s="46">
        <f t="shared" si="5"/>
        <v>157.9099001793798</v>
      </c>
      <c r="S19" s="18">
        <v>14</v>
      </c>
      <c r="T19" s="18">
        <f t="shared" si="7"/>
        <v>14</v>
      </c>
      <c r="U19" s="18">
        <f t="shared" si="8"/>
        <v>0.51851851851851849</v>
      </c>
      <c r="V19" s="18">
        <f t="shared" si="9"/>
        <v>1.9285714285714286</v>
      </c>
      <c r="W19" s="18">
        <f>(SUM(V$6:V19)*1/$T$2)</f>
        <v>64.019069830649457</v>
      </c>
      <c r="X19" s="18">
        <f>(SUM(V$6:V19)*1/(1-$T$2))</f>
        <v>27.43674421313548</v>
      </c>
      <c r="Z19" s="18">
        <v>14</v>
      </c>
      <c r="AA19" s="18">
        <f t="shared" si="10"/>
        <v>47</v>
      </c>
      <c r="AB19" s="18">
        <f t="shared" si="11"/>
        <v>0.78333333333333333</v>
      </c>
      <c r="AC19" s="18">
        <f t="shared" si="12"/>
        <v>1.2765957446808511</v>
      </c>
      <c r="AD19" s="18">
        <f>(SUM(AC$6:AC19)*1/$AA$2)</f>
        <v>157.9099001793798</v>
      </c>
      <c r="AE19" s="18">
        <f>(SUM(AC$6:AC19)*1/(1-$AA$2))</f>
        <v>17.545544464375535</v>
      </c>
    </row>
    <row r="20" spans="3:31" x14ac:dyDescent="0.15">
      <c r="C20" s="18">
        <v>15</v>
      </c>
      <c r="D20" s="46">
        <f t="shared" si="0"/>
        <v>999999999</v>
      </c>
      <c r="E20" s="46">
        <f t="shared" si="1"/>
        <v>999999999</v>
      </c>
      <c r="F20" s="46">
        <f t="shared" si="2"/>
        <v>30.403777180168447</v>
      </c>
      <c r="G20" s="46">
        <f t="shared" si="3"/>
        <v>70.942146753726377</v>
      </c>
      <c r="H20" s="46">
        <f t="shared" si="4"/>
        <v>18.994819826694378</v>
      </c>
      <c r="I20" s="46">
        <f t="shared" si="5"/>
        <v>170.95337844024939</v>
      </c>
      <c r="S20" s="18">
        <v>15</v>
      </c>
      <c r="T20" s="18">
        <f t="shared" si="7"/>
        <v>13</v>
      </c>
      <c r="U20" s="18">
        <f t="shared" si="8"/>
        <v>0.48148148148148145</v>
      </c>
      <c r="V20" s="18">
        <f t="shared" si="9"/>
        <v>2.0769230769230771</v>
      </c>
      <c r="W20" s="18">
        <f>(SUM(V$6:V20)*1/$T$2)</f>
        <v>70.942146753726377</v>
      </c>
      <c r="X20" s="18">
        <f>(SUM(V$6:V20)*1/(1-$T$2))</f>
        <v>30.403777180168447</v>
      </c>
      <c r="Z20" s="18">
        <v>15</v>
      </c>
      <c r="AA20" s="18">
        <f t="shared" si="10"/>
        <v>46</v>
      </c>
      <c r="AB20" s="18">
        <f t="shared" si="11"/>
        <v>0.76666666666666672</v>
      </c>
      <c r="AC20" s="18">
        <f t="shared" si="12"/>
        <v>1.3043478260869565</v>
      </c>
      <c r="AD20" s="18">
        <f>(SUM(AC$6:AC20)*1/$AA$2)</f>
        <v>170.95337844024939</v>
      </c>
      <c r="AE20" s="18">
        <f>(SUM(AC$6:AC20)*1/(1-$AA$2))</f>
        <v>18.994819826694378</v>
      </c>
    </row>
    <row r="21" spans="3:31" x14ac:dyDescent="0.15">
      <c r="C21" s="18">
        <v>16</v>
      </c>
      <c r="D21" s="46">
        <f t="shared" si="0"/>
        <v>999999999</v>
      </c>
      <c r="E21" s="46">
        <f t="shared" si="1"/>
        <v>999999999</v>
      </c>
      <c r="F21" s="46">
        <f t="shared" si="2"/>
        <v>33.618062894454162</v>
      </c>
      <c r="G21" s="46">
        <f t="shared" si="3"/>
        <v>78.442146753726377</v>
      </c>
      <c r="H21" s="46">
        <f t="shared" si="4"/>
        <v>20.476301308175856</v>
      </c>
      <c r="I21" s="46">
        <f t="shared" si="5"/>
        <v>184.28671177358271</v>
      </c>
      <c r="S21" s="18">
        <v>16</v>
      </c>
      <c r="T21" s="18">
        <f t="shared" si="7"/>
        <v>12</v>
      </c>
      <c r="U21" s="18">
        <f t="shared" si="8"/>
        <v>0.44444444444444442</v>
      </c>
      <c r="V21" s="18">
        <f t="shared" si="9"/>
        <v>2.25</v>
      </c>
      <c r="W21" s="18">
        <f>(SUM(V$6:V21)*1/$T$2)</f>
        <v>78.442146753726377</v>
      </c>
      <c r="X21" s="18">
        <f>(SUM(V$6:V21)*1/(1-$T$2))</f>
        <v>33.618062894454162</v>
      </c>
      <c r="Z21" s="18">
        <v>16</v>
      </c>
      <c r="AA21" s="18">
        <f t="shared" si="10"/>
        <v>45</v>
      </c>
      <c r="AB21" s="18">
        <f t="shared" si="11"/>
        <v>0.75</v>
      </c>
      <c r="AC21" s="18">
        <f t="shared" si="12"/>
        <v>1.3333333333333333</v>
      </c>
      <c r="AD21" s="18">
        <f>(SUM(AC$6:AC21)*1/$AA$2)</f>
        <v>184.28671177358271</v>
      </c>
      <c r="AE21" s="18">
        <f>(SUM(AC$6:AC21)*1/(1-$AA$2))</f>
        <v>20.476301308175856</v>
      </c>
    </row>
    <row r="22" spans="3:31" x14ac:dyDescent="0.15">
      <c r="C22" s="18">
        <v>17</v>
      </c>
      <c r="D22" s="46">
        <f t="shared" si="0"/>
        <v>999999999</v>
      </c>
      <c r="E22" s="46">
        <f t="shared" si="1"/>
        <v>999999999</v>
      </c>
      <c r="F22" s="46">
        <f t="shared" si="2"/>
        <v>37.124556400947668</v>
      </c>
      <c r="G22" s="46">
        <f t="shared" si="3"/>
        <v>86.623964935544549</v>
      </c>
      <c r="H22" s="46">
        <f t="shared" si="4"/>
        <v>21.991452823327371</v>
      </c>
      <c r="I22" s="46">
        <f t="shared" si="5"/>
        <v>197.92307540994634</v>
      </c>
      <c r="S22" s="18">
        <v>17</v>
      </c>
      <c r="T22" s="18">
        <f t="shared" si="7"/>
        <v>11</v>
      </c>
      <c r="U22" s="18">
        <f t="shared" si="8"/>
        <v>0.40740740740740738</v>
      </c>
      <c r="V22" s="18">
        <f t="shared" si="9"/>
        <v>2.4545454545454546</v>
      </c>
      <c r="W22" s="18">
        <f>(SUM(V$6:V22)*1/$T$2)</f>
        <v>86.623964935544549</v>
      </c>
      <c r="X22" s="18">
        <f>(SUM(V$6:V22)*1/(1-$T$2))</f>
        <v>37.124556400947668</v>
      </c>
      <c r="Z22" s="18">
        <v>17</v>
      </c>
      <c r="AA22" s="18">
        <f t="shared" si="10"/>
        <v>44</v>
      </c>
      <c r="AB22" s="18">
        <f t="shared" si="11"/>
        <v>0.73333333333333328</v>
      </c>
      <c r="AC22" s="18">
        <f t="shared" si="12"/>
        <v>1.3636363636363638</v>
      </c>
      <c r="AD22" s="18">
        <f>(SUM(AC$6:AC22)*1/$AA$2)</f>
        <v>197.92307540994634</v>
      </c>
      <c r="AE22" s="18">
        <f>(SUM(AC$6:AC22)*1/(1-$AA$2))</f>
        <v>21.991452823327371</v>
      </c>
    </row>
    <row r="23" spans="3:31" x14ac:dyDescent="0.15">
      <c r="C23" s="18">
        <v>18</v>
      </c>
      <c r="D23" s="46">
        <f t="shared" si="0"/>
        <v>999999999</v>
      </c>
      <c r="E23" s="46">
        <f t="shared" si="1"/>
        <v>999999999</v>
      </c>
      <c r="F23" s="46">
        <f t="shared" si="2"/>
        <v>40.981699258090522</v>
      </c>
      <c r="G23" s="46">
        <f t="shared" si="3"/>
        <v>95.623964935544549</v>
      </c>
      <c r="H23" s="46">
        <f t="shared" si="4"/>
        <v>23.541840420226595</v>
      </c>
      <c r="I23" s="46">
        <f t="shared" si="5"/>
        <v>211.87656378203934</v>
      </c>
      <c r="S23" s="18">
        <v>18</v>
      </c>
      <c r="T23" s="18">
        <f t="shared" si="7"/>
        <v>10</v>
      </c>
      <c r="U23" s="18">
        <f t="shared" si="8"/>
        <v>0.37037037037037035</v>
      </c>
      <c r="V23" s="18">
        <f t="shared" si="9"/>
        <v>2.7</v>
      </c>
      <c r="W23" s="18">
        <f>(SUM(V$6:V23)*1/$T$2)</f>
        <v>95.623964935544549</v>
      </c>
      <c r="X23" s="18">
        <f>(SUM(V$6:V23)*1/(1-$T$2))</f>
        <v>40.981699258090522</v>
      </c>
      <c r="Z23" s="18">
        <v>18</v>
      </c>
      <c r="AA23" s="18">
        <f t="shared" si="10"/>
        <v>43</v>
      </c>
      <c r="AB23" s="18">
        <f t="shared" si="11"/>
        <v>0.71666666666666667</v>
      </c>
      <c r="AC23" s="18">
        <f t="shared" si="12"/>
        <v>1.3953488372093024</v>
      </c>
      <c r="AD23" s="18">
        <f>(SUM(AC$6:AC23)*1/$AA$2)</f>
        <v>211.87656378203934</v>
      </c>
      <c r="AE23" s="18">
        <f>(SUM(AC$6:AC23)*1/(1-$AA$2))</f>
        <v>23.541840420226595</v>
      </c>
    </row>
    <row r="24" spans="3:31" x14ac:dyDescent="0.15">
      <c r="C24" s="18">
        <v>19</v>
      </c>
      <c r="D24" s="46">
        <f t="shared" si="0"/>
        <v>999999999</v>
      </c>
      <c r="E24" s="46">
        <f t="shared" si="1"/>
        <v>999999999</v>
      </c>
      <c r="F24" s="46">
        <f t="shared" si="2"/>
        <v>45.267413543804807</v>
      </c>
      <c r="G24" s="46">
        <f t="shared" si="3"/>
        <v>105.62396493554455</v>
      </c>
      <c r="H24" s="46">
        <f t="shared" si="4"/>
        <v>25.129142007528181</v>
      </c>
      <c r="I24" s="46">
        <f t="shared" si="5"/>
        <v>226.16227806775362</v>
      </c>
      <c r="S24" s="18">
        <v>19</v>
      </c>
      <c r="T24" s="18">
        <f t="shared" si="7"/>
        <v>9</v>
      </c>
      <c r="U24" s="18">
        <f t="shared" si="8"/>
        <v>0.33333333333333331</v>
      </c>
      <c r="V24" s="18">
        <f t="shared" si="9"/>
        <v>3</v>
      </c>
      <c r="W24" s="18">
        <f>(SUM(V$6:V24)*1/$T$2)</f>
        <v>105.62396493554455</v>
      </c>
      <c r="X24" s="18">
        <f>(SUM(V$6:V24)*1/(1-$T$2))</f>
        <v>45.267413543804807</v>
      </c>
      <c r="Z24" s="18">
        <v>19</v>
      </c>
      <c r="AA24" s="18">
        <f t="shared" si="10"/>
        <v>42</v>
      </c>
      <c r="AB24" s="18">
        <f t="shared" si="11"/>
        <v>0.7</v>
      </c>
      <c r="AC24" s="18">
        <f t="shared" si="12"/>
        <v>1.4285714285714286</v>
      </c>
      <c r="AD24" s="18">
        <f>(SUM(AC$6:AC24)*1/$AA$2)</f>
        <v>226.16227806775362</v>
      </c>
      <c r="AE24" s="18">
        <f>(SUM(AC$6:AC24)*1/(1-$AA$2))</f>
        <v>25.129142007528181</v>
      </c>
    </row>
    <row r="25" spans="3:31" x14ac:dyDescent="0.15">
      <c r="C25" s="18">
        <v>20</v>
      </c>
      <c r="D25" s="46">
        <f t="shared" si="0"/>
        <v>999999999</v>
      </c>
      <c r="E25" s="46">
        <f t="shared" si="1"/>
        <v>999999999</v>
      </c>
      <c r="F25" s="46">
        <f t="shared" si="2"/>
        <v>50.088842115233376</v>
      </c>
      <c r="G25" s="46">
        <f t="shared" si="3"/>
        <v>116.87396493554455</v>
      </c>
      <c r="H25" s="46">
        <f t="shared" si="4"/>
        <v>26.755158267690785</v>
      </c>
      <c r="I25" s="46">
        <f t="shared" si="5"/>
        <v>240.79642440921705</v>
      </c>
      <c r="S25" s="18">
        <v>20</v>
      </c>
      <c r="T25" s="18">
        <f t="shared" si="7"/>
        <v>8</v>
      </c>
      <c r="U25" s="18">
        <f t="shared" si="8"/>
        <v>0.29629629629629628</v>
      </c>
      <c r="V25" s="18">
        <f t="shared" si="9"/>
        <v>3.375</v>
      </c>
      <c r="W25" s="18">
        <f>(SUM(V$6:V25)*1/$T$2)</f>
        <v>116.87396493554455</v>
      </c>
      <c r="X25" s="18">
        <f>(SUM(V$6:V25)*1/(1-$T$2))</f>
        <v>50.088842115233376</v>
      </c>
      <c r="Z25" s="18">
        <v>20</v>
      </c>
      <c r="AA25" s="18">
        <f t="shared" si="10"/>
        <v>41</v>
      </c>
      <c r="AB25" s="18">
        <f t="shared" si="11"/>
        <v>0.68333333333333335</v>
      </c>
      <c r="AC25" s="18">
        <f t="shared" si="12"/>
        <v>1.4634146341463414</v>
      </c>
      <c r="AD25" s="18">
        <f>(SUM(AC$6:AC25)*1/$AA$2)</f>
        <v>240.79642440921705</v>
      </c>
      <c r="AE25" s="18">
        <f>(SUM(AC$6:AC25)*1/(1-$AA$2))</f>
        <v>26.755158267690785</v>
      </c>
    </row>
    <row r="26" spans="3:31" x14ac:dyDescent="0.15">
      <c r="C26" s="18">
        <v>21</v>
      </c>
      <c r="D26" s="46">
        <f t="shared" si="0"/>
        <v>999999999</v>
      </c>
      <c r="E26" s="46">
        <f t="shared" si="1"/>
        <v>999999999</v>
      </c>
      <c r="F26" s="46">
        <f t="shared" si="2"/>
        <v>55.599046196866027</v>
      </c>
      <c r="G26" s="46">
        <f t="shared" si="3"/>
        <v>129.7311077926874</v>
      </c>
      <c r="H26" s="46">
        <f t="shared" si="4"/>
        <v>28.421824934357449</v>
      </c>
      <c r="I26" s="46">
        <f t="shared" si="5"/>
        <v>255.79642440921705</v>
      </c>
      <c r="S26" s="18">
        <v>21</v>
      </c>
      <c r="T26" s="18">
        <f t="shared" si="7"/>
        <v>7</v>
      </c>
      <c r="U26" s="18">
        <f t="shared" si="8"/>
        <v>0.25925925925925924</v>
      </c>
      <c r="V26" s="18">
        <f t="shared" si="9"/>
        <v>3.8571428571428572</v>
      </c>
      <c r="W26" s="18">
        <f>(SUM(V$6:V26)*1/$T$2)</f>
        <v>129.7311077926874</v>
      </c>
      <c r="X26" s="18">
        <f>(SUM(V$6:V26)*1/(1-$T$2))</f>
        <v>55.599046196866027</v>
      </c>
      <c r="Z26" s="18">
        <v>21</v>
      </c>
      <c r="AA26" s="18">
        <f t="shared" si="10"/>
        <v>40</v>
      </c>
      <c r="AB26" s="18">
        <f t="shared" si="11"/>
        <v>0.66666666666666663</v>
      </c>
      <c r="AC26" s="18">
        <f t="shared" si="12"/>
        <v>1.5</v>
      </c>
      <c r="AD26" s="18">
        <f>(SUM(AC$6:AC26)*1/$AA$2)</f>
        <v>255.79642440921705</v>
      </c>
      <c r="AE26" s="18">
        <f>(SUM(AC$6:AC26)*1/(1-$AA$2))</f>
        <v>28.421824934357449</v>
      </c>
    </row>
    <row r="27" spans="3:31" x14ac:dyDescent="0.15">
      <c r="C27" s="18">
        <v>22</v>
      </c>
      <c r="D27" s="46">
        <f t="shared" si="0"/>
        <v>999999999</v>
      </c>
      <c r="E27" s="46">
        <f t="shared" si="1"/>
        <v>999999999</v>
      </c>
      <c r="F27" s="46">
        <f t="shared" si="2"/>
        <v>62.027617625437458</v>
      </c>
      <c r="G27" s="46">
        <f t="shared" si="3"/>
        <v>144.7311077926874</v>
      </c>
      <c r="H27" s="46">
        <f t="shared" si="4"/>
        <v>30.131226643759156</v>
      </c>
      <c r="I27" s="46">
        <f t="shared" si="5"/>
        <v>271.18103979383238</v>
      </c>
      <c r="S27" s="18">
        <v>22</v>
      </c>
      <c r="T27" s="18">
        <f t="shared" si="7"/>
        <v>6</v>
      </c>
      <c r="U27" s="18">
        <f t="shared" si="8"/>
        <v>0.22222222222222221</v>
      </c>
      <c r="V27" s="18">
        <f t="shared" si="9"/>
        <v>4.5</v>
      </c>
      <c r="W27" s="18">
        <f>(SUM(V$6:V27)*1/$T$2)</f>
        <v>144.7311077926874</v>
      </c>
      <c r="X27" s="18">
        <f>(SUM(V$6:V27)*1/(1-$T$2))</f>
        <v>62.027617625437458</v>
      </c>
      <c r="Z27" s="18">
        <v>22</v>
      </c>
      <c r="AA27" s="18">
        <f t="shared" si="10"/>
        <v>39</v>
      </c>
      <c r="AB27" s="18">
        <f t="shared" si="11"/>
        <v>0.65</v>
      </c>
      <c r="AC27" s="18">
        <f t="shared" si="12"/>
        <v>1.5384615384615383</v>
      </c>
      <c r="AD27" s="18">
        <f>(SUM(AC$6:AC27)*1/$AA$2)</f>
        <v>271.18103979383238</v>
      </c>
      <c r="AE27" s="18">
        <f>(SUM(AC$6:AC27)*1/(1-$AA$2))</f>
        <v>30.131226643759156</v>
      </c>
    </row>
    <row r="28" spans="3:31" x14ac:dyDescent="0.15">
      <c r="C28" s="18">
        <v>23</v>
      </c>
      <c r="D28" s="46">
        <f t="shared" si="0"/>
        <v>999999999</v>
      </c>
      <c r="E28" s="46">
        <f t="shared" si="1"/>
        <v>999999999</v>
      </c>
      <c r="F28" s="46">
        <f t="shared" si="2"/>
        <v>69.741903339723166</v>
      </c>
      <c r="G28" s="46">
        <f t="shared" si="3"/>
        <v>162.7311077926874</v>
      </c>
      <c r="H28" s="46">
        <f t="shared" si="4"/>
        <v>31.885612608671437</v>
      </c>
      <c r="I28" s="46">
        <f t="shared" si="5"/>
        <v>286.9705134780429</v>
      </c>
      <c r="S28" s="18">
        <v>23</v>
      </c>
      <c r="T28" s="18">
        <f t="shared" si="7"/>
        <v>5</v>
      </c>
      <c r="U28" s="18">
        <f t="shared" si="8"/>
        <v>0.18518518518518517</v>
      </c>
      <c r="V28" s="18">
        <f t="shared" si="9"/>
        <v>5.4</v>
      </c>
      <c r="W28" s="18">
        <f>(SUM(V$6:V28)*1/$T$2)</f>
        <v>162.7311077926874</v>
      </c>
      <c r="X28" s="18">
        <f>(SUM(V$6:V28)*1/(1-$T$2))</f>
        <v>69.741903339723166</v>
      </c>
      <c r="Z28" s="18">
        <v>23</v>
      </c>
      <c r="AA28" s="18">
        <f t="shared" si="10"/>
        <v>38</v>
      </c>
      <c r="AB28" s="18">
        <f t="shared" si="11"/>
        <v>0.6333333333333333</v>
      </c>
      <c r="AC28" s="18">
        <f t="shared" si="12"/>
        <v>1.5789473684210527</v>
      </c>
      <c r="AD28" s="18">
        <f>(SUM(AC$6:AC28)*1/$AA$2)</f>
        <v>286.9705134780429</v>
      </c>
      <c r="AE28" s="18">
        <f>(SUM(AC$6:AC28)*1/(1-$AA$2))</f>
        <v>31.885612608671437</v>
      </c>
    </row>
    <row r="29" spans="3:31" x14ac:dyDescent="0.15">
      <c r="C29" s="18">
        <v>24</v>
      </c>
      <c r="D29" s="46">
        <f t="shared" si="0"/>
        <v>999999999</v>
      </c>
      <c r="E29" s="46">
        <f t="shared" si="1"/>
        <v>999999999</v>
      </c>
      <c r="F29" s="46">
        <f t="shared" si="2"/>
        <v>79.384760482580319</v>
      </c>
      <c r="G29" s="46">
        <f t="shared" si="3"/>
        <v>185.2311077926874</v>
      </c>
      <c r="H29" s="46">
        <f t="shared" si="4"/>
        <v>33.687414410473238</v>
      </c>
      <c r="I29" s="46">
        <f t="shared" si="5"/>
        <v>303.18672969425916</v>
      </c>
      <c r="S29" s="18">
        <v>24</v>
      </c>
      <c r="T29" s="18">
        <f t="shared" si="7"/>
        <v>4</v>
      </c>
      <c r="U29" s="18">
        <f t="shared" si="8"/>
        <v>0.14814814814814814</v>
      </c>
      <c r="V29" s="18">
        <f t="shared" si="9"/>
        <v>6.75</v>
      </c>
      <c r="W29" s="18">
        <f>(SUM(V$6:V29)*1/$T$2)</f>
        <v>185.2311077926874</v>
      </c>
      <c r="X29" s="18">
        <f>(SUM(V$6:V29)*1/(1-$T$2))</f>
        <v>79.384760482580319</v>
      </c>
      <c r="Z29" s="18">
        <v>24</v>
      </c>
      <c r="AA29" s="18">
        <f t="shared" si="10"/>
        <v>37</v>
      </c>
      <c r="AB29" s="18">
        <f t="shared" si="11"/>
        <v>0.6166666666666667</v>
      </c>
      <c r="AC29" s="18">
        <f t="shared" si="12"/>
        <v>1.6216216216216215</v>
      </c>
      <c r="AD29" s="18">
        <f>(SUM(AC$6:AC29)*1/$AA$2)</f>
        <v>303.18672969425916</v>
      </c>
      <c r="AE29" s="18">
        <f>(SUM(AC$6:AC29)*1/(1-$AA$2))</f>
        <v>33.687414410473238</v>
      </c>
    </row>
    <row r="30" spans="3:31" x14ac:dyDescent="0.15">
      <c r="C30" s="18">
        <v>25</v>
      </c>
      <c r="D30" s="46">
        <f t="shared" si="0"/>
        <v>999999999</v>
      </c>
      <c r="E30" s="46">
        <f t="shared" si="1"/>
        <v>999999999</v>
      </c>
      <c r="F30" s="46">
        <f t="shared" si="2"/>
        <v>92.241903339723166</v>
      </c>
      <c r="G30" s="46">
        <f t="shared" si="3"/>
        <v>215.2311077926874</v>
      </c>
      <c r="H30" s="46">
        <f t="shared" si="4"/>
        <v>35.539266262325093</v>
      </c>
      <c r="I30" s="46">
        <f t="shared" si="5"/>
        <v>319.85339636092579</v>
      </c>
      <c r="S30" s="18">
        <v>25</v>
      </c>
      <c r="T30" s="18">
        <f t="shared" si="7"/>
        <v>3</v>
      </c>
      <c r="U30" s="18">
        <f t="shared" si="8"/>
        <v>0.1111111111111111</v>
      </c>
      <c r="V30" s="18">
        <f t="shared" si="9"/>
        <v>9</v>
      </c>
      <c r="W30" s="18">
        <f>(SUM(V$6:V30)*1/$T$2)</f>
        <v>215.2311077926874</v>
      </c>
      <c r="X30" s="18">
        <f>(SUM(V$6:V30)*1/(1-$T$2))</f>
        <v>92.241903339723166</v>
      </c>
      <c r="Z30" s="18">
        <v>25</v>
      </c>
      <c r="AA30" s="18">
        <f t="shared" si="10"/>
        <v>36</v>
      </c>
      <c r="AB30" s="18">
        <f t="shared" si="11"/>
        <v>0.6</v>
      </c>
      <c r="AC30" s="18">
        <f t="shared" si="12"/>
        <v>1.6666666666666667</v>
      </c>
      <c r="AD30" s="18">
        <f>(SUM(AC$6:AC30)*1/$AA$2)</f>
        <v>319.85339636092579</v>
      </c>
      <c r="AE30" s="18">
        <f>(SUM(AC$6:AC30)*1/(1-$AA$2))</f>
        <v>35.539266262325093</v>
      </c>
    </row>
    <row r="31" spans="3:31" x14ac:dyDescent="0.15">
      <c r="C31" s="18">
        <v>26</v>
      </c>
      <c r="D31" s="46">
        <f t="shared" si="0"/>
        <v>999999999</v>
      </c>
      <c r="E31" s="46">
        <f t="shared" si="1"/>
        <v>999999999</v>
      </c>
      <c r="F31" s="46">
        <f t="shared" si="2"/>
        <v>111.52761762543746</v>
      </c>
      <c r="G31" s="46">
        <f t="shared" si="3"/>
        <v>260.2311077926874</v>
      </c>
      <c r="H31" s="46">
        <f t="shared" si="4"/>
        <v>37.444028167086998</v>
      </c>
      <c r="I31" s="46">
        <f t="shared" si="5"/>
        <v>336.99625350378295</v>
      </c>
      <c r="S31" s="18">
        <v>26</v>
      </c>
      <c r="T31" s="18">
        <f t="shared" si="7"/>
        <v>2</v>
      </c>
      <c r="U31" s="18">
        <f t="shared" si="8"/>
        <v>7.407407407407407E-2</v>
      </c>
      <c r="V31" s="18">
        <f t="shared" si="9"/>
        <v>13.5</v>
      </c>
      <c r="W31" s="18">
        <f>(SUM(V$6:V31)*1/$T$2)</f>
        <v>260.2311077926874</v>
      </c>
      <c r="X31" s="18">
        <f>(SUM(V$6:V31)*1/(1-$T$2))</f>
        <v>111.52761762543746</v>
      </c>
      <c r="Z31" s="18">
        <v>26</v>
      </c>
      <c r="AA31" s="18">
        <f t="shared" si="10"/>
        <v>35</v>
      </c>
      <c r="AB31" s="18">
        <f t="shared" si="11"/>
        <v>0.58333333333333337</v>
      </c>
      <c r="AC31" s="18">
        <f t="shared" si="12"/>
        <v>1.7142857142857142</v>
      </c>
      <c r="AD31" s="18">
        <f>(SUM(AC$6:AC31)*1/$AA$2)</f>
        <v>336.99625350378295</v>
      </c>
      <c r="AE31" s="18">
        <f>(SUM(AC$6:AC31)*1/(1-$AA$2))</f>
        <v>37.444028167086998</v>
      </c>
    </row>
    <row r="32" spans="3:31" x14ac:dyDescent="0.15">
      <c r="C32" s="18">
        <v>27</v>
      </c>
      <c r="D32" s="46">
        <f t="shared" si="0"/>
        <v>999999999</v>
      </c>
      <c r="E32" s="46">
        <f t="shared" si="1"/>
        <v>999999999</v>
      </c>
      <c r="F32" s="46">
        <f t="shared" si="2"/>
        <v>150.09904619686603</v>
      </c>
      <c r="G32" s="46">
        <f t="shared" si="3"/>
        <v>350.2311077926874</v>
      </c>
      <c r="H32" s="46">
        <f t="shared" si="4"/>
        <v>39.404812480812488</v>
      </c>
      <c r="I32" s="46">
        <f t="shared" si="5"/>
        <v>354.6433123273124</v>
      </c>
      <c r="S32" s="18">
        <v>27</v>
      </c>
      <c r="T32" s="18">
        <f t="shared" si="7"/>
        <v>1</v>
      </c>
      <c r="U32" s="18">
        <f t="shared" si="8"/>
        <v>3.7037037037037035E-2</v>
      </c>
      <c r="V32" s="18">
        <f t="shared" si="9"/>
        <v>27</v>
      </c>
      <c r="W32" s="18">
        <f>(SUM(V$6:V32)*1/$T$2)</f>
        <v>350.2311077926874</v>
      </c>
      <c r="X32" s="18">
        <f>(SUM(V$6:V32)*1/(1-$T$2))</f>
        <v>150.09904619686603</v>
      </c>
      <c r="Z32" s="18">
        <v>27</v>
      </c>
      <c r="AA32" s="18">
        <f t="shared" si="10"/>
        <v>34</v>
      </c>
      <c r="AB32" s="18">
        <f t="shared" si="11"/>
        <v>0.56666666666666665</v>
      </c>
      <c r="AC32" s="18">
        <f t="shared" si="12"/>
        <v>1.7647058823529411</v>
      </c>
      <c r="AD32" s="18">
        <f>(SUM(AC$6:AC32)*1/$AA$2)</f>
        <v>354.6433123273124</v>
      </c>
      <c r="AE32" s="18">
        <f>(SUM(AC$6:AC32)*1/(1-$AA$2))</f>
        <v>39.404812480812488</v>
      </c>
    </row>
    <row r="33" spans="3:31" x14ac:dyDescent="0.15">
      <c r="C33" s="18">
        <v>28</v>
      </c>
      <c r="D33" s="46">
        <f t="shared" si="0"/>
        <v>999999999</v>
      </c>
      <c r="E33" s="46">
        <f t="shared" si="1"/>
        <v>999999999</v>
      </c>
      <c r="F33" s="46">
        <f t="shared" si="2"/>
        <v>999999999</v>
      </c>
      <c r="G33" s="46">
        <f t="shared" si="3"/>
        <v>999999999</v>
      </c>
      <c r="H33" s="46">
        <f t="shared" si="4"/>
        <v>41.425014501014509</v>
      </c>
      <c r="I33" s="46">
        <f t="shared" si="5"/>
        <v>372.82513050913059</v>
      </c>
      <c r="Z33" s="18">
        <v>28</v>
      </c>
      <c r="AA33" s="18">
        <f t="shared" si="10"/>
        <v>33</v>
      </c>
      <c r="AB33" s="18">
        <f t="shared" si="11"/>
        <v>0.55000000000000004</v>
      </c>
      <c r="AC33" s="18">
        <f t="shared" si="12"/>
        <v>1.8181818181818181</v>
      </c>
      <c r="AD33" s="18">
        <f>(SUM(AC$6:AC33)*1/$AA$2)</f>
        <v>372.82513050913059</v>
      </c>
      <c r="AE33" s="18">
        <f>(SUM(AC$6:AC33)*1/(1-$AA$2))</f>
        <v>41.425014501014509</v>
      </c>
    </row>
    <row r="34" spans="3:31" x14ac:dyDescent="0.15">
      <c r="C34" s="18">
        <v>29</v>
      </c>
      <c r="D34" s="46">
        <f t="shared" si="0"/>
        <v>999999999</v>
      </c>
      <c r="E34" s="46">
        <f t="shared" si="1"/>
        <v>999999999</v>
      </c>
      <c r="F34" s="46">
        <f t="shared" si="2"/>
        <v>999999999</v>
      </c>
      <c r="G34" s="46">
        <f t="shared" si="3"/>
        <v>999999999</v>
      </c>
      <c r="H34" s="46">
        <f t="shared" si="4"/>
        <v>43.508347834347845</v>
      </c>
      <c r="I34" s="46">
        <f t="shared" si="5"/>
        <v>391.57513050913059</v>
      </c>
      <c r="Z34" s="18">
        <v>29</v>
      </c>
      <c r="AA34" s="18">
        <f t="shared" si="10"/>
        <v>32</v>
      </c>
      <c r="AB34" s="18">
        <f t="shared" si="11"/>
        <v>0.53333333333333333</v>
      </c>
      <c r="AC34" s="18">
        <f t="shared" si="12"/>
        <v>1.875</v>
      </c>
      <c r="AD34" s="18">
        <f>(SUM(AC$6:AC34)*1/$AA$2)</f>
        <v>391.57513050913059</v>
      </c>
      <c r="AE34" s="18">
        <f>(SUM(AC$6:AC34)*1/(1-$AA$2))</f>
        <v>43.508347834347845</v>
      </c>
    </row>
    <row r="35" spans="3:31" x14ac:dyDescent="0.15">
      <c r="C35" s="18">
        <v>30</v>
      </c>
      <c r="D35" s="46">
        <f t="shared" si="0"/>
        <v>999999999</v>
      </c>
      <c r="E35" s="46">
        <f t="shared" si="1"/>
        <v>999999999</v>
      </c>
      <c r="F35" s="46">
        <f t="shared" si="2"/>
        <v>999999999</v>
      </c>
      <c r="G35" s="46">
        <f t="shared" si="3"/>
        <v>999999999</v>
      </c>
      <c r="H35" s="46">
        <f t="shared" si="4"/>
        <v>45.658885468756445</v>
      </c>
      <c r="I35" s="46">
        <f t="shared" si="5"/>
        <v>410.92996921880803</v>
      </c>
      <c r="Z35" s="18">
        <v>30</v>
      </c>
      <c r="AA35" s="18">
        <f t="shared" si="10"/>
        <v>31</v>
      </c>
      <c r="AB35" s="18">
        <f t="shared" si="11"/>
        <v>0.51666666666666672</v>
      </c>
      <c r="AC35" s="18">
        <f t="shared" si="12"/>
        <v>1.9354838709677418</v>
      </c>
      <c r="AD35" s="18">
        <f>(SUM(AC$6:AC35)*1/$AA$2)</f>
        <v>410.92996921880803</v>
      </c>
      <c r="AE35" s="18">
        <f>(SUM(AC$6:AC35)*1/(1-$AA$2))</f>
        <v>45.658885468756445</v>
      </c>
    </row>
    <row r="36" spans="3:31" x14ac:dyDescent="0.15">
      <c r="C36" s="18">
        <v>31</v>
      </c>
      <c r="D36" s="46">
        <f t="shared" si="0"/>
        <v>999999999</v>
      </c>
      <c r="E36" s="46">
        <f t="shared" si="1"/>
        <v>999999999</v>
      </c>
      <c r="F36" s="46">
        <f t="shared" si="2"/>
        <v>999999999</v>
      </c>
      <c r="G36" s="46">
        <f t="shared" si="3"/>
        <v>999999999</v>
      </c>
      <c r="H36" s="46">
        <f t="shared" si="4"/>
        <v>47.881107690978673</v>
      </c>
      <c r="I36" s="46">
        <f t="shared" si="5"/>
        <v>430.92996921880803</v>
      </c>
      <c r="Z36" s="18">
        <v>31</v>
      </c>
      <c r="AA36" s="18">
        <f t="shared" si="10"/>
        <v>30</v>
      </c>
      <c r="AB36" s="18">
        <f t="shared" si="11"/>
        <v>0.5</v>
      </c>
      <c r="AC36" s="18">
        <f t="shared" si="12"/>
        <v>2</v>
      </c>
      <c r="AD36" s="18">
        <f>(SUM(AC$6:AC36)*1/$AA$2)</f>
        <v>430.92996921880803</v>
      </c>
      <c r="AE36" s="18">
        <f>(SUM(AC$6:AC36)*1/(1-$AA$2))</f>
        <v>47.881107690978673</v>
      </c>
    </row>
    <row r="37" spans="3:31" x14ac:dyDescent="0.15">
      <c r="C37" s="18">
        <v>32</v>
      </c>
      <c r="D37" s="46">
        <f t="shared" si="0"/>
        <v>999999999</v>
      </c>
      <c r="E37" s="46">
        <f t="shared" si="1"/>
        <v>999999999</v>
      </c>
      <c r="F37" s="46">
        <f t="shared" si="2"/>
        <v>999999999</v>
      </c>
      <c r="G37" s="46">
        <f t="shared" si="3"/>
        <v>999999999</v>
      </c>
      <c r="H37" s="46">
        <f t="shared" si="4"/>
        <v>50.179958265691312</v>
      </c>
      <c r="I37" s="46">
        <f t="shared" si="5"/>
        <v>451.61962439122181</v>
      </c>
      <c r="Z37" s="18">
        <v>32</v>
      </c>
      <c r="AA37" s="18">
        <f t="shared" si="10"/>
        <v>29</v>
      </c>
      <c r="AB37" s="18">
        <f t="shared" si="11"/>
        <v>0.48333333333333334</v>
      </c>
      <c r="AC37" s="18">
        <f t="shared" si="12"/>
        <v>2.0689655172413794</v>
      </c>
      <c r="AD37" s="18">
        <f>(SUM(AC$6:AC37)*1/$AA$2)</f>
        <v>451.61962439122181</v>
      </c>
      <c r="AE37" s="18">
        <f>(SUM(AC$6:AC37)*1/(1-$AA$2))</f>
        <v>50.179958265691312</v>
      </c>
    </row>
    <row r="38" spans="3:31" x14ac:dyDescent="0.15">
      <c r="C38" s="18">
        <v>33</v>
      </c>
      <c r="D38" s="46">
        <f t="shared" si="0"/>
        <v>999999999</v>
      </c>
      <c r="E38" s="46">
        <f t="shared" si="1"/>
        <v>999999999</v>
      </c>
      <c r="F38" s="46">
        <f t="shared" si="2"/>
        <v>999999999</v>
      </c>
      <c r="G38" s="46">
        <f t="shared" si="3"/>
        <v>999999999</v>
      </c>
      <c r="H38" s="46">
        <f t="shared" si="4"/>
        <v>52.560910646643698</v>
      </c>
      <c r="I38" s="46">
        <f t="shared" si="5"/>
        <v>473.04819581979331</v>
      </c>
      <c r="Z38" s="18">
        <v>33</v>
      </c>
      <c r="AA38" s="18">
        <f t="shared" si="10"/>
        <v>28</v>
      </c>
      <c r="AB38" s="18">
        <f t="shared" si="11"/>
        <v>0.46666666666666667</v>
      </c>
      <c r="AC38" s="18">
        <f t="shared" si="12"/>
        <v>2.1428571428571428</v>
      </c>
      <c r="AD38" s="18">
        <f>(SUM(AC$6:AC38)*1/$AA$2)</f>
        <v>473.04819581979331</v>
      </c>
      <c r="AE38" s="18">
        <f>(SUM(AC$6:AC38)*1/(1-$AA$2))</f>
        <v>52.560910646643698</v>
      </c>
    </row>
    <row r="39" spans="3:31" x14ac:dyDescent="0.15">
      <c r="C39" s="18">
        <v>34</v>
      </c>
      <c r="D39" s="46">
        <f t="shared" si="0"/>
        <v>999999999</v>
      </c>
      <c r="E39" s="46">
        <f t="shared" si="1"/>
        <v>999999999</v>
      </c>
      <c r="F39" s="46">
        <f t="shared" si="2"/>
        <v>999999999</v>
      </c>
      <c r="G39" s="46">
        <f t="shared" si="3"/>
        <v>999999999</v>
      </c>
      <c r="H39" s="46">
        <f t="shared" si="4"/>
        <v>55.030046449112831</v>
      </c>
      <c r="I39" s="46">
        <f t="shared" si="5"/>
        <v>495.27041804201548</v>
      </c>
      <c r="Z39" s="18">
        <v>34</v>
      </c>
      <c r="AA39" s="18">
        <f t="shared" si="10"/>
        <v>27</v>
      </c>
      <c r="AB39" s="18">
        <f t="shared" si="11"/>
        <v>0.45</v>
      </c>
      <c r="AC39" s="18">
        <f t="shared" si="12"/>
        <v>2.2222222222222223</v>
      </c>
      <c r="AD39" s="18">
        <f>(SUM(AC$6:AC39)*1/$AA$2)</f>
        <v>495.27041804201548</v>
      </c>
      <c r="AE39" s="18">
        <f>(SUM(AC$6:AC39)*1/(1-$AA$2))</f>
        <v>55.030046449112831</v>
      </c>
    </row>
    <row r="40" spans="3:31" x14ac:dyDescent="0.15">
      <c r="C40" s="18">
        <v>35</v>
      </c>
      <c r="D40" s="46">
        <f t="shared" si="0"/>
        <v>999999999</v>
      </c>
      <c r="E40" s="46">
        <f t="shared" si="1"/>
        <v>999999999</v>
      </c>
      <c r="F40" s="46">
        <f t="shared" si="2"/>
        <v>999999999</v>
      </c>
      <c r="G40" s="46">
        <f t="shared" si="3"/>
        <v>999999999</v>
      </c>
      <c r="H40" s="46">
        <f t="shared" si="4"/>
        <v>57.5941490132154</v>
      </c>
      <c r="I40" s="46">
        <f t="shared" si="5"/>
        <v>518.34734111893852</v>
      </c>
      <c r="Z40" s="18">
        <v>35</v>
      </c>
      <c r="AA40" s="18">
        <f t="shared" si="10"/>
        <v>26</v>
      </c>
      <c r="AB40" s="18">
        <f t="shared" si="11"/>
        <v>0.43333333333333335</v>
      </c>
      <c r="AC40" s="18">
        <f t="shared" si="12"/>
        <v>2.3076923076923075</v>
      </c>
      <c r="AD40" s="18">
        <f>(SUM(AC$6:AC40)*1/$AA$2)</f>
        <v>518.34734111893852</v>
      </c>
      <c r="AE40" s="18">
        <f>(SUM(AC$6:AC40)*1/(1-$AA$2))</f>
        <v>57.5941490132154</v>
      </c>
    </row>
    <row r="41" spans="3:31" x14ac:dyDescent="0.15">
      <c r="C41" s="18">
        <v>36</v>
      </c>
      <c r="D41" s="46">
        <f t="shared" si="0"/>
        <v>999999999</v>
      </c>
      <c r="E41" s="46">
        <f t="shared" si="1"/>
        <v>999999999</v>
      </c>
      <c r="F41" s="46">
        <f t="shared" si="2"/>
        <v>999999999</v>
      </c>
      <c r="G41" s="46">
        <f t="shared" si="3"/>
        <v>999999999</v>
      </c>
      <c r="H41" s="46">
        <f t="shared" si="4"/>
        <v>60.260815679882064</v>
      </c>
      <c r="I41" s="46">
        <f t="shared" si="5"/>
        <v>542.34734111893852</v>
      </c>
      <c r="Z41" s="18">
        <v>36</v>
      </c>
      <c r="AA41" s="18">
        <f t="shared" si="10"/>
        <v>25</v>
      </c>
      <c r="AB41" s="18">
        <f t="shared" si="11"/>
        <v>0.41666666666666669</v>
      </c>
      <c r="AC41" s="18">
        <f t="shared" si="12"/>
        <v>2.4</v>
      </c>
      <c r="AD41" s="18">
        <f>(SUM(AC$6:AC41)*1/$AA$2)</f>
        <v>542.34734111893852</v>
      </c>
      <c r="AE41" s="18">
        <f>(SUM(AC$6:AC41)*1/(1-$AA$2))</f>
        <v>60.260815679882064</v>
      </c>
    </row>
    <row r="42" spans="3:31" x14ac:dyDescent="0.15">
      <c r="C42" s="18">
        <v>37</v>
      </c>
      <c r="D42" s="46">
        <f t="shared" si="0"/>
        <v>999999999</v>
      </c>
      <c r="E42" s="46">
        <f t="shared" si="1"/>
        <v>999999999</v>
      </c>
      <c r="F42" s="46">
        <f t="shared" si="2"/>
        <v>999999999</v>
      </c>
      <c r="G42" s="46">
        <f t="shared" si="3"/>
        <v>999999999</v>
      </c>
      <c r="H42" s="46">
        <f t="shared" si="4"/>
        <v>63.038593457659843</v>
      </c>
      <c r="I42" s="46">
        <f t="shared" si="5"/>
        <v>567.34734111893852</v>
      </c>
      <c r="Z42" s="18">
        <v>37</v>
      </c>
      <c r="AA42" s="18">
        <f t="shared" si="10"/>
        <v>24</v>
      </c>
      <c r="AB42" s="18">
        <f t="shared" si="11"/>
        <v>0.4</v>
      </c>
      <c r="AC42" s="18">
        <f t="shared" si="12"/>
        <v>2.5</v>
      </c>
      <c r="AD42" s="18">
        <f>(SUM(AC$6:AC42)*1/$AA$2)</f>
        <v>567.34734111893852</v>
      </c>
      <c r="AE42" s="18">
        <f>(SUM(AC$6:AC42)*1/(1-$AA$2))</f>
        <v>63.038593457659843</v>
      </c>
    </row>
    <row r="43" spans="3:31" x14ac:dyDescent="0.15">
      <c r="C43" s="18">
        <v>38</v>
      </c>
      <c r="D43" s="46">
        <f t="shared" si="0"/>
        <v>999999999</v>
      </c>
      <c r="E43" s="46">
        <f t="shared" si="1"/>
        <v>999999999</v>
      </c>
      <c r="F43" s="46">
        <f t="shared" si="2"/>
        <v>999999999</v>
      </c>
      <c r="G43" s="46">
        <f t="shared" si="3"/>
        <v>999999999</v>
      </c>
      <c r="H43" s="46">
        <f t="shared" si="4"/>
        <v>65.937144182297516</v>
      </c>
      <c r="I43" s="46">
        <f t="shared" si="5"/>
        <v>593.43429764067764</v>
      </c>
      <c r="Z43" s="18">
        <v>38</v>
      </c>
      <c r="AA43" s="18">
        <f t="shared" si="10"/>
        <v>23</v>
      </c>
      <c r="AB43" s="18">
        <f t="shared" si="11"/>
        <v>0.38333333333333336</v>
      </c>
      <c r="AC43" s="18">
        <f t="shared" si="12"/>
        <v>2.6086956521739131</v>
      </c>
      <c r="AD43" s="18">
        <f>(SUM(AC$6:AC43)*1/$AA$2)</f>
        <v>593.43429764067764</v>
      </c>
      <c r="AE43" s="18">
        <f>(SUM(AC$6:AC43)*1/(1-$AA$2))</f>
        <v>65.937144182297516</v>
      </c>
    </row>
    <row r="44" spans="3:31" x14ac:dyDescent="0.15">
      <c r="C44" s="18">
        <v>39</v>
      </c>
      <c r="D44" s="46">
        <f t="shared" si="0"/>
        <v>999999999</v>
      </c>
      <c r="E44" s="46">
        <f t="shared" si="1"/>
        <v>999999999</v>
      </c>
      <c r="F44" s="46">
        <f t="shared" si="2"/>
        <v>999999999</v>
      </c>
      <c r="G44" s="46">
        <f t="shared" si="3"/>
        <v>999999999</v>
      </c>
      <c r="H44" s="46">
        <f t="shared" si="4"/>
        <v>68.967447212600547</v>
      </c>
      <c r="I44" s="46">
        <f t="shared" si="5"/>
        <v>620.70702491340489</v>
      </c>
      <c r="Z44" s="18">
        <v>39</v>
      </c>
      <c r="AA44" s="18">
        <f t="shared" si="10"/>
        <v>22</v>
      </c>
      <c r="AB44" s="18">
        <f t="shared" si="11"/>
        <v>0.36666666666666664</v>
      </c>
      <c r="AC44" s="18">
        <f t="shared" si="12"/>
        <v>2.7272727272727275</v>
      </c>
      <c r="AD44" s="18">
        <f>(SUM(AC$6:AC44)*1/$AA$2)</f>
        <v>620.70702491340489</v>
      </c>
      <c r="AE44" s="18">
        <f>(SUM(AC$6:AC44)*1/(1-$AA$2))</f>
        <v>68.967447212600547</v>
      </c>
    </row>
    <row r="45" spans="3:31" x14ac:dyDescent="0.15">
      <c r="C45" s="18">
        <v>40</v>
      </c>
      <c r="D45" s="46">
        <f t="shared" si="0"/>
        <v>999999999</v>
      </c>
      <c r="E45" s="46">
        <f t="shared" si="1"/>
        <v>999999999</v>
      </c>
      <c r="F45" s="46">
        <f t="shared" si="2"/>
        <v>999999999</v>
      </c>
      <c r="G45" s="46">
        <f t="shared" si="3"/>
        <v>999999999</v>
      </c>
      <c r="H45" s="46">
        <f t="shared" si="4"/>
        <v>72.142050387203724</v>
      </c>
      <c r="I45" s="46">
        <f t="shared" si="5"/>
        <v>649.27845348483356</v>
      </c>
      <c r="Z45" s="18">
        <v>40</v>
      </c>
      <c r="AA45" s="18">
        <f t="shared" si="10"/>
        <v>21</v>
      </c>
      <c r="AB45" s="18">
        <f t="shared" si="11"/>
        <v>0.35</v>
      </c>
      <c r="AC45" s="18">
        <f t="shared" si="12"/>
        <v>2.8571428571428572</v>
      </c>
      <c r="AD45" s="18">
        <f>(SUM(AC$6:AC45)*1/$AA$2)</f>
        <v>649.27845348483356</v>
      </c>
      <c r="AE45" s="18">
        <f>(SUM(AC$6:AC45)*1/(1-$AA$2))</f>
        <v>72.142050387203724</v>
      </c>
    </row>
    <row r="46" spans="3:31" x14ac:dyDescent="0.15">
      <c r="C46" s="18">
        <v>41</v>
      </c>
      <c r="D46" s="46">
        <f t="shared" si="0"/>
        <v>999999999</v>
      </c>
      <c r="E46" s="46">
        <f t="shared" si="1"/>
        <v>999999999</v>
      </c>
      <c r="F46" s="46">
        <f t="shared" si="2"/>
        <v>999999999</v>
      </c>
      <c r="G46" s="46">
        <f t="shared" si="3"/>
        <v>999999999</v>
      </c>
      <c r="H46" s="46">
        <f t="shared" si="4"/>
        <v>75.475383720537067</v>
      </c>
      <c r="I46" s="46">
        <f t="shared" si="5"/>
        <v>679.27845348483356</v>
      </c>
      <c r="Z46" s="18">
        <v>41</v>
      </c>
      <c r="AA46" s="18">
        <f t="shared" si="10"/>
        <v>20</v>
      </c>
      <c r="AB46" s="18">
        <f t="shared" si="11"/>
        <v>0.33333333333333331</v>
      </c>
      <c r="AC46" s="18">
        <f t="shared" si="12"/>
        <v>3</v>
      </c>
      <c r="AD46" s="18">
        <f>(SUM(AC$6:AC46)*1/$AA$2)</f>
        <v>679.27845348483356</v>
      </c>
      <c r="AE46" s="18">
        <f>(SUM(AC$6:AC46)*1/(1-$AA$2))</f>
        <v>75.475383720537067</v>
      </c>
    </row>
    <row r="47" spans="3:31" x14ac:dyDescent="0.15">
      <c r="C47" s="18">
        <v>42</v>
      </c>
      <c r="D47" s="46">
        <f t="shared" si="0"/>
        <v>999999999</v>
      </c>
      <c r="E47" s="46">
        <f t="shared" si="1"/>
        <v>999999999</v>
      </c>
      <c r="F47" s="46">
        <f t="shared" si="2"/>
        <v>999999999</v>
      </c>
      <c r="G47" s="46">
        <f t="shared" si="3"/>
        <v>999999999</v>
      </c>
      <c r="H47" s="46">
        <f t="shared" si="4"/>
        <v>78.984155650361629</v>
      </c>
      <c r="I47" s="46">
        <f t="shared" si="5"/>
        <v>710.8574008532546</v>
      </c>
      <c r="Z47" s="18">
        <v>42</v>
      </c>
      <c r="AA47" s="18">
        <f t="shared" si="10"/>
        <v>19</v>
      </c>
      <c r="AB47" s="18">
        <f t="shared" si="11"/>
        <v>0.31666666666666665</v>
      </c>
      <c r="AC47" s="18">
        <f t="shared" si="12"/>
        <v>3.1578947368421053</v>
      </c>
      <c r="AD47" s="18">
        <f>(SUM(AC$6:AC47)*1/$AA$2)</f>
        <v>710.8574008532546</v>
      </c>
      <c r="AE47" s="18">
        <f>(SUM(AC$6:AC47)*1/(1-$AA$2))</f>
        <v>78.984155650361629</v>
      </c>
    </row>
    <row r="48" spans="3:31" x14ac:dyDescent="0.15">
      <c r="C48" s="18">
        <v>43</v>
      </c>
      <c r="D48" s="46">
        <f t="shared" si="0"/>
        <v>999999999</v>
      </c>
      <c r="E48" s="46">
        <f t="shared" si="1"/>
        <v>999999999</v>
      </c>
      <c r="F48" s="46">
        <f t="shared" si="2"/>
        <v>999999999</v>
      </c>
      <c r="G48" s="46">
        <f t="shared" si="3"/>
        <v>999999999</v>
      </c>
      <c r="H48" s="46">
        <f t="shared" si="4"/>
        <v>82.687859354065324</v>
      </c>
      <c r="I48" s="46">
        <f t="shared" si="5"/>
        <v>744.19073418658797</v>
      </c>
      <c r="Z48" s="18">
        <v>43</v>
      </c>
      <c r="AA48" s="18">
        <f t="shared" si="10"/>
        <v>18</v>
      </c>
      <c r="AB48" s="18">
        <f t="shared" si="11"/>
        <v>0.3</v>
      </c>
      <c r="AC48" s="18">
        <f t="shared" si="12"/>
        <v>3.3333333333333335</v>
      </c>
      <c r="AD48" s="18">
        <f>(SUM(AC$6:AC48)*1/$AA$2)</f>
        <v>744.19073418658797</v>
      </c>
      <c r="AE48" s="18">
        <f>(SUM(AC$6:AC48)*1/(1-$AA$2))</f>
        <v>82.687859354065324</v>
      </c>
    </row>
    <row r="49" spans="3:31" x14ac:dyDescent="0.15">
      <c r="C49" s="18">
        <v>44</v>
      </c>
      <c r="D49" s="46">
        <f t="shared" si="0"/>
        <v>999999999</v>
      </c>
      <c r="E49" s="46">
        <f t="shared" si="1"/>
        <v>999999999</v>
      </c>
      <c r="F49" s="46">
        <f t="shared" si="2"/>
        <v>999999999</v>
      </c>
      <c r="G49" s="46">
        <f t="shared" si="3"/>
        <v>999999999</v>
      </c>
      <c r="H49" s="46">
        <f t="shared" si="4"/>
        <v>86.609427981516305</v>
      </c>
      <c r="I49" s="46">
        <f t="shared" si="5"/>
        <v>779.48485183364676</v>
      </c>
      <c r="Z49" s="18">
        <v>44</v>
      </c>
      <c r="AA49" s="18">
        <f t="shared" si="10"/>
        <v>17</v>
      </c>
      <c r="AB49" s="18">
        <f t="shared" si="11"/>
        <v>0.28333333333333333</v>
      </c>
      <c r="AC49" s="18">
        <f t="shared" si="12"/>
        <v>3.5294117647058822</v>
      </c>
      <c r="AD49" s="18">
        <f>(SUM(AC$6:AC49)*1/$AA$2)</f>
        <v>779.48485183364676</v>
      </c>
      <c r="AE49" s="18">
        <f>(SUM(AC$6:AC49)*1/(1-$AA$2))</f>
        <v>86.609427981516305</v>
      </c>
    </row>
    <row r="50" spans="3:31" x14ac:dyDescent="0.15">
      <c r="C50" s="18">
        <v>45</v>
      </c>
      <c r="D50" s="46">
        <f t="shared" si="0"/>
        <v>999999999</v>
      </c>
      <c r="E50" s="46">
        <f t="shared" si="1"/>
        <v>999999999</v>
      </c>
      <c r="F50" s="46">
        <f t="shared" si="2"/>
        <v>999999999</v>
      </c>
      <c r="G50" s="46">
        <f t="shared" si="3"/>
        <v>999999999</v>
      </c>
      <c r="H50" s="46">
        <f t="shared" si="4"/>
        <v>90.776094648182976</v>
      </c>
      <c r="I50" s="46">
        <f t="shared" si="5"/>
        <v>816.98485183364676</v>
      </c>
      <c r="Z50" s="18">
        <v>45</v>
      </c>
      <c r="AA50" s="18">
        <f t="shared" si="10"/>
        <v>16</v>
      </c>
      <c r="AB50" s="18">
        <f t="shared" si="11"/>
        <v>0.26666666666666666</v>
      </c>
      <c r="AC50" s="18">
        <f t="shared" si="12"/>
        <v>3.75</v>
      </c>
      <c r="AD50" s="18">
        <f>(SUM(AC$6:AC50)*1/$AA$2)</f>
        <v>816.98485183364676</v>
      </c>
      <c r="AE50" s="18">
        <f>(SUM(AC$6:AC50)*1/(1-$AA$2))</f>
        <v>90.776094648182976</v>
      </c>
    </row>
    <row r="51" spans="3:31" x14ac:dyDescent="0.15">
      <c r="C51" s="18">
        <v>46</v>
      </c>
      <c r="D51" s="46">
        <f t="shared" si="0"/>
        <v>999999999</v>
      </c>
      <c r="E51" s="46">
        <f t="shared" si="1"/>
        <v>999999999</v>
      </c>
      <c r="F51" s="46">
        <f t="shared" si="2"/>
        <v>999999999</v>
      </c>
      <c r="G51" s="46">
        <f t="shared" si="3"/>
        <v>999999999</v>
      </c>
      <c r="H51" s="46">
        <f t="shared" si="4"/>
        <v>95.220539092627419</v>
      </c>
      <c r="I51" s="46">
        <f t="shared" si="5"/>
        <v>856.98485183364676</v>
      </c>
      <c r="Z51" s="18">
        <v>46</v>
      </c>
      <c r="AA51" s="18">
        <f t="shared" si="10"/>
        <v>15</v>
      </c>
      <c r="AB51" s="18">
        <f t="shared" si="11"/>
        <v>0.25</v>
      </c>
      <c r="AC51" s="18">
        <f t="shared" si="12"/>
        <v>4</v>
      </c>
      <c r="AD51" s="18">
        <f>(SUM(AC$6:AC51)*1/$AA$2)</f>
        <v>856.98485183364676</v>
      </c>
      <c r="AE51" s="18">
        <f>(SUM(AC$6:AC51)*1/(1-$AA$2))</f>
        <v>95.220539092627419</v>
      </c>
    </row>
    <row r="52" spans="3:31" x14ac:dyDescent="0.15">
      <c r="C52" s="18">
        <v>47</v>
      </c>
      <c r="D52" s="46">
        <f t="shared" si="0"/>
        <v>999999999</v>
      </c>
      <c r="E52" s="46">
        <f t="shared" si="1"/>
        <v>999999999</v>
      </c>
      <c r="F52" s="46">
        <f t="shared" si="2"/>
        <v>999999999</v>
      </c>
      <c r="G52" s="46">
        <f t="shared" si="3"/>
        <v>999999999</v>
      </c>
      <c r="H52" s="46">
        <f t="shared" si="4"/>
        <v>99.982443854532193</v>
      </c>
      <c r="I52" s="46">
        <f t="shared" si="5"/>
        <v>899.84199469078965</v>
      </c>
      <c r="Z52" s="18">
        <v>47</v>
      </c>
      <c r="AA52" s="18">
        <f t="shared" si="10"/>
        <v>14</v>
      </c>
      <c r="AB52" s="18">
        <f t="shared" si="11"/>
        <v>0.23333333333333334</v>
      </c>
      <c r="AC52" s="18">
        <f t="shared" si="12"/>
        <v>4.2857142857142856</v>
      </c>
      <c r="AD52" s="18">
        <f>(SUM(AC$6:AC52)*1/$AA$2)</f>
        <v>899.84199469078965</v>
      </c>
      <c r="AE52" s="18">
        <f>(SUM(AC$6:AC52)*1/(1-$AA$2))</f>
        <v>99.982443854532193</v>
      </c>
    </row>
    <row r="53" spans="3:31" x14ac:dyDescent="0.15">
      <c r="C53" s="18">
        <v>48</v>
      </c>
      <c r="D53" s="46">
        <f t="shared" si="0"/>
        <v>999999999</v>
      </c>
      <c r="E53" s="46">
        <f t="shared" si="1"/>
        <v>999999999</v>
      </c>
      <c r="F53" s="46">
        <f t="shared" si="2"/>
        <v>999999999</v>
      </c>
      <c r="G53" s="46">
        <f t="shared" si="3"/>
        <v>999999999</v>
      </c>
      <c r="H53" s="46">
        <f t="shared" si="4"/>
        <v>105.11064898273732</v>
      </c>
      <c r="I53" s="46">
        <f t="shared" si="5"/>
        <v>945.99584084463584</v>
      </c>
      <c r="Z53" s="18">
        <v>48</v>
      </c>
      <c r="AA53" s="18">
        <f t="shared" si="10"/>
        <v>13</v>
      </c>
      <c r="AB53" s="18">
        <f t="shared" si="11"/>
        <v>0.21666666666666667</v>
      </c>
      <c r="AC53" s="18">
        <f t="shared" si="12"/>
        <v>4.615384615384615</v>
      </c>
      <c r="AD53" s="18">
        <f>(SUM(AC$6:AC53)*1/$AA$2)</f>
        <v>945.99584084463584</v>
      </c>
      <c r="AE53" s="18">
        <f>(SUM(AC$6:AC53)*1/(1-$AA$2))</f>
        <v>105.11064898273732</v>
      </c>
    </row>
    <row r="54" spans="3:31" x14ac:dyDescent="0.15">
      <c r="C54" s="18">
        <v>49</v>
      </c>
      <c r="D54" s="46">
        <f t="shared" si="0"/>
        <v>999999999</v>
      </c>
      <c r="E54" s="46">
        <f t="shared" si="1"/>
        <v>999999999</v>
      </c>
      <c r="F54" s="46">
        <f t="shared" si="2"/>
        <v>999999999</v>
      </c>
      <c r="G54" s="46">
        <f t="shared" si="3"/>
        <v>999999999</v>
      </c>
      <c r="H54" s="46">
        <f t="shared" si="4"/>
        <v>110.66620453829287</v>
      </c>
      <c r="I54" s="46">
        <f t="shared" si="5"/>
        <v>995.99584084463584</v>
      </c>
      <c r="Z54" s="18">
        <v>49</v>
      </c>
      <c r="AA54" s="18">
        <f t="shared" si="10"/>
        <v>12</v>
      </c>
      <c r="AB54" s="18">
        <f t="shared" si="11"/>
        <v>0.2</v>
      </c>
      <c r="AC54" s="18">
        <f t="shared" si="12"/>
        <v>5</v>
      </c>
      <c r="AD54" s="18">
        <f>(SUM(AC$6:AC54)*1/$AA$2)</f>
        <v>995.99584084463584</v>
      </c>
      <c r="AE54" s="18">
        <f>(SUM(AC$6:AC54)*1/(1-$AA$2))</f>
        <v>110.66620453829287</v>
      </c>
    </row>
    <row r="55" spans="3:31" x14ac:dyDescent="0.15">
      <c r="C55" s="18">
        <v>50</v>
      </c>
      <c r="D55" s="46">
        <f t="shared" si="0"/>
        <v>999999999</v>
      </c>
      <c r="E55" s="46">
        <f t="shared" si="1"/>
        <v>999999999</v>
      </c>
      <c r="F55" s="46">
        <f t="shared" si="2"/>
        <v>999999999</v>
      </c>
      <c r="G55" s="46">
        <f t="shared" si="3"/>
        <v>999999999</v>
      </c>
      <c r="H55" s="46">
        <f t="shared" si="4"/>
        <v>116.72681059889894</v>
      </c>
      <c r="I55" s="46">
        <f t="shared" si="5"/>
        <v>1050.5412953900902</v>
      </c>
      <c r="Z55" s="18">
        <v>50</v>
      </c>
      <c r="AA55" s="18">
        <f t="shared" si="10"/>
        <v>11</v>
      </c>
      <c r="AB55" s="18">
        <f t="shared" si="11"/>
        <v>0.18333333333333332</v>
      </c>
      <c r="AC55" s="18">
        <f t="shared" si="12"/>
        <v>5.454545454545455</v>
      </c>
      <c r="AD55" s="18">
        <f>(SUM(AC$6:AC55)*1/$AA$2)</f>
        <v>1050.5412953900902</v>
      </c>
      <c r="AE55" s="18">
        <f>(SUM(AC$6:AC55)*1/(1-$AA$2))</f>
        <v>116.72681059889894</v>
      </c>
    </row>
    <row r="56" spans="3:31" x14ac:dyDescent="0.15">
      <c r="C56" s="18">
        <v>51</v>
      </c>
      <c r="D56" s="46">
        <f t="shared" si="0"/>
        <v>999999999</v>
      </c>
      <c r="E56" s="46">
        <f t="shared" si="1"/>
        <v>999999999</v>
      </c>
      <c r="F56" s="46">
        <f t="shared" si="2"/>
        <v>999999999</v>
      </c>
      <c r="G56" s="46">
        <f t="shared" si="3"/>
        <v>999999999</v>
      </c>
      <c r="H56" s="46">
        <f t="shared" si="4"/>
        <v>123.39347726556559</v>
      </c>
      <c r="I56" s="46">
        <f t="shared" si="5"/>
        <v>1110.5412953900902</v>
      </c>
      <c r="Z56" s="18">
        <v>51</v>
      </c>
      <c r="AA56" s="18">
        <f t="shared" si="10"/>
        <v>10</v>
      </c>
      <c r="AB56" s="18">
        <f t="shared" si="11"/>
        <v>0.16666666666666666</v>
      </c>
      <c r="AC56" s="18">
        <f t="shared" si="12"/>
        <v>6</v>
      </c>
      <c r="AD56" s="18">
        <f>(SUM(AC$6:AC56)*1/$AA$2)</f>
        <v>1110.5412953900902</v>
      </c>
      <c r="AE56" s="18">
        <f>(SUM(AC$6:AC56)*1/(1-$AA$2))</f>
        <v>123.39347726556559</v>
      </c>
    </row>
    <row r="57" spans="3:31" x14ac:dyDescent="0.15">
      <c r="C57" s="18">
        <v>52</v>
      </c>
      <c r="D57" s="46">
        <f t="shared" si="0"/>
        <v>999999999</v>
      </c>
      <c r="E57" s="46">
        <f t="shared" si="1"/>
        <v>999999999</v>
      </c>
      <c r="F57" s="46">
        <f t="shared" si="2"/>
        <v>999999999</v>
      </c>
      <c r="G57" s="46">
        <f t="shared" si="3"/>
        <v>999999999</v>
      </c>
      <c r="H57" s="46">
        <f t="shared" si="4"/>
        <v>130.80088467297301</v>
      </c>
      <c r="I57" s="46">
        <f t="shared" si="5"/>
        <v>1177.207962056757</v>
      </c>
      <c r="Z57" s="18">
        <v>52</v>
      </c>
      <c r="AA57" s="18">
        <f t="shared" si="10"/>
        <v>9</v>
      </c>
      <c r="AB57" s="18">
        <f t="shared" si="11"/>
        <v>0.15</v>
      </c>
      <c r="AC57" s="18">
        <f t="shared" si="12"/>
        <v>6.666666666666667</v>
      </c>
      <c r="AD57" s="18">
        <f>(SUM(AC$6:AC57)*1/$AA$2)</f>
        <v>1177.207962056757</v>
      </c>
      <c r="AE57" s="18">
        <f>(SUM(AC$6:AC57)*1/(1-$AA$2))</f>
        <v>130.80088467297301</v>
      </c>
    </row>
    <row r="58" spans="3:31" x14ac:dyDescent="0.15">
      <c r="C58" s="18">
        <v>53</v>
      </c>
      <c r="D58" s="46">
        <f t="shared" si="0"/>
        <v>999999999</v>
      </c>
      <c r="E58" s="46">
        <f t="shared" si="1"/>
        <v>999999999</v>
      </c>
      <c r="F58" s="46">
        <f t="shared" si="2"/>
        <v>999999999</v>
      </c>
      <c r="G58" s="46">
        <f t="shared" si="3"/>
        <v>999999999</v>
      </c>
      <c r="H58" s="46">
        <f t="shared" si="4"/>
        <v>139.13421800630636</v>
      </c>
      <c r="I58" s="46">
        <f t="shared" si="5"/>
        <v>1252.207962056757</v>
      </c>
      <c r="Z58" s="18">
        <v>53</v>
      </c>
      <c r="AA58" s="18">
        <f t="shared" si="10"/>
        <v>8</v>
      </c>
      <c r="AB58" s="18">
        <f t="shared" si="11"/>
        <v>0.13333333333333333</v>
      </c>
      <c r="AC58" s="18">
        <f t="shared" si="12"/>
        <v>7.5</v>
      </c>
      <c r="AD58" s="18">
        <f>(SUM(AC$6:AC58)*1/$AA$2)</f>
        <v>1252.207962056757</v>
      </c>
      <c r="AE58" s="18">
        <f>(SUM(AC$6:AC58)*1/(1-$AA$2))</f>
        <v>139.13421800630636</v>
      </c>
    </row>
    <row r="59" spans="3:31" x14ac:dyDescent="0.15">
      <c r="C59" s="18">
        <v>54</v>
      </c>
      <c r="D59" s="46">
        <f t="shared" si="0"/>
        <v>999999999</v>
      </c>
      <c r="E59" s="46">
        <f t="shared" si="1"/>
        <v>999999999</v>
      </c>
      <c r="F59" s="46">
        <f t="shared" si="2"/>
        <v>999999999</v>
      </c>
      <c r="G59" s="46">
        <f t="shared" si="3"/>
        <v>999999999</v>
      </c>
      <c r="H59" s="46">
        <f t="shared" si="4"/>
        <v>148.65802753011587</v>
      </c>
      <c r="I59" s="46">
        <f t="shared" si="5"/>
        <v>1337.9222477710427</v>
      </c>
      <c r="Z59" s="18">
        <v>54</v>
      </c>
      <c r="AA59" s="18">
        <f t="shared" si="10"/>
        <v>7</v>
      </c>
      <c r="AB59" s="18">
        <f t="shared" si="11"/>
        <v>0.11666666666666667</v>
      </c>
      <c r="AC59" s="18">
        <f t="shared" si="12"/>
        <v>8.5714285714285712</v>
      </c>
      <c r="AD59" s="18">
        <f>(SUM(AC$6:AC59)*1/$AA$2)</f>
        <v>1337.9222477710427</v>
      </c>
      <c r="AE59" s="18">
        <f>(SUM(AC$6:AC59)*1/(1-$AA$2))</f>
        <v>148.65802753011587</v>
      </c>
    </row>
    <row r="60" spans="3:31" x14ac:dyDescent="0.15">
      <c r="C60" s="18">
        <v>55</v>
      </c>
      <c r="D60" s="46">
        <f t="shared" si="0"/>
        <v>999999999</v>
      </c>
      <c r="E60" s="46">
        <f t="shared" si="1"/>
        <v>999999999</v>
      </c>
      <c r="F60" s="46">
        <f t="shared" si="2"/>
        <v>999999999</v>
      </c>
      <c r="G60" s="46">
        <f t="shared" si="3"/>
        <v>999999999</v>
      </c>
      <c r="H60" s="46">
        <f t="shared" si="4"/>
        <v>159.76913864122699</v>
      </c>
      <c r="I60" s="46">
        <f t="shared" si="5"/>
        <v>1437.9222477710427</v>
      </c>
      <c r="Z60" s="18">
        <v>55</v>
      </c>
      <c r="AA60" s="18">
        <f t="shared" si="10"/>
        <v>6</v>
      </c>
      <c r="AB60" s="18">
        <f t="shared" si="11"/>
        <v>0.1</v>
      </c>
      <c r="AC60" s="18">
        <f t="shared" si="12"/>
        <v>10</v>
      </c>
      <c r="AD60" s="18">
        <f>(SUM(AC$6:AC60)*1/$AA$2)</f>
        <v>1437.9222477710427</v>
      </c>
      <c r="AE60" s="18">
        <f>(SUM(AC$6:AC60)*1/(1-$AA$2))</f>
        <v>159.76913864122699</v>
      </c>
    </row>
    <row r="61" spans="3:31" x14ac:dyDescent="0.15">
      <c r="C61" s="18">
        <v>56</v>
      </c>
      <c r="D61" s="46">
        <f t="shared" si="0"/>
        <v>999999999</v>
      </c>
      <c r="E61" s="46">
        <f t="shared" si="1"/>
        <v>999999999</v>
      </c>
      <c r="F61" s="46">
        <f t="shared" si="2"/>
        <v>999999999</v>
      </c>
      <c r="G61" s="46">
        <f t="shared" si="3"/>
        <v>999999999</v>
      </c>
      <c r="H61" s="46">
        <f t="shared" si="4"/>
        <v>173.1024719745603</v>
      </c>
      <c r="I61" s="46">
        <f t="shared" si="5"/>
        <v>1557.9222477710427</v>
      </c>
      <c r="Z61" s="18">
        <v>56</v>
      </c>
      <c r="AA61" s="18">
        <f t="shared" si="10"/>
        <v>5</v>
      </c>
      <c r="AB61" s="18">
        <f t="shared" si="11"/>
        <v>8.3333333333333329E-2</v>
      </c>
      <c r="AC61" s="18">
        <f t="shared" si="12"/>
        <v>12</v>
      </c>
      <c r="AD61" s="18">
        <f>(SUM(AC$6:AC61)*1/$AA$2)</f>
        <v>1557.9222477710427</v>
      </c>
      <c r="AE61" s="18">
        <f>(SUM(AC$6:AC61)*1/(1-$AA$2))</f>
        <v>173.1024719745603</v>
      </c>
    </row>
    <row r="62" spans="3:31" x14ac:dyDescent="0.15">
      <c r="C62" s="18">
        <v>57</v>
      </c>
      <c r="D62" s="46">
        <f t="shared" si="0"/>
        <v>999999999</v>
      </c>
      <c r="E62" s="46">
        <f t="shared" si="1"/>
        <v>999999999</v>
      </c>
      <c r="F62" s="46">
        <f t="shared" si="2"/>
        <v>999999999</v>
      </c>
      <c r="G62" s="46">
        <f t="shared" si="3"/>
        <v>999999999</v>
      </c>
      <c r="H62" s="46">
        <f t="shared" si="4"/>
        <v>189.76913864122699</v>
      </c>
      <c r="I62" s="46">
        <f t="shared" si="5"/>
        <v>1707.9222477710427</v>
      </c>
      <c r="Z62" s="18">
        <v>57</v>
      </c>
      <c r="AA62" s="18">
        <f t="shared" si="10"/>
        <v>4</v>
      </c>
      <c r="AB62" s="18">
        <f t="shared" si="11"/>
        <v>6.6666666666666666E-2</v>
      </c>
      <c r="AC62" s="18">
        <f t="shared" si="12"/>
        <v>15</v>
      </c>
      <c r="AD62" s="18">
        <f>(SUM(AC$6:AC62)*1/$AA$2)</f>
        <v>1707.9222477710427</v>
      </c>
      <c r="AE62" s="18">
        <f>(SUM(AC$6:AC62)*1/(1-$AA$2))</f>
        <v>189.76913864122699</v>
      </c>
    </row>
    <row r="63" spans="3:31" x14ac:dyDescent="0.15">
      <c r="C63" s="18">
        <v>58</v>
      </c>
      <c r="D63" s="46">
        <f t="shared" si="0"/>
        <v>999999999</v>
      </c>
      <c r="E63" s="46">
        <f t="shared" si="1"/>
        <v>999999999</v>
      </c>
      <c r="F63" s="46">
        <f t="shared" si="2"/>
        <v>999999999</v>
      </c>
      <c r="G63" s="46">
        <f t="shared" si="3"/>
        <v>999999999</v>
      </c>
      <c r="H63" s="46">
        <f t="shared" si="4"/>
        <v>211.99136086344919</v>
      </c>
      <c r="I63" s="46">
        <f t="shared" si="5"/>
        <v>1907.9222477710427</v>
      </c>
      <c r="Z63" s="18">
        <v>58</v>
      </c>
      <c r="AA63" s="18">
        <f t="shared" si="10"/>
        <v>3</v>
      </c>
      <c r="AB63" s="18">
        <f t="shared" si="11"/>
        <v>0.05</v>
      </c>
      <c r="AC63" s="18">
        <f t="shared" si="12"/>
        <v>20</v>
      </c>
      <c r="AD63" s="18">
        <f>(SUM(AC$6:AC63)*1/$AA$2)</f>
        <v>1907.9222477710427</v>
      </c>
      <c r="AE63" s="18">
        <f>(SUM(AC$6:AC63)*1/(1-$AA$2))</f>
        <v>211.99136086344919</v>
      </c>
    </row>
    <row r="64" spans="3:31" x14ac:dyDescent="0.15">
      <c r="C64" s="18">
        <v>59</v>
      </c>
      <c r="D64" s="46">
        <f t="shared" si="0"/>
        <v>999999999</v>
      </c>
      <c r="E64" s="46">
        <f t="shared" si="1"/>
        <v>999999999</v>
      </c>
      <c r="F64" s="46">
        <f t="shared" si="2"/>
        <v>999999999</v>
      </c>
      <c r="G64" s="46">
        <f t="shared" si="3"/>
        <v>999999999</v>
      </c>
      <c r="H64" s="46">
        <f t="shared" si="4"/>
        <v>245.32469419678253</v>
      </c>
      <c r="I64" s="46">
        <f t="shared" si="5"/>
        <v>2207.9222477710427</v>
      </c>
      <c r="Z64" s="18">
        <v>59</v>
      </c>
      <c r="AA64" s="18">
        <f t="shared" si="10"/>
        <v>2</v>
      </c>
      <c r="AB64" s="18">
        <f t="shared" si="11"/>
        <v>3.3333333333333333E-2</v>
      </c>
      <c r="AC64" s="18">
        <f t="shared" si="12"/>
        <v>30</v>
      </c>
      <c r="AD64" s="18">
        <f>(SUM(AC$6:AC64)*1/$AA$2)</f>
        <v>2207.9222477710427</v>
      </c>
      <c r="AE64" s="18">
        <f>(SUM(AC$6:AC64)*1/(1-$AA$2))</f>
        <v>245.32469419678253</v>
      </c>
    </row>
    <row r="65" spans="3:31" x14ac:dyDescent="0.15">
      <c r="C65" s="18">
        <v>60</v>
      </c>
      <c r="D65" s="46">
        <f t="shared" si="0"/>
        <v>999999999</v>
      </c>
      <c r="E65" s="46">
        <f t="shared" si="1"/>
        <v>999999999</v>
      </c>
      <c r="F65" s="46">
        <f t="shared" si="2"/>
        <v>999999999</v>
      </c>
      <c r="G65" s="46">
        <f t="shared" si="3"/>
        <v>999999999</v>
      </c>
      <c r="H65" s="46">
        <f t="shared" si="4"/>
        <v>311.99136086344919</v>
      </c>
      <c r="I65" s="46">
        <f t="shared" si="5"/>
        <v>2807.9222477710423</v>
      </c>
      <c r="Z65" s="18">
        <v>60</v>
      </c>
      <c r="AA65" s="18">
        <f t="shared" si="10"/>
        <v>1</v>
      </c>
      <c r="AB65" s="18">
        <f t="shared" si="11"/>
        <v>1.6666666666666666E-2</v>
      </c>
      <c r="AC65" s="18">
        <f t="shared" si="12"/>
        <v>60</v>
      </c>
      <c r="AD65" s="18">
        <f>(SUM(AC$6:AC65)*1/$AA$2)</f>
        <v>2807.9222477710423</v>
      </c>
      <c r="AE65" s="18">
        <f>(SUM(AC$6:AC65)*1/(1-$AA$2))</f>
        <v>311.99136086344919</v>
      </c>
    </row>
    <row r="66" spans="3:31" x14ac:dyDescent="0.15">
      <c r="C66" s="18">
        <v>61</v>
      </c>
      <c r="D66" s="46">
        <f t="shared" ref="D66" si="15">IF(Q66="",999999999,Q66)</f>
        <v>999999999</v>
      </c>
      <c r="E66" s="46">
        <f t="shared" ref="E66" si="16">IF(P66="",999999999,P66)</f>
        <v>999999999</v>
      </c>
      <c r="F66" s="46">
        <f t="shared" ref="F66" si="17">IF(X66="",999999999,X66)</f>
        <v>999999999</v>
      </c>
      <c r="G66" s="46">
        <f t="shared" ref="G66" si="18">IF(W66="",999999999,W66)</f>
        <v>999999999</v>
      </c>
      <c r="H66" s="46">
        <f t="shared" ref="H66" si="19">IF(AE66="",999999999,AE66)</f>
        <v>999999999</v>
      </c>
      <c r="I66" s="46">
        <f t="shared" ref="I66" si="20">IF(AD66="",999999999,AD66)</f>
        <v>999999999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D2187-0690-4516-8B87-8AC25F8F24B6}">
  <dimension ref="A3:Z1048576"/>
  <sheetViews>
    <sheetView topLeftCell="B1" workbookViewId="0">
      <selection activeCell="O13" sqref="O13"/>
    </sheetView>
  </sheetViews>
  <sheetFormatPr defaultColWidth="9.125" defaultRowHeight="11.25" x14ac:dyDescent="0.15"/>
  <cols>
    <col min="1" max="1" width="9.125" style="76"/>
    <col min="2" max="2" width="24.375" style="76" bestFit="1" customWidth="1"/>
    <col min="3" max="8" width="9.25" style="76" bestFit="1" customWidth="1"/>
    <col min="9" max="9" width="8.375" style="76" customWidth="1"/>
    <col min="10" max="10" width="9.125" style="76"/>
    <col min="11" max="12" width="9.25" style="76" bestFit="1" customWidth="1"/>
    <col min="13" max="16" width="14.375" style="76" bestFit="1" customWidth="1"/>
    <col min="17" max="17" width="10.125" style="76" bestFit="1" customWidth="1"/>
    <col min="18" max="19" width="9.25" style="76" bestFit="1" customWidth="1"/>
    <col min="20" max="20" width="9.125" style="76"/>
    <col min="21" max="26" width="9.25" style="76" bestFit="1" customWidth="1"/>
    <col min="27" max="16384" width="9.125" style="76"/>
  </cols>
  <sheetData>
    <row r="3" spans="2:26" x14ac:dyDescent="0.15">
      <c r="B3" s="74"/>
      <c r="C3" s="5" t="s">
        <v>26</v>
      </c>
      <c r="D3" s="5" t="s">
        <v>38</v>
      </c>
      <c r="E3" s="5" t="s">
        <v>27</v>
      </c>
      <c r="F3" s="5" t="s">
        <v>29</v>
      </c>
      <c r="G3" s="5" t="s">
        <v>28</v>
      </c>
      <c r="H3" s="5" t="s">
        <v>43</v>
      </c>
      <c r="K3" s="75" t="str">
        <f>基础状态预估!C9</f>
        <v>非r</v>
      </c>
      <c r="L3" s="75"/>
      <c r="M3" s="84" t="s">
        <v>208</v>
      </c>
      <c r="N3" s="84"/>
      <c r="O3" s="84"/>
      <c r="P3" s="84"/>
      <c r="Q3" s="84"/>
      <c r="R3" s="84"/>
      <c r="S3" s="74"/>
      <c r="U3" s="74"/>
      <c r="V3" s="87" t="s">
        <v>210</v>
      </c>
      <c r="W3" s="87"/>
      <c r="X3" s="87"/>
      <c r="Y3" s="87"/>
      <c r="Z3" s="87"/>
    </row>
    <row r="4" spans="2:26" x14ac:dyDescent="0.15">
      <c r="B4" s="74" t="s">
        <v>60</v>
      </c>
      <c r="C4" s="74">
        <v>1</v>
      </c>
      <c r="D4" s="74">
        <v>2</v>
      </c>
      <c r="E4" s="74">
        <v>3</v>
      </c>
      <c r="F4" s="74">
        <v>6</v>
      </c>
      <c r="G4" s="74">
        <v>8</v>
      </c>
      <c r="H4" s="74">
        <v>10</v>
      </c>
      <c r="K4" s="75" t="s">
        <v>31</v>
      </c>
      <c r="L4" s="75" t="s">
        <v>25</v>
      </c>
      <c r="M4" s="5" t="s">
        <v>26</v>
      </c>
      <c r="N4" s="5" t="s">
        <v>38</v>
      </c>
      <c r="O4" s="5" t="s">
        <v>27</v>
      </c>
      <c r="P4" s="5" t="s">
        <v>29</v>
      </c>
      <c r="Q4" s="5" t="s">
        <v>28</v>
      </c>
      <c r="R4" s="5" t="s">
        <v>43</v>
      </c>
      <c r="S4" s="74" t="s">
        <v>209</v>
      </c>
      <c r="U4" s="74" t="s">
        <v>203</v>
      </c>
      <c r="V4" s="74" t="s">
        <v>0</v>
      </c>
      <c r="W4" s="74" t="s">
        <v>1</v>
      </c>
      <c r="X4" s="74" t="s">
        <v>2</v>
      </c>
      <c r="Y4" s="74" t="s">
        <v>3</v>
      </c>
      <c r="Z4" s="74" t="s">
        <v>4</v>
      </c>
    </row>
    <row r="5" spans="2:26" x14ac:dyDescent="0.15">
      <c r="B5" s="74" t="s">
        <v>62</v>
      </c>
      <c r="C5" s="72">
        <v>5.0000000000000001E-3</v>
      </c>
      <c r="D5" s="72">
        <v>5.0000000000000001E-3</v>
      </c>
      <c r="E5" s="72">
        <v>5.0000000000000001E-3</v>
      </c>
      <c r="F5" s="72">
        <v>5.0000000000000001E-3</v>
      </c>
      <c r="G5" s="72">
        <v>0.01</v>
      </c>
      <c r="H5" s="72">
        <v>0.01</v>
      </c>
      <c r="K5" s="6">
        <v>15</v>
      </c>
      <c r="L5" s="74">
        <f>基础状态预估!D11</f>
        <v>40</v>
      </c>
      <c r="M5" s="74">
        <f>C$7*基础状态预估!L11</f>
        <v>0</v>
      </c>
      <c r="N5" s="74">
        <f>D$7*基础状态预估!M11</f>
        <v>0</v>
      </c>
      <c r="O5" s="74">
        <f>E$7*基础状态预估!N11</f>
        <v>0</v>
      </c>
      <c r="P5" s="74">
        <f>F$7*基础状态预估!O11</f>
        <v>0</v>
      </c>
      <c r="Q5" s="74">
        <f>G$7*基础状态预估!P11</f>
        <v>0</v>
      </c>
      <c r="R5" s="74">
        <f>H$7*基础状态预估!Q11</f>
        <v>0</v>
      </c>
      <c r="S5" s="74">
        <f>SUM(M5:R5)</f>
        <v>0</v>
      </c>
      <c r="U5" s="74">
        <v>1</v>
      </c>
      <c r="V5" s="74">
        <f>IFERROR(ROUND(求节点($L$5:$L$45,$S$5:$S$45,$U5),0),0)</f>
        <v>0</v>
      </c>
      <c r="W5" s="74">
        <f>IFERROR(ROUND(求节点($L$49:$L$89,$S$49:$S$89,$U5),0),0)</f>
        <v>0</v>
      </c>
      <c r="X5" s="74">
        <f>IFERROR(ROUND(求节点($L$93:$L$133,$S$93:$S$133,$U5),0),0)</f>
        <v>0</v>
      </c>
      <c r="Y5" s="74">
        <f>IFERROR(ROUND(求节点($L$137:$L$177,$S$137:$S$177,$U5),0),0)</f>
        <v>0</v>
      </c>
      <c r="Z5" s="74">
        <f>IFERROR(ROUND(求节点($L$181:$L$221,$S$181:$S$221,$U5),0),0)</f>
        <v>0</v>
      </c>
    </row>
    <row r="6" spans="2:26" x14ac:dyDescent="0.15">
      <c r="B6" s="74" t="s">
        <v>61</v>
      </c>
      <c r="C6" s="74">
        <v>1</v>
      </c>
      <c r="D6" s="74">
        <v>2</v>
      </c>
      <c r="E6" s="74">
        <v>2</v>
      </c>
      <c r="F6" s="74">
        <v>4</v>
      </c>
      <c r="G6" s="74">
        <v>2</v>
      </c>
      <c r="H6" s="74">
        <v>4</v>
      </c>
      <c r="K6" s="6">
        <v>30</v>
      </c>
      <c r="L6" s="74">
        <f>基础状态预估!D12</f>
        <v>49.533352307096472</v>
      </c>
      <c r="M6" s="74">
        <f>C$7*基础状态预估!L12</f>
        <v>1472.0011384257884</v>
      </c>
      <c r="N6" s="74">
        <f>D$7*基础状态预估!M12</f>
        <v>3264.0136611094595</v>
      </c>
      <c r="O6" s="74">
        <f>E$7*基础状态预估!N12</f>
        <v>0</v>
      </c>
      <c r="P6" s="74">
        <f>F$7*基础状态预估!O12</f>
        <v>0</v>
      </c>
      <c r="Q6" s="74">
        <f>G$7*基础状态预估!P12</f>
        <v>0</v>
      </c>
      <c r="R6" s="74">
        <f>H$7*基础状态预估!Q12</f>
        <v>0</v>
      </c>
      <c r="S6" s="74">
        <f t="shared" ref="S6:S45" si="0">SUM(M6:R6)</f>
        <v>4736.0147995352481</v>
      </c>
      <c r="U6" s="74">
        <v>2</v>
      </c>
      <c r="V6" s="77">
        <f t="shared" ref="V6:V69" si="1">IFERROR(ROUND(求节点($L$5:$L$45,$S$5:$S$45,$U6),0),0)</f>
        <v>0</v>
      </c>
      <c r="W6" s="77">
        <f t="shared" ref="W6:W69" si="2">IFERROR(ROUND(求节点($L$49:$L$89,$S$49:$S$89,$U6),0),0)</f>
        <v>0</v>
      </c>
      <c r="X6" s="77">
        <f t="shared" ref="X6:X69" si="3">IFERROR(ROUND(求节点($L$93:$L$133,$S$93:$S$133,$U6),0),0)</f>
        <v>0</v>
      </c>
      <c r="Y6" s="77">
        <f t="shared" ref="Y6:Y69" si="4">IFERROR(ROUND(求节点($L$137:$L$177,$S$137:$S$177,$U6),0),0)</f>
        <v>0</v>
      </c>
      <c r="Z6" s="77">
        <f t="shared" ref="Z6:Z69" si="5">IFERROR(ROUND(求节点($L$181:$L$221,$S$181:$S$221,$U6),0),0)</f>
        <v>0</v>
      </c>
    </row>
    <row r="7" spans="2:26" x14ac:dyDescent="0.15">
      <c r="B7" s="74" t="s">
        <v>213</v>
      </c>
      <c r="C7" s="74">
        <f>C4*C11+C5*C12*C6</f>
        <v>600</v>
      </c>
      <c r="D7" s="77">
        <f t="shared" ref="D7:F7" si="6">D4*D11+D5*D12*D6</f>
        <v>2400</v>
      </c>
      <c r="E7" s="77">
        <f t="shared" si="6"/>
        <v>5300</v>
      </c>
      <c r="F7" s="77">
        <f t="shared" si="6"/>
        <v>15000</v>
      </c>
      <c r="G7" s="77">
        <f>G4*G11+G5*G12*G6</f>
        <v>31000</v>
      </c>
      <c r="H7" s="77">
        <f>H4*H11+H5*H12*H6</f>
        <v>58000</v>
      </c>
      <c r="K7" s="6">
        <v>45</v>
      </c>
      <c r="L7" s="74">
        <f>基础状态预估!D13</f>
        <v>55.229416240679981</v>
      </c>
      <c r="M7" s="74">
        <f>C$7*基础状态预估!L13</f>
        <v>1480.7035548464096</v>
      </c>
      <c r="N7" s="74">
        <f>D$7*基础状态预估!M13</f>
        <v>7530.3593865791727</v>
      </c>
      <c r="O7" s="74">
        <f>E$7*基础状态预估!N13</f>
        <v>729.54364536234061</v>
      </c>
      <c r="P7" s="74">
        <f>F$7*基础状态预估!O13</f>
        <v>0</v>
      </c>
      <c r="Q7" s="74">
        <f>G$7*基础状态预估!P13</f>
        <v>0</v>
      </c>
      <c r="R7" s="74">
        <f>H$7*基础状态预估!Q13</f>
        <v>0</v>
      </c>
      <c r="S7" s="74">
        <f t="shared" si="0"/>
        <v>9740.6065867879224</v>
      </c>
      <c r="U7" s="74">
        <v>3</v>
      </c>
      <c r="V7" s="77">
        <f>IFERROR(ROUND(求节点($L$5:$L$45,$S$5:$S$45,$U7),0),0)</f>
        <v>0</v>
      </c>
      <c r="W7" s="77">
        <f t="shared" si="2"/>
        <v>0</v>
      </c>
      <c r="X7" s="77">
        <f t="shared" si="3"/>
        <v>0</v>
      </c>
      <c r="Y7" s="77">
        <f t="shared" si="4"/>
        <v>0</v>
      </c>
      <c r="Z7" s="77">
        <f t="shared" si="5"/>
        <v>0</v>
      </c>
    </row>
    <row r="8" spans="2:26" ht="14.25" customHeight="1" x14ac:dyDescent="0.15">
      <c r="B8" s="74" t="s">
        <v>211</v>
      </c>
      <c r="C8" s="74">
        <f>C4*C11</f>
        <v>500</v>
      </c>
      <c r="D8" s="77">
        <f t="shared" ref="D8:H8" si="7">D4*D11</f>
        <v>2000</v>
      </c>
      <c r="E8" s="77">
        <f t="shared" si="7"/>
        <v>4500</v>
      </c>
      <c r="F8" s="77">
        <f t="shared" si="7"/>
        <v>12000</v>
      </c>
      <c r="G8" s="77">
        <f>G4*G11</f>
        <v>28000</v>
      </c>
      <c r="H8" s="77">
        <f t="shared" si="7"/>
        <v>50000</v>
      </c>
      <c r="K8" s="6">
        <v>60</v>
      </c>
      <c r="L8" s="74">
        <f>基础状态预估!D14</f>
        <v>59.300028460644697</v>
      </c>
      <c r="M8" s="74">
        <f>C$7*基础状态预估!L14</f>
        <v>0</v>
      </c>
      <c r="N8" s="74">
        <f>D$7*基础状态预估!M14</f>
        <v>10470.835675399427</v>
      </c>
      <c r="O8" s="74">
        <f>E$7*基础状态预估!N14</f>
        <v>13674.090504850135</v>
      </c>
      <c r="P8" s="74">
        <f>F$7*基础状态预估!O14</f>
        <v>0</v>
      </c>
      <c r="Q8" s="74">
        <f>G$7*基础状态预估!P14</f>
        <v>0</v>
      </c>
      <c r="R8" s="74">
        <f>H$7*基础状态预估!Q14</f>
        <v>0</v>
      </c>
      <c r="S8" s="74">
        <f t="shared" si="0"/>
        <v>24144.92618024956</v>
      </c>
      <c r="U8" s="74">
        <v>4</v>
      </c>
      <c r="V8" s="77">
        <f t="shared" si="1"/>
        <v>0</v>
      </c>
      <c r="W8" s="77">
        <f t="shared" si="2"/>
        <v>0</v>
      </c>
      <c r="X8" s="77">
        <f t="shared" si="3"/>
        <v>0</v>
      </c>
      <c r="Y8" s="77">
        <f t="shared" si="4"/>
        <v>0</v>
      </c>
      <c r="Z8" s="77">
        <f t="shared" si="5"/>
        <v>0</v>
      </c>
    </row>
    <row r="9" spans="2:26" x14ac:dyDescent="0.15">
      <c r="B9" s="74" t="s">
        <v>212</v>
      </c>
      <c r="C9" s="74">
        <f>C5*C12</f>
        <v>100</v>
      </c>
      <c r="D9" s="77">
        <f t="shared" ref="D9:H9" si="8">D5*D12</f>
        <v>200</v>
      </c>
      <c r="E9" s="77">
        <f t="shared" si="8"/>
        <v>400</v>
      </c>
      <c r="F9" s="77">
        <f t="shared" si="8"/>
        <v>750</v>
      </c>
      <c r="G9" s="77">
        <f t="shared" si="8"/>
        <v>1500</v>
      </c>
      <c r="H9" s="77">
        <f t="shared" si="8"/>
        <v>2000</v>
      </c>
      <c r="K9" s="6">
        <v>75</v>
      </c>
      <c r="L9" s="74">
        <f>基础状态预估!D15</f>
        <v>62.470630686057078</v>
      </c>
      <c r="M9" s="74">
        <f>C$7*基础状态预估!L15</f>
        <v>0</v>
      </c>
      <c r="N9" s="74">
        <f>D$7*基础状态预估!M15</f>
        <v>8079.2957110883754</v>
      </c>
      <c r="O9" s="74">
        <f>E$7*基础状态预估!N15</f>
        <v>23756.605581661504</v>
      </c>
      <c r="P9" s="74">
        <f>F$7*基础状态预估!O15</f>
        <v>0</v>
      </c>
      <c r="Q9" s="74">
        <f>G$7*基础状态预估!P15</f>
        <v>0</v>
      </c>
      <c r="R9" s="74">
        <f>H$7*基础状态预估!Q15</f>
        <v>0</v>
      </c>
      <c r="S9" s="74">
        <f t="shared" si="0"/>
        <v>31835.901292749881</v>
      </c>
      <c r="U9" s="74">
        <v>5</v>
      </c>
      <c r="V9" s="77">
        <f t="shared" si="1"/>
        <v>0</v>
      </c>
      <c r="W9" s="77">
        <f t="shared" si="2"/>
        <v>0</v>
      </c>
      <c r="X9" s="77">
        <f t="shared" si="3"/>
        <v>0</v>
      </c>
      <c r="Y9" s="77">
        <f t="shared" si="4"/>
        <v>0</v>
      </c>
      <c r="Z9" s="77">
        <f t="shared" si="5"/>
        <v>0</v>
      </c>
    </row>
    <row r="10" spans="2:26" x14ac:dyDescent="0.15">
      <c r="E10" s="78"/>
      <c r="F10" s="78"/>
      <c r="G10" s="78"/>
      <c r="H10" s="78"/>
      <c r="K10" s="6">
        <v>90</v>
      </c>
      <c r="L10" s="74">
        <f>基础状态预估!D16</f>
        <v>65.075479910097457</v>
      </c>
      <c r="M10" s="74">
        <f>C$7*基础状态预估!L16</f>
        <v>0</v>
      </c>
      <c r="N10" s="74">
        <f>D$7*基础状态预估!M16</f>
        <v>5556.1781286269534</v>
      </c>
      <c r="O10" s="74">
        <f>E$7*基础状态预估!N16</f>
        <v>32640.091399384695</v>
      </c>
      <c r="P10" s="74">
        <f>F$7*基础状态预估!O16</f>
        <v>679.31919087710924</v>
      </c>
      <c r="Q10" s="74">
        <f>G$7*基础状态预估!P16</f>
        <v>0</v>
      </c>
      <c r="R10" s="74">
        <f>H$7*基础状态预估!Q16</f>
        <v>0</v>
      </c>
      <c r="S10" s="74">
        <f t="shared" si="0"/>
        <v>38875.588718888757</v>
      </c>
      <c r="U10" s="74">
        <v>6</v>
      </c>
      <c r="V10" s="77">
        <f t="shared" si="1"/>
        <v>0</v>
      </c>
      <c r="W10" s="77">
        <f t="shared" si="2"/>
        <v>0</v>
      </c>
      <c r="X10" s="77">
        <f t="shared" si="3"/>
        <v>0</v>
      </c>
      <c r="Y10" s="77">
        <f t="shared" si="4"/>
        <v>0</v>
      </c>
      <c r="Z10" s="77">
        <f t="shared" si="5"/>
        <v>0</v>
      </c>
    </row>
    <row r="11" spans="2:26" x14ac:dyDescent="0.15">
      <c r="B11" s="77" t="s">
        <v>211</v>
      </c>
      <c r="C11" s="77">
        <v>500</v>
      </c>
      <c r="D11" s="77">
        <v>1000</v>
      </c>
      <c r="E11" s="77">
        <v>1500</v>
      </c>
      <c r="F11" s="77">
        <v>2000</v>
      </c>
      <c r="G11" s="77">
        <v>3500</v>
      </c>
      <c r="H11" s="77">
        <v>5000</v>
      </c>
      <c r="K11" s="6">
        <v>105</v>
      </c>
      <c r="L11" s="74">
        <f>基础状态预估!D17</f>
        <v>67.272265912925377</v>
      </c>
      <c r="M11" s="74">
        <f>C$7*基础状态预估!L17</f>
        <v>0</v>
      </c>
      <c r="N11" s="74">
        <f>D$7*基础状态预估!M17</f>
        <v>0</v>
      </c>
      <c r="O11" s="74">
        <f>E$7*基础状态预估!N17</f>
        <v>40834.946731523429</v>
      </c>
      <c r="P11" s="74">
        <f>F$7*基础状态预估!O17</f>
        <v>20450.393216328393</v>
      </c>
      <c r="Q11" s="74">
        <f>G$7*基础状态预估!P17</f>
        <v>0</v>
      </c>
      <c r="R11" s="74">
        <f>H$7*基础状态预估!Q17</f>
        <v>0</v>
      </c>
      <c r="S11" s="74">
        <f t="shared" si="0"/>
        <v>61285.339947851826</v>
      </c>
      <c r="U11" s="74">
        <v>7</v>
      </c>
      <c r="V11" s="77">
        <f t="shared" si="1"/>
        <v>0</v>
      </c>
      <c r="W11" s="77">
        <f t="shared" si="2"/>
        <v>0</v>
      </c>
      <c r="X11" s="77">
        <f t="shared" si="3"/>
        <v>0</v>
      </c>
      <c r="Y11" s="77">
        <f t="shared" si="4"/>
        <v>0</v>
      </c>
      <c r="Z11" s="77">
        <f t="shared" si="5"/>
        <v>0</v>
      </c>
    </row>
    <row r="12" spans="2:26" x14ac:dyDescent="0.15">
      <c r="B12" s="77" t="s">
        <v>214</v>
      </c>
      <c r="C12" s="77">
        <v>20000</v>
      </c>
      <c r="D12" s="77">
        <v>40000</v>
      </c>
      <c r="E12" s="77">
        <v>80000</v>
      </c>
      <c r="F12" s="77">
        <v>150000</v>
      </c>
      <c r="G12" s="77">
        <v>150000</v>
      </c>
      <c r="H12" s="77">
        <v>200000</v>
      </c>
      <c r="K12" s="6">
        <v>120</v>
      </c>
      <c r="L12" s="74">
        <f>基础状态预估!D18</f>
        <v>69.18336653741882</v>
      </c>
      <c r="M12" s="74">
        <f>C$7*基础状态预估!L18</f>
        <v>0</v>
      </c>
      <c r="N12" s="74">
        <f>D$7*基础状态预估!M18</f>
        <v>0</v>
      </c>
      <c r="O12" s="74">
        <f>E$7*基础状态预估!N18</f>
        <v>37289.855073088089</v>
      </c>
      <c r="P12" s="74">
        <f>F$7*基础状态预估!O18</f>
        <v>37650.298836769383</v>
      </c>
      <c r="Q12" s="74">
        <f>G$7*基础状态预估!P18</f>
        <v>0</v>
      </c>
      <c r="R12" s="74">
        <f>H$7*基础状态预估!Q18</f>
        <v>0</v>
      </c>
      <c r="S12" s="74">
        <f t="shared" si="0"/>
        <v>74940.153909857472</v>
      </c>
      <c r="U12" s="74">
        <v>8</v>
      </c>
      <c r="V12" s="77">
        <f t="shared" si="1"/>
        <v>0</v>
      </c>
      <c r="W12" s="77">
        <f t="shared" si="2"/>
        <v>0</v>
      </c>
      <c r="X12" s="77">
        <f t="shared" si="3"/>
        <v>0</v>
      </c>
      <c r="Y12" s="77">
        <f t="shared" si="4"/>
        <v>0</v>
      </c>
      <c r="Z12" s="77">
        <f t="shared" si="5"/>
        <v>0</v>
      </c>
    </row>
    <row r="13" spans="2:26" x14ac:dyDescent="0.15">
      <c r="D13" s="78"/>
      <c r="E13" s="78"/>
      <c r="F13" s="78"/>
      <c r="G13" s="78"/>
      <c r="H13" s="78"/>
      <c r="K13" s="6">
        <v>150</v>
      </c>
      <c r="L13" s="74">
        <f>基础状态预估!D19</f>
        <v>72.375871759353331</v>
      </c>
      <c r="M13" s="74">
        <f>C$7*基础状态预估!L19</f>
        <v>0</v>
      </c>
      <c r="N13" s="74">
        <f>D$7*基础状态预估!M19</f>
        <v>0</v>
      </c>
      <c r="O13" s="74">
        <f>E$7*基础状态预估!N19</f>
        <v>31165.198988494776</v>
      </c>
      <c r="P13" s="74">
        <f>F$7*基础状态预估!O19</f>
        <v>66382.845834179971</v>
      </c>
      <c r="Q13" s="74">
        <f>G$7*基础状态预估!P19</f>
        <v>0</v>
      </c>
      <c r="R13" s="74">
        <f>H$7*基础状态预估!Q19</f>
        <v>0</v>
      </c>
      <c r="S13" s="74">
        <f t="shared" si="0"/>
        <v>97548.044822674739</v>
      </c>
      <c r="U13" s="74">
        <v>9</v>
      </c>
      <c r="V13" s="77">
        <f t="shared" si="1"/>
        <v>0</v>
      </c>
      <c r="W13" s="77">
        <f t="shared" si="2"/>
        <v>0</v>
      </c>
      <c r="X13" s="77">
        <f t="shared" si="3"/>
        <v>0</v>
      </c>
      <c r="Y13" s="77">
        <f t="shared" si="4"/>
        <v>0</v>
      </c>
      <c r="Z13" s="77">
        <f t="shared" si="5"/>
        <v>0</v>
      </c>
    </row>
    <row r="14" spans="2:26" x14ac:dyDescent="0.15">
      <c r="K14" s="6">
        <v>180</v>
      </c>
      <c r="L14" s="74">
        <f>基础状态预估!D20</f>
        <v>74.998404927577795</v>
      </c>
      <c r="M14" s="74">
        <f>C$7*基础状态预估!L20</f>
        <v>0</v>
      </c>
      <c r="N14" s="74">
        <f>D$7*基础状态预估!M20</f>
        <v>0</v>
      </c>
      <c r="O14" s="74">
        <f>E$7*基础状态预估!N20</f>
        <v>25914.304800560902</v>
      </c>
      <c r="P14" s="74">
        <f>F$7*基础状态预估!O20</f>
        <v>89985.644348200149</v>
      </c>
      <c r="Q14" s="74">
        <f>G$7*基础状态预估!P20</f>
        <v>0</v>
      </c>
      <c r="R14" s="74">
        <f>H$7*基础状态预估!Q20</f>
        <v>0</v>
      </c>
      <c r="S14" s="74">
        <f t="shared" si="0"/>
        <v>115899.94914876105</v>
      </c>
      <c r="U14" s="74">
        <v>10</v>
      </c>
      <c r="V14" s="77">
        <f t="shared" si="1"/>
        <v>0</v>
      </c>
      <c r="W14" s="77">
        <f t="shared" si="2"/>
        <v>0</v>
      </c>
      <c r="X14" s="77">
        <f t="shared" si="3"/>
        <v>0</v>
      </c>
      <c r="Y14" s="77">
        <f t="shared" si="4"/>
        <v>0</v>
      </c>
      <c r="Z14" s="77">
        <f t="shared" si="5"/>
        <v>0</v>
      </c>
    </row>
    <row r="15" spans="2:26" ht="13.5" x14ac:dyDescent="0.15">
      <c r="B15"/>
      <c r="C15"/>
      <c r="K15" s="6">
        <v>210</v>
      </c>
      <c r="L15" s="74">
        <f>基础状态预估!D21</f>
        <v>77.205261233275195</v>
      </c>
      <c r="M15" s="74">
        <f>C$7*基础状态预估!L21</f>
        <v>0</v>
      </c>
      <c r="N15" s="74">
        <f>D$7*基础状态预估!M21</f>
        <v>0</v>
      </c>
      <c r="O15" s="74">
        <f>E$7*基础状态预估!N21</f>
        <v>0</v>
      </c>
      <c r="P15" s="74">
        <f>F$7*基础状态预估!O21</f>
        <v>150836.85301144057</v>
      </c>
      <c r="Q15" s="74">
        <f>G$7*基础状态预估!P21</f>
        <v>41017.858938918624</v>
      </c>
      <c r="R15" s="74">
        <f>H$7*基础状态预估!Q21</f>
        <v>0</v>
      </c>
      <c r="S15" s="74">
        <f t="shared" si="0"/>
        <v>191854.7119503592</v>
      </c>
      <c r="U15" s="74">
        <v>11</v>
      </c>
      <c r="V15" s="77">
        <f t="shared" si="1"/>
        <v>0</v>
      </c>
      <c r="W15" s="77">
        <f t="shared" si="2"/>
        <v>0</v>
      </c>
      <c r="X15" s="77">
        <f t="shared" si="3"/>
        <v>0</v>
      </c>
      <c r="Y15" s="77">
        <f t="shared" si="4"/>
        <v>0</v>
      </c>
      <c r="Z15" s="77">
        <f t="shared" si="5"/>
        <v>0</v>
      </c>
    </row>
    <row r="16" spans="2:26" ht="13.5" x14ac:dyDescent="0.15">
      <c r="B16"/>
      <c r="C16"/>
      <c r="K16" s="6">
        <v>240</v>
      </c>
      <c r="L16" s="74">
        <f>基础状态预估!D22</f>
        <v>79.125035575805882</v>
      </c>
      <c r="M16" s="74">
        <f>C$7*基础状态预估!L22</f>
        <v>-1.0658141036401503E-12</v>
      </c>
      <c r="N16" s="74">
        <f>D$7*基础状态预估!M22</f>
        <v>4.2632564145606011E-12</v>
      </c>
      <c r="O16" s="74">
        <f>E$7*基础状态预估!N22</f>
        <v>-9.4146912488213275E-12</v>
      </c>
      <c r="P16" s="74">
        <f>F$7*基础状态预估!O22</f>
        <v>139958.13173710002</v>
      </c>
      <c r="Q16" s="74">
        <f>G$7*基础状态预估!P22</f>
        <v>76725.661709989392</v>
      </c>
      <c r="R16" s="74">
        <f>H$7*基础状态预估!Q22</f>
        <v>0</v>
      </c>
      <c r="S16" s="74">
        <f t="shared" si="0"/>
        <v>216683.79344708941</v>
      </c>
      <c r="U16" s="74">
        <v>12</v>
      </c>
      <c r="V16" s="77">
        <f t="shared" si="1"/>
        <v>0</v>
      </c>
      <c r="W16" s="77">
        <f t="shared" si="2"/>
        <v>0</v>
      </c>
      <c r="X16" s="77">
        <f t="shared" si="3"/>
        <v>0</v>
      </c>
      <c r="Y16" s="77">
        <f t="shared" si="4"/>
        <v>0</v>
      </c>
      <c r="Z16" s="77">
        <f t="shared" si="5"/>
        <v>0</v>
      </c>
    </row>
    <row r="17" spans="1:26" ht="15.75" customHeight="1" x14ac:dyDescent="0.15">
      <c r="B17"/>
      <c r="C17"/>
      <c r="K17" s="6">
        <v>270</v>
      </c>
      <c r="L17" s="74">
        <f>基础状态预估!D23</f>
        <v>80.816370674194118</v>
      </c>
      <c r="M17" s="74">
        <f>C$7*基础状态预估!L23</f>
        <v>0</v>
      </c>
      <c r="N17" s="74">
        <f>D$7*基础状态预估!M23</f>
        <v>0</v>
      </c>
      <c r="O17" s="74">
        <f>E$7*基础状态预估!N23</f>
        <v>0</v>
      </c>
      <c r="P17" s="74">
        <f>F$7*基础状态预估!O23</f>
        <v>130101.77595483531</v>
      </c>
      <c r="Q17" s="74">
        <f>G$7*基础状态预估!P23</f>
        <v>108184.49454001059</v>
      </c>
      <c r="R17" s="74">
        <f>H$7*基础状态预估!Q23</f>
        <v>0</v>
      </c>
      <c r="S17" s="74">
        <f t="shared" si="0"/>
        <v>238286.2704948459</v>
      </c>
      <c r="U17" s="74">
        <v>13</v>
      </c>
      <c r="V17" s="77">
        <f t="shared" si="1"/>
        <v>0</v>
      </c>
      <c r="W17" s="77">
        <f t="shared" si="2"/>
        <v>0</v>
      </c>
      <c r="X17" s="77">
        <f t="shared" si="3"/>
        <v>0</v>
      </c>
      <c r="Y17" s="77">
        <f t="shared" si="4"/>
        <v>0</v>
      </c>
      <c r="Z17" s="77">
        <f t="shared" si="5"/>
        <v>0</v>
      </c>
    </row>
    <row r="18" spans="1:26" ht="13.5" x14ac:dyDescent="0.15">
      <c r="A18"/>
      <c r="B18"/>
      <c r="C18"/>
      <c r="D18"/>
      <c r="K18" s="6">
        <v>300</v>
      </c>
      <c r="L18" s="74">
        <f>基础状态预估!D24</f>
        <v>82.328492296001457</v>
      </c>
      <c r="M18" s="74">
        <f>C$7*基础状态预估!L24</f>
        <v>1.0658141036401503E-12</v>
      </c>
      <c r="N18" s="74">
        <f>D$7*基础状态预估!M24</f>
        <v>-4.2632564145606011E-12</v>
      </c>
      <c r="O18" s="74">
        <f>E$7*基础状态预估!N24</f>
        <v>9.4146912488213275E-12</v>
      </c>
      <c r="P18" s="74">
        <f>F$7*基础状态预估!O24</f>
        <v>121029.04622399124</v>
      </c>
      <c r="Q18" s="74">
        <f>G$7*基础状态预估!P24</f>
        <v>136309.95670562709</v>
      </c>
      <c r="R18" s="74">
        <f>H$7*基础状态预估!Q24</f>
        <v>0</v>
      </c>
      <c r="S18" s="74">
        <f t="shared" si="0"/>
        <v>257339.00292961835</v>
      </c>
      <c r="U18" s="74">
        <v>14</v>
      </c>
      <c r="V18" s="77">
        <f t="shared" si="1"/>
        <v>0</v>
      </c>
      <c r="W18" s="77">
        <f t="shared" si="2"/>
        <v>0</v>
      </c>
      <c r="X18" s="77">
        <f t="shared" si="3"/>
        <v>0</v>
      </c>
      <c r="Y18" s="77">
        <f t="shared" si="4"/>
        <v>0</v>
      </c>
      <c r="Z18" s="77">
        <f t="shared" si="5"/>
        <v>0</v>
      </c>
    </row>
    <row r="19" spans="1:26" ht="13.5" x14ac:dyDescent="0.15">
      <c r="A19"/>
      <c r="B19"/>
      <c r="C19"/>
      <c r="D19"/>
      <c r="K19" s="6">
        <v>360</v>
      </c>
      <c r="L19" s="74">
        <f>基础状态预估!D25</f>
        <v>84.957158709068153</v>
      </c>
      <c r="M19" s="74">
        <f>C$7*基础状态预估!L25</f>
        <v>0</v>
      </c>
      <c r="N19" s="74">
        <f>D$7*基础状态预估!M25</f>
        <v>0</v>
      </c>
      <c r="O19" s="74">
        <f>E$7*基础状态预估!N25</f>
        <v>0</v>
      </c>
      <c r="P19" s="74">
        <f>F$7*基础状态预估!O25</f>
        <v>105257.0477455911</v>
      </c>
      <c r="Q19" s="74">
        <f>G$7*基础状态预估!P25</f>
        <v>185203.15198866764</v>
      </c>
      <c r="R19" s="74">
        <f>H$7*基础状态预估!Q25</f>
        <v>0</v>
      </c>
      <c r="S19" s="74">
        <f t="shared" si="0"/>
        <v>290460.19973425876</v>
      </c>
      <c r="U19" s="74">
        <v>15</v>
      </c>
      <c r="V19" s="77">
        <f t="shared" si="1"/>
        <v>0</v>
      </c>
      <c r="W19" s="77">
        <f t="shared" si="2"/>
        <v>0</v>
      </c>
      <c r="X19" s="77">
        <f t="shared" si="3"/>
        <v>0</v>
      </c>
      <c r="Y19" s="77">
        <f t="shared" si="4"/>
        <v>0</v>
      </c>
      <c r="Z19" s="77">
        <f t="shared" si="5"/>
        <v>0</v>
      </c>
    </row>
    <row r="20" spans="1:26" ht="13.5" x14ac:dyDescent="0.15">
      <c r="A20"/>
      <c r="B20"/>
      <c r="C20"/>
      <c r="D20"/>
      <c r="K20" s="6">
        <v>420</v>
      </c>
      <c r="L20" s="74">
        <f>基础状态预估!D26</f>
        <v>87.171758893450118</v>
      </c>
      <c r="M20" s="74">
        <f>C$7*基础状态预估!L26</f>
        <v>0</v>
      </c>
      <c r="N20" s="74">
        <f>D$7*基础状态预估!M26</f>
        <v>0</v>
      </c>
      <c r="O20" s="74">
        <f>E$7*基础状态预估!N26</f>
        <v>0</v>
      </c>
      <c r="P20" s="74">
        <f>F$7*基础状态预估!O26</f>
        <v>0</v>
      </c>
      <c r="Q20" s="74">
        <f>G$7*基础状态预估!P26</f>
        <v>396267.54743030464</v>
      </c>
      <c r="R20" s="74">
        <f>H$7*基础状态预估!Q26</f>
        <v>37788.604746032048</v>
      </c>
      <c r="S20" s="74">
        <f t="shared" si="0"/>
        <v>434056.15217633668</v>
      </c>
      <c r="U20" s="74">
        <v>16</v>
      </c>
      <c r="V20" s="77">
        <f t="shared" si="1"/>
        <v>0</v>
      </c>
      <c r="W20" s="77">
        <f t="shared" si="2"/>
        <v>0</v>
      </c>
      <c r="X20" s="77">
        <f t="shared" si="3"/>
        <v>0</v>
      </c>
      <c r="Y20" s="77">
        <f t="shared" si="4"/>
        <v>0</v>
      </c>
      <c r="Z20" s="77">
        <f t="shared" si="5"/>
        <v>0</v>
      </c>
    </row>
    <row r="21" spans="1:26" ht="13.5" x14ac:dyDescent="0.15">
      <c r="A21"/>
      <c r="B21"/>
      <c r="C21"/>
      <c r="D21"/>
      <c r="K21" s="6">
        <v>480</v>
      </c>
      <c r="L21" s="74">
        <f>基础状态预估!D27</f>
        <v>89.095870094999412</v>
      </c>
      <c r="M21" s="74">
        <f>C$7*基础状态预估!L27</f>
        <v>0</v>
      </c>
      <c r="N21" s="74">
        <f>D$7*基础状态预估!M27</f>
        <v>0</v>
      </c>
      <c r="O21" s="74">
        <f>E$7*基础状态预估!N27</f>
        <v>0</v>
      </c>
      <c r="P21" s="74">
        <f>F$7*基础状态预估!O27</f>
        <v>0</v>
      </c>
      <c r="Q21" s="74">
        <f>G$7*基础状态预估!P27</f>
        <v>390302.80270550185</v>
      </c>
      <c r="R21" s="74">
        <f>H$7*基础状态预估!Q27</f>
        <v>71268.139652989776</v>
      </c>
      <c r="S21" s="74">
        <f>SUM(M21:R21)</f>
        <v>461570.94235849159</v>
      </c>
      <c r="U21" s="74">
        <v>17</v>
      </c>
      <c r="V21" s="77">
        <f t="shared" si="1"/>
        <v>0</v>
      </c>
      <c r="W21" s="77">
        <f t="shared" si="2"/>
        <v>0</v>
      </c>
      <c r="X21" s="77">
        <f t="shared" si="3"/>
        <v>0</v>
      </c>
      <c r="Y21" s="77">
        <f t="shared" si="4"/>
        <v>0</v>
      </c>
      <c r="Z21" s="77">
        <f t="shared" si="5"/>
        <v>0</v>
      </c>
    </row>
    <row r="22" spans="1:26" ht="13.5" x14ac:dyDescent="0.15">
      <c r="A22"/>
      <c r="B22"/>
      <c r="C22"/>
      <c r="D22"/>
      <c r="K22" s="6">
        <v>540</v>
      </c>
      <c r="L22" s="74">
        <f>基础状态预估!D28</f>
        <v>90.789158318387649</v>
      </c>
      <c r="M22" s="74">
        <f>C$7*基础状态预估!L28</f>
        <v>0</v>
      </c>
      <c r="N22" s="74">
        <f>D$7*基础状态预估!M28</f>
        <v>0</v>
      </c>
      <c r="O22" s="74">
        <f>E$7*基础状态预估!N28</f>
        <v>0</v>
      </c>
      <c r="P22" s="74">
        <f>F$7*基础状态预估!O28</f>
        <v>0</v>
      </c>
      <c r="Q22" s="74">
        <f>G$7*基础状态预估!P28</f>
        <v>384608.81088808889</v>
      </c>
      <c r="R22" s="74">
        <f>H$7*基础状态预估!Q28</f>
        <v>100731.35473994509</v>
      </c>
      <c r="S22" s="74">
        <f t="shared" si="0"/>
        <v>485340.16562803398</v>
      </c>
      <c r="U22" s="74">
        <v>18</v>
      </c>
      <c r="V22" s="77">
        <f t="shared" si="1"/>
        <v>0</v>
      </c>
      <c r="W22" s="77">
        <f t="shared" si="2"/>
        <v>0</v>
      </c>
      <c r="X22" s="77">
        <f t="shared" si="3"/>
        <v>0</v>
      </c>
      <c r="Y22" s="77">
        <f t="shared" si="4"/>
        <v>0</v>
      </c>
      <c r="Z22" s="77">
        <f t="shared" si="5"/>
        <v>0</v>
      </c>
    </row>
    <row r="23" spans="1:26" ht="13.5" x14ac:dyDescent="0.15">
      <c r="A23"/>
      <c r="B23"/>
      <c r="C23"/>
      <c r="D23"/>
      <c r="K23" s="6">
        <v>600</v>
      </c>
      <c r="L23" s="74">
        <f>基础状态预估!D29</f>
        <v>92.304802564325527</v>
      </c>
      <c r="M23" s="74">
        <f>C$7*基础状态预估!L29</f>
        <v>0</v>
      </c>
      <c r="N23" s="74">
        <f>D$7*基础状态预估!M29</f>
        <v>0</v>
      </c>
      <c r="O23" s="74">
        <f>E$7*基础状态预估!N29</f>
        <v>0</v>
      </c>
      <c r="P23" s="74">
        <f>F$7*基础状态预估!O29</f>
        <v>0</v>
      </c>
      <c r="Q23" s="74">
        <f>G$7*基础状态预估!P29</f>
        <v>379056.04151433462</v>
      </c>
      <c r="R23" s="74">
        <f>H$7*基础状态预估!Q29</f>
        <v>127103.56461926417</v>
      </c>
      <c r="S23" s="74">
        <f t="shared" si="0"/>
        <v>506159.60613359878</v>
      </c>
      <c r="U23" s="74">
        <v>19</v>
      </c>
      <c r="V23" s="77">
        <f t="shared" si="1"/>
        <v>0</v>
      </c>
      <c r="W23" s="77">
        <f t="shared" si="2"/>
        <v>0</v>
      </c>
      <c r="X23" s="77">
        <f t="shared" si="3"/>
        <v>0</v>
      </c>
      <c r="Y23" s="77">
        <f t="shared" si="4"/>
        <v>0</v>
      </c>
      <c r="Z23" s="77">
        <f t="shared" si="5"/>
        <v>0</v>
      </c>
    </row>
    <row r="24" spans="1:26" ht="13.5" x14ac:dyDescent="0.15">
      <c r="A24"/>
      <c r="B24"/>
      <c r="C24"/>
      <c r="D24"/>
      <c r="K24" s="6">
        <v>660</v>
      </c>
      <c r="L24" s="74">
        <f>基础状态预估!D30</f>
        <v>93.677555929742169</v>
      </c>
      <c r="M24" s="74">
        <f>C$7*基础状态预估!L30</f>
        <v>0</v>
      </c>
      <c r="N24" s="74">
        <f>D$7*基础状态预估!M30</f>
        <v>0</v>
      </c>
      <c r="O24" s="74">
        <f>E$7*基础状态预估!N30</f>
        <v>0</v>
      </c>
      <c r="P24" s="74">
        <f>F$7*基础状态预估!O30</f>
        <v>0</v>
      </c>
      <c r="Q24" s="74">
        <f>G$7*基础状态预估!P30</f>
        <v>374026.7723664901</v>
      </c>
      <c r="R24" s="74">
        <f>H$7*基础状态预估!Q30</f>
        <v>150989.47317751375</v>
      </c>
      <c r="S24" s="74">
        <f t="shared" si="0"/>
        <v>525016.24554400379</v>
      </c>
      <c r="U24" s="74">
        <v>20</v>
      </c>
      <c r="V24" s="77">
        <f t="shared" si="1"/>
        <v>0</v>
      </c>
      <c r="W24" s="77">
        <f t="shared" si="2"/>
        <v>0</v>
      </c>
      <c r="X24" s="77">
        <f t="shared" si="3"/>
        <v>0</v>
      </c>
      <c r="Y24" s="77">
        <f t="shared" si="4"/>
        <v>0</v>
      </c>
      <c r="Z24" s="77">
        <f t="shared" si="5"/>
        <v>0</v>
      </c>
    </row>
    <row r="25" spans="1:26" ht="13.5" x14ac:dyDescent="0.15">
      <c r="A25"/>
      <c r="B25"/>
      <c r="C25"/>
      <c r="D25"/>
      <c r="K25" s="6">
        <v>720</v>
      </c>
      <c r="L25" s="74">
        <f>基础状态预估!D31</f>
        <v>94.936535599813325</v>
      </c>
      <c r="M25" s="74">
        <f>C$7*基础状态预估!L31</f>
        <v>0</v>
      </c>
      <c r="N25" s="74">
        <f>D$7*基础状态预估!M31</f>
        <v>0</v>
      </c>
      <c r="O25" s="74">
        <f>E$7*基础状态预估!N31</f>
        <v>0</v>
      </c>
      <c r="P25" s="74">
        <f>F$7*基础状态预估!O31</f>
        <v>0</v>
      </c>
      <c r="Q25" s="74">
        <f>G$7*基础状态预估!P31</f>
        <v>369414.32866613846</v>
      </c>
      <c r="R25" s="74">
        <f>H$7*基础状态预估!Q31</f>
        <v>172895.71943675185</v>
      </c>
      <c r="S25" s="74">
        <f t="shared" si="0"/>
        <v>542310.04810289037</v>
      </c>
      <c r="U25" s="74">
        <v>21</v>
      </c>
      <c r="V25" s="77">
        <f t="shared" si="1"/>
        <v>0</v>
      </c>
      <c r="W25" s="77">
        <f t="shared" si="2"/>
        <v>0</v>
      </c>
      <c r="X25" s="77">
        <f t="shared" si="3"/>
        <v>0</v>
      </c>
      <c r="Y25" s="77">
        <f t="shared" si="4"/>
        <v>0</v>
      </c>
      <c r="Z25" s="77">
        <f t="shared" si="5"/>
        <v>0</v>
      </c>
    </row>
    <row r="26" spans="1:26" ht="13.5" x14ac:dyDescent="0.15">
      <c r="A26"/>
      <c r="B26"/>
      <c r="C26"/>
      <c r="D26"/>
      <c r="K26" s="6">
        <v>780</v>
      </c>
      <c r="L26" s="74">
        <f>基础状态预估!D32</f>
        <v>96.088925601853575</v>
      </c>
      <c r="M26" s="74">
        <f>C$7*基础状态预估!L32</f>
        <v>-1.0658141036401503E-12</v>
      </c>
      <c r="N26" s="74">
        <f>D$7*基础状态预估!M32</f>
        <v>4.2632564145606011E-12</v>
      </c>
      <c r="O26" s="74">
        <f>E$7*基础状态预估!N32</f>
        <v>-9.4146912488213275E-12</v>
      </c>
      <c r="P26" s="74">
        <f>F$7*基础状态预估!O32</f>
        <v>2.6645352591003757E-11</v>
      </c>
      <c r="Q26" s="74">
        <f>G$7*基础状态预估!P32</f>
        <v>355065.38265233452</v>
      </c>
      <c r="R26" s="74">
        <f>H$7*基础状态预估!Q32</f>
        <v>211894.61094450441</v>
      </c>
      <c r="S26" s="74">
        <f t="shared" si="0"/>
        <v>566959.9935968389</v>
      </c>
      <c r="U26" s="74">
        <v>22</v>
      </c>
      <c r="V26" s="77">
        <f t="shared" si="1"/>
        <v>0</v>
      </c>
      <c r="W26" s="77">
        <f t="shared" si="2"/>
        <v>0</v>
      </c>
      <c r="X26" s="77">
        <f t="shared" si="3"/>
        <v>0</v>
      </c>
      <c r="Y26" s="77">
        <f t="shared" si="4"/>
        <v>0</v>
      </c>
      <c r="Z26" s="77">
        <f t="shared" si="5"/>
        <v>0</v>
      </c>
    </row>
    <row r="27" spans="1:26" ht="13.5" x14ac:dyDescent="0.15">
      <c r="A27"/>
      <c r="B27"/>
      <c r="C27"/>
      <c r="D27"/>
      <c r="K27" s="6">
        <v>840</v>
      </c>
      <c r="L27" s="74">
        <f>基础状态预估!D33</f>
        <v>97.155007723537565</v>
      </c>
      <c r="M27" s="74">
        <f>C$7*基础状态预估!L33</f>
        <v>0</v>
      </c>
      <c r="N27" s="74">
        <f>D$7*基础状态预估!M33</f>
        <v>0</v>
      </c>
      <c r="O27" s="74">
        <f>E$7*基础状态预估!N33</f>
        <v>0</v>
      </c>
      <c r="P27" s="74">
        <f>F$7*基础状态预估!O33</f>
        <v>0</v>
      </c>
      <c r="Q27" s="74">
        <f>G$7*基础状态预估!P33</f>
        <v>341245.0816930494</v>
      </c>
      <c r="R27" s="74">
        <f>H$7*基础状态预估!Q33</f>
        <v>248994.26877910728</v>
      </c>
      <c r="S27" s="74">
        <f t="shared" si="0"/>
        <v>590239.35047215666</v>
      </c>
      <c r="U27" s="74">
        <v>23</v>
      </c>
      <c r="V27" s="77">
        <f t="shared" si="1"/>
        <v>0</v>
      </c>
      <c r="W27" s="77">
        <f t="shared" si="2"/>
        <v>0</v>
      </c>
      <c r="X27" s="77">
        <f t="shared" si="3"/>
        <v>0</v>
      </c>
      <c r="Y27" s="77">
        <f t="shared" si="4"/>
        <v>0</v>
      </c>
      <c r="Z27" s="77">
        <f t="shared" si="5"/>
        <v>0</v>
      </c>
    </row>
    <row r="28" spans="1:26" ht="13.5" x14ac:dyDescent="0.15">
      <c r="A28"/>
      <c r="B28"/>
      <c r="C28"/>
      <c r="D28"/>
      <c r="K28" s="6">
        <v>900</v>
      </c>
      <c r="L28" s="74">
        <f>基础状态预估!D34</f>
        <v>98.149357978981357</v>
      </c>
      <c r="M28" s="74">
        <f>C$7*基础状态预估!L34</f>
        <v>0</v>
      </c>
      <c r="N28" s="74">
        <f>D$7*基础状态预估!M34</f>
        <v>0</v>
      </c>
      <c r="O28" s="74">
        <f>E$7*基础状态预估!N34</f>
        <v>0</v>
      </c>
      <c r="P28" s="74">
        <f>F$7*基础状态预估!O34</f>
        <v>0</v>
      </c>
      <c r="Q28" s="74">
        <f>G$7*基础状态预估!P34</f>
        <v>328354.68656338711</v>
      </c>
      <c r="R28" s="74">
        <f>H$7*基础状态预估!Q34</f>
        <v>283597.6576685512</v>
      </c>
      <c r="S28" s="74">
        <f t="shared" si="0"/>
        <v>611952.34423193824</v>
      </c>
      <c r="U28" s="74">
        <v>24</v>
      </c>
      <c r="V28" s="77">
        <f t="shared" si="1"/>
        <v>0</v>
      </c>
      <c r="W28" s="77">
        <f t="shared" si="2"/>
        <v>0</v>
      </c>
      <c r="X28" s="77">
        <f t="shared" si="3"/>
        <v>0</v>
      </c>
      <c r="Y28" s="77">
        <f t="shared" si="4"/>
        <v>0</v>
      </c>
      <c r="Z28" s="77">
        <f t="shared" si="5"/>
        <v>0</v>
      </c>
    </row>
    <row r="29" spans="1:26" ht="13.5" x14ac:dyDescent="0.15">
      <c r="A29"/>
      <c r="B29"/>
      <c r="C29"/>
      <c r="D29"/>
      <c r="K29" s="6">
        <v>1020</v>
      </c>
      <c r="L29" s="74">
        <f>基础状态预估!D35</f>
        <v>99.956251778790289</v>
      </c>
      <c r="M29" s="74">
        <f>C$7*基础状态预估!L35</f>
        <v>0</v>
      </c>
      <c r="N29" s="74">
        <f>D$7*基础状态预估!M35</f>
        <v>0</v>
      </c>
      <c r="O29" s="74">
        <f>E$7*基础状态预估!N35</f>
        <v>0</v>
      </c>
      <c r="P29" s="74">
        <f>F$7*基础状态预估!O35</f>
        <v>0</v>
      </c>
      <c r="Q29" s="74">
        <f>G$7*基础状态预估!P35</f>
        <v>304930.77239495493</v>
      </c>
      <c r="R29" s="74">
        <f>H$7*基础状态预估!Q35</f>
        <v>346477.56190190208</v>
      </c>
      <c r="S29" s="74">
        <f t="shared" si="0"/>
        <v>651408.33429685701</v>
      </c>
      <c r="U29" s="74">
        <v>25</v>
      </c>
      <c r="V29" s="77">
        <f t="shared" si="1"/>
        <v>0</v>
      </c>
      <c r="W29" s="77">
        <f t="shared" si="2"/>
        <v>0</v>
      </c>
      <c r="X29" s="77">
        <f t="shared" si="3"/>
        <v>0</v>
      </c>
      <c r="Y29" s="77">
        <f t="shared" si="4"/>
        <v>0</v>
      </c>
      <c r="Z29" s="77">
        <f t="shared" si="5"/>
        <v>0</v>
      </c>
    </row>
    <row r="30" spans="1:26" ht="13.5" x14ac:dyDescent="0.15">
      <c r="A30"/>
      <c r="B30"/>
      <c r="C30"/>
      <c r="D30"/>
      <c r="K30" s="6">
        <v>1140</v>
      </c>
      <c r="L30" s="74">
        <f>基础状态预估!D36</f>
        <v>101.55228351453842</v>
      </c>
      <c r="M30" s="74">
        <f>C$7*基础状态预估!L36</f>
        <v>0</v>
      </c>
      <c r="N30" s="74">
        <f>D$7*基础状态预估!M36</f>
        <v>0</v>
      </c>
      <c r="O30" s="74">
        <f>E$7*基础状态预估!N36</f>
        <v>0</v>
      </c>
      <c r="P30" s="74">
        <f>F$7*基础状态预估!O36</f>
        <v>0</v>
      </c>
      <c r="Q30" s="74">
        <f>G$7*基础状态预估!P36</f>
        <v>283980.99145470059</v>
      </c>
      <c r="R30" s="74">
        <f>H$7*基础状态预估!Q36</f>
        <v>402019.46630593686</v>
      </c>
      <c r="S30" s="74">
        <f t="shared" si="0"/>
        <v>686000.45776063739</v>
      </c>
      <c r="U30" s="74">
        <v>26</v>
      </c>
      <c r="V30" s="77">
        <f t="shared" si="1"/>
        <v>0</v>
      </c>
      <c r="W30" s="77">
        <f t="shared" si="2"/>
        <v>0</v>
      </c>
      <c r="X30" s="77">
        <f t="shared" si="3"/>
        <v>0</v>
      </c>
      <c r="Y30" s="77">
        <f t="shared" si="4"/>
        <v>0</v>
      </c>
      <c r="Z30" s="77">
        <f t="shared" si="5"/>
        <v>0</v>
      </c>
    </row>
    <row r="31" spans="1:26" ht="13.5" x14ac:dyDescent="0.15">
      <c r="A31"/>
      <c r="B31"/>
      <c r="C31"/>
      <c r="D31"/>
      <c r="K31" s="6">
        <v>1260</v>
      </c>
      <c r="L31" s="74">
        <f>基础状态预估!D37</f>
        <v>103.0034052427059</v>
      </c>
      <c r="M31" s="74">
        <f>C$7*基础状态预估!L37</f>
        <v>0</v>
      </c>
      <c r="N31" s="74">
        <f>D$7*基础状态预估!M37</f>
        <v>0</v>
      </c>
      <c r="O31" s="74">
        <f>E$7*基础状态预估!N37</f>
        <v>0</v>
      </c>
      <c r="P31" s="74">
        <f>F$7*基础状态预估!O37</f>
        <v>0</v>
      </c>
      <c r="Q31" s="74">
        <f>G$7*基础状态预估!P37</f>
        <v>264487.5895729842</v>
      </c>
      <c r="R31" s="74">
        <f>H$7*基础状态预估!Q37</f>
        <v>452518.50244616513</v>
      </c>
      <c r="S31" s="74">
        <f t="shared" si="0"/>
        <v>717006.09201914934</v>
      </c>
      <c r="U31" s="74">
        <v>27</v>
      </c>
      <c r="V31" s="77">
        <f t="shared" si="1"/>
        <v>0</v>
      </c>
      <c r="W31" s="77">
        <f t="shared" si="2"/>
        <v>0</v>
      </c>
      <c r="X31" s="77">
        <f t="shared" si="3"/>
        <v>0</v>
      </c>
      <c r="Y31" s="77">
        <f t="shared" si="4"/>
        <v>0</v>
      </c>
      <c r="Z31" s="77">
        <f t="shared" si="5"/>
        <v>0</v>
      </c>
    </row>
    <row r="32" spans="1:26" ht="13.5" x14ac:dyDescent="0.15">
      <c r="A32"/>
      <c r="B32"/>
      <c r="C32"/>
      <c r="D32"/>
      <c r="K32" s="6">
        <v>1380</v>
      </c>
      <c r="L32" s="74">
        <f>基础状态预估!D38</f>
        <v>104.30753076754127</v>
      </c>
      <c r="M32" s="74">
        <f>C$7*基础状态预估!L38</f>
        <v>0</v>
      </c>
      <c r="N32" s="74">
        <f>D$7*基础状态预估!M38</f>
        <v>0</v>
      </c>
      <c r="O32" s="74">
        <f>E$7*基础状态预估!N38</f>
        <v>0</v>
      </c>
      <c r="P32" s="74">
        <f>F$7*基础状态预估!O38</f>
        <v>0</v>
      </c>
      <c r="Q32" s="74">
        <f>G$7*基础状态预估!P38</f>
        <v>246968.8366893623</v>
      </c>
      <c r="R32" s="74">
        <f>H$7*基础状态预估!Q38</f>
        <v>497902.07071043603</v>
      </c>
      <c r="S32" s="74">
        <f t="shared" si="0"/>
        <v>744870.90739979828</v>
      </c>
      <c r="U32" s="74">
        <v>28</v>
      </c>
      <c r="V32" s="77">
        <f t="shared" si="1"/>
        <v>0</v>
      </c>
      <c r="W32" s="77">
        <f t="shared" si="2"/>
        <v>0</v>
      </c>
      <c r="X32" s="77">
        <f t="shared" si="3"/>
        <v>0</v>
      </c>
      <c r="Y32" s="77">
        <f t="shared" si="4"/>
        <v>0</v>
      </c>
      <c r="Z32" s="77">
        <f t="shared" si="5"/>
        <v>0</v>
      </c>
    </row>
    <row r="33" spans="1:26" ht="13.5" x14ac:dyDescent="0.15">
      <c r="A33"/>
      <c r="B33"/>
      <c r="C33"/>
      <c r="D33"/>
      <c r="K33" s="6">
        <v>1500</v>
      </c>
      <c r="L33" s="74">
        <f>基础状态预估!D39</f>
        <v>105.50842583986083</v>
      </c>
      <c r="M33" s="74">
        <f>C$7*基础状态预估!L39</f>
        <v>0</v>
      </c>
      <c r="N33" s="74">
        <f>D$7*基础状态预估!M39</f>
        <v>0</v>
      </c>
      <c r="O33" s="74">
        <f>E$7*基础状态预估!N39</f>
        <v>0</v>
      </c>
      <c r="P33" s="74">
        <f>F$7*基础状态预估!O39</f>
        <v>0</v>
      </c>
      <c r="Q33" s="74">
        <f>G$7*基础状态预估!P39</f>
        <v>225678.60163649349</v>
      </c>
      <c r="R33" s="74">
        <f>H$7*基础状态预估!Q39</f>
        <v>549344.06607833365</v>
      </c>
      <c r="S33" s="74">
        <f t="shared" si="0"/>
        <v>775022.66771482711</v>
      </c>
      <c r="U33" s="74">
        <v>29</v>
      </c>
      <c r="V33" s="77">
        <f t="shared" si="1"/>
        <v>0</v>
      </c>
      <c r="W33" s="77">
        <f t="shared" si="2"/>
        <v>0</v>
      </c>
      <c r="X33" s="77">
        <f t="shared" si="3"/>
        <v>0</v>
      </c>
      <c r="Y33" s="77">
        <f t="shared" si="4"/>
        <v>0</v>
      </c>
      <c r="Z33" s="77">
        <f t="shared" si="5"/>
        <v>0</v>
      </c>
    </row>
    <row r="34" spans="1:26" ht="13.5" x14ac:dyDescent="0.15">
      <c r="A34"/>
      <c r="B34"/>
      <c r="C34"/>
      <c r="D34"/>
      <c r="K34" s="6">
        <v>1800</v>
      </c>
      <c r="L34" s="74">
        <f>基础状态预估!D40</f>
        <v>108.14154328189373</v>
      </c>
      <c r="M34" s="74">
        <f>C$7*基础状态预估!L40</f>
        <v>0</v>
      </c>
      <c r="N34" s="74">
        <f>D$7*基础状态预估!M40</f>
        <v>0</v>
      </c>
      <c r="O34" s="74">
        <f>E$7*基础状态预估!N40</f>
        <v>0</v>
      </c>
      <c r="P34" s="74">
        <f>F$7*基础状态预估!O40</f>
        <v>0</v>
      </c>
      <c r="Q34" s="74">
        <f>G$7*基础状态预估!P40</f>
        <v>163592.88401086326</v>
      </c>
      <c r="R34" s="74">
        <f>H$7*基础状态预估!Q40</f>
        <v>690957.90959712106</v>
      </c>
      <c r="S34" s="74">
        <f t="shared" si="0"/>
        <v>854550.79360798432</v>
      </c>
      <c r="U34" s="74">
        <v>30</v>
      </c>
      <c r="V34" s="77">
        <f t="shared" si="1"/>
        <v>0</v>
      </c>
      <c r="W34" s="77">
        <f t="shared" si="2"/>
        <v>0</v>
      </c>
      <c r="X34" s="77">
        <f t="shared" si="3"/>
        <v>0</v>
      </c>
      <c r="Y34" s="77">
        <f t="shared" si="4"/>
        <v>0</v>
      </c>
      <c r="Z34" s="77">
        <f t="shared" si="5"/>
        <v>0</v>
      </c>
    </row>
    <row r="35" spans="1:26" x14ac:dyDescent="0.15">
      <c r="K35" s="6">
        <v>2100</v>
      </c>
      <c r="L35" s="74">
        <f>基础状态预估!D41</f>
        <v>110.36056371443574</v>
      </c>
      <c r="M35" s="74">
        <f>C$7*基础状态预估!L41</f>
        <v>0</v>
      </c>
      <c r="N35" s="74">
        <f>D$7*基础状态预估!M41</f>
        <v>0</v>
      </c>
      <c r="O35" s="74">
        <f>E$7*基础状态预估!N41</f>
        <v>0</v>
      </c>
      <c r="P35" s="74">
        <f>F$7*基础状态预估!O41</f>
        <v>0</v>
      </c>
      <c r="Q35" s="74">
        <f>G$7*基础状态预估!P41</f>
        <v>111271.07193325908</v>
      </c>
      <c r="R35" s="74">
        <f>H$7*基础状态预估!Q41</f>
        <v>810300.86304183502</v>
      </c>
      <c r="S35" s="74">
        <f t="shared" si="0"/>
        <v>921571.93497509416</v>
      </c>
      <c r="U35" s="74">
        <v>31</v>
      </c>
      <c r="V35" s="77">
        <f t="shared" si="1"/>
        <v>0</v>
      </c>
      <c r="W35" s="77">
        <f t="shared" si="2"/>
        <v>0</v>
      </c>
      <c r="X35" s="77">
        <f t="shared" si="3"/>
        <v>0</v>
      </c>
      <c r="Y35" s="77">
        <f t="shared" si="4"/>
        <v>0</v>
      </c>
      <c r="Z35" s="77">
        <f t="shared" si="5"/>
        <v>0</v>
      </c>
    </row>
    <row r="36" spans="1:26" x14ac:dyDescent="0.15">
      <c r="K36" s="6">
        <v>2400</v>
      </c>
      <c r="L36" s="74">
        <f>基础状态预估!D42</f>
        <v>112.28703526556856</v>
      </c>
      <c r="M36" s="74">
        <f>C$7*基础状态预估!L42</f>
        <v>0</v>
      </c>
      <c r="N36" s="74">
        <f>D$7*基础状态预估!M42</f>
        <v>0</v>
      </c>
      <c r="O36" s="74">
        <f>E$7*基础状态预估!N42</f>
        <v>0</v>
      </c>
      <c r="P36" s="74">
        <f>F$7*基础状态预估!O42</f>
        <v>0</v>
      </c>
      <c r="Q36" s="74">
        <f>G$7*基础状态预估!P42</f>
        <v>65847.207874578889</v>
      </c>
      <c r="R36" s="74">
        <f>H$7*基础状态预估!Q42</f>
        <v>913910.00573730562</v>
      </c>
      <c r="S36" s="74">
        <f t="shared" si="0"/>
        <v>979757.21361188451</v>
      </c>
      <c r="U36" s="74">
        <v>32</v>
      </c>
      <c r="V36" s="77">
        <f t="shared" si="1"/>
        <v>0</v>
      </c>
      <c r="W36" s="77">
        <f t="shared" si="2"/>
        <v>0</v>
      </c>
      <c r="X36" s="77">
        <f t="shared" si="3"/>
        <v>0</v>
      </c>
      <c r="Y36" s="77">
        <f t="shared" si="4"/>
        <v>0</v>
      </c>
      <c r="Z36" s="77">
        <f t="shared" si="5"/>
        <v>0</v>
      </c>
    </row>
    <row r="37" spans="1:26" x14ac:dyDescent="0.15">
      <c r="K37" s="6">
        <v>2700</v>
      </c>
      <c r="L37" s="74">
        <f>基础状态预估!D43</f>
        <v>113.99252797204601</v>
      </c>
      <c r="M37" s="74">
        <f>C$7*基础状态预估!L43</f>
        <v>0</v>
      </c>
      <c r="N37" s="74">
        <f>D$7*基础状态预估!M43</f>
        <v>0</v>
      </c>
      <c r="O37" s="74">
        <f>E$7*基础状态预估!N43</f>
        <v>0</v>
      </c>
      <c r="P37" s="74">
        <f>F$7*基础状态预估!O43</f>
        <v>0</v>
      </c>
      <c r="Q37" s="74">
        <f>G$7*基础状态预估!P43</f>
        <v>25239.290874426952</v>
      </c>
      <c r="R37" s="74">
        <f>H$7*基础状态预估!Q43</f>
        <v>1005634.5043874925</v>
      </c>
      <c r="S37" s="74">
        <f t="shared" si="0"/>
        <v>1030873.7952619195</v>
      </c>
      <c r="U37" s="74">
        <v>33</v>
      </c>
      <c r="V37" s="77">
        <f t="shared" si="1"/>
        <v>0</v>
      </c>
      <c r="W37" s="77">
        <f t="shared" si="2"/>
        <v>0</v>
      </c>
      <c r="X37" s="77">
        <f t="shared" si="3"/>
        <v>0</v>
      </c>
      <c r="Y37" s="77">
        <f t="shared" si="4"/>
        <v>0</v>
      </c>
      <c r="Z37" s="77">
        <f t="shared" si="5"/>
        <v>0</v>
      </c>
    </row>
    <row r="38" spans="1:26" x14ac:dyDescent="0.15">
      <c r="K38" s="6">
        <v>3000</v>
      </c>
      <c r="L38" s="74">
        <f>基础状态预估!D44</f>
        <v>115.50361532953012</v>
      </c>
      <c r="M38" s="74">
        <f>C$7*基础状态预估!L44</f>
        <v>0</v>
      </c>
      <c r="N38" s="74">
        <f>D$7*基础状态预估!M44</f>
        <v>0</v>
      </c>
      <c r="O38" s="74">
        <f>E$7*基础状态预估!N44</f>
        <v>0</v>
      </c>
      <c r="P38" s="74">
        <f>F$7*基础状态预估!O44</f>
        <v>0</v>
      </c>
      <c r="Q38" s="74">
        <f>G$7*基础状态预估!P44</f>
        <v>0</v>
      </c>
      <c r="R38" s="74">
        <f>H$7*基础状态预估!Q44</f>
        <v>1066339.952171192</v>
      </c>
      <c r="S38" s="74">
        <f t="shared" si="0"/>
        <v>1066339.952171192</v>
      </c>
      <c r="U38" s="74">
        <v>34</v>
      </c>
      <c r="V38" s="77">
        <f t="shared" si="1"/>
        <v>0</v>
      </c>
      <c r="W38" s="77">
        <f t="shared" si="2"/>
        <v>0</v>
      </c>
      <c r="X38" s="77">
        <f t="shared" si="3"/>
        <v>0</v>
      </c>
      <c r="Y38" s="77">
        <f t="shared" si="4"/>
        <v>0</v>
      </c>
      <c r="Z38" s="77">
        <f t="shared" si="5"/>
        <v>0</v>
      </c>
    </row>
    <row r="39" spans="1:26" x14ac:dyDescent="0.15">
      <c r="K39" s="6">
        <v>3300</v>
      </c>
      <c r="L39" s="74">
        <f>基础状态预估!D45</f>
        <v>116.88336617936118</v>
      </c>
      <c r="M39" s="74">
        <f>C$7*基础状态预估!L45</f>
        <v>0</v>
      </c>
      <c r="N39" s="74">
        <f>D$7*基础状态预估!M45</f>
        <v>0</v>
      </c>
      <c r="O39" s="74">
        <f>E$7*基础状态预估!N45</f>
        <v>0</v>
      </c>
      <c r="P39" s="74">
        <f>F$7*基础状态预估!O45</f>
        <v>0</v>
      </c>
      <c r="Q39" s="74">
        <f>G$7*基础状态预估!P45</f>
        <v>0</v>
      </c>
      <c r="R39" s="74">
        <f>H$7*基础状态预估!Q45</f>
        <v>1078651.5751389151</v>
      </c>
      <c r="S39" s="74">
        <f t="shared" si="0"/>
        <v>1078651.5751389151</v>
      </c>
      <c r="U39" s="74">
        <v>35</v>
      </c>
      <c r="V39" s="77">
        <f t="shared" si="1"/>
        <v>0</v>
      </c>
      <c r="W39" s="77">
        <f t="shared" si="2"/>
        <v>0</v>
      </c>
      <c r="X39" s="77">
        <f t="shared" si="3"/>
        <v>0</v>
      </c>
      <c r="Y39" s="77">
        <f t="shared" si="4"/>
        <v>0</v>
      </c>
      <c r="Z39" s="77">
        <f t="shared" si="5"/>
        <v>0</v>
      </c>
    </row>
    <row r="40" spans="1:26" x14ac:dyDescent="0.15">
      <c r="K40" s="6">
        <v>3600</v>
      </c>
      <c r="L40" s="74">
        <f>基础状态预估!D46</f>
        <v>118.13763593334991</v>
      </c>
      <c r="M40" s="74">
        <f>C$7*基础状态预估!L46</f>
        <v>0</v>
      </c>
      <c r="N40" s="74">
        <f>D$7*基础状态预估!M46</f>
        <v>0</v>
      </c>
      <c r="O40" s="74">
        <f>E$7*基础状态预估!N46</f>
        <v>0</v>
      </c>
      <c r="P40" s="74">
        <f>F$7*基础状态预估!O46</f>
        <v>0</v>
      </c>
      <c r="Q40" s="74">
        <f>G$7*基础状态预估!P46</f>
        <v>0</v>
      </c>
      <c r="R40" s="74">
        <f>H$7*基础状态预估!Q46</f>
        <v>1089843.5206360454</v>
      </c>
      <c r="S40" s="74">
        <f t="shared" si="0"/>
        <v>1089843.5206360454</v>
      </c>
      <c r="U40" s="74">
        <v>36</v>
      </c>
      <c r="V40" s="77">
        <f t="shared" si="1"/>
        <v>0</v>
      </c>
      <c r="W40" s="77">
        <f t="shared" si="2"/>
        <v>0</v>
      </c>
      <c r="X40" s="77">
        <f t="shared" si="3"/>
        <v>0</v>
      </c>
      <c r="Y40" s="77">
        <f t="shared" si="4"/>
        <v>0</v>
      </c>
      <c r="Z40" s="77">
        <f t="shared" si="5"/>
        <v>0</v>
      </c>
    </row>
    <row r="41" spans="1:26" x14ac:dyDescent="0.15">
      <c r="K41" s="6">
        <v>3900</v>
      </c>
      <c r="L41" s="74">
        <f>基础状态预估!D47</f>
        <v>119.28909140534228</v>
      </c>
      <c r="M41" s="74">
        <f>C$7*基础状态预估!L47</f>
        <v>0</v>
      </c>
      <c r="N41" s="74">
        <f>D$7*基础状态预估!M47</f>
        <v>0</v>
      </c>
      <c r="O41" s="74">
        <f>E$7*基础状态预估!N47</f>
        <v>0</v>
      </c>
      <c r="P41" s="74">
        <f>F$7*基础状态预估!O47</f>
        <v>0</v>
      </c>
      <c r="Q41" s="74">
        <f>G$7*基础状态预估!P47</f>
        <v>0</v>
      </c>
      <c r="R41" s="74">
        <f>H$7*基础状态预估!Q47</f>
        <v>1100118.0463861311</v>
      </c>
      <c r="S41" s="74">
        <f t="shared" si="0"/>
        <v>1100118.0463861311</v>
      </c>
      <c r="U41" s="74">
        <v>37</v>
      </c>
      <c r="V41" s="77">
        <f t="shared" si="1"/>
        <v>0</v>
      </c>
      <c r="W41" s="77">
        <f t="shared" si="2"/>
        <v>0</v>
      </c>
      <c r="X41" s="77">
        <f t="shared" si="3"/>
        <v>0</v>
      </c>
      <c r="Y41" s="77">
        <f t="shared" si="4"/>
        <v>0</v>
      </c>
      <c r="Z41" s="77">
        <f t="shared" si="5"/>
        <v>0</v>
      </c>
    </row>
    <row r="42" spans="1:26" x14ac:dyDescent="0.15">
      <c r="K42" s="6">
        <v>4200</v>
      </c>
      <c r="L42" s="74">
        <f>基础状态预估!D48</f>
        <v>120.35716216995992</v>
      </c>
      <c r="M42" s="74">
        <f>C$7*基础状态预估!L48</f>
        <v>0</v>
      </c>
      <c r="N42" s="74">
        <f>D$7*基础状态预估!M48</f>
        <v>0</v>
      </c>
      <c r="O42" s="74">
        <f>E$7*基础状态预估!N48</f>
        <v>0</v>
      </c>
      <c r="P42" s="74">
        <f>F$7*基础状态预估!O48</f>
        <v>0</v>
      </c>
      <c r="Q42" s="74">
        <f>G$7*基础状态预估!P48</f>
        <v>0</v>
      </c>
      <c r="R42" s="74">
        <f>H$7*基础状态预估!Q48</f>
        <v>1109648.5239781039</v>
      </c>
      <c r="S42" s="74">
        <f t="shared" si="0"/>
        <v>1109648.5239781039</v>
      </c>
      <c r="U42" s="74">
        <v>38</v>
      </c>
      <c r="V42" s="77">
        <f t="shared" si="1"/>
        <v>0</v>
      </c>
      <c r="W42" s="77">
        <f t="shared" si="2"/>
        <v>0</v>
      </c>
      <c r="X42" s="77">
        <f t="shared" si="3"/>
        <v>0</v>
      </c>
      <c r="Y42" s="77">
        <f t="shared" si="4"/>
        <v>0</v>
      </c>
      <c r="Z42" s="77">
        <f t="shared" si="5"/>
        <v>0</v>
      </c>
    </row>
    <row r="43" spans="1:26" x14ac:dyDescent="0.15">
      <c r="K43" s="6">
        <v>4500</v>
      </c>
      <c r="L43" s="74">
        <f>基础状态预估!D49</f>
        <v>121.35233706179751</v>
      </c>
      <c r="M43" s="74">
        <f>C$7*基础状态预估!L49</f>
        <v>0</v>
      </c>
      <c r="N43" s="74">
        <f>D$7*基础状态预估!M49</f>
        <v>0</v>
      </c>
      <c r="O43" s="74">
        <f>E$7*基础状态预估!N49</f>
        <v>0</v>
      </c>
      <c r="P43" s="74">
        <f>F$7*基础状态预估!O49</f>
        <v>0</v>
      </c>
      <c r="Q43" s="74">
        <f>G$7*基础状态预估!P49</f>
        <v>0</v>
      </c>
      <c r="R43" s="74">
        <f>H$7*基础状态预估!Q49</f>
        <v>1118528.5460898855</v>
      </c>
      <c r="S43" s="74">
        <f t="shared" si="0"/>
        <v>1118528.5460898855</v>
      </c>
      <c r="U43" s="74">
        <v>39</v>
      </c>
      <c r="V43" s="77">
        <f t="shared" si="1"/>
        <v>0</v>
      </c>
      <c r="W43" s="77">
        <f t="shared" si="2"/>
        <v>0</v>
      </c>
      <c r="X43" s="77">
        <f t="shared" si="3"/>
        <v>0</v>
      </c>
      <c r="Y43" s="77">
        <f t="shared" si="4"/>
        <v>0</v>
      </c>
      <c r="Z43" s="77">
        <f t="shared" si="5"/>
        <v>0</v>
      </c>
    </row>
    <row r="44" spans="1:26" x14ac:dyDescent="0.15">
      <c r="K44" s="6">
        <v>4800</v>
      </c>
      <c r="L44" s="74">
        <f>基础状态预估!D50</f>
        <v>122.28407404910907</v>
      </c>
      <c r="M44" s="74">
        <f>C$7*基础状态预估!L50</f>
        <v>0</v>
      </c>
      <c r="N44" s="74">
        <f>D$7*基础状态预估!M50</f>
        <v>0</v>
      </c>
      <c r="O44" s="74">
        <f>E$7*基础状态预估!N50</f>
        <v>0</v>
      </c>
      <c r="P44" s="74">
        <f>F$7*基础状态预估!O50</f>
        <v>0</v>
      </c>
      <c r="Q44" s="74">
        <f>G$7*基础状态预估!P50</f>
        <v>0</v>
      </c>
      <c r="R44" s="74">
        <f>H$7*基础状态预估!Q50</f>
        <v>1126842.5068997424</v>
      </c>
      <c r="S44" s="74">
        <f t="shared" si="0"/>
        <v>1126842.5068997424</v>
      </c>
      <c r="U44" s="74">
        <v>40</v>
      </c>
      <c r="V44" s="77">
        <f t="shared" si="1"/>
        <v>0</v>
      </c>
      <c r="W44" s="77">
        <f t="shared" si="2"/>
        <v>0</v>
      </c>
      <c r="X44" s="77">
        <f t="shared" si="3"/>
        <v>0</v>
      </c>
      <c r="Y44" s="77">
        <f t="shared" si="4"/>
        <v>0</v>
      </c>
      <c r="Z44" s="77">
        <f t="shared" si="5"/>
        <v>0</v>
      </c>
    </row>
    <row r="45" spans="1:26" x14ac:dyDescent="0.15">
      <c r="K45" s="6">
        <v>65535</v>
      </c>
      <c r="L45" s="74">
        <f>基础状态预估!D51</f>
        <v>160</v>
      </c>
      <c r="M45" s="74">
        <f>C$7*基础状态预估!L51</f>
        <v>0</v>
      </c>
      <c r="N45" s="74">
        <f>D$7*基础状态预估!M51</f>
        <v>0</v>
      </c>
      <c r="O45" s="74">
        <f>E$7*基础状态预估!N51</f>
        <v>0</v>
      </c>
      <c r="P45" s="74">
        <f>F$7*基础状态预估!O51</f>
        <v>0</v>
      </c>
      <c r="Q45" s="74">
        <f>G$7*基础状态预估!P51</f>
        <v>0</v>
      </c>
      <c r="R45" s="74">
        <f>H$7*基础状态预估!Q51</f>
        <v>1160000</v>
      </c>
      <c r="S45" s="74">
        <f t="shared" si="0"/>
        <v>1160000</v>
      </c>
      <c r="U45" s="74">
        <v>41</v>
      </c>
      <c r="V45" s="77">
        <f t="shared" si="1"/>
        <v>497</v>
      </c>
      <c r="W45" s="77">
        <f t="shared" si="2"/>
        <v>0</v>
      </c>
      <c r="X45" s="77">
        <f t="shared" si="3"/>
        <v>0</v>
      </c>
      <c r="Y45" s="77">
        <f t="shared" si="4"/>
        <v>0</v>
      </c>
      <c r="Z45" s="77">
        <f t="shared" si="5"/>
        <v>0</v>
      </c>
    </row>
    <row r="46" spans="1:26" x14ac:dyDescent="0.15">
      <c r="U46" s="74">
        <v>42</v>
      </c>
      <c r="V46" s="77">
        <f t="shared" si="1"/>
        <v>994</v>
      </c>
      <c r="W46" s="77">
        <f t="shared" si="2"/>
        <v>108</v>
      </c>
      <c r="X46" s="77">
        <f t="shared" si="3"/>
        <v>0</v>
      </c>
      <c r="Y46" s="77">
        <f t="shared" si="4"/>
        <v>0</v>
      </c>
      <c r="Z46" s="77">
        <f t="shared" si="5"/>
        <v>0</v>
      </c>
    </row>
    <row r="47" spans="1:26" x14ac:dyDescent="0.15">
      <c r="K47" s="75" t="str">
        <f>基础状态预估!C53</f>
        <v>小r</v>
      </c>
      <c r="L47" s="75"/>
      <c r="M47" s="84" t="s">
        <v>208</v>
      </c>
      <c r="N47" s="84"/>
      <c r="O47" s="84"/>
      <c r="P47" s="84"/>
      <c r="Q47" s="84"/>
      <c r="R47" s="84"/>
      <c r="S47" s="74"/>
      <c r="U47" s="74">
        <v>43</v>
      </c>
      <c r="V47" s="77">
        <f t="shared" si="1"/>
        <v>1490</v>
      </c>
      <c r="W47" s="77">
        <f t="shared" si="2"/>
        <v>772</v>
      </c>
      <c r="X47" s="77">
        <f t="shared" si="3"/>
        <v>0</v>
      </c>
      <c r="Y47" s="77">
        <f t="shared" si="4"/>
        <v>0</v>
      </c>
      <c r="Z47" s="77">
        <f t="shared" si="5"/>
        <v>0</v>
      </c>
    </row>
    <row r="48" spans="1:26" x14ac:dyDescent="0.15">
      <c r="K48" s="75" t="s">
        <v>31</v>
      </c>
      <c r="L48" s="75" t="s">
        <v>25</v>
      </c>
      <c r="M48" s="5" t="s">
        <v>26</v>
      </c>
      <c r="N48" s="5" t="s">
        <v>38</v>
      </c>
      <c r="O48" s="5" t="s">
        <v>27</v>
      </c>
      <c r="P48" s="5" t="s">
        <v>29</v>
      </c>
      <c r="Q48" s="5" t="s">
        <v>28</v>
      </c>
      <c r="R48" s="5" t="s">
        <v>43</v>
      </c>
      <c r="S48" s="74" t="s">
        <v>209</v>
      </c>
      <c r="U48" s="74">
        <v>44</v>
      </c>
      <c r="V48" s="77">
        <f t="shared" si="1"/>
        <v>1987</v>
      </c>
      <c r="W48" s="77">
        <f t="shared" si="2"/>
        <v>1435</v>
      </c>
      <c r="X48" s="77">
        <f t="shared" si="3"/>
        <v>0</v>
      </c>
      <c r="Y48" s="77">
        <f t="shared" si="4"/>
        <v>0</v>
      </c>
      <c r="Z48" s="77">
        <f t="shared" si="5"/>
        <v>0</v>
      </c>
    </row>
    <row r="49" spans="11:26" x14ac:dyDescent="0.15">
      <c r="K49" s="6">
        <v>15</v>
      </c>
      <c r="L49" s="74">
        <f>基础状态预估!D55</f>
        <v>41.83669503626701</v>
      </c>
      <c r="M49" s="74">
        <f>C$7*基础状态预估!L55</f>
        <v>0</v>
      </c>
      <c r="N49" s="74">
        <f>D$7*基础状态预估!M55</f>
        <v>0</v>
      </c>
      <c r="O49" s="74">
        <f>E$7*基础状态预估!N55</f>
        <v>0</v>
      </c>
      <c r="P49" s="74">
        <f>F$7*基础状态预估!O55</f>
        <v>0</v>
      </c>
      <c r="Q49" s="74">
        <f>G$7*基础状态预估!P55</f>
        <v>0</v>
      </c>
      <c r="R49" s="74">
        <f>H$7*基础状态预估!Q55</f>
        <v>0</v>
      </c>
      <c r="S49" s="74">
        <f>SUM(M49:R49)</f>
        <v>0</v>
      </c>
      <c r="U49" s="74">
        <v>45</v>
      </c>
      <c r="V49" s="77">
        <f t="shared" si="1"/>
        <v>2484</v>
      </c>
      <c r="W49" s="77">
        <f t="shared" si="2"/>
        <v>2098</v>
      </c>
      <c r="X49" s="77">
        <f t="shared" si="3"/>
        <v>492</v>
      </c>
      <c r="Y49" s="77">
        <f t="shared" si="4"/>
        <v>0</v>
      </c>
      <c r="Z49" s="77">
        <f t="shared" si="5"/>
        <v>0</v>
      </c>
    </row>
    <row r="50" spans="11:26" x14ac:dyDescent="0.15">
      <c r="K50" s="6">
        <v>30</v>
      </c>
      <c r="L50" s="74">
        <f>基础状态预估!D56</f>
        <v>51.497823295559343</v>
      </c>
      <c r="M50" s="74">
        <f>C$7*基础状态预估!L56</f>
        <v>1729.956465911187</v>
      </c>
      <c r="N50" s="74">
        <f>D$7*基础状态预估!M56</f>
        <v>4678.4327728027265</v>
      </c>
      <c r="O50" s="74">
        <f>E$7*基础状态预估!N56</f>
        <v>0</v>
      </c>
      <c r="P50" s="74">
        <f>F$7*基础状态预估!O56</f>
        <v>0</v>
      </c>
      <c r="Q50" s="74">
        <f>G$7*基础状态预估!P56</f>
        <v>0</v>
      </c>
      <c r="R50" s="74">
        <f>H$7*基础状态预估!Q56</f>
        <v>0</v>
      </c>
      <c r="S50" s="74">
        <f t="shared" ref="S50:S89" si="9">SUM(M50:R50)</f>
        <v>6408.3892387139131</v>
      </c>
      <c r="U50" s="74">
        <v>46</v>
      </c>
      <c r="V50" s="77">
        <f t="shared" si="1"/>
        <v>2981</v>
      </c>
      <c r="W50" s="77">
        <f t="shared" si="2"/>
        <v>2762</v>
      </c>
      <c r="X50" s="77">
        <f t="shared" si="3"/>
        <v>1373</v>
      </c>
      <c r="Y50" s="77">
        <f t="shared" si="4"/>
        <v>0</v>
      </c>
      <c r="Z50" s="77">
        <f t="shared" si="5"/>
        <v>0</v>
      </c>
    </row>
    <row r="51" spans="11:26" x14ac:dyDescent="0.15">
      <c r="K51" s="6">
        <v>45</v>
      </c>
      <c r="L51" s="74">
        <f>基础状态预估!D57</f>
        <v>57.218966664386244</v>
      </c>
      <c r="M51" s="74">
        <f>C$7*基础状态预估!L57</f>
        <v>582.73828696526027</v>
      </c>
      <c r="N51" s="74">
        <f>D$7*基础状态预估!M57</f>
        <v>10395.311996716191</v>
      </c>
      <c r="O51" s="74">
        <f>E$7*基础状态预估!N57</f>
        <v>7056.3139927482553</v>
      </c>
      <c r="P51" s="74">
        <f>F$7*基础状态预估!O57</f>
        <v>0</v>
      </c>
      <c r="Q51" s="74">
        <f>G$7*基础状态预估!P57</f>
        <v>0</v>
      </c>
      <c r="R51" s="74">
        <f>H$7*基础状态预估!Q57</f>
        <v>0</v>
      </c>
      <c r="S51" s="74">
        <f t="shared" si="9"/>
        <v>18034.364276429707</v>
      </c>
      <c r="U51" s="74">
        <v>47</v>
      </c>
      <c r="V51" s="77">
        <f t="shared" si="1"/>
        <v>3477</v>
      </c>
      <c r="W51" s="77">
        <f t="shared" si="2"/>
        <v>3425</v>
      </c>
      <c r="X51" s="77">
        <f t="shared" si="3"/>
        <v>2254</v>
      </c>
      <c r="Y51" s="77">
        <f t="shared" si="4"/>
        <v>0</v>
      </c>
      <c r="Z51" s="77">
        <f t="shared" si="5"/>
        <v>0</v>
      </c>
    </row>
    <row r="52" spans="11:26" x14ac:dyDescent="0.15">
      <c r="K52" s="6">
        <v>60</v>
      </c>
      <c r="L52" s="74">
        <f>基础状态预估!D58</f>
        <v>61.330461663183208</v>
      </c>
      <c r="M52" s="74">
        <f>C$7*基础状态预估!L58</f>
        <v>0</v>
      </c>
      <c r="N52" s="74">
        <f>D$7*基础状态预估!M58</f>
        <v>9625.0232026275207</v>
      </c>
      <c r="O52" s="74">
        <f>E$7*基础状态预估!N58</f>
        <v>20130.868088922598</v>
      </c>
      <c r="P52" s="74">
        <f>F$7*基础状态预估!O58</f>
        <v>0</v>
      </c>
      <c r="Q52" s="74">
        <f>G$7*基础状态预估!P58</f>
        <v>0</v>
      </c>
      <c r="R52" s="74">
        <f>H$7*基础状态预估!Q58</f>
        <v>0</v>
      </c>
      <c r="S52" s="74">
        <f t="shared" si="9"/>
        <v>29755.891291550121</v>
      </c>
      <c r="U52" s="74">
        <v>48</v>
      </c>
      <c r="V52" s="77">
        <f t="shared" si="1"/>
        <v>3974</v>
      </c>
      <c r="W52" s="77">
        <f t="shared" si="2"/>
        <v>4088</v>
      </c>
      <c r="X52" s="77">
        <f t="shared" si="3"/>
        <v>3136</v>
      </c>
      <c r="Y52" s="77">
        <f t="shared" si="4"/>
        <v>0</v>
      </c>
      <c r="Z52" s="77">
        <f t="shared" si="5"/>
        <v>0</v>
      </c>
    </row>
    <row r="53" spans="11:26" x14ac:dyDescent="0.15">
      <c r="K53" s="6">
        <v>75</v>
      </c>
      <c r="L53" s="74">
        <f>基础状态预估!D59</f>
        <v>64.495279642868965</v>
      </c>
      <c r="M53" s="74">
        <f>C$7*基础状态预估!L59</f>
        <v>0</v>
      </c>
      <c r="N53" s="74">
        <f>D$7*基础状态预估!M59</f>
        <v>7023.9650999900696</v>
      </c>
      <c r="O53" s="74">
        <f>E$7*基础状态预估!N59</f>
        <v>30194.989264323307</v>
      </c>
      <c r="P53" s="74">
        <f>F$7*基础状态预估!O59</f>
        <v>0</v>
      </c>
      <c r="Q53" s="74">
        <f>G$7*基础状态预估!P59</f>
        <v>0</v>
      </c>
      <c r="R53" s="74">
        <f>H$7*基础状态预估!Q59</f>
        <v>0</v>
      </c>
      <c r="S53" s="74">
        <f t="shared" si="9"/>
        <v>37218.95436431338</v>
      </c>
      <c r="U53" s="74">
        <v>49</v>
      </c>
      <c r="V53" s="77">
        <f t="shared" si="1"/>
        <v>4471</v>
      </c>
      <c r="W53" s="77">
        <f t="shared" si="2"/>
        <v>4752</v>
      </c>
      <c r="X53" s="77">
        <f t="shared" si="3"/>
        <v>4017</v>
      </c>
      <c r="Y53" s="77">
        <f t="shared" si="4"/>
        <v>5233</v>
      </c>
      <c r="Z53" s="77">
        <f t="shared" si="5"/>
        <v>0</v>
      </c>
    </row>
    <row r="54" spans="11:26" x14ac:dyDescent="0.15">
      <c r="K54" s="6">
        <v>90</v>
      </c>
      <c r="L54" s="74">
        <f>基础状态预估!D60</f>
        <v>67.083433628014333</v>
      </c>
      <c r="M54" s="74">
        <f>C$7*基础状态预估!L60</f>
        <v>0</v>
      </c>
      <c r="N54" s="74">
        <f>D$7*基础状态预估!M60</f>
        <v>0</v>
      </c>
      <c r="O54" s="74">
        <f>E$7*基础状态预估!N60</f>
        <v>42510.230620033413</v>
      </c>
      <c r="P54" s="74">
        <f>F$7*基础状态预估!O60</f>
        <v>18750.902652129</v>
      </c>
      <c r="Q54" s="74">
        <f>G$7*基础状态预估!P60</f>
        <v>0</v>
      </c>
      <c r="R54" s="74">
        <f>H$7*基础状态预估!Q60</f>
        <v>0</v>
      </c>
      <c r="S54" s="74">
        <f t="shared" si="9"/>
        <v>61261.133272162413</v>
      </c>
      <c r="U54" s="74">
        <v>50</v>
      </c>
      <c r="V54" s="77">
        <f t="shared" si="1"/>
        <v>5146</v>
      </c>
      <c r="W54" s="77">
        <f t="shared" si="2"/>
        <v>5415</v>
      </c>
      <c r="X54" s="77">
        <f t="shared" si="3"/>
        <v>4898</v>
      </c>
      <c r="Y54" s="77">
        <f t="shared" si="4"/>
        <v>7210</v>
      </c>
      <c r="Z54" s="77">
        <f t="shared" si="5"/>
        <v>0</v>
      </c>
    </row>
    <row r="55" spans="11:26" x14ac:dyDescent="0.15">
      <c r="K55" s="6">
        <v>105</v>
      </c>
      <c r="L55" s="74">
        <f>基础状态预估!D61</f>
        <v>69.333680194119751</v>
      </c>
      <c r="M55" s="74">
        <f>C$7*基础状态预估!L61</f>
        <v>0</v>
      </c>
      <c r="N55" s="74">
        <f>D$7*基础状态预估!M61</f>
        <v>0</v>
      </c>
      <c r="O55" s="74">
        <f>E$7*基础状态预估!N61</f>
        <v>38336.023239907867</v>
      </c>
      <c r="P55" s="74">
        <f>F$7*基础状态预估!O61</f>
        <v>39003.121747077756</v>
      </c>
      <c r="Q55" s="74">
        <f>G$7*基础状态预估!P61</f>
        <v>0</v>
      </c>
      <c r="R55" s="74">
        <f>H$7*基础状态预估!Q61</f>
        <v>0</v>
      </c>
      <c r="S55" s="74">
        <f t="shared" si="9"/>
        <v>77339.14498698563</v>
      </c>
      <c r="U55" s="74">
        <v>51</v>
      </c>
      <c r="V55" s="77">
        <f t="shared" si="1"/>
        <v>6025</v>
      </c>
      <c r="W55" s="77">
        <f t="shared" si="2"/>
        <v>6078</v>
      </c>
      <c r="X55" s="77">
        <f t="shared" si="3"/>
        <v>5780</v>
      </c>
      <c r="Y55" s="77">
        <f t="shared" si="4"/>
        <v>9187</v>
      </c>
      <c r="Z55" s="77">
        <f t="shared" si="5"/>
        <v>0</v>
      </c>
    </row>
    <row r="56" spans="11:26" x14ac:dyDescent="0.15">
      <c r="K56" s="6">
        <v>120</v>
      </c>
      <c r="L56" s="74">
        <f>基础状态预估!D62</f>
        <v>71.230067506391322</v>
      </c>
      <c r="M56" s="74">
        <f>C$7*基础状态预估!L62</f>
        <v>0</v>
      </c>
      <c r="N56" s="74">
        <f>D$7*基础状态预估!M62</f>
        <v>0</v>
      </c>
      <c r="O56" s="74">
        <f>E$7*基础状态预估!N62</f>
        <v>34637.13150386983</v>
      </c>
      <c r="P56" s="74">
        <f>F$7*基础状态预估!O62</f>
        <v>56070.607557521893</v>
      </c>
      <c r="Q56" s="74">
        <f>G$7*基础状态预估!P62</f>
        <v>0</v>
      </c>
      <c r="R56" s="74">
        <f>H$7*基础状态预估!Q62</f>
        <v>0</v>
      </c>
      <c r="S56" s="74">
        <f t="shared" si="9"/>
        <v>90707.739061391723</v>
      </c>
      <c r="U56" s="74">
        <v>52</v>
      </c>
      <c r="V56" s="77">
        <f t="shared" si="1"/>
        <v>6903</v>
      </c>
      <c r="W56" s="77">
        <f t="shared" si="2"/>
        <v>7429</v>
      </c>
      <c r="X56" s="77">
        <f t="shared" si="3"/>
        <v>6661</v>
      </c>
      <c r="Y56" s="77">
        <f t="shared" si="4"/>
        <v>11164</v>
      </c>
      <c r="Z56" s="77">
        <f t="shared" si="5"/>
        <v>0</v>
      </c>
    </row>
    <row r="57" spans="11:26" x14ac:dyDescent="0.15">
      <c r="K57" s="6">
        <v>150</v>
      </c>
      <c r="L57" s="74">
        <f>基础状态预估!D63</f>
        <v>74.456724480300707</v>
      </c>
      <c r="M57" s="74">
        <f>C$7*基础状态预估!L63</f>
        <v>0</v>
      </c>
      <c r="N57" s="74">
        <f>D$7*基础状态预估!M63</f>
        <v>0</v>
      </c>
      <c r="O57" s="74">
        <f>E$7*基础状态预估!N63</f>
        <v>28176.647207220143</v>
      </c>
      <c r="P57" s="74">
        <f>F$7*基础状态预估!O63</f>
        <v>85110.520322706361</v>
      </c>
      <c r="Q57" s="74">
        <f>G$7*基础状态预估!P63</f>
        <v>0</v>
      </c>
      <c r="R57" s="74">
        <f>H$7*基础状态预估!Q63</f>
        <v>0</v>
      </c>
      <c r="S57" s="74">
        <f t="shared" si="9"/>
        <v>113287.1675299265</v>
      </c>
      <c r="U57" s="74">
        <v>53</v>
      </c>
      <c r="V57" s="77">
        <f t="shared" si="1"/>
        <v>7782</v>
      </c>
      <c r="W57" s="77">
        <f t="shared" si="2"/>
        <v>9461</v>
      </c>
      <c r="X57" s="77">
        <f t="shared" si="3"/>
        <v>7542</v>
      </c>
      <c r="Y57" s="77">
        <f t="shared" si="4"/>
        <v>13141</v>
      </c>
      <c r="Z57" s="77">
        <f t="shared" si="5"/>
        <v>0</v>
      </c>
    </row>
    <row r="58" spans="11:26" x14ac:dyDescent="0.15">
      <c r="K58" s="6">
        <v>180</v>
      </c>
      <c r="L58" s="74">
        <f>基础状态预估!D64</f>
        <v>77.06778397927944</v>
      </c>
      <c r="M58" s="74">
        <f>C$7*基础状态预估!L64</f>
        <v>0</v>
      </c>
      <c r="N58" s="74">
        <f>D$7*基础状态预估!M64</f>
        <v>0</v>
      </c>
      <c r="O58" s="74">
        <f>E$7*基础状态预估!N64</f>
        <v>0</v>
      </c>
      <c r="P58" s="74">
        <f>F$7*基础状态预估!O64</f>
        <v>154949.22411741648</v>
      </c>
      <c r="Q58" s="74">
        <f>G$7*基础状态预估!P64</f>
        <v>38460.782014597586</v>
      </c>
      <c r="R58" s="74">
        <f>H$7*基础状态预估!Q64</f>
        <v>0</v>
      </c>
      <c r="S58" s="74">
        <f t="shared" si="9"/>
        <v>193410.00613201407</v>
      </c>
      <c r="U58" s="74">
        <v>54</v>
      </c>
      <c r="V58" s="77">
        <f t="shared" si="1"/>
        <v>8660</v>
      </c>
      <c r="W58" s="77">
        <f t="shared" si="2"/>
        <v>11493</v>
      </c>
      <c r="X58" s="77">
        <f t="shared" si="3"/>
        <v>8424</v>
      </c>
      <c r="Y58" s="77">
        <f t="shared" si="4"/>
        <v>15118</v>
      </c>
      <c r="Z58" s="77">
        <f t="shared" si="5"/>
        <v>0</v>
      </c>
    </row>
    <row r="59" spans="11:26" x14ac:dyDescent="0.15">
      <c r="K59" s="6">
        <v>210</v>
      </c>
      <c r="L59" s="74">
        <f>基础状态预估!D65</f>
        <v>79.261304112721092</v>
      </c>
      <c r="M59" s="74">
        <f>C$7*基础状态预估!L65</f>
        <v>0</v>
      </c>
      <c r="N59" s="74">
        <f>D$7*基础状态预估!M65</f>
        <v>0</v>
      </c>
      <c r="O59" s="74">
        <f>E$7*基础状态预估!N65</f>
        <v>0</v>
      </c>
      <c r="P59" s="74">
        <f>F$7*基础状态预估!O65</f>
        <v>142432.17532367347</v>
      </c>
      <c r="Q59" s="74">
        <f>G$7*基础状态预估!P65</f>
        <v>79260.256496612303</v>
      </c>
      <c r="R59" s="74">
        <f>H$7*基础状态预估!Q65</f>
        <v>0</v>
      </c>
      <c r="S59" s="74">
        <f t="shared" si="9"/>
        <v>221692.43182028577</v>
      </c>
      <c r="U59" s="74">
        <v>55</v>
      </c>
      <c r="V59" s="77">
        <f t="shared" si="1"/>
        <v>9539</v>
      </c>
      <c r="W59" s="77">
        <f t="shared" si="2"/>
        <v>13525</v>
      </c>
      <c r="X59" s="77">
        <f t="shared" si="3"/>
        <v>11131</v>
      </c>
      <c r="Y59" s="77">
        <f t="shared" si="4"/>
        <v>17095</v>
      </c>
      <c r="Z59" s="77">
        <f t="shared" si="5"/>
        <v>0</v>
      </c>
    </row>
    <row r="60" spans="11:26" x14ac:dyDescent="0.15">
      <c r="K60" s="6">
        <v>240</v>
      </c>
      <c r="L60" s="74">
        <f>基础状态预估!D66</f>
        <v>81.216820623674849</v>
      </c>
      <c r="M60" s="74">
        <f>C$7*基础状态预估!L66</f>
        <v>0</v>
      </c>
      <c r="N60" s="74">
        <f>D$7*基础状态预估!M66</f>
        <v>0</v>
      </c>
      <c r="O60" s="74">
        <f>E$7*基础状态预估!N66</f>
        <v>0</v>
      </c>
      <c r="P60" s="74">
        <f>F$7*基础状态预估!O66</f>
        <v>130699.0762579509</v>
      </c>
      <c r="Q60" s="74">
        <f>G$7*基础状态预估!P66</f>
        <v>115632.86360035218</v>
      </c>
      <c r="R60" s="74">
        <f>H$7*基础状态预估!Q66</f>
        <v>0</v>
      </c>
      <c r="S60" s="74">
        <f t="shared" si="9"/>
        <v>246331.93985830309</v>
      </c>
      <c r="U60" s="74">
        <v>56</v>
      </c>
      <c r="V60" s="77">
        <f t="shared" si="1"/>
        <v>12467</v>
      </c>
      <c r="W60" s="77">
        <f t="shared" si="2"/>
        <v>15557</v>
      </c>
      <c r="X60" s="77">
        <f t="shared" si="3"/>
        <v>14334</v>
      </c>
      <c r="Y60" s="77">
        <f t="shared" si="4"/>
        <v>19072</v>
      </c>
      <c r="Z60" s="77">
        <f t="shared" si="5"/>
        <v>0</v>
      </c>
    </row>
    <row r="61" spans="11:26" x14ac:dyDescent="0.15">
      <c r="K61" s="6">
        <v>270</v>
      </c>
      <c r="L61" s="74">
        <f>基础状态预估!D67</f>
        <v>82.916268958926821</v>
      </c>
      <c r="M61" s="74">
        <f>C$7*基础状态预估!L67</f>
        <v>0</v>
      </c>
      <c r="N61" s="74">
        <f>D$7*基础状态预估!M67</f>
        <v>0</v>
      </c>
      <c r="O61" s="74">
        <f>E$7*基础状态预估!N67</f>
        <v>0</v>
      </c>
      <c r="P61" s="74">
        <f>F$7*基础状态预估!O67</f>
        <v>120502.38624643908</v>
      </c>
      <c r="Q61" s="74">
        <f>G$7*基础状态预估!P67</f>
        <v>147242.60263603885</v>
      </c>
      <c r="R61" s="74">
        <f>H$7*基础状态预估!Q67</f>
        <v>0</v>
      </c>
      <c r="S61" s="74">
        <f t="shared" si="9"/>
        <v>267744.98888247792</v>
      </c>
      <c r="U61" s="74">
        <v>57</v>
      </c>
      <c r="V61" s="77">
        <f t="shared" si="1"/>
        <v>16006</v>
      </c>
      <c r="W61" s="77">
        <f t="shared" si="2"/>
        <v>17589</v>
      </c>
      <c r="X61" s="77">
        <f t="shared" si="3"/>
        <v>17537</v>
      </c>
      <c r="Y61" s="77">
        <f t="shared" si="4"/>
        <v>21049</v>
      </c>
      <c r="Z61" s="77">
        <f t="shared" si="5"/>
        <v>0</v>
      </c>
    </row>
    <row r="62" spans="11:26" x14ac:dyDescent="0.15">
      <c r="K62" s="6">
        <v>300</v>
      </c>
      <c r="L62" s="74">
        <f>基础状态预估!D68</f>
        <v>84.427173250438543</v>
      </c>
      <c r="M62" s="74">
        <f>C$7*基础状态预估!L68</f>
        <v>0</v>
      </c>
      <c r="N62" s="74">
        <f>D$7*基础状态预估!M68</f>
        <v>0</v>
      </c>
      <c r="O62" s="74">
        <f>E$7*基础状态预估!N68</f>
        <v>0</v>
      </c>
      <c r="P62" s="74">
        <f>F$7*基础状态预估!O68</f>
        <v>111436.96049736875</v>
      </c>
      <c r="Q62" s="74">
        <f>G$7*基础状态预估!P68</f>
        <v>175345.42245815689</v>
      </c>
      <c r="R62" s="74">
        <f>H$7*基础状态预估!Q68</f>
        <v>0</v>
      </c>
      <c r="S62" s="74">
        <f t="shared" si="9"/>
        <v>286782.38295552565</v>
      </c>
      <c r="U62" s="74">
        <v>58</v>
      </c>
      <c r="V62" s="77">
        <f t="shared" si="1"/>
        <v>19545</v>
      </c>
      <c r="W62" s="77">
        <f t="shared" si="2"/>
        <v>20261</v>
      </c>
      <c r="X62" s="77">
        <f t="shared" si="3"/>
        <v>20740</v>
      </c>
      <c r="Y62" s="77">
        <f t="shared" si="4"/>
        <v>23026</v>
      </c>
      <c r="Z62" s="77">
        <f t="shared" si="5"/>
        <v>22272</v>
      </c>
    </row>
    <row r="63" spans="11:26" x14ac:dyDescent="0.15">
      <c r="K63" s="6">
        <v>360</v>
      </c>
      <c r="L63" s="74">
        <f>基础状态预估!D69</f>
        <v>87.064762367263285</v>
      </c>
      <c r="M63" s="74">
        <f>C$7*基础状态预估!L69</f>
        <v>0</v>
      </c>
      <c r="N63" s="74">
        <f>D$7*基础状态预估!M69</f>
        <v>0</v>
      </c>
      <c r="O63" s="74">
        <f>E$7*基础状态预估!N69</f>
        <v>0</v>
      </c>
      <c r="P63" s="74">
        <f>F$7*基础状态预估!O69</f>
        <v>0</v>
      </c>
      <c r="Q63" s="74">
        <f>G$7*基础状态预估!P69</f>
        <v>402799.23666148382</v>
      </c>
      <c r="R63" s="74">
        <f>H$7*基础状态预估!Q69</f>
        <v>35926.865190381155</v>
      </c>
      <c r="S63" s="74">
        <f t="shared" si="9"/>
        <v>438726.10185186495</v>
      </c>
      <c r="U63" s="74">
        <v>59</v>
      </c>
      <c r="V63" s="77">
        <f t="shared" si="1"/>
        <v>23083</v>
      </c>
      <c r="W63" s="77">
        <f t="shared" si="2"/>
        <v>23112</v>
      </c>
      <c r="X63" s="77">
        <f t="shared" si="3"/>
        <v>23944</v>
      </c>
      <c r="Y63" s="77">
        <f t="shared" si="4"/>
        <v>25135</v>
      </c>
      <c r="Z63" s="77">
        <f t="shared" si="5"/>
        <v>27004</v>
      </c>
    </row>
    <row r="64" spans="11:26" x14ac:dyDescent="0.15">
      <c r="K64" s="6">
        <v>420</v>
      </c>
      <c r="L64" s="74">
        <f>基础状态预估!D70</f>
        <v>89.311817863093353</v>
      </c>
      <c r="M64" s="74">
        <f>C$7*基础状态预估!L70</f>
        <v>0</v>
      </c>
      <c r="N64" s="74">
        <f>D$7*基础状态预估!M70</f>
        <v>0</v>
      </c>
      <c r="O64" s="74">
        <f>E$7*基础状态预估!N70</f>
        <v>0</v>
      </c>
      <c r="P64" s="74">
        <f>F$7*基础状态预估!O70</f>
        <v>0</v>
      </c>
      <c r="Q64" s="74">
        <f>G$7*基础状态预估!P70</f>
        <v>395657.61273793981</v>
      </c>
      <c r="R64" s="74">
        <f>H$7*基础状态预估!Q70</f>
        <v>75025.630817824334</v>
      </c>
      <c r="S64" s="74">
        <f t="shared" si="9"/>
        <v>470683.24355576414</v>
      </c>
      <c r="U64" s="74">
        <v>60</v>
      </c>
      <c r="V64" s="77">
        <f t="shared" si="1"/>
        <v>25843</v>
      </c>
      <c r="W64" s="77">
        <f t="shared" si="2"/>
        <v>25963</v>
      </c>
      <c r="X64" s="77">
        <f t="shared" si="3"/>
        <v>27147</v>
      </c>
      <c r="Y64" s="77">
        <f t="shared" si="4"/>
        <v>27554</v>
      </c>
      <c r="Z64" s="77">
        <f t="shared" si="5"/>
        <v>31737</v>
      </c>
    </row>
    <row r="65" spans="11:26" x14ac:dyDescent="0.15">
      <c r="K65" s="6">
        <v>480</v>
      </c>
      <c r="L65" s="74">
        <f>基础状态预估!D71</f>
        <v>91.317295791340641</v>
      </c>
      <c r="M65" s="74">
        <f>C$7*基础状态预估!L71</f>
        <v>0</v>
      </c>
      <c r="N65" s="74">
        <f>D$7*基础状态预估!M71</f>
        <v>0</v>
      </c>
      <c r="O65" s="74">
        <f>E$7*基础状态预估!N71</f>
        <v>0</v>
      </c>
      <c r="P65" s="74">
        <f>F$7*基础状态预估!O71</f>
        <v>0</v>
      </c>
      <c r="Q65" s="74">
        <f>G$7*基础状态预估!P71</f>
        <v>388310.27087354293</v>
      </c>
      <c r="R65" s="74">
        <f>H$7*基础状态预估!Q71</f>
        <v>109920.94676932714</v>
      </c>
      <c r="S65" s="74">
        <f t="shared" si="9"/>
        <v>498231.21764287009</v>
      </c>
      <c r="U65" s="74">
        <v>61</v>
      </c>
      <c r="V65" s="77">
        <f t="shared" si="1"/>
        <v>28269</v>
      </c>
      <c r="W65" s="77">
        <f t="shared" si="2"/>
        <v>28814</v>
      </c>
      <c r="X65" s="77">
        <f t="shared" si="3"/>
        <v>29579</v>
      </c>
      <c r="Y65" s="77">
        <f t="shared" si="4"/>
        <v>29973</v>
      </c>
      <c r="Z65" s="77">
        <f t="shared" si="5"/>
        <v>36469</v>
      </c>
    </row>
    <row r="66" spans="11:26" x14ac:dyDescent="0.15">
      <c r="K66" s="6">
        <v>540</v>
      </c>
      <c r="L66" s="74">
        <f>基础状态预估!D72</f>
        <v>93.043666179806593</v>
      </c>
      <c r="M66" s="74">
        <f>C$7*基础状态预估!L72</f>
        <v>0</v>
      </c>
      <c r="N66" s="74">
        <f>D$7*基础状态预估!M72</f>
        <v>0</v>
      </c>
      <c r="O66" s="74">
        <f>E$7*基础状态预估!N72</f>
        <v>0</v>
      </c>
      <c r="P66" s="74">
        <f>F$7*基础状态预估!O72</f>
        <v>0</v>
      </c>
      <c r="Q66" s="74">
        <f>G$7*基础状态预估!P72</f>
        <v>381985.47754125402</v>
      </c>
      <c r="R66" s="74">
        <f>H$7*基础状态预估!Q72</f>
        <v>139959.79152863473</v>
      </c>
      <c r="S66" s="74">
        <f t="shared" si="9"/>
        <v>521945.26906988875</v>
      </c>
      <c r="U66" s="74">
        <v>62</v>
      </c>
      <c r="V66" s="77">
        <f t="shared" si="1"/>
        <v>30694</v>
      </c>
      <c r="W66" s="77">
        <f t="shared" si="2"/>
        <v>31335</v>
      </c>
      <c r="X66" s="77">
        <f t="shared" si="3"/>
        <v>31939</v>
      </c>
      <c r="Y66" s="77">
        <f t="shared" si="4"/>
        <v>32391</v>
      </c>
      <c r="Z66" s="77">
        <f t="shared" si="5"/>
        <v>41201</v>
      </c>
    </row>
    <row r="67" spans="11:26" x14ac:dyDescent="0.15">
      <c r="K67" s="6">
        <v>600</v>
      </c>
      <c r="L67" s="74">
        <f>基础状态预估!D73</f>
        <v>94.566182978175902</v>
      </c>
      <c r="M67" s="74">
        <f>C$7*基础状态预估!L73</f>
        <v>1.0658141036401503E-12</v>
      </c>
      <c r="N67" s="74">
        <f>D$7*基础状态预估!M73</f>
        <v>-4.2632564145606011E-12</v>
      </c>
      <c r="O67" s="74">
        <f>E$7*基础状态预估!N73</f>
        <v>9.4146912488213275E-12</v>
      </c>
      <c r="P67" s="74">
        <f>F$7*基础状态预估!O73</f>
        <v>-2.6645352591003757E-11</v>
      </c>
      <c r="Q67" s="74">
        <f>G$7*基础状态预估!P73</f>
        <v>376407.52963450109</v>
      </c>
      <c r="R67" s="74">
        <f>H$7*基础状态预估!Q73</f>
        <v>166451.58382026068</v>
      </c>
      <c r="S67" s="74">
        <f t="shared" si="9"/>
        <v>542859.1134547618</v>
      </c>
      <c r="U67" s="74">
        <v>63</v>
      </c>
      <c r="V67" s="77">
        <f t="shared" si="1"/>
        <v>33267</v>
      </c>
      <c r="W67" s="77">
        <f t="shared" si="2"/>
        <v>33693</v>
      </c>
      <c r="X67" s="77">
        <f t="shared" si="3"/>
        <v>34298</v>
      </c>
      <c r="Y67" s="77">
        <f t="shared" si="4"/>
        <v>34810</v>
      </c>
      <c r="Z67" s="77">
        <f t="shared" si="5"/>
        <v>45933</v>
      </c>
    </row>
    <row r="68" spans="11:26" x14ac:dyDescent="0.15">
      <c r="K68" s="6">
        <v>660</v>
      </c>
      <c r="L68" s="74">
        <f>基础状态预估!D74</f>
        <v>95.975804150655222</v>
      </c>
      <c r="M68" s="74">
        <f>C$7*基础状态预估!L74</f>
        <v>0</v>
      </c>
      <c r="N68" s="74">
        <f>D$7*基础状态预估!M74</f>
        <v>0</v>
      </c>
      <c r="O68" s="74">
        <f>E$7*基础状态预估!N74</f>
        <v>0</v>
      </c>
      <c r="P68" s="74">
        <f>F$7*基础状态预估!O74</f>
        <v>0</v>
      </c>
      <c r="Q68" s="74">
        <f>G$7*基础状态预估!P74</f>
        <v>362168.21164696047</v>
      </c>
      <c r="R68" s="74">
        <f>H$7*基础状态预估!Q74</f>
        <v>207957.98444280171</v>
      </c>
      <c r="S68" s="74">
        <f t="shared" si="9"/>
        <v>570126.19608976215</v>
      </c>
      <c r="U68" s="74">
        <v>64</v>
      </c>
      <c r="V68" s="77">
        <f t="shared" si="1"/>
        <v>35969</v>
      </c>
      <c r="W68" s="77">
        <f t="shared" si="2"/>
        <v>36051</v>
      </c>
      <c r="X68" s="77">
        <f t="shared" si="3"/>
        <v>36657</v>
      </c>
      <c r="Y68" s="77">
        <f t="shared" si="4"/>
        <v>37229</v>
      </c>
      <c r="Z68" s="77">
        <f t="shared" si="5"/>
        <v>50665</v>
      </c>
    </row>
    <row r="69" spans="11:26" x14ac:dyDescent="0.15">
      <c r="K69" s="6">
        <v>720</v>
      </c>
      <c r="L69" s="74">
        <f>基础状态预估!D75</f>
        <v>97.233430615704805</v>
      </c>
      <c r="M69" s="74">
        <f>C$7*基础状态预估!L75</f>
        <v>0</v>
      </c>
      <c r="N69" s="74">
        <f>D$7*基础状态预估!M75</f>
        <v>0</v>
      </c>
      <c r="O69" s="74">
        <f>E$7*基础状态预估!N75</f>
        <v>0</v>
      </c>
      <c r="P69" s="74">
        <f>F$7*基础状态预估!O75</f>
        <v>0</v>
      </c>
      <c r="Q69" s="74">
        <f>G$7*基础状态预估!P75</f>
        <v>345864.79947277228</v>
      </c>
      <c r="R69" s="74">
        <f>H$7*基础状态预估!Q75</f>
        <v>251723.38542652718</v>
      </c>
      <c r="S69" s="74">
        <f t="shared" si="9"/>
        <v>597588.18489929941</v>
      </c>
      <c r="U69" s="74">
        <v>65</v>
      </c>
      <c r="V69" s="77">
        <f t="shared" si="1"/>
        <v>38672</v>
      </c>
      <c r="W69" s="77">
        <f t="shared" si="2"/>
        <v>41907</v>
      </c>
      <c r="X69" s="77">
        <f t="shared" si="3"/>
        <v>44344</v>
      </c>
      <c r="Y69" s="77">
        <f t="shared" si="4"/>
        <v>43404</v>
      </c>
      <c r="Z69" s="77">
        <f t="shared" si="5"/>
        <v>55397</v>
      </c>
    </row>
    <row r="70" spans="11:26" x14ac:dyDescent="0.15">
      <c r="K70" s="6">
        <v>780</v>
      </c>
      <c r="L70" s="74">
        <f>基础状态预估!D76</f>
        <v>98.349886009806795</v>
      </c>
      <c r="M70" s="74">
        <f>C$7*基础状态预估!L76</f>
        <v>0</v>
      </c>
      <c r="N70" s="74">
        <f>D$7*基础状态预估!M76</f>
        <v>0</v>
      </c>
      <c r="O70" s="74">
        <f>E$7*基础状态预估!N76</f>
        <v>0</v>
      </c>
      <c r="P70" s="74">
        <f>F$7*基础状态预估!O76</f>
        <v>0</v>
      </c>
      <c r="Q70" s="74">
        <f>G$7*基础状态预估!P76</f>
        <v>331391.4777274137</v>
      </c>
      <c r="R70" s="74">
        <f>H$7*基础状态预估!Q76</f>
        <v>290576.03314127645</v>
      </c>
      <c r="S70" s="74">
        <f t="shared" si="9"/>
        <v>621967.51086869021</v>
      </c>
      <c r="U70" s="74">
        <v>66</v>
      </c>
      <c r="V70" s="77">
        <f t="shared" ref="V70:V133" si="10">IFERROR(ROUND(求节点($L$5:$L$45,$S$5:$S$45,$U70),0),0)</f>
        <v>48307</v>
      </c>
      <c r="W70" s="77">
        <f t="shared" ref="W70:W133" si="11">IFERROR(ROUND(求节点($L$49:$L$89,$S$49:$S$89,$U70),0),0)</f>
        <v>51197</v>
      </c>
      <c r="X70" s="77">
        <f t="shared" ref="X70:X133" si="12">IFERROR(ROUND(求节点($L$93:$L$133,$S$93:$S$133,$U70),0),0)</f>
        <v>52921</v>
      </c>
      <c r="Y70" s="77">
        <f t="shared" ref="Y70:Y133" si="13">IFERROR(ROUND(求节点($L$137:$L$177,$S$137:$S$177,$U70),0),0)</f>
        <v>52073</v>
      </c>
      <c r="Z70" s="77">
        <f t="shared" ref="Z70:Z133" si="14">IFERROR(ROUND(求节点($L$181:$L$221,$S$181:$S$221,$U70),0),0)</f>
        <v>60129</v>
      </c>
    </row>
    <row r="71" spans="11:26" x14ac:dyDescent="0.15">
      <c r="K71" s="6">
        <v>840</v>
      </c>
      <c r="L71" s="74">
        <f>基础状态预估!D77</f>
        <v>99.398994483715043</v>
      </c>
      <c r="M71" s="74">
        <f>C$7*基础状态预估!L77</f>
        <v>0</v>
      </c>
      <c r="N71" s="74">
        <f>D$7*基础状态预估!M77</f>
        <v>0</v>
      </c>
      <c r="O71" s="74">
        <f>E$7*基础状态预估!N77</f>
        <v>0</v>
      </c>
      <c r="P71" s="74">
        <f>F$7*基础状态预估!O77</f>
        <v>0</v>
      </c>
      <c r="Q71" s="74">
        <f>G$7*基础状态预估!P77</f>
        <v>317791.21696565772</v>
      </c>
      <c r="R71" s="74">
        <f>H$7*基础状态预估!Q77</f>
        <v>327085.00803328346</v>
      </c>
      <c r="S71" s="74">
        <f t="shared" si="9"/>
        <v>644876.22499894118</v>
      </c>
      <c r="U71" s="74">
        <v>67</v>
      </c>
      <c r="V71" s="77">
        <f t="shared" si="10"/>
        <v>58508</v>
      </c>
      <c r="W71" s="77">
        <f t="shared" si="11"/>
        <v>60486</v>
      </c>
      <c r="X71" s="77">
        <f t="shared" si="12"/>
        <v>61497</v>
      </c>
      <c r="Y71" s="77">
        <f t="shared" si="13"/>
        <v>60742</v>
      </c>
      <c r="Z71" s="77">
        <f t="shared" si="14"/>
        <v>64861</v>
      </c>
    </row>
    <row r="72" spans="11:26" x14ac:dyDescent="0.15">
      <c r="K72" s="6">
        <v>900</v>
      </c>
      <c r="L72" s="74">
        <f>基础状态预估!D78</f>
        <v>100.38607135362956</v>
      </c>
      <c r="M72" s="74">
        <f>C$7*基础状态预估!L78</f>
        <v>0</v>
      </c>
      <c r="N72" s="74">
        <f>D$7*基础状态预估!M78</f>
        <v>0</v>
      </c>
      <c r="O72" s="74">
        <f>E$7*基础状态预估!N78</f>
        <v>0</v>
      </c>
      <c r="P72" s="74">
        <f>F$7*基础状态预估!O78</f>
        <v>0</v>
      </c>
      <c r="Q72" s="74">
        <f>G$7*基础状态预估!P78</f>
        <v>304813.77481624298</v>
      </c>
      <c r="R72" s="74">
        <f>H$7*基础状态预估!Q78</f>
        <v>361435.28310630866</v>
      </c>
      <c r="S72" s="74">
        <f t="shared" si="9"/>
        <v>666249.05792255164</v>
      </c>
      <c r="U72" s="74">
        <v>68</v>
      </c>
      <c r="V72" s="77">
        <f t="shared" si="10"/>
        <v>66485</v>
      </c>
      <c r="W72" s="77">
        <f t="shared" si="11"/>
        <v>67810</v>
      </c>
      <c r="X72" s="77">
        <f t="shared" si="12"/>
        <v>69099</v>
      </c>
      <c r="Y72" s="77">
        <f t="shared" si="13"/>
        <v>69411</v>
      </c>
      <c r="Z72" s="77">
        <f t="shared" si="14"/>
        <v>71638</v>
      </c>
    </row>
    <row r="73" spans="11:26" x14ac:dyDescent="0.15">
      <c r="K73" s="6">
        <v>1020</v>
      </c>
      <c r="L73" s="74">
        <f>基础状态预估!D79</f>
        <v>102.22764429032095</v>
      </c>
      <c r="M73" s="74">
        <f>C$7*基础状态预估!L79</f>
        <v>0</v>
      </c>
      <c r="N73" s="74">
        <f>D$7*基础状态预估!M79</f>
        <v>0</v>
      </c>
      <c r="O73" s="74">
        <f>E$7*基础状态预估!N79</f>
        <v>0</v>
      </c>
      <c r="P73" s="74">
        <f>F$7*基础状态预估!O79</f>
        <v>0</v>
      </c>
      <c r="Q73" s="74">
        <f>G$7*基础状态预估!P79</f>
        <v>280075.31170002191</v>
      </c>
      <c r="R73" s="74">
        <f>H$7*基础状态预估!Q79</f>
        <v>425522.02130316914</v>
      </c>
      <c r="S73" s="74">
        <f t="shared" si="9"/>
        <v>705597.33300319104</v>
      </c>
      <c r="U73" s="74">
        <v>69</v>
      </c>
      <c r="V73" s="77">
        <f t="shared" si="10"/>
        <v>73630</v>
      </c>
      <c r="W73" s="77">
        <f t="shared" si="11"/>
        <v>74955</v>
      </c>
      <c r="X73" s="77">
        <f t="shared" si="12"/>
        <v>76189</v>
      </c>
      <c r="Y73" s="77">
        <f t="shared" si="13"/>
        <v>77458</v>
      </c>
      <c r="Z73" s="77">
        <f t="shared" si="14"/>
        <v>78636</v>
      </c>
    </row>
    <row r="74" spans="11:26" x14ac:dyDescent="0.15">
      <c r="K74" s="6">
        <v>1140</v>
      </c>
      <c r="L74" s="74">
        <f>基础状态预估!D80</f>
        <v>103.86099440914086</v>
      </c>
      <c r="M74" s="74">
        <f>C$7*基础状态预估!L80</f>
        <v>0</v>
      </c>
      <c r="N74" s="74">
        <f>D$7*基础状态预估!M80</f>
        <v>0</v>
      </c>
      <c r="O74" s="74">
        <f>E$7*基础状态预估!N80</f>
        <v>0</v>
      </c>
      <c r="P74" s="74">
        <f>F$7*基础状态预估!O80</f>
        <v>0</v>
      </c>
      <c r="Q74" s="74">
        <f>G$7*基础状态预估!P80</f>
        <v>258133.97510387446</v>
      </c>
      <c r="R74" s="74">
        <f>H$7*基础状态预估!Q80</f>
        <v>482362.60543810186</v>
      </c>
      <c r="S74" s="74">
        <f t="shared" si="9"/>
        <v>740496.58054197626</v>
      </c>
      <c r="U74" s="74">
        <v>70</v>
      </c>
      <c r="V74" s="77">
        <f t="shared" si="10"/>
        <v>80723</v>
      </c>
      <c r="W74" s="77">
        <f t="shared" si="11"/>
        <v>82036</v>
      </c>
      <c r="X74" s="77">
        <f t="shared" si="12"/>
        <v>83278</v>
      </c>
      <c r="Y74" s="77">
        <f t="shared" si="13"/>
        <v>84456</v>
      </c>
      <c r="Z74" s="77">
        <f t="shared" si="14"/>
        <v>85633</v>
      </c>
    </row>
    <row r="75" spans="11:26" x14ac:dyDescent="0.15">
      <c r="K75" s="6">
        <v>1260</v>
      </c>
      <c r="L75" s="74">
        <f>基础状态预估!D81</f>
        <v>105.28054430059714</v>
      </c>
      <c r="M75" s="74">
        <f>C$7*基础状态预估!L81</f>
        <v>0</v>
      </c>
      <c r="N75" s="74">
        <f>D$7*基础状态预估!M81</f>
        <v>0</v>
      </c>
      <c r="O75" s="74">
        <f>E$7*基础状态预估!N81</f>
        <v>0</v>
      </c>
      <c r="P75" s="74">
        <f>F$7*基础状态预估!O81</f>
        <v>0</v>
      </c>
      <c r="Q75" s="74">
        <f>G$7*基础状态预估!P81</f>
        <v>236218.4387789504</v>
      </c>
      <c r="R75" s="74">
        <f>H$7*基础状态预估!Q81</f>
        <v>537088.18256666092</v>
      </c>
      <c r="S75" s="74">
        <f t="shared" si="9"/>
        <v>773306.62134561129</v>
      </c>
      <c r="U75" s="74">
        <v>71</v>
      </c>
      <c r="V75" s="77">
        <f t="shared" si="10"/>
        <v>87805</v>
      </c>
      <c r="W75" s="77">
        <f t="shared" si="11"/>
        <v>89086</v>
      </c>
      <c r="X75" s="77">
        <f t="shared" si="12"/>
        <v>90276</v>
      </c>
      <c r="Y75" s="77">
        <f t="shared" si="13"/>
        <v>91453</v>
      </c>
      <c r="Z75" s="77">
        <f t="shared" si="14"/>
        <v>92631</v>
      </c>
    </row>
    <row r="76" spans="11:26" x14ac:dyDescent="0.15">
      <c r="K76" s="6">
        <v>1380</v>
      </c>
      <c r="L76" s="74">
        <f>基础状态预估!D82</f>
        <v>106.5877808636499</v>
      </c>
      <c r="M76" s="74">
        <f>C$7*基础状态预估!L82</f>
        <v>0</v>
      </c>
      <c r="N76" s="74">
        <f>D$7*基础状态预估!M82</f>
        <v>0</v>
      </c>
      <c r="O76" s="74">
        <f>E$7*基础状态预估!N82</f>
        <v>0</v>
      </c>
      <c r="P76" s="74">
        <f>F$7*基础状态预估!O82</f>
        <v>0</v>
      </c>
      <c r="Q76" s="74">
        <f>G$7*基础状态预估!P82</f>
        <v>205395.38515133384</v>
      </c>
      <c r="R76" s="74">
        <f>H$7*基础状态预估!Q82</f>
        <v>607393.741721389</v>
      </c>
      <c r="S76" s="74">
        <f t="shared" si="9"/>
        <v>812789.12687272287</v>
      </c>
      <c r="U76" s="74">
        <v>72</v>
      </c>
      <c r="V76" s="77">
        <f t="shared" si="10"/>
        <v>94886</v>
      </c>
      <c r="W76" s="77">
        <f t="shared" si="11"/>
        <v>96096</v>
      </c>
      <c r="X76" s="77">
        <f t="shared" si="12"/>
        <v>97273</v>
      </c>
      <c r="Y76" s="77">
        <f t="shared" si="13"/>
        <v>98451</v>
      </c>
      <c r="Z76" s="77">
        <f t="shared" si="14"/>
        <v>99629</v>
      </c>
    </row>
    <row r="77" spans="11:26" x14ac:dyDescent="0.15">
      <c r="K77" s="6">
        <v>1500</v>
      </c>
      <c r="L77" s="74">
        <f>基础状态预估!D83</f>
        <v>107.79548237561555</v>
      </c>
      <c r="M77" s="74">
        <f>C$7*基础状态预估!L83</f>
        <v>0</v>
      </c>
      <c r="N77" s="74">
        <f>D$7*基础状态预估!M83</f>
        <v>0</v>
      </c>
      <c r="O77" s="74">
        <f>E$7*基础状态预估!N83</f>
        <v>0</v>
      </c>
      <c r="P77" s="74">
        <f>F$7*基础状态预估!O83</f>
        <v>0</v>
      </c>
      <c r="Q77" s="74">
        <f>G$7*基础状态预估!P83</f>
        <v>176919.24737980432</v>
      </c>
      <c r="R77" s="74">
        <f>H$7*基础状态预估!Q83</f>
        <v>672346.12485583266</v>
      </c>
      <c r="S77" s="74">
        <f t="shared" si="9"/>
        <v>849265.37223563693</v>
      </c>
      <c r="U77" s="74">
        <v>73</v>
      </c>
      <c r="V77" s="77">
        <f t="shared" si="10"/>
        <v>101916</v>
      </c>
      <c r="W77" s="77">
        <f t="shared" si="11"/>
        <v>103093</v>
      </c>
      <c r="X77" s="77">
        <f t="shared" si="12"/>
        <v>104271</v>
      </c>
      <c r="Y77" s="77">
        <f t="shared" si="13"/>
        <v>105449</v>
      </c>
      <c r="Z77" s="77">
        <f t="shared" si="14"/>
        <v>106627</v>
      </c>
    </row>
    <row r="78" spans="11:26" x14ac:dyDescent="0.15">
      <c r="K78" s="6">
        <v>1800</v>
      </c>
      <c r="L78" s="74">
        <f>基础状态预估!D84</f>
        <v>110.45909768117225</v>
      </c>
      <c r="M78" s="74">
        <f>C$7*基础状态预估!L84</f>
        <v>0</v>
      </c>
      <c r="N78" s="74">
        <f>D$7*基础状态预估!M84</f>
        <v>0</v>
      </c>
      <c r="O78" s="74">
        <f>E$7*基础状态预估!N84</f>
        <v>0</v>
      </c>
      <c r="P78" s="74">
        <f>F$7*基础状态预估!O84</f>
        <v>0</v>
      </c>
      <c r="Q78" s="74">
        <f>G$7*基础状态预估!P84</f>
        <v>114114.42709939003</v>
      </c>
      <c r="R78" s="74">
        <f>H$7*基础状态预估!Q84</f>
        <v>815600.19892559131</v>
      </c>
      <c r="S78" s="74">
        <f t="shared" si="9"/>
        <v>929714.62602498138</v>
      </c>
      <c r="U78" s="74">
        <v>74</v>
      </c>
      <c r="V78" s="77">
        <f t="shared" si="10"/>
        <v>108913</v>
      </c>
      <c r="W78" s="77">
        <f t="shared" si="11"/>
        <v>110091</v>
      </c>
      <c r="X78" s="77">
        <f t="shared" si="12"/>
        <v>111269</v>
      </c>
      <c r="Y78" s="77">
        <f t="shared" si="13"/>
        <v>112447</v>
      </c>
      <c r="Z78" s="77">
        <f t="shared" si="14"/>
        <v>128553</v>
      </c>
    </row>
    <row r="79" spans="11:26" x14ac:dyDescent="0.15">
      <c r="K79" s="6">
        <v>2100</v>
      </c>
      <c r="L79" s="74">
        <f>基础状态预估!D85</f>
        <v>112.6575750662045</v>
      </c>
      <c r="M79" s="74">
        <f>C$7*基础状态预估!L85</f>
        <v>0</v>
      </c>
      <c r="N79" s="74">
        <f>D$7*基础状态预估!M85</f>
        <v>0</v>
      </c>
      <c r="O79" s="74">
        <f>E$7*基础状态预估!N85</f>
        <v>0</v>
      </c>
      <c r="P79" s="74">
        <f>F$7*基础状态预估!O85</f>
        <v>0</v>
      </c>
      <c r="Q79" s="74">
        <f>G$7*基础状态预估!P85</f>
        <v>62015.651244833876</v>
      </c>
      <c r="R79" s="74">
        <f>H$7*基础状态预估!Q85</f>
        <v>933838.30992423475</v>
      </c>
      <c r="S79" s="74">
        <f t="shared" si="9"/>
        <v>995853.96116906859</v>
      </c>
      <c r="U79" s="74">
        <v>75</v>
      </c>
      <c r="V79" s="77">
        <f t="shared" si="10"/>
        <v>115955</v>
      </c>
      <c r="W79" s="77">
        <f t="shared" si="11"/>
        <v>129958</v>
      </c>
      <c r="X79" s="77">
        <f t="shared" si="12"/>
        <v>135823</v>
      </c>
      <c r="Y79" s="77">
        <f t="shared" si="13"/>
        <v>131097</v>
      </c>
      <c r="Z79" s="77">
        <f t="shared" si="14"/>
        <v>151055</v>
      </c>
    </row>
    <row r="80" spans="11:26" x14ac:dyDescent="0.15">
      <c r="K80" s="6">
        <v>2400</v>
      </c>
      <c r="L80" s="74">
        <f>基础状态预估!D86</f>
        <v>114.60231372852645</v>
      </c>
      <c r="M80" s="74">
        <f>C$7*基础状态预估!L86</f>
        <v>0</v>
      </c>
      <c r="N80" s="74">
        <f>D$7*基础状态预估!M86</f>
        <v>0</v>
      </c>
      <c r="O80" s="74">
        <f>E$7*基础状态预估!N86</f>
        <v>0</v>
      </c>
      <c r="P80" s="74">
        <f>F$7*基础状态预估!O86</f>
        <v>0</v>
      </c>
      <c r="Q80" s="74">
        <f>G$7*基础状态预估!P86</f>
        <v>15388.161890728717</v>
      </c>
      <c r="R80" s="74">
        <f>H$7*基础状态预估!Q86</f>
        <v>1038429.8910723864</v>
      </c>
      <c r="S80" s="74">
        <f t="shared" si="9"/>
        <v>1053818.052963115</v>
      </c>
      <c r="U80" s="74">
        <v>76</v>
      </c>
      <c r="V80" s="77">
        <f t="shared" si="10"/>
        <v>150372</v>
      </c>
      <c r="W80" s="77">
        <f t="shared" si="11"/>
        <v>160644</v>
      </c>
      <c r="X80" s="77">
        <f t="shared" si="12"/>
        <v>163462</v>
      </c>
      <c r="Y80" s="77">
        <f t="shared" si="13"/>
        <v>161096</v>
      </c>
      <c r="Z80" s="77">
        <f t="shared" si="14"/>
        <v>173557</v>
      </c>
    </row>
    <row r="81" spans="11:26" x14ac:dyDescent="0.15">
      <c r="K81" s="6">
        <v>2700</v>
      </c>
      <c r="L81" s="74">
        <f>基础状态预估!D87</f>
        <v>116.33278549477166</v>
      </c>
      <c r="M81" s="74">
        <f>C$7*基础状态预估!L87</f>
        <v>0</v>
      </c>
      <c r="N81" s="74">
        <f>D$7*基础状态预估!M87</f>
        <v>0</v>
      </c>
      <c r="O81" s="74">
        <f>E$7*基础状态预估!N87</f>
        <v>0</v>
      </c>
      <c r="P81" s="74">
        <f>F$7*基础状态预估!O87</f>
        <v>0</v>
      </c>
      <c r="Q81" s="74">
        <f>G$7*基础状态预估!P87</f>
        <v>0</v>
      </c>
      <c r="R81" s="74">
        <f>H$7*基础状态预估!Q87</f>
        <v>1082661.7782610394</v>
      </c>
      <c r="S81" s="74">
        <f t="shared" si="9"/>
        <v>1082661.7782610394</v>
      </c>
      <c r="U81" s="74">
        <v>77</v>
      </c>
      <c r="V81" s="77">
        <f t="shared" si="10"/>
        <v>184790</v>
      </c>
      <c r="W81" s="77">
        <f t="shared" si="11"/>
        <v>191330</v>
      </c>
      <c r="X81" s="77">
        <f t="shared" si="12"/>
        <v>191101</v>
      </c>
      <c r="Y81" s="77">
        <f t="shared" si="13"/>
        <v>187729</v>
      </c>
      <c r="Z81" s="77">
        <f t="shared" si="14"/>
        <v>196059</v>
      </c>
    </row>
    <row r="82" spans="11:26" x14ac:dyDescent="0.15">
      <c r="K82" s="6">
        <v>3000</v>
      </c>
      <c r="L82" s="74">
        <f>基础状态预估!D88</f>
        <v>117.85065637558189</v>
      </c>
      <c r="M82" s="74">
        <f>C$7*基础状态预估!L88</f>
        <v>0</v>
      </c>
      <c r="N82" s="74">
        <f>D$7*基础状态预估!M88</f>
        <v>0</v>
      </c>
      <c r="O82" s="74">
        <f>E$7*基础状态预估!N88</f>
        <v>0</v>
      </c>
      <c r="P82" s="74">
        <f>F$7*基础状态预估!O88</f>
        <v>0</v>
      </c>
      <c r="Q82" s="74">
        <f>G$7*基础状态预估!P88</f>
        <v>0</v>
      </c>
      <c r="R82" s="74">
        <f>H$7*基础状态预估!Q88</f>
        <v>1096205.8568898076</v>
      </c>
      <c r="S82" s="74">
        <f t="shared" si="9"/>
        <v>1096205.8568898076</v>
      </c>
      <c r="U82" s="74">
        <v>78</v>
      </c>
      <c r="V82" s="77">
        <f t="shared" si="10"/>
        <v>202133</v>
      </c>
      <c r="W82" s="77">
        <f t="shared" si="11"/>
        <v>205430</v>
      </c>
      <c r="X82" s="77">
        <f t="shared" si="12"/>
        <v>208632</v>
      </c>
      <c r="Y82" s="77">
        <f t="shared" si="13"/>
        <v>207462</v>
      </c>
      <c r="Z82" s="77">
        <f t="shared" si="14"/>
        <v>211116</v>
      </c>
    </row>
    <row r="83" spans="11:26" x14ac:dyDescent="0.15">
      <c r="K83" s="6">
        <v>3300</v>
      </c>
      <c r="L83" s="74">
        <f>基础状态预估!D89</f>
        <v>119.21088872323202</v>
      </c>
      <c r="M83" s="74">
        <f>C$7*基础状态预估!L89</f>
        <v>0</v>
      </c>
      <c r="N83" s="74">
        <f>D$7*基础状态预估!M89</f>
        <v>0</v>
      </c>
      <c r="O83" s="74">
        <f>E$7*基础状态预估!N89</f>
        <v>0</v>
      </c>
      <c r="P83" s="74">
        <f>F$7*基础状态预估!O89</f>
        <v>0</v>
      </c>
      <c r="Q83" s="74">
        <f>G$7*基础状态预估!P89</f>
        <v>0</v>
      </c>
      <c r="R83" s="74">
        <f>H$7*基础状态预估!Q89</f>
        <v>1108343.3147611471</v>
      </c>
      <c r="S83" s="74">
        <f t="shared" si="9"/>
        <v>1108343.3147611471</v>
      </c>
      <c r="U83" s="74">
        <v>79</v>
      </c>
      <c r="V83" s="77">
        <f t="shared" si="10"/>
        <v>215067</v>
      </c>
      <c r="W83" s="77">
        <f t="shared" si="11"/>
        <v>218323</v>
      </c>
      <c r="X83" s="77">
        <f t="shared" si="12"/>
        <v>221317</v>
      </c>
      <c r="Y83" s="77">
        <f t="shared" si="13"/>
        <v>224400</v>
      </c>
      <c r="Z83" s="77">
        <f t="shared" si="14"/>
        <v>225227</v>
      </c>
    </row>
    <row r="84" spans="11:26" x14ac:dyDescent="0.15">
      <c r="K84" s="6">
        <v>3600</v>
      </c>
      <c r="L84" s="74">
        <f>基础状态预估!D90</f>
        <v>120.46417102385924</v>
      </c>
      <c r="M84" s="74">
        <f>C$7*基础状态预估!L90</f>
        <v>0</v>
      </c>
      <c r="N84" s="74">
        <f>D$7*基础状态预估!M90</f>
        <v>0</v>
      </c>
      <c r="O84" s="74">
        <f>E$7*基础状态预估!N90</f>
        <v>0</v>
      </c>
      <c r="P84" s="74">
        <f>F$7*基础状态预估!O90</f>
        <v>0</v>
      </c>
      <c r="Q84" s="74">
        <f>G$7*基础状态预估!P90</f>
        <v>0</v>
      </c>
      <c r="R84" s="74">
        <f>H$7*基础状态预估!Q90</f>
        <v>1119526.4491359747</v>
      </c>
      <c r="S84" s="74">
        <f t="shared" si="9"/>
        <v>1119526.4491359747</v>
      </c>
      <c r="U84" s="74">
        <v>80</v>
      </c>
      <c r="V84" s="77">
        <f t="shared" si="10"/>
        <v>227859</v>
      </c>
      <c r="W84" s="77">
        <f t="shared" si="11"/>
        <v>231000</v>
      </c>
      <c r="X84" s="77">
        <f t="shared" si="12"/>
        <v>234000</v>
      </c>
      <c r="Y84" s="77">
        <f t="shared" si="13"/>
        <v>237000</v>
      </c>
      <c r="Z84" s="77">
        <f t="shared" si="14"/>
        <v>239339</v>
      </c>
    </row>
    <row r="85" spans="11:26" x14ac:dyDescent="0.15">
      <c r="K85" s="6">
        <v>3900</v>
      </c>
      <c r="L85" s="74">
        <f>基础状态预估!D91</f>
        <v>121.65302977187105</v>
      </c>
      <c r="M85" s="74">
        <f>C$7*基础状态预估!L91</f>
        <v>0</v>
      </c>
      <c r="N85" s="74">
        <f>D$7*基础状态预估!M91</f>
        <v>0</v>
      </c>
      <c r="O85" s="74">
        <f>E$7*基础状态预估!N91</f>
        <v>0</v>
      </c>
      <c r="P85" s="74">
        <f>F$7*基础状态预估!O91</f>
        <v>0</v>
      </c>
      <c r="Q85" s="74">
        <f>G$7*基础状态预估!P91</f>
        <v>0</v>
      </c>
      <c r="R85" s="74">
        <f>H$7*基础状态预估!Q91</f>
        <v>1130134.727195157</v>
      </c>
      <c r="S85" s="74">
        <f t="shared" si="9"/>
        <v>1130134.727195157</v>
      </c>
      <c r="U85" s="74">
        <v>81</v>
      </c>
      <c r="V85" s="77">
        <f t="shared" si="10"/>
        <v>240600</v>
      </c>
      <c r="W85" s="77">
        <f t="shared" si="11"/>
        <v>243600</v>
      </c>
      <c r="X85" s="77">
        <f t="shared" si="12"/>
        <v>246600</v>
      </c>
      <c r="Y85" s="77">
        <f t="shared" si="13"/>
        <v>249600</v>
      </c>
      <c r="Z85" s="77">
        <f t="shared" si="14"/>
        <v>252600</v>
      </c>
    </row>
    <row r="86" spans="11:26" x14ac:dyDescent="0.15">
      <c r="K86" s="6">
        <v>4200</v>
      </c>
      <c r="L86" s="74">
        <f>基础状态预估!D92</f>
        <v>122.73490799469288</v>
      </c>
      <c r="M86" s="74">
        <f>C$7*基础状态预估!L92</f>
        <v>0</v>
      </c>
      <c r="N86" s="74">
        <f>D$7*基础状态预估!M92</f>
        <v>0</v>
      </c>
      <c r="O86" s="74">
        <f>E$7*基础状态预估!N92</f>
        <v>0</v>
      </c>
      <c r="P86" s="74">
        <f>F$7*基础状态预估!O92</f>
        <v>0</v>
      </c>
      <c r="Q86" s="74">
        <f>G$7*基础状态预估!P92</f>
        <v>0</v>
      </c>
      <c r="R86" s="74">
        <f>H$7*基础状态预估!Q92</f>
        <v>1139788.4097987979</v>
      </c>
      <c r="S86" s="74">
        <f t="shared" si="9"/>
        <v>1139788.4097987979</v>
      </c>
      <c r="U86" s="74">
        <v>82</v>
      </c>
      <c r="V86" s="77">
        <f t="shared" si="10"/>
        <v>253200</v>
      </c>
      <c r="W86" s="77">
        <f t="shared" si="11"/>
        <v>256200</v>
      </c>
      <c r="X86" s="77">
        <f t="shared" si="12"/>
        <v>259200</v>
      </c>
      <c r="Y86" s="77">
        <f t="shared" si="13"/>
        <v>262200</v>
      </c>
      <c r="Z86" s="77">
        <f t="shared" si="14"/>
        <v>265200</v>
      </c>
    </row>
    <row r="87" spans="11:26" x14ac:dyDescent="0.15">
      <c r="K87" s="6">
        <v>4500</v>
      </c>
      <c r="L87" s="74">
        <f>基础状态预估!D93</f>
        <v>123.70999272209546</v>
      </c>
      <c r="M87" s="74">
        <f>C$7*基础状态预估!L93</f>
        <v>0</v>
      </c>
      <c r="N87" s="74">
        <f>D$7*基础状态预估!M93</f>
        <v>0</v>
      </c>
      <c r="O87" s="74">
        <f>E$7*基础状态预估!N93</f>
        <v>0</v>
      </c>
      <c r="P87" s="74">
        <f>F$7*基础状态预估!O93</f>
        <v>0</v>
      </c>
      <c r="Q87" s="74">
        <f>G$7*基础状态预估!P93</f>
        <v>0</v>
      </c>
      <c r="R87" s="74">
        <f>H$7*基础状态预估!Q93</f>
        <v>1148489.1658279288</v>
      </c>
      <c r="S87" s="74">
        <f t="shared" si="9"/>
        <v>1148489.1658279288</v>
      </c>
      <c r="U87" s="74">
        <v>83</v>
      </c>
      <c r="V87" s="77">
        <f t="shared" si="10"/>
        <v>265800</v>
      </c>
      <c r="W87" s="77">
        <f t="shared" si="11"/>
        <v>268800</v>
      </c>
      <c r="X87" s="77">
        <f t="shared" si="12"/>
        <v>271800</v>
      </c>
      <c r="Y87" s="77">
        <f t="shared" si="13"/>
        <v>274800</v>
      </c>
      <c r="Z87" s="77">
        <f t="shared" si="14"/>
        <v>277800</v>
      </c>
    </row>
    <row r="88" spans="11:26" x14ac:dyDescent="0.15">
      <c r="K88" s="6">
        <v>4800</v>
      </c>
      <c r="L88" s="74">
        <f>基础状态预估!D94</f>
        <v>124.63695716337583</v>
      </c>
      <c r="M88" s="74">
        <f>C$7*基础状态预估!L94</f>
        <v>0</v>
      </c>
      <c r="N88" s="74">
        <f>D$7*基础状态预估!M94</f>
        <v>0</v>
      </c>
      <c r="O88" s="74">
        <f>E$7*基础状态预估!N94</f>
        <v>0</v>
      </c>
      <c r="P88" s="74">
        <f>F$7*基础状态预估!O94</f>
        <v>0</v>
      </c>
      <c r="Q88" s="74">
        <f>G$7*基础状态预估!P94</f>
        <v>0</v>
      </c>
      <c r="R88" s="74">
        <f>H$7*基础状态预估!Q94</f>
        <v>1156760.5408424304</v>
      </c>
      <c r="S88" s="74">
        <f t="shared" si="9"/>
        <v>1156760.5408424304</v>
      </c>
      <c r="U88" s="74">
        <v>84</v>
      </c>
      <c r="V88" s="77">
        <f t="shared" si="10"/>
        <v>278400</v>
      </c>
      <c r="W88" s="77">
        <f t="shared" si="11"/>
        <v>281400</v>
      </c>
      <c r="X88" s="77">
        <f t="shared" si="12"/>
        <v>284400</v>
      </c>
      <c r="Y88" s="77">
        <f t="shared" si="13"/>
        <v>287400</v>
      </c>
      <c r="Z88" s="77">
        <f t="shared" si="14"/>
        <v>303755</v>
      </c>
    </row>
    <row r="89" spans="11:26" x14ac:dyDescent="0.15">
      <c r="K89" s="6">
        <v>65535</v>
      </c>
      <c r="L89" s="74">
        <f>基础状态预估!D95</f>
        <v>160</v>
      </c>
      <c r="M89" s="74">
        <f>C$7*基础状态预估!L95</f>
        <v>0</v>
      </c>
      <c r="N89" s="74">
        <f>D$7*基础状态预估!M95</f>
        <v>0</v>
      </c>
      <c r="O89" s="74">
        <f>E$7*基础状态预估!N95</f>
        <v>0</v>
      </c>
      <c r="P89" s="74">
        <f>F$7*基础状态预估!O95</f>
        <v>0</v>
      </c>
      <c r="Q89" s="74">
        <f>G$7*基础状态预估!P95</f>
        <v>0</v>
      </c>
      <c r="R89" s="74">
        <f>H$7*基础状态预估!Q95</f>
        <v>1160000</v>
      </c>
      <c r="S89" s="74">
        <f t="shared" si="9"/>
        <v>1160000</v>
      </c>
      <c r="U89" s="74">
        <v>85</v>
      </c>
      <c r="V89" s="77">
        <f t="shared" si="10"/>
        <v>293238</v>
      </c>
      <c r="W89" s="77">
        <f t="shared" si="11"/>
        <v>319781</v>
      </c>
      <c r="X89" s="77">
        <f t="shared" si="12"/>
        <v>335418</v>
      </c>
      <c r="Y89" s="77">
        <f t="shared" si="13"/>
        <v>324553</v>
      </c>
      <c r="Z89" s="77">
        <f t="shared" si="14"/>
        <v>331617</v>
      </c>
    </row>
    <row r="90" spans="11:26" x14ac:dyDescent="0.15">
      <c r="U90" s="74">
        <v>86</v>
      </c>
      <c r="V90" s="77">
        <f t="shared" si="10"/>
        <v>358079</v>
      </c>
      <c r="W90" s="77">
        <f t="shared" si="11"/>
        <v>377388</v>
      </c>
      <c r="X90" s="77">
        <f t="shared" si="12"/>
        <v>391933</v>
      </c>
      <c r="Y90" s="77">
        <f t="shared" si="13"/>
        <v>392640</v>
      </c>
      <c r="Z90" s="77">
        <f t="shared" si="14"/>
        <v>376486</v>
      </c>
    </row>
    <row r="91" spans="11:26" x14ac:dyDescent="0.15">
      <c r="K91" s="75" t="str">
        <f>基础状态预估!C97</f>
        <v>中r</v>
      </c>
      <c r="L91" s="75"/>
      <c r="M91" s="84" t="s">
        <v>208</v>
      </c>
      <c r="N91" s="84"/>
      <c r="O91" s="84"/>
      <c r="P91" s="84"/>
      <c r="Q91" s="84"/>
      <c r="R91" s="84"/>
      <c r="S91" s="74"/>
      <c r="U91" s="74">
        <v>87</v>
      </c>
      <c r="V91" s="77">
        <f t="shared" si="10"/>
        <v>422919</v>
      </c>
      <c r="W91" s="77">
        <f t="shared" si="11"/>
        <v>434995</v>
      </c>
      <c r="X91" s="77">
        <f t="shared" si="12"/>
        <v>433789</v>
      </c>
      <c r="Y91" s="77">
        <f t="shared" si="13"/>
        <v>450100</v>
      </c>
      <c r="Z91" s="77">
        <f t="shared" si="14"/>
        <v>431977</v>
      </c>
    </row>
    <row r="92" spans="11:26" x14ac:dyDescent="0.15">
      <c r="K92" s="75" t="s">
        <v>31</v>
      </c>
      <c r="L92" s="75" t="s">
        <v>25</v>
      </c>
      <c r="M92" s="5" t="s">
        <v>26</v>
      </c>
      <c r="N92" s="5" t="s">
        <v>38</v>
      </c>
      <c r="O92" s="5" t="s">
        <v>27</v>
      </c>
      <c r="P92" s="5" t="s">
        <v>29</v>
      </c>
      <c r="Q92" s="5" t="s">
        <v>28</v>
      </c>
      <c r="R92" s="5" t="s">
        <v>43</v>
      </c>
      <c r="S92" s="74" t="s">
        <v>209</v>
      </c>
      <c r="U92" s="74">
        <v>88</v>
      </c>
      <c r="V92" s="77">
        <f t="shared" si="10"/>
        <v>445900</v>
      </c>
      <c r="W92" s="77">
        <f t="shared" si="11"/>
        <v>452027</v>
      </c>
      <c r="X92" s="77">
        <f t="shared" si="12"/>
        <v>458023</v>
      </c>
      <c r="Y92" s="77">
        <f t="shared" si="13"/>
        <v>463887</v>
      </c>
      <c r="Z92" s="77">
        <f t="shared" si="14"/>
        <v>469573</v>
      </c>
    </row>
    <row r="93" spans="11:26" x14ac:dyDescent="0.15">
      <c r="K93" s="6">
        <v>15</v>
      </c>
      <c r="L93" s="74">
        <f>基础状态预估!D99</f>
        <v>44.442238853326032</v>
      </c>
      <c r="M93" s="74">
        <f>C$7*基础状态预估!L99</f>
        <v>0</v>
      </c>
      <c r="N93" s="74">
        <f>D$7*基础状态预估!M99</f>
        <v>0</v>
      </c>
      <c r="O93" s="74">
        <f>E$7*基础状态预估!N99</f>
        <v>0</v>
      </c>
      <c r="P93" s="74">
        <f>F$7*基础状态预估!O99</f>
        <v>0</v>
      </c>
      <c r="Q93" s="74">
        <f>G$7*基础状态预估!P99</f>
        <v>0</v>
      </c>
      <c r="R93" s="74">
        <f>H$7*基础状态预估!Q99</f>
        <v>0</v>
      </c>
      <c r="S93" s="74">
        <f>SUM(M93:R93)</f>
        <v>0</v>
      </c>
      <c r="U93" s="74">
        <v>89</v>
      </c>
      <c r="V93" s="77">
        <f t="shared" si="10"/>
        <v>460200</v>
      </c>
      <c r="W93" s="77">
        <f t="shared" si="11"/>
        <v>466249</v>
      </c>
      <c r="X93" s="77">
        <f t="shared" si="12"/>
        <v>471883</v>
      </c>
      <c r="Y93" s="77">
        <f t="shared" si="13"/>
        <v>477673</v>
      </c>
      <c r="Z93" s="77">
        <f t="shared" si="14"/>
        <v>483309</v>
      </c>
    </row>
    <row r="94" spans="11:26" x14ac:dyDescent="0.15">
      <c r="K94" s="6">
        <v>30</v>
      </c>
      <c r="L94" s="74">
        <f>基础状态预估!D100</f>
        <v>54.213705787583436</v>
      </c>
      <c r="M94" s="74">
        <f>C$7*基础状态预估!L100</f>
        <v>1978.1682361064277</v>
      </c>
      <c r="N94" s="74">
        <f>D$7*基础状态预估!M100</f>
        <v>6633.8681670600736</v>
      </c>
      <c r="O94" s="74">
        <f>E$7*基础状态预估!N100</f>
        <v>0</v>
      </c>
      <c r="P94" s="74">
        <f>F$7*基础状态预估!O100</f>
        <v>0</v>
      </c>
      <c r="Q94" s="74">
        <f>G$7*基础状态预估!P100</f>
        <v>0</v>
      </c>
      <c r="R94" s="74">
        <f>H$7*基础状态预估!Q100</f>
        <v>0</v>
      </c>
      <c r="S94" s="74">
        <f t="shared" ref="S94:S133" si="15">SUM(M94:R94)</f>
        <v>8612.0364031665013</v>
      </c>
      <c r="U94" s="74">
        <v>90</v>
      </c>
      <c r="V94" s="77">
        <f t="shared" si="10"/>
        <v>474263</v>
      </c>
      <c r="W94" s="77">
        <f t="shared" si="11"/>
        <v>480136</v>
      </c>
      <c r="X94" s="77">
        <f t="shared" si="12"/>
        <v>485743</v>
      </c>
      <c r="Y94" s="77">
        <f t="shared" si="13"/>
        <v>491409</v>
      </c>
      <c r="Z94" s="77">
        <f t="shared" si="14"/>
        <v>497045</v>
      </c>
    </row>
    <row r="95" spans="11:26" x14ac:dyDescent="0.15">
      <c r="K95" s="6">
        <v>45</v>
      </c>
      <c r="L95" s="74">
        <f>基础状态预估!D101</f>
        <v>60.086674688654931</v>
      </c>
      <c r="M95" s="74">
        <f>C$7*基础状态预估!L101</f>
        <v>0</v>
      </c>
      <c r="N95" s="74">
        <f>D$7*基础状态预估!M101</f>
        <v>11248.908234843137</v>
      </c>
      <c r="O95" s="74">
        <f>E$7*基础状态预估!N101</f>
        <v>16175.62550992268</v>
      </c>
      <c r="P95" s="74">
        <f>F$7*基础状态预估!O101</f>
        <v>0</v>
      </c>
      <c r="Q95" s="74">
        <f>G$7*基础状态预估!P101</f>
        <v>0</v>
      </c>
      <c r="R95" s="74">
        <f>H$7*基础状态预估!Q101</f>
        <v>0</v>
      </c>
      <c r="S95" s="74">
        <f t="shared" si="15"/>
        <v>27424.533744765817</v>
      </c>
      <c r="U95" s="74">
        <v>91</v>
      </c>
      <c r="V95" s="77">
        <f t="shared" si="10"/>
        <v>488236</v>
      </c>
      <c r="W95" s="77">
        <f t="shared" si="11"/>
        <v>493873</v>
      </c>
      <c r="X95" s="77">
        <f t="shared" si="12"/>
        <v>499509</v>
      </c>
      <c r="Y95" s="77">
        <f t="shared" si="13"/>
        <v>505145</v>
      </c>
      <c r="Z95" s="77">
        <f t="shared" si="14"/>
        <v>510782</v>
      </c>
    </row>
    <row r="96" spans="11:26" x14ac:dyDescent="0.15">
      <c r="K96" s="6">
        <v>60</v>
      </c>
      <c r="L96" s="74">
        <f>基础状态预估!D102</f>
        <v>64.14304723627319</v>
      </c>
      <c r="M96" s="74">
        <f>C$7*基础状态预估!L102</f>
        <v>0</v>
      </c>
      <c r="N96" s="74">
        <f>D$7*基础状态预估!M102</f>
        <v>7919.8403215305216</v>
      </c>
      <c r="O96" s="74">
        <f>E$7*基础状态预估!N102</f>
        <v>29074.890211348742</v>
      </c>
      <c r="P96" s="74">
        <f>F$7*基础状态预估!O102</f>
        <v>0</v>
      </c>
      <c r="Q96" s="74">
        <f>G$7*基础状态预估!P102</f>
        <v>0</v>
      </c>
      <c r="R96" s="74">
        <f>H$7*基础状态预估!Q102</f>
        <v>0</v>
      </c>
      <c r="S96" s="74">
        <f t="shared" si="15"/>
        <v>36994.730532879265</v>
      </c>
      <c r="U96" s="74">
        <v>92</v>
      </c>
      <c r="V96" s="77">
        <f t="shared" si="10"/>
        <v>501973</v>
      </c>
      <c r="W96" s="77">
        <f t="shared" si="11"/>
        <v>507609</v>
      </c>
      <c r="X96" s="77">
        <f t="shared" si="12"/>
        <v>513245</v>
      </c>
      <c r="Y96" s="77">
        <f t="shared" si="13"/>
        <v>518882</v>
      </c>
      <c r="Z96" s="77">
        <f t="shared" si="14"/>
        <v>524518</v>
      </c>
    </row>
    <row r="97" spans="11:26" x14ac:dyDescent="0.15">
      <c r="K97" s="6">
        <v>75</v>
      </c>
      <c r="L97" s="74">
        <f>基础状态预估!D103</f>
        <v>67.344310856946692</v>
      </c>
      <c r="M97" s="74">
        <f>C$7*基础状态预估!L103</f>
        <v>0</v>
      </c>
      <c r="N97" s="74">
        <f>D$7*基础状态预估!M103</f>
        <v>0</v>
      </c>
      <c r="O97" s="74">
        <f>E$7*基础状态预估!N103</f>
        <v>43351.303360363883</v>
      </c>
      <c r="P97" s="74">
        <f>F$7*基础状态预估!O103</f>
        <v>21098.797712520223</v>
      </c>
      <c r="Q97" s="74">
        <f>G$7*基础状态预估!P103</f>
        <v>0</v>
      </c>
      <c r="R97" s="74">
        <f>H$7*基础状态预估!Q103</f>
        <v>0</v>
      </c>
      <c r="S97" s="74">
        <f t="shared" si="15"/>
        <v>64450.101072884107</v>
      </c>
      <c r="U97" s="74">
        <v>93</v>
      </c>
      <c r="V97" s="77">
        <f>IFERROR(ROUND(求节点($L$5:$L$45,$S$5:$S$45,$U97),0),0)</f>
        <v>515709</v>
      </c>
      <c r="W97" s="77">
        <f t="shared" si="11"/>
        <v>521345</v>
      </c>
      <c r="X97" s="77">
        <f t="shared" si="12"/>
        <v>526982</v>
      </c>
      <c r="Y97" s="77">
        <f t="shared" si="13"/>
        <v>532927</v>
      </c>
      <c r="Z97" s="77">
        <f>IFERROR(ROUND(求节点($L$181:$L$221,$S$181:$S$221,$U97),0),0)</f>
        <v>538255</v>
      </c>
    </row>
    <row r="98" spans="11:26" x14ac:dyDescent="0.15">
      <c r="K98" s="6">
        <v>90</v>
      </c>
      <c r="L98" s="74">
        <f>基础状态预估!D104</f>
        <v>69.982855616450394</v>
      </c>
      <c r="M98" s="74">
        <f>C$7*基础状态预估!L104</f>
        <v>0</v>
      </c>
      <c r="N98" s="74">
        <f>D$7*基础状态预估!M104</f>
        <v>0</v>
      </c>
      <c r="O98" s="74">
        <f>E$7*基础状态预估!N104</f>
        <v>38312.104643507104</v>
      </c>
      <c r="P98" s="74">
        <f>F$7*基础状态预估!O104</f>
        <v>44845.700548053544</v>
      </c>
      <c r="Q98" s="74">
        <f>G$7*基础状态预估!P104</f>
        <v>0</v>
      </c>
      <c r="R98" s="74">
        <f>H$7*基础状态预估!Q104</f>
        <v>0</v>
      </c>
      <c r="S98" s="74">
        <f t="shared" si="15"/>
        <v>83157.805191560648</v>
      </c>
      <c r="U98" s="74">
        <v>94</v>
      </c>
      <c r="V98" s="77">
        <f t="shared" si="10"/>
        <v>529445</v>
      </c>
      <c r="W98" s="77">
        <f t="shared" si="11"/>
        <v>535082</v>
      </c>
      <c r="X98" s="77">
        <f t="shared" si="12"/>
        <v>540718</v>
      </c>
      <c r="Y98" s="77">
        <f t="shared" si="13"/>
        <v>547197</v>
      </c>
      <c r="Z98" s="77">
        <f t="shared" si="14"/>
        <v>551991</v>
      </c>
    </row>
    <row r="99" spans="11:26" x14ac:dyDescent="0.15">
      <c r="K99" s="6">
        <v>105</v>
      </c>
      <c r="L99" s="74">
        <f>基础状态预估!D105</f>
        <v>72.23150684883845</v>
      </c>
      <c r="M99" s="74">
        <f>C$7*基础状态预估!L105</f>
        <v>0</v>
      </c>
      <c r="N99" s="74">
        <f>D$7*基础状态预估!M105</f>
        <v>0</v>
      </c>
      <c r="O99" s="74">
        <f>E$7*基础状态预估!N105</f>
        <v>33809.805175992347</v>
      </c>
      <c r="P99" s="74">
        <f>F$7*基础状态预估!O105</f>
        <v>65083.561639546053</v>
      </c>
      <c r="Q99" s="74">
        <f>G$7*基础状态预估!P105</f>
        <v>0</v>
      </c>
      <c r="R99" s="74">
        <f>H$7*基础状态预估!Q105</f>
        <v>0</v>
      </c>
      <c r="S99" s="74">
        <f t="shared" si="15"/>
        <v>98893.366815538408</v>
      </c>
      <c r="U99" s="74">
        <v>95</v>
      </c>
      <c r="V99" s="77">
        <f t="shared" si="10"/>
        <v>543668</v>
      </c>
      <c r="W99" s="77">
        <f t="shared" si="11"/>
        <v>551251</v>
      </c>
      <c r="X99" s="77">
        <f t="shared" si="12"/>
        <v>557351</v>
      </c>
      <c r="Y99" s="77">
        <f t="shared" si="13"/>
        <v>561468</v>
      </c>
      <c r="Z99" s="77">
        <f t="shared" si="14"/>
        <v>570065</v>
      </c>
    </row>
    <row r="100" spans="11:26" x14ac:dyDescent="0.15">
      <c r="K100" s="6">
        <v>120</v>
      </c>
      <c r="L100" s="74">
        <f>基础状态预估!D106</f>
        <v>74.149428238300118</v>
      </c>
      <c r="M100" s="74">
        <f>C$7*基础状态预估!L106</f>
        <v>0</v>
      </c>
      <c r="N100" s="74">
        <f>D$7*基础状态预估!M106</f>
        <v>0</v>
      </c>
      <c r="O100" s="74">
        <f>E$7*基础状态预估!N106</f>
        <v>29969.700349536877</v>
      </c>
      <c r="P100" s="74">
        <f>F$7*基础状态预估!O106</f>
        <v>82344.85414470105</v>
      </c>
      <c r="Q100" s="74">
        <f>G$7*基础状态预估!P106</f>
        <v>0</v>
      </c>
      <c r="R100" s="74">
        <f>H$7*基础状态预估!Q106</f>
        <v>0</v>
      </c>
      <c r="S100" s="74">
        <f t="shared" si="15"/>
        <v>112314.55449423793</v>
      </c>
      <c r="U100" s="74">
        <v>96</v>
      </c>
      <c r="V100" s="77">
        <f t="shared" si="10"/>
        <v>565058</v>
      </c>
      <c r="W100" s="77">
        <f t="shared" si="11"/>
        <v>570655</v>
      </c>
      <c r="X100" s="77">
        <f t="shared" si="12"/>
        <v>576879</v>
      </c>
      <c r="Y100" s="77">
        <f t="shared" si="13"/>
        <v>581927</v>
      </c>
      <c r="Z100" s="77">
        <f t="shared" si="14"/>
        <v>588259</v>
      </c>
    </row>
    <row r="101" spans="11:26" x14ac:dyDescent="0.15">
      <c r="K101" s="6">
        <v>150</v>
      </c>
      <c r="L101" s="74">
        <f>基础状态预估!D107</f>
        <v>77.324097991611154</v>
      </c>
      <c r="M101" s="74">
        <f>C$7*基础状态预估!L107</f>
        <v>0</v>
      </c>
      <c r="N101" s="74">
        <f>D$7*基础状态预估!M107</f>
        <v>0</v>
      </c>
      <c r="O101" s="74">
        <f>E$7*基础状态预估!N107</f>
        <v>0</v>
      </c>
      <c r="P101" s="74">
        <f>F$7*基础状态预估!O107</f>
        <v>156830.11138087013</v>
      </c>
      <c r="Q101" s="74">
        <f>G$7*基础状态预估!P107</f>
        <v>43228.222643967463</v>
      </c>
      <c r="R101" s="74">
        <f>H$7*基础状态预估!Q107</f>
        <v>0</v>
      </c>
      <c r="S101" s="74">
        <f t="shared" si="15"/>
        <v>200058.33402483759</v>
      </c>
      <c r="U101" s="74">
        <v>97</v>
      </c>
      <c r="V101" s="77">
        <f t="shared" si="10"/>
        <v>586855</v>
      </c>
      <c r="W101" s="77">
        <f t="shared" si="11"/>
        <v>592491</v>
      </c>
      <c r="X101" s="77">
        <f t="shared" si="12"/>
        <v>598127</v>
      </c>
      <c r="Y101" s="77">
        <f t="shared" si="13"/>
        <v>603764</v>
      </c>
      <c r="Z101" s="77">
        <f t="shared" si="14"/>
        <v>609194</v>
      </c>
    </row>
    <row r="102" spans="11:26" x14ac:dyDescent="0.15">
      <c r="K102" s="6">
        <v>180</v>
      </c>
      <c r="L102" s="74">
        <f>基础状态预估!D108</f>
        <v>79.97103607409106</v>
      </c>
      <c r="M102" s="74">
        <f>C$7*基础状态预估!L108</f>
        <v>0</v>
      </c>
      <c r="N102" s="74">
        <f>D$7*基础状态预估!M108</f>
        <v>0</v>
      </c>
      <c r="O102" s="74">
        <f>E$7*基础状态预估!N108</f>
        <v>0</v>
      </c>
      <c r="P102" s="74">
        <f>F$7*基础状态预估!O108</f>
        <v>141173.78355545367</v>
      </c>
      <c r="Q102" s="74">
        <f>G$7*基础状态预估!P108</f>
        <v>92461.270978093715</v>
      </c>
      <c r="R102" s="74">
        <f>H$7*基础状态预估!Q108</f>
        <v>0</v>
      </c>
      <c r="S102" s="74">
        <f t="shared" si="15"/>
        <v>233635.05453354737</v>
      </c>
      <c r="U102" s="74">
        <v>98</v>
      </c>
      <c r="V102" s="77">
        <f t="shared" si="10"/>
        <v>608691</v>
      </c>
      <c r="W102" s="77">
        <f t="shared" si="11"/>
        <v>614327</v>
      </c>
      <c r="X102" s="77">
        <f t="shared" si="12"/>
        <v>619961</v>
      </c>
      <c r="Y102" s="77">
        <f t="shared" si="13"/>
        <v>625399</v>
      </c>
      <c r="Z102" s="77">
        <f t="shared" si="14"/>
        <v>630767</v>
      </c>
    </row>
    <row r="103" spans="11:26" x14ac:dyDescent="0.15">
      <c r="K103" s="6">
        <v>210</v>
      </c>
      <c r="L103" s="74">
        <f>基础状态预估!D109</f>
        <v>82.238672852681816</v>
      </c>
      <c r="M103" s="74">
        <f>C$7*基础状态预估!L109</f>
        <v>0</v>
      </c>
      <c r="N103" s="74">
        <f>D$7*基础状态预估!M109</f>
        <v>0</v>
      </c>
      <c r="O103" s="74">
        <f>E$7*基础状态预估!N109</f>
        <v>0</v>
      </c>
      <c r="P103" s="74">
        <f>F$7*基础状态预估!O109</f>
        <v>127567.96288390913</v>
      </c>
      <c r="Q103" s="74">
        <f>G$7*基础状态预估!P109</f>
        <v>134639.31505988177</v>
      </c>
      <c r="R103" s="74">
        <f>H$7*基础状态预估!Q109</f>
        <v>0</v>
      </c>
      <c r="S103" s="74">
        <f t="shared" si="15"/>
        <v>262207.27794379089</v>
      </c>
      <c r="U103" s="74">
        <v>99</v>
      </c>
      <c r="V103" s="77">
        <f t="shared" si="10"/>
        <v>630527</v>
      </c>
      <c r="W103" s="77">
        <f t="shared" si="11"/>
        <v>636164</v>
      </c>
      <c r="X103" s="77">
        <f t="shared" si="12"/>
        <v>641787</v>
      </c>
      <c r="Y103" s="77">
        <f t="shared" si="13"/>
        <v>646942</v>
      </c>
      <c r="Z103" s="77">
        <f t="shared" si="14"/>
        <v>652133</v>
      </c>
    </row>
    <row r="104" spans="11:26" x14ac:dyDescent="0.15">
      <c r="K104" s="6">
        <v>240</v>
      </c>
      <c r="L104" s="74">
        <f>基础状态预估!D110</f>
        <v>84.163908914135135</v>
      </c>
      <c r="M104" s="74">
        <f>C$7*基础状态预估!L110</f>
        <v>0</v>
      </c>
      <c r="N104" s="74">
        <f>D$7*基础状态预估!M110</f>
        <v>0</v>
      </c>
      <c r="O104" s="74">
        <f>E$7*基础状态预估!N110</f>
        <v>0</v>
      </c>
      <c r="P104" s="74">
        <f>F$7*基础状态预估!O110</f>
        <v>116016.5465151892</v>
      </c>
      <c r="Q104" s="74">
        <f>G$7*基础状态预估!P110</f>
        <v>170448.70580291352</v>
      </c>
      <c r="R104" s="74">
        <f>H$7*基础状态预估!Q110</f>
        <v>0</v>
      </c>
      <c r="S104" s="74">
        <f t="shared" si="15"/>
        <v>286465.25231810275</v>
      </c>
      <c r="U104" s="74">
        <v>100</v>
      </c>
      <c r="V104" s="77">
        <f t="shared" si="10"/>
        <v>652357</v>
      </c>
      <c r="W104" s="77">
        <f t="shared" si="11"/>
        <v>657890</v>
      </c>
      <c r="X104" s="77">
        <f t="shared" si="12"/>
        <v>663167</v>
      </c>
      <c r="Y104" s="77">
        <f t="shared" si="13"/>
        <v>668333</v>
      </c>
      <c r="Z104" s="77">
        <f t="shared" si="14"/>
        <v>673500</v>
      </c>
    </row>
    <row r="105" spans="11:26" x14ac:dyDescent="0.15">
      <c r="K105" s="6">
        <v>270</v>
      </c>
      <c r="L105" s="74">
        <f>基础状态预估!D111</f>
        <v>85.878108880436827</v>
      </c>
      <c r="M105" s="74">
        <f>C$7*基础状态预估!L111</f>
        <v>0</v>
      </c>
      <c r="N105" s="74">
        <f>D$7*基础状态预估!M111</f>
        <v>0</v>
      </c>
      <c r="O105" s="74">
        <f>E$7*基础状态预估!N111</f>
        <v>0</v>
      </c>
      <c r="P105" s="74">
        <f>F$7*基础状态预估!O111</f>
        <v>38556.017363961779</v>
      </c>
      <c r="Q105" s="74">
        <f>G$7*基础状态预估!P111</f>
        <v>332995.42658512481</v>
      </c>
      <c r="R105" s="74">
        <f>H$7*基础状态预估!Q111</f>
        <v>15279.094519600783</v>
      </c>
      <c r="S105" s="74">
        <f t="shared" si="15"/>
        <v>386830.53846868739</v>
      </c>
      <c r="U105" s="74">
        <v>101</v>
      </c>
      <c r="V105" s="77">
        <f t="shared" si="10"/>
        <v>674030</v>
      </c>
      <c r="W105" s="77">
        <f t="shared" si="11"/>
        <v>679367</v>
      </c>
      <c r="X105" s="77">
        <f t="shared" si="12"/>
        <v>684533</v>
      </c>
      <c r="Y105" s="77">
        <f t="shared" si="13"/>
        <v>689700</v>
      </c>
      <c r="Z105" s="77">
        <f t="shared" si="14"/>
        <v>694867</v>
      </c>
    </row>
    <row r="106" spans="11:26" x14ac:dyDescent="0.15">
      <c r="K106" s="6">
        <v>300</v>
      </c>
      <c r="L106" s="74">
        <f>基础状态预估!D112</f>
        <v>87.370536081129359</v>
      </c>
      <c r="M106" s="74">
        <f>C$7*基础状态预估!L112</f>
        <v>0</v>
      </c>
      <c r="N106" s="74">
        <f>D$7*基础状态预估!M112</f>
        <v>0</v>
      </c>
      <c r="O106" s="74">
        <f>E$7*基础状态预估!N112</f>
        <v>0</v>
      </c>
      <c r="P106" s="74">
        <f>F$7*基础状态预估!O112</f>
        <v>0</v>
      </c>
      <c r="Q106" s="74">
        <f>G$7*基础状态预估!P112</f>
        <v>408051.33814849897</v>
      </c>
      <c r="R106" s="74">
        <f>H$7*基础状态预估!Q112</f>
        <v>41247.327811650837</v>
      </c>
      <c r="S106" s="74">
        <f t="shared" si="15"/>
        <v>449298.66596014978</v>
      </c>
      <c r="U106" s="74">
        <v>102</v>
      </c>
      <c r="V106" s="77">
        <f t="shared" si="10"/>
        <v>695567</v>
      </c>
      <c r="W106" s="77">
        <f t="shared" si="11"/>
        <v>700733</v>
      </c>
      <c r="X106" s="77">
        <f t="shared" si="12"/>
        <v>705900</v>
      </c>
      <c r="Y106" s="77">
        <f t="shared" si="13"/>
        <v>711067</v>
      </c>
      <c r="Z106" s="77">
        <f t="shared" si="14"/>
        <v>716233</v>
      </c>
    </row>
    <row r="107" spans="11:26" x14ac:dyDescent="0.15">
      <c r="K107" s="6">
        <v>360</v>
      </c>
      <c r="L107" s="74">
        <f>基础状态预估!D113</f>
        <v>90.241691698216215</v>
      </c>
      <c r="M107" s="74">
        <f>C$7*基础状态预估!L113</f>
        <v>0</v>
      </c>
      <c r="N107" s="74">
        <f>D$7*基础状态预估!M113</f>
        <v>0</v>
      </c>
      <c r="O107" s="74">
        <f>E$7*基础状态预估!N113</f>
        <v>0</v>
      </c>
      <c r="P107" s="74">
        <f>F$7*基础状态预估!O113</f>
        <v>0</v>
      </c>
      <c r="Q107" s="74">
        <f>G$7*基础状态预估!P113</f>
        <v>397887.2567783533</v>
      </c>
      <c r="R107" s="74">
        <f>H$7*基础状态预估!Q113</f>
        <v>91205.435548962138</v>
      </c>
      <c r="S107" s="74">
        <f t="shared" si="15"/>
        <v>489092.69232731545</v>
      </c>
      <c r="U107" s="74">
        <v>103</v>
      </c>
      <c r="V107" s="77">
        <f t="shared" si="10"/>
        <v>716933</v>
      </c>
      <c r="W107" s="77">
        <f t="shared" si="11"/>
        <v>722100</v>
      </c>
      <c r="X107" s="77">
        <f t="shared" si="12"/>
        <v>727267</v>
      </c>
      <c r="Y107" s="77">
        <f t="shared" si="13"/>
        <v>732433</v>
      </c>
      <c r="Z107" s="77">
        <f t="shared" si="14"/>
        <v>737600</v>
      </c>
    </row>
    <row r="108" spans="11:26" x14ac:dyDescent="0.15">
      <c r="K108" s="6">
        <v>420</v>
      </c>
      <c r="L108" s="74">
        <f>基础状态预估!D114</f>
        <v>92.520930542961992</v>
      </c>
      <c r="M108" s="74">
        <f>C$7*基础状态预估!L114</f>
        <v>0</v>
      </c>
      <c r="N108" s="74">
        <f>D$7*基础状态预估!M114</f>
        <v>0</v>
      </c>
      <c r="O108" s="74">
        <f>E$7*基础状态预估!N114</f>
        <v>0</v>
      </c>
      <c r="P108" s="74">
        <f>F$7*基础状态预估!O114</f>
        <v>0</v>
      </c>
      <c r="Q108" s="74">
        <f>G$7*基础状态预估!P114</f>
        <v>389536.95446533017</v>
      </c>
      <c r="R108" s="74">
        <f>H$7*基础状态预估!Q114</f>
        <v>130864.19144753864</v>
      </c>
      <c r="S108" s="74">
        <f t="shared" si="15"/>
        <v>520401.14591286879</v>
      </c>
      <c r="U108" s="74">
        <v>104</v>
      </c>
      <c r="V108" s="77">
        <f t="shared" si="10"/>
        <v>738300</v>
      </c>
      <c r="W108" s="77">
        <f t="shared" si="11"/>
        <v>743709</v>
      </c>
      <c r="X108" s="77">
        <f t="shared" si="12"/>
        <v>749377</v>
      </c>
      <c r="Y108" s="77">
        <f t="shared" si="13"/>
        <v>753900</v>
      </c>
      <c r="Z108" s="77">
        <f t="shared" si="14"/>
        <v>759065</v>
      </c>
    </row>
    <row r="109" spans="11:26" x14ac:dyDescent="0.15">
      <c r="K109" s="6">
        <v>480</v>
      </c>
      <c r="L109" s="74">
        <f>基础状态预估!D115</f>
        <v>94.499876682726793</v>
      </c>
      <c r="M109" s="74">
        <f>C$7*基础状态预估!L115</f>
        <v>0</v>
      </c>
      <c r="N109" s="74">
        <f>D$7*基础状态预估!M115</f>
        <v>0</v>
      </c>
      <c r="O109" s="74">
        <f>E$7*基础状态预估!N115</f>
        <v>0</v>
      </c>
      <c r="P109" s="74">
        <f>F$7*基础状态预估!O115</f>
        <v>0</v>
      </c>
      <c r="Q109" s="74">
        <f>G$7*基础状态预估!P115</f>
        <v>382286.81542601006</v>
      </c>
      <c r="R109" s="74">
        <f>H$7*基础状态预估!Q115</f>
        <v>165297.85427944618</v>
      </c>
      <c r="S109" s="74">
        <f t="shared" si="15"/>
        <v>547584.66970545624</v>
      </c>
      <c r="U109" s="74">
        <v>105</v>
      </c>
      <c r="V109" s="77">
        <f t="shared" si="10"/>
        <v>762257</v>
      </c>
      <c r="W109" s="77">
        <f t="shared" si="11"/>
        <v>766822</v>
      </c>
      <c r="X109" s="77">
        <f t="shared" si="12"/>
        <v>772613</v>
      </c>
      <c r="Y109" s="77">
        <f t="shared" si="13"/>
        <v>776168</v>
      </c>
      <c r="Z109" s="77">
        <f t="shared" si="14"/>
        <v>785329</v>
      </c>
    </row>
    <row r="110" spans="11:26" x14ac:dyDescent="0.15">
      <c r="K110" s="6">
        <v>540</v>
      </c>
      <c r="L110" s="74">
        <f>基础状态预估!D116</f>
        <v>96.254819565842766</v>
      </c>
      <c r="M110" s="74">
        <f>C$7*基础状态预估!L116</f>
        <v>0</v>
      </c>
      <c r="N110" s="74">
        <f>D$7*基础状态预估!M116</f>
        <v>0</v>
      </c>
      <c r="O110" s="74">
        <f>E$7*基础状态预估!N116</f>
        <v>0</v>
      </c>
      <c r="P110" s="74">
        <f>F$7*基础状态预估!O116</f>
        <v>0</v>
      </c>
      <c r="Q110" s="74">
        <f>G$7*基础状态预估!P116</f>
        <v>364187.52090098371</v>
      </c>
      <c r="R110" s="74">
        <f>H$7*基础状态预估!Q116</f>
        <v>217667.72089132824</v>
      </c>
      <c r="S110" s="74">
        <f t="shared" si="15"/>
        <v>581855.24179231189</v>
      </c>
      <c r="U110" s="74">
        <v>106</v>
      </c>
      <c r="V110" s="77">
        <f t="shared" si="10"/>
        <v>789870</v>
      </c>
      <c r="W110" s="77">
        <f t="shared" si="11"/>
        <v>795036</v>
      </c>
      <c r="X110" s="77">
        <f t="shared" si="12"/>
        <v>800203</v>
      </c>
      <c r="Y110" s="77">
        <f t="shared" si="13"/>
        <v>805370</v>
      </c>
      <c r="Z110" s="77">
        <f t="shared" si="14"/>
        <v>811592</v>
      </c>
    </row>
    <row r="111" spans="11:26" x14ac:dyDescent="0.15">
      <c r="K111" s="6">
        <v>600</v>
      </c>
      <c r="L111" s="74">
        <f>基础状态预估!D117</f>
        <v>97.702742999048837</v>
      </c>
      <c r="M111" s="74">
        <f>C$7*基础状态预估!L117</f>
        <v>0</v>
      </c>
      <c r="N111" s="74">
        <f>D$7*基础状态预估!M117</f>
        <v>0</v>
      </c>
      <c r="O111" s="74">
        <f>E$7*基础状态预估!N117</f>
        <v>0</v>
      </c>
      <c r="P111" s="74">
        <f>F$7*基础状态预估!O117</f>
        <v>0</v>
      </c>
      <c r="Q111" s="74">
        <f>G$7*基础状态预估!P117</f>
        <v>345417.16803051234</v>
      </c>
      <c r="R111" s="74">
        <f>H$7*基础状态预估!Q117</f>
        <v>268055.45636689954</v>
      </c>
      <c r="S111" s="74">
        <f t="shared" si="15"/>
        <v>613472.62439741194</v>
      </c>
      <c r="U111" s="74">
        <v>107</v>
      </c>
      <c r="V111" s="77">
        <f t="shared" si="10"/>
        <v>820073</v>
      </c>
      <c r="W111" s="77">
        <f t="shared" si="11"/>
        <v>825239</v>
      </c>
      <c r="X111" s="77">
        <f t="shared" si="12"/>
        <v>830406</v>
      </c>
      <c r="Y111" s="77">
        <f t="shared" si="13"/>
        <v>835573</v>
      </c>
      <c r="Z111" s="77">
        <f t="shared" si="14"/>
        <v>840739</v>
      </c>
    </row>
    <row r="112" spans="11:26" x14ac:dyDescent="0.15">
      <c r="K112" s="6">
        <v>660</v>
      </c>
      <c r="L112" s="74">
        <f>基础状态预估!D118</f>
        <v>99.028118033845786</v>
      </c>
      <c r="M112" s="74">
        <f>C$7*基础状态预估!L118</f>
        <v>0</v>
      </c>
      <c r="N112" s="74">
        <f>D$7*基础状态预估!M118</f>
        <v>0</v>
      </c>
      <c r="O112" s="74">
        <f>E$7*基础状态预估!N118</f>
        <v>0</v>
      </c>
      <c r="P112" s="74">
        <f>F$7*基础状态预估!O118</f>
        <v>0</v>
      </c>
      <c r="Q112" s="74">
        <f>G$7*基础状态预估!P118</f>
        <v>328222.28107867169</v>
      </c>
      <c r="R112" s="74">
        <f>H$7*基础状态预估!Q118</f>
        <v>314178.50757783331</v>
      </c>
      <c r="S112" s="74">
        <f t="shared" si="15"/>
        <v>642400.78865650506</v>
      </c>
      <c r="U112" s="74">
        <v>108</v>
      </c>
      <c r="V112" s="77">
        <f t="shared" si="10"/>
        <v>850276</v>
      </c>
      <c r="W112" s="77">
        <f t="shared" si="11"/>
        <v>855442</v>
      </c>
      <c r="X112" s="77">
        <f t="shared" si="12"/>
        <v>860609</v>
      </c>
      <c r="Y112" s="77">
        <f t="shared" si="13"/>
        <v>865776</v>
      </c>
      <c r="Z112" s="77">
        <f t="shared" si="14"/>
        <v>870942</v>
      </c>
    </row>
    <row r="113" spans="11:26" x14ac:dyDescent="0.15">
      <c r="K113" s="6">
        <v>720</v>
      </c>
      <c r="L113" s="74">
        <f>基础状态预估!D119</f>
        <v>100.26856904007842</v>
      </c>
      <c r="M113" s="74">
        <f>C$7*基础状态预估!L119</f>
        <v>0</v>
      </c>
      <c r="N113" s="74">
        <f>D$7*基础状态预估!M119</f>
        <v>0</v>
      </c>
      <c r="O113" s="74">
        <f>E$7*基础状态预估!N119</f>
        <v>0</v>
      </c>
      <c r="P113" s="74">
        <f>F$7*基础状态预估!O119</f>
        <v>0</v>
      </c>
      <c r="Q113" s="74">
        <f>G$7*基础状态预估!P119</f>
        <v>311558.88922827988</v>
      </c>
      <c r="R113" s="74">
        <f>H$7*基础状态预估!Q119</f>
        <v>357346.20259472891</v>
      </c>
      <c r="S113" s="74">
        <f t="shared" si="15"/>
        <v>668905.09182300884</v>
      </c>
      <c r="U113" s="74">
        <v>109</v>
      </c>
      <c r="V113" s="77">
        <f t="shared" si="10"/>
        <v>880479</v>
      </c>
      <c r="W113" s="77">
        <f t="shared" si="11"/>
        <v>885645</v>
      </c>
      <c r="X113" s="77">
        <f t="shared" si="12"/>
        <v>890812</v>
      </c>
      <c r="Y113" s="77">
        <f t="shared" si="13"/>
        <v>895949</v>
      </c>
      <c r="Z113" s="77">
        <f t="shared" si="14"/>
        <v>900981</v>
      </c>
    </row>
    <row r="114" spans="11:26" x14ac:dyDescent="0.15">
      <c r="K114" s="6">
        <v>780</v>
      </c>
      <c r="L114" s="74">
        <f>基础状态预估!D120</f>
        <v>101.47512451488986</v>
      </c>
      <c r="M114" s="74">
        <f>C$7*基础状态预估!L120</f>
        <v>0</v>
      </c>
      <c r="N114" s="74">
        <f>D$7*基础状态预估!M120</f>
        <v>0</v>
      </c>
      <c r="O114" s="74">
        <f>E$7*基础状态预估!N120</f>
        <v>0</v>
      </c>
      <c r="P114" s="74">
        <f>F$7*基础状态预估!O120</f>
        <v>0</v>
      </c>
      <c r="Q114" s="74">
        <f>G$7*基础状态预估!P120</f>
        <v>295350.82734997966</v>
      </c>
      <c r="R114" s="74">
        <f>H$7*基础状态预估!Q120</f>
        <v>399334.33311816701</v>
      </c>
      <c r="S114" s="74">
        <f t="shared" si="15"/>
        <v>694685.16046814667</v>
      </c>
      <c r="U114" s="74">
        <v>110</v>
      </c>
      <c r="V114" s="77">
        <f t="shared" si="10"/>
        <v>910682</v>
      </c>
      <c r="W114" s="77">
        <f t="shared" si="11"/>
        <v>915848</v>
      </c>
      <c r="X114" s="77">
        <f t="shared" si="12"/>
        <v>921015</v>
      </c>
      <c r="Y114" s="77">
        <f t="shared" si="13"/>
        <v>926097</v>
      </c>
      <c r="Z114" s="77">
        <f t="shared" si="14"/>
        <v>930951</v>
      </c>
    </row>
    <row r="115" spans="11:26" x14ac:dyDescent="0.15">
      <c r="K115" s="6">
        <v>840</v>
      </c>
      <c r="L115" s="74">
        <f>基础状态预估!D121</f>
        <v>102.61094151224314</v>
      </c>
      <c r="M115" s="74">
        <f>C$7*基础状态预估!L121</f>
        <v>0</v>
      </c>
      <c r="N115" s="74">
        <f>D$7*基础状态预估!M121</f>
        <v>0</v>
      </c>
      <c r="O115" s="74">
        <f>E$7*基础状态预估!N121</f>
        <v>0</v>
      </c>
      <c r="P115" s="74">
        <f>F$7*基础状态预估!O121</f>
        <v>0</v>
      </c>
      <c r="Q115" s="74">
        <f>G$7*基础状态预估!P121</f>
        <v>280093.01901886711</v>
      </c>
      <c r="R115" s="74">
        <f>H$7*基础状态预估!Q121</f>
        <v>438860.76462606137</v>
      </c>
      <c r="S115" s="74">
        <f t="shared" si="15"/>
        <v>718953.78364492848</v>
      </c>
      <c r="U115" s="74">
        <v>111</v>
      </c>
      <c r="V115" s="77">
        <f t="shared" si="10"/>
        <v>940885</v>
      </c>
      <c r="W115" s="77">
        <f t="shared" si="11"/>
        <v>945987</v>
      </c>
      <c r="X115" s="77">
        <f t="shared" si="12"/>
        <v>951216</v>
      </c>
      <c r="Y115" s="77">
        <f t="shared" si="13"/>
        <v>955987</v>
      </c>
      <c r="Z115" s="77">
        <f t="shared" si="14"/>
        <v>960757</v>
      </c>
    </row>
    <row r="116" spans="11:26" x14ac:dyDescent="0.15">
      <c r="K116" s="6">
        <v>900</v>
      </c>
      <c r="L116" s="74">
        <f>基础状态预估!D122</f>
        <v>103.60238266350056</v>
      </c>
      <c r="M116" s="74">
        <f>C$7*基础状态预估!L122</f>
        <v>0</v>
      </c>
      <c r="N116" s="74">
        <f>D$7*基础状态预估!M122</f>
        <v>0</v>
      </c>
      <c r="O116" s="74">
        <f>E$7*基础状态预估!N122</f>
        <v>0</v>
      </c>
      <c r="P116" s="74">
        <f>F$7*基础状态预估!O122</f>
        <v>0</v>
      </c>
      <c r="Q116" s="74">
        <f>G$7*基础状态预估!P122</f>
        <v>266774.65955364244</v>
      </c>
      <c r="R116" s="74">
        <f>H$7*基础状态预估!Q122</f>
        <v>473362.91668981954</v>
      </c>
      <c r="S116" s="74">
        <f t="shared" si="15"/>
        <v>740137.57624346204</v>
      </c>
      <c r="U116" s="74">
        <v>112</v>
      </c>
      <c r="V116" s="77">
        <f t="shared" si="10"/>
        <v>971088</v>
      </c>
      <c r="W116" s="77">
        <f t="shared" si="11"/>
        <v>976071</v>
      </c>
      <c r="X116" s="77">
        <f t="shared" si="12"/>
        <v>981023</v>
      </c>
      <c r="Y116" s="77">
        <f t="shared" si="13"/>
        <v>985793</v>
      </c>
      <c r="Z116" s="77">
        <f t="shared" si="14"/>
        <v>990562</v>
      </c>
    </row>
    <row r="117" spans="11:26" x14ac:dyDescent="0.15">
      <c r="K117" s="6">
        <v>1020</v>
      </c>
      <c r="L117" s="74">
        <f>基础状态预估!D123</f>
        <v>105.37513360458028</v>
      </c>
      <c r="M117" s="74">
        <f>C$7*基础状态预估!L123</f>
        <v>0</v>
      </c>
      <c r="N117" s="74">
        <f>D$7*基础状态预估!M123</f>
        <v>0</v>
      </c>
      <c r="O117" s="74">
        <f>E$7*基础状态预估!N123</f>
        <v>0</v>
      </c>
      <c r="P117" s="74">
        <f>F$7*基础状态预估!O123</f>
        <v>0</v>
      </c>
      <c r="Q117" s="74">
        <f>G$7*基础状态预估!P123</f>
        <v>239154.80431139641</v>
      </c>
      <c r="R117" s="74">
        <f>H$7*基础状态预估!Q123</f>
        <v>542175.36731542693</v>
      </c>
      <c r="S117" s="74">
        <f t="shared" si="15"/>
        <v>781330.17162682337</v>
      </c>
      <c r="U117" s="74">
        <v>113</v>
      </c>
      <c r="V117" s="77">
        <f t="shared" si="10"/>
        <v>1001126</v>
      </c>
      <c r="W117" s="77">
        <f t="shared" si="11"/>
        <v>1006060</v>
      </c>
      <c r="X117" s="77">
        <f t="shared" si="12"/>
        <v>1010829</v>
      </c>
      <c r="Y117" s="77">
        <f t="shared" si="13"/>
        <v>1015599</v>
      </c>
      <c r="Z117" s="77">
        <f t="shared" si="14"/>
        <v>1020368</v>
      </c>
    </row>
    <row r="118" spans="11:26" x14ac:dyDescent="0.15">
      <c r="K118" s="6">
        <v>1140</v>
      </c>
      <c r="L118" s="74">
        <f>基础状态预估!D124</f>
        <v>106.97877061452158</v>
      </c>
      <c r="M118" s="74">
        <f>C$7*基础状态预估!L124</f>
        <v>0</v>
      </c>
      <c r="N118" s="74">
        <f>D$7*基础状态预估!M124</f>
        <v>0</v>
      </c>
      <c r="O118" s="74">
        <f>E$7*基础状态预估!N124</f>
        <v>0</v>
      </c>
      <c r="P118" s="74">
        <f>F$7*基础状态预估!O124</f>
        <v>0</v>
      </c>
      <c r="Q118" s="74">
        <f>G$7*基础状态预估!P124</f>
        <v>201342.98741941695</v>
      </c>
      <c r="R118" s="74">
        <f>H$7*基础状态预估!Q124</f>
        <v>628421.88141372416</v>
      </c>
      <c r="S118" s="74">
        <f t="shared" si="15"/>
        <v>829764.86883314117</v>
      </c>
      <c r="U118" s="74">
        <v>114</v>
      </c>
      <c r="V118" s="77">
        <f t="shared" si="10"/>
        <v>1031049</v>
      </c>
      <c r="W118" s="77">
        <f t="shared" si="11"/>
        <v>1035866</v>
      </c>
      <c r="X118" s="77">
        <f t="shared" si="12"/>
        <v>1038919</v>
      </c>
      <c r="Y118" s="77">
        <f t="shared" si="13"/>
        <v>1045404</v>
      </c>
      <c r="Z118" s="77">
        <f t="shared" si="14"/>
        <v>1050173</v>
      </c>
    </row>
    <row r="119" spans="11:26" x14ac:dyDescent="0.15">
      <c r="K119" s="6">
        <v>1260</v>
      </c>
      <c r="L119" s="74">
        <f>基础状态预估!D125</f>
        <v>108.50202374400071</v>
      </c>
      <c r="M119" s="74">
        <f>C$7*基础状态预估!L125</f>
        <v>0</v>
      </c>
      <c r="N119" s="74">
        <f>D$7*基础状态预估!M125</f>
        <v>0</v>
      </c>
      <c r="O119" s="74">
        <f>E$7*基础状态预估!N125</f>
        <v>0</v>
      </c>
      <c r="P119" s="74">
        <f>F$7*基础状态预估!O125</f>
        <v>0</v>
      </c>
      <c r="Q119" s="74">
        <f>G$7*基础状态预估!P125</f>
        <v>165426.52499372867</v>
      </c>
      <c r="R119" s="74">
        <f>H$7*基础状态预估!Q125</f>
        <v>710345.20426825632</v>
      </c>
      <c r="S119" s="74">
        <f t="shared" si="15"/>
        <v>875771.72926198505</v>
      </c>
      <c r="U119" s="74">
        <v>115</v>
      </c>
      <c r="V119" s="77">
        <f t="shared" si="10"/>
        <v>1054520</v>
      </c>
      <c r="W119" s="77">
        <f t="shared" si="11"/>
        <v>1060447</v>
      </c>
      <c r="X119" s="77">
        <f t="shared" si="12"/>
        <v>1064295</v>
      </c>
      <c r="Y119" s="77">
        <f t="shared" si="13"/>
        <v>1073787</v>
      </c>
      <c r="Z119" s="77">
        <f t="shared" si="14"/>
        <v>1079979</v>
      </c>
    </row>
    <row r="120" spans="11:26" x14ac:dyDescent="0.15">
      <c r="K120" s="6">
        <v>1380</v>
      </c>
      <c r="L120" s="74">
        <f>基础状态预估!D126</f>
        <v>109.8194473820428</v>
      </c>
      <c r="M120" s="74">
        <f>C$7*基础状态预估!L126</f>
        <v>0</v>
      </c>
      <c r="N120" s="74">
        <f>D$7*基础状态预估!M126</f>
        <v>0</v>
      </c>
      <c r="O120" s="74">
        <f>E$7*基础状态预估!N126</f>
        <v>0</v>
      </c>
      <c r="P120" s="74">
        <f>F$7*基础状态预估!O126</f>
        <v>0</v>
      </c>
      <c r="Q120" s="74">
        <f>G$7*基础状态预估!P126</f>
        <v>134363.27248583329</v>
      </c>
      <c r="R120" s="74">
        <f>H$7*基础状态预估!Q126</f>
        <v>781198.64283786528</v>
      </c>
      <c r="S120" s="74">
        <f t="shared" si="15"/>
        <v>915561.91532369854</v>
      </c>
      <c r="U120" s="74">
        <v>116</v>
      </c>
      <c r="V120" s="77">
        <f t="shared" si="10"/>
        <v>1070769</v>
      </c>
      <c r="W120" s="77">
        <f t="shared" si="11"/>
        <v>1077115</v>
      </c>
      <c r="X120" s="77">
        <f t="shared" si="12"/>
        <v>1088615</v>
      </c>
      <c r="Y120" s="77">
        <f t="shared" si="13"/>
        <v>1097538</v>
      </c>
      <c r="Z120" s="77">
        <f t="shared" si="14"/>
        <v>1102473</v>
      </c>
    </row>
    <row r="121" spans="11:26" x14ac:dyDescent="0.15">
      <c r="K121" s="6">
        <v>1500</v>
      </c>
      <c r="L121" s="74">
        <f>基础状态预估!D127</f>
        <v>110.99543397036992</v>
      </c>
      <c r="M121" s="74">
        <f>C$7*基础状态预估!L127</f>
        <v>0</v>
      </c>
      <c r="N121" s="74">
        <f>D$7*基础状态预估!M127</f>
        <v>0</v>
      </c>
      <c r="O121" s="74">
        <f>E$7*基础状态预估!N127</f>
        <v>0</v>
      </c>
      <c r="P121" s="74">
        <f>F$7*基础状态预估!O127</f>
        <v>0</v>
      </c>
      <c r="Q121" s="74">
        <f>G$7*基础状态预估!P127</f>
        <v>106634.93417136878</v>
      </c>
      <c r="R121" s="74">
        <f>H$7*基础状态预估!Q127</f>
        <v>844445.3397155311</v>
      </c>
      <c r="S121" s="74">
        <f t="shared" si="15"/>
        <v>951080.27388689993</v>
      </c>
      <c r="U121" s="74">
        <v>117</v>
      </c>
      <c r="V121" s="77">
        <f t="shared" si="10"/>
        <v>1079692</v>
      </c>
      <c r="W121" s="77">
        <f t="shared" si="11"/>
        <v>1088615</v>
      </c>
      <c r="X121" s="77">
        <f t="shared" si="12"/>
        <v>1097538</v>
      </c>
      <c r="Y121" s="77">
        <f t="shared" si="13"/>
        <v>1106462</v>
      </c>
      <c r="Z121" s="77">
        <f t="shared" si="14"/>
        <v>1115385</v>
      </c>
    </row>
    <row r="122" spans="11:26" x14ac:dyDescent="0.15">
      <c r="K122" s="6">
        <v>1800</v>
      </c>
      <c r="L122" s="74">
        <f>基础状态预估!D128</f>
        <v>113.61244781532119</v>
      </c>
      <c r="M122" s="74">
        <f>C$7*基础状态预估!L128</f>
        <v>0</v>
      </c>
      <c r="N122" s="74">
        <f>D$7*基础状态预估!M128</f>
        <v>0</v>
      </c>
      <c r="O122" s="74">
        <f>E$7*基础状态预估!N128</f>
        <v>0</v>
      </c>
      <c r="P122" s="74">
        <f>F$7*基础状态预估!O128</f>
        <v>0</v>
      </c>
      <c r="Q122" s="74">
        <f>G$7*基础状态预估!P128</f>
        <v>43890.639303424919</v>
      </c>
      <c r="R122" s="74">
        <f>H$7*基础状态预估!Q128</f>
        <v>985193.10250400146</v>
      </c>
      <c r="S122" s="74">
        <f t="shared" si="15"/>
        <v>1029083.7418074263</v>
      </c>
      <c r="U122" s="74">
        <v>118</v>
      </c>
      <c r="V122" s="77">
        <f t="shared" si="10"/>
        <v>1088615</v>
      </c>
      <c r="W122" s="77">
        <f t="shared" si="11"/>
        <v>1097538</v>
      </c>
      <c r="X122" s="77">
        <f t="shared" si="12"/>
        <v>1106462</v>
      </c>
      <c r="Y122" s="77">
        <f t="shared" si="13"/>
        <v>1115385</v>
      </c>
      <c r="Z122" s="77">
        <f t="shared" si="14"/>
        <v>1124308</v>
      </c>
    </row>
    <row r="123" spans="11:26" x14ac:dyDescent="0.15">
      <c r="K123" s="6">
        <v>2100</v>
      </c>
      <c r="L123" s="74">
        <f>基础状态预估!D129</f>
        <v>115.93576288835948</v>
      </c>
      <c r="M123" s="74">
        <f>C$7*基础状态预估!L129</f>
        <v>0</v>
      </c>
      <c r="N123" s="74">
        <f>D$7*基础状态预估!M129</f>
        <v>0</v>
      </c>
      <c r="O123" s="74">
        <f>E$7*基础状态预估!N129</f>
        <v>0</v>
      </c>
      <c r="P123" s="74">
        <f>F$7*基础状态预估!O129</f>
        <v>0</v>
      </c>
      <c r="Q123" s="74">
        <f>G$7*基础状态预估!P129</f>
        <v>0</v>
      </c>
      <c r="R123" s="74">
        <f>H$7*基础状态预估!Q129</f>
        <v>1088042.1919268998</v>
      </c>
      <c r="S123" s="74">
        <f t="shared" si="15"/>
        <v>1088042.1919268998</v>
      </c>
      <c r="U123" s="74">
        <v>119</v>
      </c>
      <c r="V123" s="77">
        <f t="shared" si="10"/>
        <v>1097538</v>
      </c>
      <c r="W123" s="77">
        <f t="shared" si="11"/>
        <v>1106462</v>
      </c>
      <c r="X123" s="77">
        <f t="shared" si="12"/>
        <v>1115385</v>
      </c>
      <c r="Y123" s="77">
        <f t="shared" si="13"/>
        <v>1124308</v>
      </c>
      <c r="Z123" s="77">
        <f t="shared" si="14"/>
        <v>1133231</v>
      </c>
    </row>
    <row r="124" spans="11:26" x14ac:dyDescent="0.15">
      <c r="K124" s="6">
        <v>2400</v>
      </c>
      <c r="L124" s="74">
        <f>基础状态预估!D130</f>
        <v>117.8398587801079</v>
      </c>
      <c r="M124" s="74">
        <f>C$7*基础状态预估!L130</f>
        <v>0</v>
      </c>
      <c r="N124" s="74">
        <f>D$7*基础状态预估!M130</f>
        <v>0</v>
      </c>
      <c r="O124" s="74">
        <f>E$7*基础状态预估!N130</f>
        <v>0</v>
      </c>
      <c r="P124" s="74">
        <f>F$7*基础状态预估!O130</f>
        <v>0</v>
      </c>
      <c r="Q124" s="74">
        <f>G$7*基础状态预估!P130</f>
        <v>0</v>
      </c>
      <c r="R124" s="74">
        <f>H$7*基础状态预估!Q130</f>
        <v>1105032.5860378861</v>
      </c>
      <c r="S124" s="74">
        <f t="shared" si="15"/>
        <v>1105032.5860378861</v>
      </c>
      <c r="U124" s="74">
        <v>120</v>
      </c>
      <c r="V124" s="77">
        <f t="shared" si="10"/>
        <v>1106462</v>
      </c>
      <c r="W124" s="77">
        <f t="shared" si="11"/>
        <v>1115385</v>
      </c>
      <c r="X124" s="77">
        <f t="shared" si="12"/>
        <v>1124308</v>
      </c>
      <c r="Y124" s="77">
        <f t="shared" si="13"/>
        <v>1133231</v>
      </c>
      <c r="Z124" s="77">
        <f t="shared" si="14"/>
        <v>1142154</v>
      </c>
    </row>
    <row r="125" spans="11:26" x14ac:dyDescent="0.15">
      <c r="K125" s="6">
        <v>2700</v>
      </c>
      <c r="L125" s="74">
        <f>基础状态预估!D131</f>
        <v>119.50922016248074</v>
      </c>
      <c r="M125" s="74">
        <f>C$7*基础状态预估!L131</f>
        <v>0</v>
      </c>
      <c r="N125" s="74">
        <f>D$7*基础状态预估!M131</f>
        <v>0</v>
      </c>
      <c r="O125" s="74">
        <f>E$7*基础状态预估!N131</f>
        <v>0</v>
      </c>
      <c r="P125" s="74">
        <f>F$7*基础状态预估!O131</f>
        <v>0</v>
      </c>
      <c r="Q125" s="74">
        <f>G$7*基础状态预估!P131</f>
        <v>0</v>
      </c>
      <c r="R125" s="74">
        <f>H$7*基础状态预估!Q131</f>
        <v>1119928.4260652128</v>
      </c>
      <c r="S125" s="74">
        <f t="shared" si="15"/>
        <v>1119928.4260652128</v>
      </c>
      <c r="U125" s="74">
        <v>121</v>
      </c>
      <c r="V125" s="77">
        <f t="shared" si="10"/>
        <v>1115385</v>
      </c>
      <c r="W125" s="77">
        <f t="shared" si="11"/>
        <v>1124308</v>
      </c>
      <c r="X125" s="77">
        <f t="shared" si="12"/>
        <v>1133231</v>
      </c>
      <c r="Y125" s="77">
        <f t="shared" si="13"/>
        <v>1142154</v>
      </c>
      <c r="Z125" s="77">
        <f t="shared" si="14"/>
        <v>1150970</v>
      </c>
    </row>
    <row r="126" spans="11:26" x14ac:dyDescent="0.15">
      <c r="K126" s="6">
        <v>3000</v>
      </c>
      <c r="L126" s="74">
        <f>基础状态预估!D132</f>
        <v>121.10344291172865</v>
      </c>
      <c r="M126" s="74">
        <f>C$7*基础状态预估!L132</f>
        <v>0</v>
      </c>
      <c r="N126" s="74">
        <f>D$7*基础状态预估!M132</f>
        <v>0</v>
      </c>
      <c r="O126" s="74">
        <f>E$7*基础状态预估!N132</f>
        <v>0</v>
      </c>
      <c r="P126" s="74">
        <f>F$7*基础状态预估!O132</f>
        <v>0</v>
      </c>
      <c r="Q126" s="74">
        <f>G$7*基础状态预估!P132</f>
        <v>0</v>
      </c>
      <c r="R126" s="74">
        <f>H$7*基础状态预估!Q132</f>
        <v>1134153.7982892708</v>
      </c>
      <c r="S126" s="74">
        <f t="shared" si="15"/>
        <v>1134153.7982892708</v>
      </c>
      <c r="U126" s="74">
        <v>122</v>
      </c>
      <c r="V126" s="77">
        <f t="shared" si="10"/>
        <v>1124308</v>
      </c>
      <c r="W126" s="77">
        <f t="shared" si="11"/>
        <v>1133231</v>
      </c>
      <c r="X126" s="77">
        <f t="shared" si="12"/>
        <v>1142154</v>
      </c>
      <c r="Y126" s="77">
        <f t="shared" si="13"/>
        <v>1151077</v>
      </c>
      <c r="Z126" s="77">
        <f t="shared" si="14"/>
        <v>1157468</v>
      </c>
    </row>
    <row r="127" spans="11:26" x14ac:dyDescent="0.15">
      <c r="K127" s="6">
        <v>3300</v>
      </c>
      <c r="L127" s="74">
        <f>基础状态预估!D133</f>
        <v>122.49249432194588</v>
      </c>
      <c r="M127" s="74">
        <f>C$7*基础状态预估!L133</f>
        <v>0</v>
      </c>
      <c r="N127" s="74">
        <f>D$7*基础状态预估!M133</f>
        <v>0</v>
      </c>
      <c r="O127" s="74">
        <f>E$7*基础状态预估!N133</f>
        <v>0</v>
      </c>
      <c r="P127" s="74">
        <f>F$7*基础状态预估!O133</f>
        <v>0</v>
      </c>
      <c r="Q127" s="74">
        <f>G$7*基础状态预估!P133</f>
        <v>0</v>
      </c>
      <c r="R127" s="74">
        <f>H$7*基础状态预估!Q133</f>
        <v>1146548.4108727479</v>
      </c>
      <c r="S127" s="74">
        <f t="shared" si="15"/>
        <v>1146548.4108727479</v>
      </c>
      <c r="U127" s="74">
        <v>123</v>
      </c>
      <c r="V127" s="77">
        <f t="shared" si="10"/>
        <v>1127472</v>
      </c>
      <c r="W127" s="77">
        <f t="shared" si="11"/>
        <v>1142154</v>
      </c>
      <c r="X127" s="77">
        <f t="shared" si="12"/>
        <v>1151077</v>
      </c>
      <c r="Y127" s="77">
        <f t="shared" si="13"/>
        <v>1158115</v>
      </c>
      <c r="Z127" s="77">
        <f t="shared" si="14"/>
        <v>1160000</v>
      </c>
    </row>
    <row r="128" spans="11:26" x14ac:dyDescent="0.15">
      <c r="K128" s="6">
        <v>3600</v>
      </c>
      <c r="L128" s="74">
        <f>基础状态预估!D134</f>
        <v>123.71653233872999</v>
      </c>
      <c r="M128" s="74">
        <f>C$7*基础状态预估!L134</f>
        <v>0</v>
      </c>
      <c r="N128" s="74">
        <f>D$7*基础状态预估!M134</f>
        <v>0</v>
      </c>
      <c r="O128" s="74">
        <f>E$7*基础状态预估!N134</f>
        <v>0</v>
      </c>
      <c r="P128" s="74">
        <f>F$7*基础状态预估!O134</f>
        <v>0</v>
      </c>
      <c r="Q128" s="74">
        <f>G$7*基础状态预估!P134</f>
        <v>0</v>
      </c>
      <c r="R128" s="74">
        <f>H$7*基础状态预估!Q134</f>
        <v>1157470.5962532831</v>
      </c>
      <c r="S128" s="74">
        <f t="shared" si="15"/>
        <v>1157470.5962532831</v>
      </c>
      <c r="U128" s="74">
        <v>124</v>
      </c>
      <c r="V128" s="77">
        <f t="shared" si="10"/>
        <v>1128351</v>
      </c>
      <c r="W128" s="77">
        <f t="shared" si="11"/>
        <v>1151077</v>
      </c>
      <c r="X128" s="77">
        <f t="shared" si="12"/>
        <v>1158103</v>
      </c>
      <c r="Y128" s="77">
        <f t="shared" si="13"/>
        <v>1159466</v>
      </c>
      <c r="Z128" s="77">
        <f t="shared" si="14"/>
        <v>1160000</v>
      </c>
    </row>
    <row r="129" spans="11:26" x14ac:dyDescent="0.15">
      <c r="K129" s="6">
        <v>3900</v>
      </c>
      <c r="L129" s="74">
        <f>基础状态预估!D135</f>
        <v>124.85102687042894</v>
      </c>
      <c r="M129" s="74">
        <f>C$7*基础状态预估!L135</f>
        <v>0</v>
      </c>
      <c r="N129" s="74">
        <f>D$7*基础状态预估!M135</f>
        <v>0</v>
      </c>
      <c r="O129" s="74">
        <f>E$7*基础状态预估!N135</f>
        <v>0</v>
      </c>
      <c r="P129" s="74">
        <f>F$7*基础状态预估!O135</f>
        <v>0</v>
      </c>
      <c r="Q129" s="74">
        <f>G$7*基础状态预估!P135</f>
        <v>0</v>
      </c>
      <c r="R129" s="74">
        <f>H$7*基础状态预估!Q135</f>
        <v>1160000</v>
      </c>
      <c r="S129" s="74">
        <f t="shared" si="15"/>
        <v>1160000</v>
      </c>
      <c r="U129" s="74">
        <v>125</v>
      </c>
      <c r="V129" s="77">
        <f t="shared" si="10"/>
        <v>1129230</v>
      </c>
      <c r="W129" s="77">
        <f t="shared" si="11"/>
        <v>1156794</v>
      </c>
      <c r="X129" s="77">
        <f t="shared" si="12"/>
        <v>1160000</v>
      </c>
      <c r="Y129" s="77">
        <f t="shared" si="13"/>
        <v>1160000</v>
      </c>
      <c r="Z129" s="77">
        <f t="shared" si="14"/>
        <v>1160000</v>
      </c>
    </row>
    <row r="130" spans="11:26" x14ac:dyDescent="0.15">
      <c r="K130" s="6">
        <v>4200</v>
      </c>
      <c r="L130" s="74">
        <f>基础状态预估!D136</f>
        <v>125.90913935465674</v>
      </c>
      <c r="M130" s="74">
        <f>C$7*基础状态预估!L136</f>
        <v>0</v>
      </c>
      <c r="N130" s="74">
        <f>D$7*基础状态预估!M136</f>
        <v>0</v>
      </c>
      <c r="O130" s="74">
        <f>E$7*基础状态预估!N136</f>
        <v>0</v>
      </c>
      <c r="P130" s="74">
        <f>F$7*基础状态预估!O136</f>
        <v>0</v>
      </c>
      <c r="Q130" s="74">
        <f>G$7*基础状态预估!P136</f>
        <v>0</v>
      </c>
      <c r="R130" s="74">
        <f>H$7*基础状态预估!Q136</f>
        <v>1160000</v>
      </c>
      <c r="S130" s="74">
        <f t="shared" si="15"/>
        <v>1160000</v>
      </c>
      <c r="U130" s="74">
        <v>126</v>
      </c>
      <c r="V130" s="77">
        <f t="shared" si="10"/>
        <v>1130109</v>
      </c>
      <c r="W130" s="77">
        <f t="shared" si="11"/>
        <v>1156885</v>
      </c>
      <c r="X130" s="77">
        <f t="shared" si="12"/>
        <v>1160000</v>
      </c>
      <c r="Y130" s="77">
        <f t="shared" si="13"/>
        <v>1160000</v>
      </c>
      <c r="Z130" s="77">
        <f t="shared" si="14"/>
        <v>1160000</v>
      </c>
    </row>
    <row r="131" spans="11:26" x14ac:dyDescent="0.15">
      <c r="K131" s="6">
        <v>4500</v>
      </c>
      <c r="L131" s="74">
        <f>基础状态预估!D137</f>
        <v>126.96916270090227</v>
      </c>
      <c r="M131" s="74">
        <f>C$7*基础状态预估!L137</f>
        <v>0</v>
      </c>
      <c r="N131" s="74">
        <f>D$7*基础状态预估!M137</f>
        <v>0</v>
      </c>
      <c r="O131" s="74">
        <f>E$7*基础状态预估!N137</f>
        <v>0</v>
      </c>
      <c r="P131" s="74">
        <f>F$7*基础状态预估!O137</f>
        <v>0</v>
      </c>
      <c r="Q131" s="74">
        <f>G$7*基础状态预估!P137</f>
        <v>0</v>
      </c>
      <c r="R131" s="74">
        <f>H$7*基础状态预估!Q137</f>
        <v>1160000</v>
      </c>
      <c r="S131" s="74">
        <f t="shared" si="15"/>
        <v>1160000</v>
      </c>
      <c r="U131" s="74">
        <v>127</v>
      </c>
      <c r="V131" s="77">
        <f t="shared" si="10"/>
        <v>1130988</v>
      </c>
      <c r="W131" s="77">
        <f t="shared" si="11"/>
        <v>1156977</v>
      </c>
      <c r="X131" s="77">
        <f t="shared" si="12"/>
        <v>1160000</v>
      </c>
      <c r="Y131" s="77">
        <f t="shared" si="13"/>
        <v>1160000</v>
      </c>
      <c r="Z131" s="77">
        <f t="shared" si="14"/>
        <v>1160000</v>
      </c>
    </row>
    <row r="132" spans="11:26" x14ac:dyDescent="0.15">
      <c r="K132" s="6">
        <v>4800</v>
      </c>
      <c r="L132" s="74">
        <f>基础状态预估!D138</f>
        <v>127.97984726046715</v>
      </c>
      <c r="M132" s="74">
        <f>C$7*基础状态预估!L138</f>
        <v>0</v>
      </c>
      <c r="N132" s="74">
        <f>D$7*基础状态预估!M138</f>
        <v>0</v>
      </c>
      <c r="O132" s="74">
        <f>E$7*基础状态预估!N138</f>
        <v>0</v>
      </c>
      <c r="P132" s="74">
        <f>F$7*基础状态预估!O138</f>
        <v>0</v>
      </c>
      <c r="Q132" s="74">
        <f>G$7*基础状态预估!P138</f>
        <v>0</v>
      </c>
      <c r="R132" s="74">
        <f>H$7*基础状态预估!Q138</f>
        <v>1160000</v>
      </c>
      <c r="S132" s="74">
        <f t="shared" si="15"/>
        <v>1160000</v>
      </c>
      <c r="U132" s="74">
        <v>128</v>
      </c>
      <c r="V132" s="77">
        <f t="shared" si="10"/>
        <v>1131868</v>
      </c>
      <c r="W132" s="77">
        <f t="shared" si="11"/>
        <v>1157069</v>
      </c>
      <c r="X132" s="77">
        <f t="shared" si="12"/>
        <v>1160000</v>
      </c>
      <c r="Y132" s="77">
        <f t="shared" si="13"/>
        <v>1160000</v>
      </c>
      <c r="Z132" s="77">
        <f t="shared" si="14"/>
        <v>1160000</v>
      </c>
    </row>
    <row r="133" spans="11:26" x14ac:dyDescent="0.15">
      <c r="K133" s="6">
        <v>65535</v>
      </c>
      <c r="L133" s="74">
        <f>基础状态预估!D139</f>
        <v>160</v>
      </c>
      <c r="M133" s="74">
        <f>C$7*基础状态预估!L139</f>
        <v>0</v>
      </c>
      <c r="N133" s="74">
        <f>D$7*基础状态预估!M139</f>
        <v>0</v>
      </c>
      <c r="O133" s="74">
        <f>E$7*基础状态预估!N139</f>
        <v>0</v>
      </c>
      <c r="P133" s="74">
        <f>F$7*基础状态预估!O139</f>
        <v>0</v>
      </c>
      <c r="Q133" s="74">
        <f>G$7*基础状态预估!P139</f>
        <v>0</v>
      </c>
      <c r="R133" s="74">
        <f>H$7*基础状态预估!Q139</f>
        <v>1160000</v>
      </c>
      <c r="S133" s="74">
        <f t="shared" si="15"/>
        <v>1160000</v>
      </c>
      <c r="U133" s="74">
        <v>129</v>
      </c>
      <c r="V133" s="77">
        <f t="shared" si="10"/>
        <v>1132747</v>
      </c>
      <c r="W133" s="77">
        <f t="shared" si="11"/>
        <v>1157160</v>
      </c>
      <c r="X133" s="77">
        <f t="shared" si="12"/>
        <v>1160000</v>
      </c>
      <c r="Y133" s="77">
        <f t="shared" si="13"/>
        <v>1160000</v>
      </c>
      <c r="Z133" s="77">
        <f t="shared" si="14"/>
        <v>1160000</v>
      </c>
    </row>
    <row r="134" spans="11:26" x14ac:dyDescent="0.15">
      <c r="U134" s="74">
        <v>130</v>
      </c>
      <c r="V134" s="77">
        <f t="shared" ref="V134:V164" si="16">IFERROR(ROUND(求节点($L$5:$L$45,$S$5:$S$45,$U134),0),0)</f>
        <v>1133626</v>
      </c>
      <c r="W134" s="77">
        <f t="shared" ref="W134:W164" si="17">IFERROR(ROUND(求节点($L$49:$L$89,$S$49:$S$89,$U134),0),0)</f>
        <v>1157252</v>
      </c>
      <c r="X134" s="77">
        <f t="shared" ref="X134:X164" si="18">IFERROR(ROUND(求节点($L$93:$L$133,$S$93:$S$133,$U134),0),0)</f>
        <v>1160000</v>
      </c>
      <c r="Y134" s="77">
        <f t="shared" ref="Y134:Y164" si="19">IFERROR(ROUND(求节点($L$137:$L$177,$S$137:$S$177,$U134),0),0)</f>
        <v>1160000</v>
      </c>
      <c r="Z134" s="77">
        <f t="shared" ref="Z134:Z164" si="20">IFERROR(ROUND(求节点($L$181:$L$221,$S$181:$S$221,$U134),0),0)</f>
        <v>1160000</v>
      </c>
    </row>
    <row r="135" spans="11:26" x14ac:dyDescent="0.15">
      <c r="K135" s="75" t="str">
        <f>基础状态预估!C141</f>
        <v>大r</v>
      </c>
      <c r="L135" s="75"/>
      <c r="M135" s="84" t="s">
        <v>208</v>
      </c>
      <c r="N135" s="84"/>
      <c r="O135" s="84"/>
      <c r="P135" s="84"/>
      <c r="Q135" s="84"/>
      <c r="R135" s="84"/>
      <c r="S135" s="74"/>
      <c r="U135" s="74">
        <v>131</v>
      </c>
      <c r="V135" s="77">
        <f t="shared" si="16"/>
        <v>1134505</v>
      </c>
      <c r="W135" s="77">
        <f t="shared" si="17"/>
        <v>1157343</v>
      </c>
      <c r="X135" s="77">
        <f t="shared" si="18"/>
        <v>1160000</v>
      </c>
      <c r="Y135" s="77">
        <f t="shared" si="19"/>
        <v>1160000</v>
      </c>
      <c r="Z135" s="77">
        <f t="shared" si="20"/>
        <v>1160000</v>
      </c>
    </row>
    <row r="136" spans="11:26" x14ac:dyDescent="0.15">
      <c r="K136" s="75" t="s">
        <v>31</v>
      </c>
      <c r="L136" s="75" t="s">
        <v>25</v>
      </c>
      <c r="M136" s="5" t="s">
        <v>26</v>
      </c>
      <c r="N136" s="5" t="s">
        <v>38</v>
      </c>
      <c r="O136" s="5" t="s">
        <v>27</v>
      </c>
      <c r="P136" s="5" t="s">
        <v>29</v>
      </c>
      <c r="Q136" s="5" t="s">
        <v>28</v>
      </c>
      <c r="R136" s="5" t="s">
        <v>43</v>
      </c>
      <c r="S136" s="74" t="s">
        <v>209</v>
      </c>
      <c r="U136" s="74">
        <v>132</v>
      </c>
      <c r="V136" s="77">
        <f t="shared" si="16"/>
        <v>1135384</v>
      </c>
      <c r="W136" s="77">
        <f t="shared" si="17"/>
        <v>1157435</v>
      </c>
      <c r="X136" s="77">
        <f t="shared" si="18"/>
        <v>1160000</v>
      </c>
      <c r="Y136" s="77">
        <f t="shared" si="19"/>
        <v>1160000</v>
      </c>
      <c r="Z136" s="77">
        <f t="shared" si="20"/>
        <v>1160000</v>
      </c>
    </row>
    <row r="137" spans="11:26" x14ac:dyDescent="0.15">
      <c r="K137" s="6">
        <v>15</v>
      </c>
      <c r="L137" s="74">
        <f>基础状态预估!D143</f>
        <v>48.731413734867289</v>
      </c>
      <c r="M137" s="74">
        <f>C$7*基础状态预估!L143</f>
        <v>2014.963416828336</v>
      </c>
      <c r="N137" s="74">
        <f>D$7*基础状态预估!M143</f>
        <v>2686.6178891044474</v>
      </c>
      <c r="O137" s="74">
        <f>E$7*基础状态预估!N143</f>
        <v>0</v>
      </c>
      <c r="P137" s="74">
        <f>F$7*基础状态预估!O143</f>
        <v>0</v>
      </c>
      <c r="Q137" s="74">
        <f>G$7*基础状态预估!P143</f>
        <v>0</v>
      </c>
      <c r="R137" s="74">
        <f>H$7*基础状态预估!Q143</f>
        <v>0</v>
      </c>
      <c r="S137" s="74">
        <f>SUM(M137:R137)</f>
        <v>4701.5813059327829</v>
      </c>
      <c r="U137" s="74">
        <v>133</v>
      </c>
      <c r="V137" s="77">
        <f t="shared" si="16"/>
        <v>1136263</v>
      </c>
      <c r="W137" s="77">
        <f t="shared" si="17"/>
        <v>1157527</v>
      </c>
      <c r="X137" s="77">
        <f t="shared" si="18"/>
        <v>1160000</v>
      </c>
      <c r="Y137" s="77">
        <f t="shared" si="19"/>
        <v>1160000</v>
      </c>
      <c r="Z137" s="77">
        <f t="shared" si="20"/>
        <v>1160000</v>
      </c>
    </row>
    <row r="138" spans="11:26" x14ac:dyDescent="0.15">
      <c r="K138" s="6">
        <v>30</v>
      </c>
      <c r="L138" s="74">
        <f>基础状态预估!D144</f>
        <v>58.701446767877648</v>
      </c>
      <c r="M138" s="74">
        <f>C$7*基础状态预估!L144</f>
        <v>112.34920162140405</v>
      </c>
      <c r="N138" s="74">
        <f>D$7*基础状态预估!M144</f>
        <v>12530.083345743815</v>
      </c>
      <c r="O138" s="74">
        <f>E$7*基础状态预估!N144</f>
        <v>11770.600721850922</v>
      </c>
      <c r="P138" s="74">
        <f>F$7*基础状态预估!O144</f>
        <v>0</v>
      </c>
      <c r="Q138" s="74">
        <f>G$7*基础状态预估!P144</f>
        <v>0</v>
      </c>
      <c r="R138" s="74">
        <f>H$7*基础状态预估!Q144</f>
        <v>0</v>
      </c>
      <c r="S138" s="74">
        <f t="shared" ref="S138:S177" si="21">SUM(M138:R138)</f>
        <v>24413.033269216139</v>
      </c>
      <c r="U138" s="74">
        <v>134</v>
      </c>
      <c r="V138" s="77">
        <f t="shared" si="16"/>
        <v>1137142</v>
      </c>
      <c r="W138" s="77">
        <f t="shared" si="17"/>
        <v>1157618</v>
      </c>
      <c r="X138" s="77">
        <f t="shared" si="18"/>
        <v>1160000</v>
      </c>
      <c r="Y138" s="77">
        <f t="shared" si="19"/>
        <v>1160000</v>
      </c>
      <c r="Z138" s="77">
        <f t="shared" si="20"/>
        <v>1160000</v>
      </c>
    </row>
    <row r="139" spans="11:26" x14ac:dyDescent="0.15">
      <c r="K139" s="6">
        <v>45</v>
      </c>
      <c r="L139" s="74">
        <f>基础状态预估!D145</f>
        <v>64.399012521055653</v>
      </c>
      <c r="M139" s="74">
        <f>C$7*基础状态预估!L145</f>
        <v>0</v>
      </c>
      <c r="N139" s="74">
        <f>D$7*基础状态预估!M145</f>
        <v>8304.8294823132528</v>
      </c>
      <c r="O139" s="74">
        <f>E$7*基础状态预估!N145</f>
        <v>29888.859816956974</v>
      </c>
      <c r="P139" s="74">
        <f>F$7*基础状态预估!O145</f>
        <v>0</v>
      </c>
      <c r="Q139" s="74">
        <f>G$7*基础状态预估!P145</f>
        <v>0</v>
      </c>
      <c r="R139" s="74">
        <f>H$7*基础状态预估!Q145</f>
        <v>0</v>
      </c>
      <c r="S139" s="74">
        <f t="shared" si="21"/>
        <v>38193.689299270227</v>
      </c>
      <c r="U139" s="74">
        <v>135</v>
      </c>
      <c r="V139" s="77">
        <f t="shared" si="16"/>
        <v>1138022</v>
      </c>
      <c r="W139" s="77">
        <f t="shared" si="17"/>
        <v>1157710</v>
      </c>
      <c r="X139" s="77">
        <f t="shared" si="18"/>
        <v>1160000</v>
      </c>
      <c r="Y139" s="77">
        <f t="shared" si="19"/>
        <v>1160000</v>
      </c>
      <c r="Z139" s="77">
        <f t="shared" si="20"/>
        <v>1160000</v>
      </c>
    </row>
    <row r="140" spans="11:26" x14ac:dyDescent="0.15">
      <c r="K140" s="6">
        <v>60</v>
      </c>
      <c r="L140" s="74">
        <f>基础状态预估!D146</f>
        <v>68.627579426319684</v>
      </c>
      <c r="M140" s="74">
        <f>C$7*基础状态预估!L146</f>
        <v>0</v>
      </c>
      <c r="N140" s="74">
        <f>D$7*基础状态预估!M146</f>
        <v>0</v>
      </c>
      <c r="O140" s="74">
        <f>E$7*基础状态预估!N146</f>
        <v>42203.446526413252</v>
      </c>
      <c r="P140" s="74">
        <f>F$7*基础状态预估!O146</f>
        <v>32648.214836877156</v>
      </c>
      <c r="Q140" s="74">
        <f>G$7*基础状态预估!P146</f>
        <v>0</v>
      </c>
      <c r="R140" s="74">
        <f>H$7*基础状态预估!Q146</f>
        <v>0</v>
      </c>
      <c r="S140" s="74">
        <f t="shared" si="21"/>
        <v>74851.661363290405</v>
      </c>
      <c r="U140" s="74">
        <v>136</v>
      </c>
      <c r="V140" s="77">
        <f t="shared" si="16"/>
        <v>1138901</v>
      </c>
      <c r="W140" s="77">
        <f t="shared" si="17"/>
        <v>1157801</v>
      </c>
      <c r="X140" s="77">
        <f t="shared" si="18"/>
        <v>1160000</v>
      </c>
      <c r="Y140" s="77">
        <f t="shared" si="19"/>
        <v>1160000</v>
      </c>
      <c r="Z140" s="77">
        <f t="shared" si="20"/>
        <v>1160000</v>
      </c>
    </row>
    <row r="141" spans="11:26" x14ac:dyDescent="0.15">
      <c r="K141" s="6">
        <v>75</v>
      </c>
      <c r="L141" s="74">
        <f>基础状态预估!D147</f>
        <v>71.882008108111634</v>
      </c>
      <c r="M141" s="74">
        <f>C$7*基础状态预估!L147</f>
        <v>0</v>
      </c>
      <c r="N141" s="74">
        <f>D$7*基础状态预估!M147</f>
        <v>0</v>
      </c>
      <c r="O141" s="74">
        <f>E$7*基础状态预估!N147</f>
        <v>35687.357099092042</v>
      </c>
      <c r="P141" s="74">
        <f>F$7*基础状态预估!O147</f>
        <v>61938.072973004702</v>
      </c>
      <c r="Q141" s="74">
        <f>G$7*基础状态预估!P147</f>
        <v>0</v>
      </c>
      <c r="R141" s="74">
        <f>H$7*基础状态预估!Q147</f>
        <v>0</v>
      </c>
      <c r="S141" s="74">
        <f t="shared" si="21"/>
        <v>97625.430072096744</v>
      </c>
      <c r="U141" s="74">
        <v>137</v>
      </c>
      <c r="V141" s="77">
        <f t="shared" si="16"/>
        <v>1139780</v>
      </c>
      <c r="W141" s="77">
        <f t="shared" si="17"/>
        <v>1157893</v>
      </c>
      <c r="X141" s="77">
        <f t="shared" si="18"/>
        <v>1160000</v>
      </c>
      <c r="Y141" s="77">
        <f t="shared" si="19"/>
        <v>1160000</v>
      </c>
      <c r="Z141" s="77">
        <f t="shared" si="20"/>
        <v>1160000</v>
      </c>
    </row>
    <row r="142" spans="11:26" x14ac:dyDescent="0.15">
      <c r="K142" s="6">
        <v>90</v>
      </c>
      <c r="L142" s="74">
        <f>基础状态预估!D148</f>
        <v>74.493385467679886</v>
      </c>
      <c r="M142" s="74">
        <f>C$7*基础状态预估!L148</f>
        <v>0</v>
      </c>
      <c r="N142" s="74">
        <f>D$7*基础状态预估!M148</f>
        <v>0</v>
      </c>
      <c r="O142" s="74">
        <f>E$7*基础状态预估!N148</f>
        <v>30458.799319156493</v>
      </c>
      <c r="P142" s="74">
        <f>F$7*基础状态预估!O148</f>
        <v>85440.469209118964</v>
      </c>
      <c r="Q142" s="74">
        <f>G$7*基础状态预估!P148</f>
        <v>0</v>
      </c>
      <c r="R142" s="74">
        <f>H$7*基础状态预估!Q148</f>
        <v>0</v>
      </c>
      <c r="S142" s="74">
        <f t="shared" si="21"/>
        <v>115899.26852827545</v>
      </c>
      <c r="U142" s="74">
        <v>138</v>
      </c>
      <c r="V142" s="77">
        <f t="shared" si="16"/>
        <v>1140659</v>
      </c>
      <c r="W142" s="77">
        <f t="shared" si="17"/>
        <v>1157985</v>
      </c>
      <c r="X142" s="77">
        <f t="shared" si="18"/>
        <v>1160000</v>
      </c>
      <c r="Y142" s="77">
        <f t="shared" si="19"/>
        <v>1160000</v>
      </c>
      <c r="Z142" s="77">
        <f t="shared" si="20"/>
        <v>1160000</v>
      </c>
    </row>
    <row r="143" spans="11:26" x14ac:dyDescent="0.15">
      <c r="K143" s="6">
        <v>105</v>
      </c>
      <c r="L143" s="74">
        <f>基础状态预估!D149</f>
        <v>76.672104206565521</v>
      </c>
      <c r="M143" s="74">
        <f>C$7*基础状态预估!L149</f>
        <v>0</v>
      </c>
      <c r="N143" s="74">
        <f>D$7*基础状态预估!M149</f>
        <v>0</v>
      </c>
      <c r="O143" s="74">
        <f>E$7*基础状态预估!N149</f>
        <v>7486.0004251134515</v>
      </c>
      <c r="P143" s="74">
        <f>F$7*基础状态预估!O149</f>
        <v>142671.28250681391</v>
      </c>
      <c r="Q143" s="74">
        <f>G$7*基础状态预估!P149</f>
        <v>31101.138242118694</v>
      </c>
      <c r="R143" s="74">
        <f>H$7*基础状态预估!Q149</f>
        <v>0</v>
      </c>
      <c r="S143" s="74">
        <f t="shared" si="21"/>
        <v>181258.42117404606</v>
      </c>
      <c r="U143" s="74">
        <v>139</v>
      </c>
      <c r="V143" s="77">
        <f t="shared" si="16"/>
        <v>1141538</v>
      </c>
      <c r="W143" s="77">
        <f t="shared" si="17"/>
        <v>1158076</v>
      </c>
      <c r="X143" s="77">
        <f t="shared" si="18"/>
        <v>1160000</v>
      </c>
      <c r="Y143" s="77">
        <f t="shared" si="19"/>
        <v>1160000</v>
      </c>
      <c r="Z143" s="77">
        <f t="shared" si="20"/>
        <v>1160000</v>
      </c>
    </row>
    <row r="144" spans="11:26" x14ac:dyDescent="0.15">
      <c r="K144" s="6">
        <v>120</v>
      </c>
      <c r="L144" s="74">
        <f>基础状态预估!D150</f>
        <v>78.608065926757661</v>
      </c>
      <c r="M144" s="74">
        <f>C$7*基础状态预估!L150</f>
        <v>0</v>
      </c>
      <c r="N144" s="74">
        <f>D$7*基础状态预估!M150</f>
        <v>0</v>
      </c>
      <c r="O144" s="74">
        <f>E$7*基础状态预估!N150</f>
        <v>0</v>
      </c>
      <c r="P144" s="74">
        <f>F$7*基础状态预估!O150</f>
        <v>152351.60443945404</v>
      </c>
      <c r="Q144" s="74">
        <f>G$7*基础状态预估!P150</f>
        <v>67110.02623769248</v>
      </c>
      <c r="R144" s="74">
        <f>H$7*基础状态预估!Q150</f>
        <v>0</v>
      </c>
      <c r="S144" s="74">
        <f t="shared" si="21"/>
        <v>219461.63067714652</v>
      </c>
      <c r="U144" s="74">
        <v>140</v>
      </c>
      <c r="V144" s="77">
        <f t="shared" si="16"/>
        <v>1142417</v>
      </c>
      <c r="W144" s="77">
        <f t="shared" si="17"/>
        <v>1158168</v>
      </c>
      <c r="X144" s="77">
        <f t="shared" si="18"/>
        <v>1160000</v>
      </c>
      <c r="Y144" s="77">
        <f t="shared" si="19"/>
        <v>1160000</v>
      </c>
      <c r="Z144" s="77">
        <f t="shared" si="20"/>
        <v>1160000</v>
      </c>
    </row>
    <row r="145" spans="11:26" x14ac:dyDescent="0.15">
      <c r="K145" s="6">
        <v>150</v>
      </c>
      <c r="L145" s="74">
        <f>基础状态预估!D151</f>
        <v>81.919202803497143</v>
      </c>
      <c r="M145" s="74">
        <f>C$7*基础状态预估!L151</f>
        <v>1.0658141036401503E-12</v>
      </c>
      <c r="N145" s="74">
        <f>D$7*基础状态预估!M151</f>
        <v>-4.2632564145606011E-12</v>
      </c>
      <c r="O145" s="74">
        <f>E$7*基础状态预估!N151</f>
        <v>9.4146912488213275E-12</v>
      </c>
      <c r="P145" s="74">
        <f>F$7*基础状态预估!O151</f>
        <v>132484.78317901713</v>
      </c>
      <c r="Q145" s="74">
        <f>G$7*基础状态预估!P151</f>
        <v>128697.17214504685</v>
      </c>
      <c r="R145" s="74">
        <f>H$7*基础状态预估!Q151</f>
        <v>0</v>
      </c>
      <c r="S145" s="74">
        <f t="shared" si="21"/>
        <v>261181.95532406398</v>
      </c>
      <c r="U145" s="74">
        <v>141</v>
      </c>
      <c r="V145" s="77">
        <f t="shared" si="16"/>
        <v>1143296</v>
      </c>
      <c r="W145" s="77">
        <f t="shared" si="17"/>
        <v>1158259</v>
      </c>
      <c r="X145" s="77">
        <f t="shared" si="18"/>
        <v>1160000</v>
      </c>
      <c r="Y145" s="77">
        <f t="shared" si="19"/>
        <v>1160000</v>
      </c>
      <c r="Z145" s="77">
        <f t="shared" si="20"/>
        <v>1160000</v>
      </c>
    </row>
    <row r="146" spans="11:26" x14ac:dyDescent="0.15">
      <c r="K146" s="6">
        <v>180</v>
      </c>
      <c r="L146" s="74">
        <f>基础状态预估!D152</f>
        <v>84.557504671530296</v>
      </c>
      <c r="M146" s="74">
        <f>C$7*基础状态预估!L152</f>
        <v>0</v>
      </c>
      <c r="N146" s="74">
        <f>D$7*基础状态预估!M152</f>
        <v>0</v>
      </c>
      <c r="O146" s="74">
        <f>E$7*基础状态预估!N152</f>
        <v>0</v>
      </c>
      <c r="P146" s="74">
        <f>F$7*基础状态预估!O152</f>
        <v>116654.97197081824</v>
      </c>
      <c r="Q146" s="74">
        <f>G$7*基础状态预估!P152</f>
        <v>177769.58689046348</v>
      </c>
      <c r="R146" s="74">
        <f>H$7*基础状态预估!Q152</f>
        <v>0</v>
      </c>
      <c r="S146" s="74">
        <f t="shared" si="21"/>
        <v>294424.55886128172</v>
      </c>
      <c r="U146" s="74">
        <v>142</v>
      </c>
      <c r="V146" s="77">
        <f t="shared" si="16"/>
        <v>1144176</v>
      </c>
      <c r="W146" s="77">
        <f t="shared" si="17"/>
        <v>1158351</v>
      </c>
      <c r="X146" s="77">
        <f t="shared" si="18"/>
        <v>1160000</v>
      </c>
      <c r="Y146" s="77">
        <f t="shared" si="19"/>
        <v>1160000</v>
      </c>
      <c r="Z146" s="77">
        <f t="shared" si="20"/>
        <v>1160000</v>
      </c>
    </row>
    <row r="147" spans="11:26" x14ac:dyDescent="0.15">
      <c r="K147" s="6">
        <v>210</v>
      </c>
      <c r="L147" s="74">
        <f>基础状态预估!D153</f>
        <v>86.804267332174788</v>
      </c>
      <c r="M147" s="74">
        <f>C$7*基础状态预估!L153</f>
        <v>0</v>
      </c>
      <c r="N147" s="74">
        <f>D$7*基础状态预估!M153</f>
        <v>0</v>
      </c>
      <c r="O147" s="74">
        <f>E$7*基础状态预估!N153</f>
        <v>0</v>
      </c>
      <c r="P147" s="74">
        <f>F$7*基础状态预估!O153</f>
        <v>0</v>
      </c>
      <c r="Q147" s="74">
        <f>G$7*基础状态预估!P153</f>
        <v>416006.77127025818</v>
      </c>
      <c r="R147" s="74">
        <f>H$7*基础状态预估!Q153</f>
        <v>31394.251579841315</v>
      </c>
      <c r="S147" s="74">
        <f t="shared" si="21"/>
        <v>447401.02285009949</v>
      </c>
      <c r="U147" s="74">
        <v>143</v>
      </c>
      <c r="V147" s="77">
        <f t="shared" si="16"/>
        <v>1145055</v>
      </c>
      <c r="W147" s="77">
        <f t="shared" si="17"/>
        <v>1158443</v>
      </c>
      <c r="X147" s="77">
        <f t="shared" si="18"/>
        <v>1160000</v>
      </c>
      <c r="Y147" s="77">
        <f t="shared" si="19"/>
        <v>1160000</v>
      </c>
      <c r="Z147" s="77">
        <f t="shared" si="20"/>
        <v>1160000</v>
      </c>
    </row>
    <row r="148" spans="11:26" x14ac:dyDescent="0.15">
      <c r="K148" s="6">
        <v>240</v>
      </c>
      <c r="L148" s="74">
        <f>基础状态预估!D154</f>
        <v>88.978258962579233</v>
      </c>
      <c r="M148" s="74">
        <f>C$7*基础状态预估!L154</f>
        <v>0</v>
      </c>
      <c r="N148" s="74">
        <f>D$7*基础状态预估!M154</f>
        <v>0</v>
      </c>
      <c r="O148" s="74">
        <f>E$7*基础状态预估!N154</f>
        <v>0</v>
      </c>
      <c r="P148" s="74">
        <f>F$7*基础状态预估!O154</f>
        <v>0</v>
      </c>
      <c r="Q148" s="74">
        <f>G$7*基础状态预估!P154</f>
        <v>408152.37852800515</v>
      </c>
      <c r="R148" s="74">
        <f>H$7*基础状态预估!Q154</f>
        <v>69221.705948878647</v>
      </c>
      <c r="S148" s="74">
        <f t="shared" si="21"/>
        <v>477374.08447688381</v>
      </c>
      <c r="U148" s="74">
        <v>144</v>
      </c>
      <c r="V148" s="77">
        <f t="shared" si="16"/>
        <v>1145934</v>
      </c>
      <c r="W148" s="77">
        <f t="shared" si="17"/>
        <v>1158534</v>
      </c>
      <c r="X148" s="77">
        <f t="shared" si="18"/>
        <v>1160000</v>
      </c>
      <c r="Y148" s="77">
        <f t="shared" si="19"/>
        <v>1160000</v>
      </c>
      <c r="Z148" s="77">
        <f t="shared" si="20"/>
        <v>1160000</v>
      </c>
    </row>
    <row r="149" spans="11:26" x14ac:dyDescent="0.15">
      <c r="K149" s="6">
        <v>270</v>
      </c>
      <c r="L149" s="74">
        <f>基础状态预估!D155</f>
        <v>90.852534040676616</v>
      </c>
      <c r="M149" s="74">
        <f>C$7*基础状态预估!L155</f>
        <v>0</v>
      </c>
      <c r="N149" s="74">
        <f>D$7*基础状态预估!M155</f>
        <v>0</v>
      </c>
      <c r="O149" s="74">
        <f>E$7*基础状态预估!N155</f>
        <v>0</v>
      </c>
      <c r="P149" s="74">
        <f>F$7*基础状态预估!O155</f>
        <v>0</v>
      </c>
      <c r="Q149" s="74">
        <f>G$7*基础状态预估!P155</f>
        <v>401285.71619643021</v>
      </c>
      <c r="R149" s="74">
        <f>H$7*基础状态预估!Q155</f>
        <v>101834.09230777311</v>
      </c>
      <c r="S149" s="74">
        <f t="shared" si="21"/>
        <v>503119.80850420333</v>
      </c>
      <c r="U149" s="74">
        <v>145</v>
      </c>
      <c r="V149" s="77">
        <f t="shared" si="16"/>
        <v>1146813</v>
      </c>
      <c r="W149" s="77">
        <f t="shared" si="17"/>
        <v>1158626</v>
      </c>
      <c r="X149" s="77">
        <f t="shared" si="18"/>
        <v>1160000</v>
      </c>
      <c r="Y149" s="77">
        <f t="shared" si="19"/>
        <v>1160000</v>
      </c>
      <c r="Z149" s="77">
        <f t="shared" si="20"/>
        <v>1160000</v>
      </c>
    </row>
    <row r="150" spans="11:26" x14ac:dyDescent="0.15">
      <c r="K150" s="6">
        <v>300</v>
      </c>
      <c r="L150" s="74">
        <f>基础状态预估!D156</f>
        <v>92.422409073065808</v>
      </c>
      <c r="M150" s="74">
        <f>C$7*基础状态预估!L156</f>
        <v>0</v>
      </c>
      <c r="N150" s="74">
        <f>D$7*基础状态预估!M156</f>
        <v>0</v>
      </c>
      <c r="O150" s="74">
        <f>E$7*基础状态预估!N156</f>
        <v>0</v>
      </c>
      <c r="P150" s="74">
        <f>F$7*基础状态预估!O156</f>
        <v>0</v>
      </c>
      <c r="Q150" s="74">
        <f>G$7*基础状态预估!P156</f>
        <v>395534.26494140434</v>
      </c>
      <c r="R150" s="74">
        <f>H$7*基础状态预估!Q156</f>
        <v>129149.91787134505</v>
      </c>
      <c r="S150" s="74">
        <f t="shared" si="21"/>
        <v>524684.18281274941</v>
      </c>
      <c r="U150" s="74">
        <v>146</v>
      </c>
      <c r="V150" s="77">
        <f t="shared" si="16"/>
        <v>1147692</v>
      </c>
      <c r="W150" s="77">
        <f t="shared" si="17"/>
        <v>1158718</v>
      </c>
      <c r="X150" s="77">
        <f t="shared" si="18"/>
        <v>1160000</v>
      </c>
      <c r="Y150" s="77">
        <f t="shared" si="19"/>
        <v>1160000</v>
      </c>
      <c r="Z150" s="77">
        <f t="shared" si="20"/>
        <v>1160000</v>
      </c>
    </row>
    <row r="151" spans="11:26" x14ac:dyDescent="0.15">
      <c r="K151" s="6">
        <v>360</v>
      </c>
      <c r="L151" s="74">
        <f>基础状态预估!D157</f>
        <v>95.182038399947245</v>
      </c>
      <c r="M151" s="74">
        <f>C$7*基础状态预估!L157</f>
        <v>0</v>
      </c>
      <c r="N151" s="74">
        <f>D$7*基础状态预估!M157</f>
        <v>0</v>
      </c>
      <c r="O151" s="74">
        <f>E$7*基础状态预估!N157</f>
        <v>0</v>
      </c>
      <c r="P151" s="74">
        <f>F$7*基础状态预估!O157</f>
        <v>0</v>
      </c>
      <c r="Q151" s="74">
        <f>G$7*基础状态预估!P157</f>
        <v>383731.02946977486</v>
      </c>
      <c r="R151" s="74">
        <f>H$7*基础状态预估!Q157</f>
        <v>180334.93631816414</v>
      </c>
      <c r="S151" s="74">
        <f t="shared" si="21"/>
        <v>564065.96578793903</v>
      </c>
      <c r="U151" s="74">
        <v>147</v>
      </c>
      <c r="V151" s="77">
        <f t="shared" si="16"/>
        <v>1148571</v>
      </c>
      <c r="W151" s="77">
        <f t="shared" si="17"/>
        <v>1158809</v>
      </c>
      <c r="X151" s="77">
        <f t="shared" si="18"/>
        <v>1160000</v>
      </c>
      <c r="Y151" s="77">
        <f t="shared" si="19"/>
        <v>1160000</v>
      </c>
      <c r="Z151" s="77">
        <f t="shared" si="20"/>
        <v>1160000</v>
      </c>
    </row>
    <row r="152" spans="11:26" x14ac:dyDescent="0.15">
      <c r="K152" s="6">
        <v>420</v>
      </c>
      <c r="L152" s="74">
        <f>基础状态预估!D158</f>
        <v>97.317333988949088</v>
      </c>
      <c r="M152" s="74">
        <f>C$7*基础状态预估!L158</f>
        <v>0</v>
      </c>
      <c r="N152" s="74">
        <f>D$7*基础状态预估!M158</f>
        <v>0</v>
      </c>
      <c r="O152" s="74">
        <f>E$7*基础状态预估!N158</f>
        <v>0</v>
      </c>
      <c r="P152" s="74">
        <f>F$7*基础状态预估!O158</f>
        <v>0</v>
      </c>
      <c r="Q152" s="74">
        <f>G$7*基础状态预估!P158</f>
        <v>356049.83392507822</v>
      </c>
      <c r="R152" s="74">
        <f>H$7*基础状态预估!Q158</f>
        <v>254643.22281542822</v>
      </c>
      <c r="S152" s="74">
        <f t="shared" si="21"/>
        <v>610693.05674050644</v>
      </c>
      <c r="U152" s="74">
        <v>148</v>
      </c>
      <c r="V152" s="77">
        <f t="shared" si="16"/>
        <v>1149450</v>
      </c>
      <c r="W152" s="77">
        <f t="shared" si="17"/>
        <v>1158901</v>
      </c>
      <c r="X152" s="77">
        <f t="shared" si="18"/>
        <v>1160000</v>
      </c>
      <c r="Y152" s="77">
        <f t="shared" si="19"/>
        <v>1160000</v>
      </c>
      <c r="Z152" s="77">
        <f t="shared" si="20"/>
        <v>1160000</v>
      </c>
    </row>
    <row r="153" spans="11:26" x14ac:dyDescent="0.15">
      <c r="K153" s="6">
        <v>480</v>
      </c>
      <c r="L153" s="74">
        <f>基础状态预估!D159</f>
        <v>99.140144664710178</v>
      </c>
      <c r="M153" s="74">
        <f>C$7*基础状态预估!L159</f>
        <v>0</v>
      </c>
      <c r="N153" s="74">
        <f>D$7*基础状态预估!M159</f>
        <v>0</v>
      </c>
      <c r="O153" s="74">
        <f>E$7*基础状态预估!N159</f>
        <v>0</v>
      </c>
      <c r="P153" s="74">
        <f>F$7*基础状态预估!O159</f>
        <v>0</v>
      </c>
      <c r="Q153" s="74">
        <f>G$7*基础状态预估!P159</f>
        <v>331884.05667072657</v>
      </c>
      <c r="R153" s="74">
        <f>H$7*基础状态预估!Q159</f>
        <v>318077.03433191421</v>
      </c>
      <c r="S153" s="74">
        <f t="shared" si="21"/>
        <v>649961.09100264078</v>
      </c>
      <c r="U153" s="74">
        <v>149</v>
      </c>
      <c r="V153" s="77">
        <f t="shared" si="16"/>
        <v>1150329</v>
      </c>
      <c r="W153" s="77">
        <f t="shared" si="17"/>
        <v>1158992</v>
      </c>
      <c r="X153" s="77">
        <f t="shared" si="18"/>
        <v>1160000</v>
      </c>
      <c r="Y153" s="77">
        <f t="shared" si="19"/>
        <v>1160000</v>
      </c>
      <c r="Z153" s="77">
        <f t="shared" si="20"/>
        <v>1160000</v>
      </c>
    </row>
    <row r="154" spans="11:26" x14ac:dyDescent="0.15">
      <c r="K154" s="6">
        <v>540</v>
      </c>
      <c r="L154" s="74">
        <f>基础状态预估!D160</f>
        <v>100.94083826848818</v>
      </c>
      <c r="M154" s="74">
        <f>C$7*基础状态预估!L160</f>
        <v>0</v>
      </c>
      <c r="N154" s="74">
        <f>D$7*基础状态预估!M160</f>
        <v>0</v>
      </c>
      <c r="O154" s="74">
        <f>E$7*基础状态预估!N160</f>
        <v>0</v>
      </c>
      <c r="P154" s="74">
        <f>F$7*基础状态预估!O160</f>
        <v>0</v>
      </c>
      <c r="Q154" s="74">
        <f>G$7*基础状态预估!P160</f>
        <v>307694.73925997544</v>
      </c>
      <c r="R154" s="74">
        <f>H$7*基础状态预估!Q160</f>
        <v>380741.17174338864</v>
      </c>
      <c r="S154" s="74">
        <f t="shared" si="21"/>
        <v>688435.91100336402</v>
      </c>
      <c r="U154" s="74">
        <v>150</v>
      </c>
      <c r="V154" s="77">
        <f t="shared" si="16"/>
        <v>1151209</v>
      </c>
      <c r="W154" s="77">
        <f t="shared" si="17"/>
        <v>1159084</v>
      </c>
      <c r="X154" s="77">
        <f t="shared" si="18"/>
        <v>1160000</v>
      </c>
      <c r="Y154" s="77">
        <f t="shared" si="19"/>
        <v>1160000</v>
      </c>
      <c r="Z154" s="77">
        <f t="shared" si="20"/>
        <v>1160000</v>
      </c>
    </row>
    <row r="155" spans="11:26" x14ac:dyDescent="0.15">
      <c r="K155" s="6">
        <v>600</v>
      </c>
      <c r="L155" s="74">
        <f>基础状态预估!D161</f>
        <v>102.53646170914388</v>
      </c>
      <c r="M155" s="74">
        <f>C$7*基础状态预估!L161</f>
        <v>0</v>
      </c>
      <c r="N155" s="74">
        <f>D$7*基础状态预估!M161</f>
        <v>0</v>
      </c>
      <c r="O155" s="74">
        <f>E$7*基础状态预估!N161</f>
        <v>0</v>
      </c>
      <c r="P155" s="74">
        <f>F$7*基础状态预估!O161</f>
        <v>0</v>
      </c>
      <c r="Q155" s="74">
        <f>G$7*基础状态预估!P161</f>
        <v>286260.19770716724</v>
      </c>
      <c r="R155" s="74">
        <f>H$7*基础状态预估!Q161</f>
        <v>436268.86747820693</v>
      </c>
      <c r="S155" s="74">
        <f t="shared" si="21"/>
        <v>722529.06518537411</v>
      </c>
      <c r="U155" s="74">
        <v>151</v>
      </c>
      <c r="V155" s="77">
        <f t="shared" si="16"/>
        <v>1152088</v>
      </c>
      <c r="W155" s="77">
        <f t="shared" si="17"/>
        <v>1159176</v>
      </c>
      <c r="X155" s="77">
        <f t="shared" si="18"/>
        <v>1160000</v>
      </c>
      <c r="Y155" s="77">
        <f t="shared" si="19"/>
        <v>1160000</v>
      </c>
      <c r="Z155" s="77">
        <f t="shared" si="20"/>
        <v>1160000</v>
      </c>
    </row>
    <row r="156" spans="11:26" x14ac:dyDescent="0.15">
      <c r="K156" s="6">
        <v>660</v>
      </c>
      <c r="L156" s="74">
        <f>基础状态预估!D162</f>
        <v>103.88940348646028</v>
      </c>
      <c r="M156" s="74">
        <f>C$7*基础状态预估!L162</f>
        <v>0</v>
      </c>
      <c r="N156" s="74">
        <f>D$7*基础状态预估!M162</f>
        <v>0</v>
      </c>
      <c r="O156" s="74">
        <f>E$7*基础状态预估!N162</f>
        <v>0</v>
      </c>
      <c r="P156" s="74">
        <f>F$7*基础状态预估!O162</f>
        <v>0</v>
      </c>
      <c r="Q156" s="74">
        <f>G$7*基础状态预估!P162</f>
        <v>268085.67983188364</v>
      </c>
      <c r="R156" s="74">
        <f>H$7*基础状态预估!Q162</f>
        <v>483351.24132881773</v>
      </c>
      <c r="S156" s="74">
        <f t="shared" si="21"/>
        <v>751436.92116070143</v>
      </c>
      <c r="U156" s="74">
        <v>152</v>
      </c>
      <c r="V156" s="77">
        <f t="shared" si="16"/>
        <v>1152967</v>
      </c>
      <c r="W156" s="77">
        <f t="shared" si="17"/>
        <v>1159267</v>
      </c>
      <c r="X156" s="77">
        <f t="shared" si="18"/>
        <v>1160000</v>
      </c>
      <c r="Y156" s="77">
        <f t="shared" si="19"/>
        <v>1160000</v>
      </c>
      <c r="Z156" s="77">
        <f t="shared" si="20"/>
        <v>1160000</v>
      </c>
    </row>
    <row r="157" spans="11:26" x14ac:dyDescent="0.15">
      <c r="K157" s="6">
        <v>720</v>
      </c>
      <c r="L157" s="74">
        <f>基础状态预估!D163</f>
        <v>105.12617440644733</v>
      </c>
      <c r="M157" s="74">
        <f>C$7*基础状态预估!L163</f>
        <v>0</v>
      </c>
      <c r="N157" s="74">
        <f>D$7*基础状态预估!M163</f>
        <v>0</v>
      </c>
      <c r="O157" s="74">
        <f>E$7*基础状态预估!N163</f>
        <v>0</v>
      </c>
      <c r="P157" s="74">
        <f>F$7*基础状态预估!O163</f>
        <v>0</v>
      </c>
      <c r="Q157" s="74">
        <f>G$7*基础状态预估!P163</f>
        <v>250191.62710131306</v>
      </c>
      <c r="R157" s="74">
        <f>H$7*基础状态预估!Q163</f>
        <v>528785.88898674923</v>
      </c>
      <c r="S157" s="74">
        <f t="shared" si="21"/>
        <v>778977.51608806232</v>
      </c>
      <c r="U157" s="74">
        <v>153</v>
      </c>
      <c r="V157" s="77">
        <f t="shared" si="16"/>
        <v>1153846</v>
      </c>
      <c r="W157" s="77">
        <f t="shared" si="17"/>
        <v>1159359</v>
      </c>
      <c r="X157" s="77">
        <f t="shared" si="18"/>
        <v>1160000</v>
      </c>
      <c r="Y157" s="77">
        <f t="shared" si="19"/>
        <v>1160000</v>
      </c>
      <c r="Z157" s="77">
        <f t="shared" si="20"/>
        <v>1160000</v>
      </c>
    </row>
    <row r="158" spans="11:26" x14ac:dyDescent="0.15">
      <c r="K158" s="6">
        <v>780</v>
      </c>
      <c r="L158" s="74">
        <f>基础状态预估!D164</f>
        <v>106.30192050618264</v>
      </c>
      <c r="M158" s="74">
        <f>C$7*基础状态预估!L164</f>
        <v>0</v>
      </c>
      <c r="N158" s="74">
        <f>D$7*基础状态预估!M164</f>
        <v>0</v>
      </c>
      <c r="O158" s="74">
        <f>E$7*基础状态预估!N164</f>
        <v>0</v>
      </c>
      <c r="P158" s="74">
        <f>F$7*基础状态预估!O164</f>
        <v>0</v>
      </c>
      <c r="Q158" s="74">
        <f>G$7*基础状态预估!P164</f>
        <v>222468.95921634207</v>
      </c>
      <c r="R158" s="74">
        <f>H$7*基础状态预估!Q164</f>
        <v>592019.65195069544</v>
      </c>
      <c r="S158" s="74">
        <f t="shared" si="21"/>
        <v>814488.61116703751</v>
      </c>
      <c r="U158" s="74">
        <v>154</v>
      </c>
      <c r="V158" s="77">
        <f t="shared" si="16"/>
        <v>1154725</v>
      </c>
      <c r="W158" s="77">
        <f t="shared" si="17"/>
        <v>1159450</v>
      </c>
      <c r="X158" s="77">
        <f t="shared" si="18"/>
        <v>1160000</v>
      </c>
      <c r="Y158" s="77">
        <f t="shared" si="19"/>
        <v>1160000</v>
      </c>
      <c r="Z158" s="77">
        <f t="shared" si="20"/>
        <v>1160000</v>
      </c>
    </row>
    <row r="159" spans="11:26" x14ac:dyDescent="0.15">
      <c r="K159" s="6">
        <v>840</v>
      </c>
      <c r="L159" s="74">
        <f>基础状态预估!D165</f>
        <v>107.429678558787</v>
      </c>
      <c r="M159" s="74">
        <f>C$7*基础状态预估!L165</f>
        <v>0</v>
      </c>
      <c r="N159" s="74">
        <f>D$7*基础状态预估!M165</f>
        <v>0</v>
      </c>
      <c r="O159" s="74">
        <f>E$7*基础状态预估!N165</f>
        <v>0</v>
      </c>
      <c r="P159" s="74">
        <f>F$7*基础状态预估!O165</f>
        <v>0</v>
      </c>
      <c r="Q159" s="74">
        <f>G$7*基础状态预估!P165</f>
        <v>195877.79131538884</v>
      </c>
      <c r="R159" s="74">
        <f>H$7*基础状态预估!Q165</f>
        <v>652672.53048894461</v>
      </c>
      <c r="S159" s="74">
        <f t="shared" si="21"/>
        <v>848550.32180433348</v>
      </c>
      <c r="U159" s="74">
        <v>155</v>
      </c>
      <c r="V159" s="77">
        <f t="shared" si="16"/>
        <v>1155604</v>
      </c>
      <c r="W159" s="77">
        <f t="shared" si="17"/>
        <v>1159542</v>
      </c>
      <c r="X159" s="77">
        <f t="shared" si="18"/>
        <v>1160000</v>
      </c>
      <c r="Y159" s="77">
        <f t="shared" si="19"/>
        <v>1160000</v>
      </c>
      <c r="Z159" s="77">
        <f t="shared" si="20"/>
        <v>1160000</v>
      </c>
    </row>
    <row r="160" spans="11:26" x14ac:dyDescent="0.15">
      <c r="K160" s="6">
        <v>900</v>
      </c>
      <c r="L160" s="74">
        <f>基础状态预估!D166</f>
        <v>108.47075735973553</v>
      </c>
      <c r="M160" s="74">
        <f>C$7*基础状态预估!L166</f>
        <v>0</v>
      </c>
      <c r="N160" s="74">
        <f>D$7*基础状态预估!M166</f>
        <v>0</v>
      </c>
      <c r="O160" s="74">
        <f>E$7*基础状态预估!N166</f>
        <v>0</v>
      </c>
      <c r="P160" s="74">
        <f>F$7*基础状态预估!O166</f>
        <v>0</v>
      </c>
      <c r="Q160" s="74">
        <f>G$7*基础状态预估!P166</f>
        <v>171330.41510272076</v>
      </c>
      <c r="R160" s="74">
        <f>H$7*基础状态预估!Q166</f>
        <v>708663.64127450355</v>
      </c>
      <c r="S160" s="74">
        <f t="shared" si="21"/>
        <v>879994.05637722427</v>
      </c>
      <c r="U160" s="74">
        <v>156</v>
      </c>
      <c r="V160" s="77">
        <f t="shared" si="16"/>
        <v>1156483</v>
      </c>
      <c r="W160" s="77">
        <f t="shared" si="17"/>
        <v>1159634</v>
      </c>
      <c r="X160" s="77">
        <f t="shared" si="18"/>
        <v>1160000</v>
      </c>
      <c r="Y160" s="77">
        <f t="shared" si="19"/>
        <v>1160000</v>
      </c>
      <c r="Z160" s="77">
        <f t="shared" si="20"/>
        <v>1160000</v>
      </c>
    </row>
    <row r="161" spans="11:26" x14ac:dyDescent="0.15">
      <c r="K161" s="6">
        <v>1020</v>
      </c>
      <c r="L161" s="74">
        <f>基础状态预估!D167</f>
        <v>110.24744313604209</v>
      </c>
      <c r="M161" s="74">
        <f>C$7*基础状态预估!L167</f>
        <v>0</v>
      </c>
      <c r="N161" s="74">
        <f>D$7*基础状态预估!M167</f>
        <v>0</v>
      </c>
      <c r="O161" s="74">
        <f>E$7*基础状态预估!N167</f>
        <v>0</v>
      </c>
      <c r="P161" s="74">
        <f>F$7*基础状态预估!O167</f>
        <v>0</v>
      </c>
      <c r="Q161" s="74">
        <f>G$7*基础状态预估!P167</f>
        <v>129339.97527109145</v>
      </c>
      <c r="R161" s="74">
        <f>H$7*基础状态预估!Q167</f>
        <v>804217.03266204568</v>
      </c>
      <c r="S161" s="74">
        <f t="shared" si="21"/>
        <v>933557.00793313712</v>
      </c>
      <c r="U161" s="74">
        <v>157</v>
      </c>
      <c r="V161" s="77">
        <f t="shared" si="16"/>
        <v>1157363</v>
      </c>
      <c r="W161" s="77">
        <f t="shared" si="17"/>
        <v>1159725</v>
      </c>
      <c r="X161" s="77">
        <f t="shared" si="18"/>
        <v>1160000</v>
      </c>
      <c r="Y161" s="77">
        <f t="shared" si="19"/>
        <v>1160000</v>
      </c>
      <c r="Z161" s="77">
        <f t="shared" si="20"/>
        <v>1160000</v>
      </c>
    </row>
    <row r="162" spans="11:26" x14ac:dyDescent="0.15">
      <c r="K162" s="6">
        <v>1140</v>
      </c>
      <c r="L162" s="74">
        <f>基础状态预估!D168</f>
        <v>111.80552112822316</v>
      </c>
      <c r="M162" s="74">
        <f>C$7*基础状态预估!L168</f>
        <v>0</v>
      </c>
      <c r="N162" s="74">
        <f>D$7*基础状态预估!M168</f>
        <v>0</v>
      </c>
      <c r="O162" s="74">
        <f>E$7*基础状态预估!N168</f>
        <v>0</v>
      </c>
      <c r="P162" s="74">
        <f>F$7*基础状态预估!O168</f>
        <v>0</v>
      </c>
      <c r="Q162" s="74">
        <f>G$7*基础状态预估!P168</f>
        <v>91983.148669748771</v>
      </c>
      <c r="R162" s="74">
        <f>H$7*基础状态预估!Q168</f>
        <v>888013.29995062016</v>
      </c>
      <c r="S162" s="74">
        <f t="shared" si="21"/>
        <v>979996.44862036896</v>
      </c>
      <c r="U162" s="74">
        <v>158</v>
      </c>
      <c r="V162" s="77">
        <f t="shared" si="16"/>
        <v>1158242</v>
      </c>
      <c r="W162" s="77">
        <f t="shared" si="17"/>
        <v>1159817</v>
      </c>
      <c r="X162" s="77">
        <f t="shared" si="18"/>
        <v>1160000</v>
      </c>
      <c r="Y162" s="77">
        <f t="shared" si="19"/>
        <v>1160000</v>
      </c>
      <c r="Z162" s="77">
        <f t="shared" si="20"/>
        <v>1160000</v>
      </c>
    </row>
    <row r="163" spans="11:26" x14ac:dyDescent="0.15">
      <c r="K163" s="6">
        <v>1260</v>
      </c>
      <c r="L163" s="74">
        <f>基础状态预估!D169</f>
        <v>113.29015465152274</v>
      </c>
      <c r="M163" s="74">
        <f>C$7*基础状态预估!L169</f>
        <v>0</v>
      </c>
      <c r="N163" s="74">
        <f>D$7*基础状态预估!M169</f>
        <v>0</v>
      </c>
      <c r="O163" s="74">
        <f>E$7*基础状态预估!N169</f>
        <v>0</v>
      </c>
      <c r="P163" s="74">
        <f>F$7*基础状态预估!O169</f>
        <v>0</v>
      </c>
      <c r="Q163" s="74">
        <f>G$7*基础状态预估!P169</f>
        <v>56387.243089434487</v>
      </c>
      <c r="R163" s="74">
        <f>H$7*基础状态预估!Q169</f>
        <v>967859.59016735037</v>
      </c>
      <c r="S163" s="74">
        <f t="shared" si="21"/>
        <v>1024246.8332567848</v>
      </c>
      <c r="U163" s="74">
        <v>159</v>
      </c>
      <c r="V163" s="77">
        <f t="shared" si="16"/>
        <v>1159121</v>
      </c>
      <c r="W163" s="77">
        <f t="shared" si="17"/>
        <v>1159908</v>
      </c>
      <c r="X163" s="77">
        <f t="shared" si="18"/>
        <v>1160000</v>
      </c>
      <c r="Y163" s="77">
        <f t="shared" si="19"/>
        <v>1160000</v>
      </c>
      <c r="Z163" s="77">
        <f t="shared" si="20"/>
        <v>1160000</v>
      </c>
    </row>
    <row r="164" spans="11:26" x14ac:dyDescent="0.15">
      <c r="K164" s="6">
        <v>1380</v>
      </c>
      <c r="L164" s="74">
        <f>基础状态预估!D170</f>
        <v>114.69104152791324</v>
      </c>
      <c r="M164" s="74">
        <f>C$7*基础状态预估!L170</f>
        <v>0</v>
      </c>
      <c r="N164" s="74">
        <f>D$7*基础状态预估!M170</f>
        <v>0</v>
      </c>
      <c r="O164" s="74">
        <f>E$7*基础状态预估!N170</f>
        <v>0</v>
      </c>
      <c r="P164" s="74">
        <f>F$7*基础状态预估!O170</f>
        <v>0</v>
      </c>
      <c r="Q164" s="74">
        <f>G$7*基础状态预估!P170</f>
        <v>22799.265855920687</v>
      </c>
      <c r="R164" s="74">
        <f>H$7*基础状态预估!Q170</f>
        <v>1043201.8334466794</v>
      </c>
      <c r="S164" s="74">
        <f t="shared" si="21"/>
        <v>1066001.0993026001</v>
      </c>
      <c r="U164" s="74">
        <v>160</v>
      </c>
      <c r="V164" s="77">
        <f t="shared" si="16"/>
        <v>1160000</v>
      </c>
      <c r="W164" s="77">
        <f t="shared" si="17"/>
        <v>1160000</v>
      </c>
      <c r="X164" s="77">
        <f t="shared" si="18"/>
        <v>1160000</v>
      </c>
      <c r="Y164" s="77">
        <f t="shared" si="19"/>
        <v>1160000</v>
      </c>
      <c r="Z164" s="77">
        <f t="shared" si="20"/>
        <v>1160000</v>
      </c>
    </row>
    <row r="165" spans="11:26" x14ac:dyDescent="0.15">
      <c r="K165" s="6">
        <v>1500</v>
      </c>
      <c r="L165" s="74">
        <f>基础状态预估!D171</f>
        <v>115.91094430884056</v>
      </c>
      <c r="M165" s="74">
        <f>C$7*基础状态预估!L171</f>
        <v>0</v>
      </c>
      <c r="N165" s="74">
        <f>D$7*基础状态预估!M171</f>
        <v>0</v>
      </c>
      <c r="O165" s="74">
        <f>E$7*基础状态预估!N171</f>
        <v>0</v>
      </c>
      <c r="P165" s="74">
        <f>F$7*基础状态预估!O171</f>
        <v>0</v>
      </c>
      <c r="Q165" s="74">
        <f>G$7*基础状态预估!P171</f>
        <v>0</v>
      </c>
      <c r="R165" s="74">
        <f>H$7*基础状态预估!Q171</f>
        <v>1096743.8107558079</v>
      </c>
      <c r="S165" s="74">
        <f t="shared" si="21"/>
        <v>1096743.8107558079</v>
      </c>
    </row>
    <row r="166" spans="11:26" x14ac:dyDescent="0.15">
      <c r="K166" s="6">
        <v>1800</v>
      </c>
      <c r="L166" s="74">
        <f>基础状态预估!D172</f>
        <v>118.49671008494479</v>
      </c>
      <c r="M166" s="74">
        <f>C$7*基础状态预估!L172</f>
        <v>0</v>
      </c>
      <c r="N166" s="74">
        <f>D$7*基础状态预估!M172</f>
        <v>0</v>
      </c>
      <c r="O166" s="74">
        <f>E$7*基础状态预估!N172</f>
        <v>0</v>
      </c>
      <c r="P166" s="74">
        <f>F$7*基础状态预估!O172</f>
        <v>0</v>
      </c>
      <c r="Q166" s="74">
        <f>G$7*基础状态预估!P172</f>
        <v>0</v>
      </c>
      <c r="R166" s="74">
        <f>H$7*基础状态预估!Q172</f>
        <v>1119816.7976810457</v>
      </c>
      <c r="S166" s="74">
        <f t="shared" si="21"/>
        <v>1119816.7976810457</v>
      </c>
    </row>
    <row r="167" spans="11:26" x14ac:dyDescent="0.15">
      <c r="K167" s="6">
        <v>2100</v>
      </c>
      <c r="L167" s="74">
        <f>基础状态预估!D173</f>
        <v>120.83470485393194</v>
      </c>
      <c r="M167" s="74">
        <f>C$7*基础状态预估!L173</f>
        <v>0</v>
      </c>
      <c r="N167" s="74">
        <f>D$7*基础状态预估!M173</f>
        <v>0</v>
      </c>
      <c r="O167" s="74">
        <f>E$7*基础状态预估!N173</f>
        <v>0</v>
      </c>
      <c r="P167" s="74">
        <f>F$7*基础状态预估!O173</f>
        <v>0</v>
      </c>
      <c r="Q167" s="74">
        <f>G$7*基础状态预估!P173</f>
        <v>0</v>
      </c>
      <c r="R167" s="74">
        <f>H$7*基础状态预估!Q173</f>
        <v>1140678.9048504694</v>
      </c>
      <c r="S167" s="74">
        <f t="shared" si="21"/>
        <v>1140678.9048504694</v>
      </c>
    </row>
    <row r="168" spans="11:26" x14ac:dyDescent="0.15">
      <c r="K168" s="6">
        <v>2400</v>
      </c>
      <c r="L168" s="74">
        <f>基础状态预估!D174</f>
        <v>122.7509711734089</v>
      </c>
      <c r="M168" s="74">
        <f>C$7*基础状态预估!L174</f>
        <v>0</v>
      </c>
      <c r="N168" s="74">
        <f>D$7*基础状态预估!M174</f>
        <v>0</v>
      </c>
      <c r="O168" s="74">
        <f>E$7*基础状态预估!N174</f>
        <v>0</v>
      </c>
      <c r="P168" s="74">
        <f>F$7*基础状态预估!O174</f>
        <v>0</v>
      </c>
      <c r="Q168" s="74">
        <f>G$7*基础状态预估!P174</f>
        <v>0</v>
      </c>
      <c r="R168" s="74">
        <f>H$7*基础状态预估!Q174</f>
        <v>1157777.8966242638</v>
      </c>
      <c r="S168" s="74">
        <f t="shared" si="21"/>
        <v>1157777.8966242638</v>
      </c>
    </row>
    <row r="169" spans="11:26" x14ac:dyDescent="0.15">
      <c r="K169" s="6">
        <v>2700</v>
      </c>
      <c r="L169" s="74">
        <f>基础状态预估!D175</f>
        <v>124.39475643772953</v>
      </c>
      <c r="M169" s="74">
        <f>C$7*基础状态预估!L175</f>
        <v>0</v>
      </c>
      <c r="N169" s="74">
        <f>D$7*基础状态预估!M175</f>
        <v>0</v>
      </c>
      <c r="O169" s="74">
        <f>E$7*基础状态预估!N175</f>
        <v>0</v>
      </c>
      <c r="P169" s="74">
        <f>F$7*基础状态预估!O175</f>
        <v>0</v>
      </c>
      <c r="Q169" s="74">
        <f>G$7*基础状态预估!P175</f>
        <v>0</v>
      </c>
      <c r="R169" s="74">
        <f>H$7*基础状态预估!Q175</f>
        <v>1160000</v>
      </c>
      <c r="S169" s="74">
        <f t="shared" si="21"/>
        <v>1160000</v>
      </c>
    </row>
    <row r="170" spans="11:26" x14ac:dyDescent="0.15">
      <c r="K170" s="6">
        <v>3000</v>
      </c>
      <c r="L170" s="74">
        <f>基础状态预估!D176</f>
        <v>125.96400788227379</v>
      </c>
      <c r="M170" s="74">
        <f>C$7*基础状态预估!L176</f>
        <v>0</v>
      </c>
      <c r="N170" s="74">
        <f>D$7*基础状态预估!M176</f>
        <v>0</v>
      </c>
      <c r="O170" s="74">
        <f>E$7*基础状态预估!N176</f>
        <v>0</v>
      </c>
      <c r="P170" s="74">
        <f>F$7*基础状态预估!O176</f>
        <v>0</v>
      </c>
      <c r="Q170" s="74">
        <f>G$7*基础状态预估!P176</f>
        <v>0</v>
      </c>
      <c r="R170" s="74">
        <f>H$7*基础状态预估!Q176</f>
        <v>1160000</v>
      </c>
      <c r="S170" s="74">
        <f t="shared" si="21"/>
        <v>1160000</v>
      </c>
    </row>
    <row r="171" spans="11:26" x14ac:dyDescent="0.15">
      <c r="K171" s="6">
        <v>3300</v>
      </c>
      <c r="L171" s="74">
        <f>基础状态预估!D177</f>
        <v>127.44783171112725</v>
      </c>
      <c r="M171" s="74">
        <f>C$7*基础状态预估!L177</f>
        <v>0</v>
      </c>
      <c r="N171" s="74">
        <f>D$7*基础状态预估!M177</f>
        <v>0</v>
      </c>
      <c r="O171" s="74">
        <f>E$7*基础状态预估!N177</f>
        <v>0</v>
      </c>
      <c r="P171" s="74">
        <f>F$7*基础状态预估!O177</f>
        <v>0</v>
      </c>
      <c r="Q171" s="74">
        <f>G$7*基础状态预估!P177</f>
        <v>0</v>
      </c>
      <c r="R171" s="74">
        <f>H$7*基础状态预估!Q177</f>
        <v>1160000</v>
      </c>
      <c r="S171" s="74">
        <f t="shared" si="21"/>
        <v>1160000</v>
      </c>
    </row>
    <row r="172" spans="11:26" x14ac:dyDescent="0.15">
      <c r="K172" s="6">
        <v>3600</v>
      </c>
      <c r="L172" s="74">
        <f>基础状态预估!D178</f>
        <v>128.7020848688999</v>
      </c>
      <c r="M172" s="74">
        <f>C$7*基础状态预估!L178</f>
        <v>0</v>
      </c>
      <c r="N172" s="74">
        <f>D$7*基础状态预估!M178</f>
        <v>0</v>
      </c>
      <c r="O172" s="74">
        <f>E$7*基础状态预估!N178</f>
        <v>0</v>
      </c>
      <c r="P172" s="74">
        <f>F$7*基础状态预估!O178</f>
        <v>0</v>
      </c>
      <c r="Q172" s="74">
        <f>G$7*基础状态预估!P178</f>
        <v>0</v>
      </c>
      <c r="R172" s="74">
        <f>H$7*基础状态预估!Q178</f>
        <v>1160000</v>
      </c>
      <c r="S172" s="74">
        <f t="shared" si="21"/>
        <v>1160000</v>
      </c>
    </row>
    <row r="173" spans="11:26" x14ac:dyDescent="0.15">
      <c r="K173" s="6">
        <v>3900</v>
      </c>
      <c r="L173" s="74">
        <f>基础状态预估!D179</f>
        <v>129.81302713753013</v>
      </c>
      <c r="M173" s="74">
        <f>C$7*基础状态预估!L179</f>
        <v>0</v>
      </c>
      <c r="N173" s="74">
        <f>D$7*基础状态预估!M179</f>
        <v>0</v>
      </c>
      <c r="O173" s="74">
        <f>E$7*基础状态预估!N179</f>
        <v>0</v>
      </c>
      <c r="P173" s="74">
        <f>F$7*基础状态预估!O179</f>
        <v>0</v>
      </c>
      <c r="Q173" s="74">
        <f>G$7*基础状态预估!P179</f>
        <v>0</v>
      </c>
      <c r="R173" s="74">
        <f>H$7*基础状态预估!Q179</f>
        <v>1160000</v>
      </c>
      <c r="S173" s="74">
        <f t="shared" si="21"/>
        <v>1160000</v>
      </c>
    </row>
    <row r="174" spans="11:26" x14ac:dyDescent="0.15">
      <c r="K174" s="6">
        <v>4200</v>
      </c>
      <c r="L174" s="74">
        <f>基础状态预估!D180</f>
        <v>130.84782736484456</v>
      </c>
      <c r="M174" s="74">
        <f>C$7*基础状态预估!L180</f>
        <v>0</v>
      </c>
      <c r="N174" s="74">
        <f>D$7*基础状态预估!M180</f>
        <v>0</v>
      </c>
      <c r="O174" s="74">
        <f>E$7*基础状态预估!N180</f>
        <v>0</v>
      </c>
      <c r="P174" s="74">
        <f>F$7*基础状态预估!O180</f>
        <v>0</v>
      </c>
      <c r="Q174" s="74">
        <f>G$7*基础状态预估!P180</f>
        <v>0</v>
      </c>
      <c r="R174" s="74">
        <f>H$7*基础状态预估!Q180</f>
        <v>1160000</v>
      </c>
      <c r="S174" s="74">
        <f t="shared" si="21"/>
        <v>1160000</v>
      </c>
    </row>
    <row r="175" spans="11:26" x14ac:dyDescent="0.15">
      <c r="K175" s="6">
        <v>4500</v>
      </c>
      <c r="L175" s="74">
        <f>基础状态预估!D181</f>
        <v>131.85128063254527</v>
      </c>
      <c r="M175" s="74">
        <f>C$7*基础状态预估!L181</f>
        <v>0</v>
      </c>
      <c r="N175" s="74">
        <f>D$7*基础状态预估!M181</f>
        <v>0</v>
      </c>
      <c r="O175" s="74">
        <f>E$7*基础状态预估!N181</f>
        <v>0</v>
      </c>
      <c r="P175" s="74">
        <f>F$7*基础状态预估!O181</f>
        <v>0</v>
      </c>
      <c r="Q175" s="74">
        <f>G$7*基础状态预估!P181</f>
        <v>0</v>
      </c>
      <c r="R175" s="74">
        <f>H$7*基础状态预估!Q181</f>
        <v>1160000</v>
      </c>
      <c r="S175" s="74">
        <f t="shared" si="21"/>
        <v>1160000</v>
      </c>
    </row>
    <row r="176" spans="11:26" x14ac:dyDescent="0.15">
      <c r="K176" s="6">
        <v>4800</v>
      </c>
      <c r="L176" s="74">
        <f>基础状态预估!D182</f>
        <v>132.84279736701905</v>
      </c>
      <c r="M176" s="74">
        <f>C$7*基础状态预估!L182</f>
        <v>0</v>
      </c>
      <c r="N176" s="74">
        <f>D$7*基础状态预估!M182</f>
        <v>0</v>
      </c>
      <c r="O176" s="74">
        <f>E$7*基础状态预估!N182</f>
        <v>0</v>
      </c>
      <c r="P176" s="74">
        <f>F$7*基础状态预估!O182</f>
        <v>0</v>
      </c>
      <c r="Q176" s="74">
        <f>G$7*基础状态预估!P182</f>
        <v>0</v>
      </c>
      <c r="R176" s="74">
        <f>H$7*基础状态预估!Q182</f>
        <v>1160000</v>
      </c>
      <c r="S176" s="74">
        <f t="shared" si="21"/>
        <v>1160000</v>
      </c>
    </row>
    <row r="177" spans="11:19" x14ac:dyDescent="0.15">
      <c r="K177" s="6">
        <v>65535</v>
      </c>
      <c r="L177" s="74">
        <f>基础状态预估!D183</f>
        <v>160</v>
      </c>
      <c r="M177" s="74">
        <f>C$7*基础状态预估!L183</f>
        <v>0</v>
      </c>
      <c r="N177" s="74">
        <f>D$7*基础状态预估!M183</f>
        <v>0</v>
      </c>
      <c r="O177" s="74">
        <f>E$7*基础状态预估!N183</f>
        <v>0</v>
      </c>
      <c r="P177" s="74">
        <f>F$7*基础状态预估!O183</f>
        <v>0</v>
      </c>
      <c r="Q177" s="74">
        <f>G$7*基础状态预估!P183</f>
        <v>0</v>
      </c>
      <c r="R177" s="74">
        <f>H$7*基础状态预估!Q183</f>
        <v>1160000</v>
      </c>
      <c r="S177" s="74">
        <f t="shared" si="21"/>
        <v>1160000</v>
      </c>
    </row>
    <row r="179" spans="11:19" x14ac:dyDescent="0.15">
      <c r="K179" s="75" t="str">
        <f>基础状态预估!C185</f>
        <v>超r</v>
      </c>
      <c r="L179" s="75"/>
      <c r="M179" s="84" t="s">
        <v>208</v>
      </c>
      <c r="N179" s="84"/>
      <c r="O179" s="84"/>
      <c r="P179" s="84"/>
      <c r="Q179" s="84"/>
      <c r="R179" s="84"/>
      <c r="S179" s="74"/>
    </row>
    <row r="180" spans="11:19" x14ac:dyDescent="0.15">
      <c r="K180" s="75" t="s">
        <v>31</v>
      </c>
      <c r="L180" s="75" t="s">
        <v>25</v>
      </c>
      <c r="M180" s="5" t="s">
        <v>26</v>
      </c>
      <c r="N180" s="5" t="s">
        <v>38</v>
      </c>
      <c r="O180" s="5" t="s">
        <v>27</v>
      </c>
      <c r="P180" s="5" t="s">
        <v>29</v>
      </c>
      <c r="Q180" s="5" t="s">
        <v>28</v>
      </c>
      <c r="R180" s="5" t="s">
        <v>43</v>
      </c>
      <c r="S180" s="74" t="s">
        <v>209</v>
      </c>
    </row>
    <row r="181" spans="11:19" x14ac:dyDescent="0.15">
      <c r="K181" s="6">
        <v>15</v>
      </c>
      <c r="L181" s="74">
        <f>基础状态预估!D187</f>
        <v>57.176846218996921</v>
      </c>
      <c r="M181" s="74">
        <f>C$7*基础状态预估!L187</f>
        <v>1120.1300741502607</v>
      </c>
      <c r="N181" s="74">
        <f>D$7*基础状态预估!M187</f>
        <v>10334.658555355567</v>
      </c>
      <c r="O181" s="74">
        <f>E$7*基础状态预估!N187</f>
        <v>6922.3709764102105</v>
      </c>
      <c r="P181" s="74">
        <f>F$7*基础状态预估!O187</f>
        <v>0</v>
      </c>
      <c r="Q181" s="74">
        <f>G$7*基础状态预估!P187</f>
        <v>0</v>
      </c>
      <c r="R181" s="74">
        <f>H$7*基础状态预估!Q187</f>
        <v>0</v>
      </c>
      <c r="S181" s="74">
        <f>SUM(M181:R181)</f>
        <v>18377.159605916037</v>
      </c>
    </row>
    <row r="182" spans="11:19" x14ac:dyDescent="0.15">
      <c r="K182" s="6">
        <v>30</v>
      </c>
      <c r="L182" s="74">
        <f>基础状态预估!D188</f>
        <v>67.097551508592701</v>
      </c>
      <c r="M182" s="74">
        <f>C$7*基础状态预估!L188</f>
        <v>0</v>
      </c>
      <c r="N182" s="74">
        <f>D$7*基础状态预估!M188</f>
        <v>0</v>
      </c>
      <c r="O182" s="74">
        <f>E$7*基础状态预估!N188</f>
        <v>46444.680201684394</v>
      </c>
      <c r="P182" s="74">
        <f>F$7*基础状态预估!O188</f>
        <v>18877.963577334311</v>
      </c>
      <c r="Q182" s="74">
        <f>G$7*基础状态预估!P188</f>
        <v>0</v>
      </c>
      <c r="R182" s="74">
        <f>H$7*基础状态预估!Q188</f>
        <v>0</v>
      </c>
      <c r="S182" s="74">
        <f t="shared" ref="S182:S221" si="22">SUM(M182:R182)</f>
        <v>65322.643779018705</v>
      </c>
    </row>
    <row r="183" spans="11:19" x14ac:dyDescent="0.15">
      <c r="K183" s="6">
        <v>45</v>
      </c>
      <c r="L183" s="74">
        <f>基础状态预估!D189</f>
        <v>73.037155126421851</v>
      </c>
      <c r="M183" s="74">
        <f>C$7*基础状态预估!L189</f>
        <v>0</v>
      </c>
      <c r="N183" s="74">
        <f>D$7*基础状态预估!M189</f>
        <v>0</v>
      </c>
      <c r="O183" s="74">
        <f>E$7*基础状态预估!N189</f>
        <v>34552.27384687536</v>
      </c>
      <c r="P183" s="74">
        <f>F$7*基础状态预估!O189</f>
        <v>72334.396137796663</v>
      </c>
      <c r="Q183" s="74">
        <f>G$7*基础状态预估!P189</f>
        <v>0</v>
      </c>
      <c r="R183" s="74">
        <f>H$7*基础状态预估!Q189</f>
        <v>0</v>
      </c>
      <c r="S183" s="74">
        <f t="shared" si="22"/>
        <v>106886.66998467201</v>
      </c>
    </row>
    <row r="184" spans="11:19" x14ac:dyDescent="0.15">
      <c r="K184" s="6">
        <v>60</v>
      </c>
      <c r="L184" s="74">
        <f>基础状态预估!D190</f>
        <v>77.112805903056142</v>
      </c>
      <c r="M184" s="74">
        <f>C$7*基础状态预估!L190</f>
        <v>0</v>
      </c>
      <c r="N184" s="74">
        <f>D$7*基础状态预估!M190</f>
        <v>0</v>
      </c>
      <c r="O184" s="74">
        <f>E$7*基础状态预估!N190</f>
        <v>2745.3217845061172</v>
      </c>
      <c r="P184" s="74">
        <f>F$7*基础状态预估!O190</f>
        <v>156553.38594626848</v>
      </c>
      <c r="Q184" s="74">
        <f>G$7*基础状态预估!P190</f>
        <v>39298.189796844235</v>
      </c>
      <c r="R184" s="74">
        <f>H$7*基础状态预估!Q190</f>
        <v>0</v>
      </c>
      <c r="S184" s="74">
        <f t="shared" si="22"/>
        <v>198596.89752761883</v>
      </c>
    </row>
    <row r="185" spans="11:19" x14ac:dyDescent="0.15">
      <c r="K185" s="6">
        <v>75</v>
      </c>
      <c r="L185" s="74">
        <f>基础状态预估!D191</f>
        <v>80.437605572866573</v>
      </c>
      <c r="M185" s="74">
        <f>C$7*基础状态预估!L191</f>
        <v>0</v>
      </c>
      <c r="N185" s="74">
        <f>D$7*基础状态预估!M191</f>
        <v>0</v>
      </c>
      <c r="O185" s="74">
        <f>E$7*基础状态预估!N191</f>
        <v>0</v>
      </c>
      <c r="P185" s="74">
        <f>F$7*基础状态预估!O191</f>
        <v>144374.36656280057</v>
      </c>
      <c r="Q185" s="74">
        <f>G$7*基础状态预估!P191</f>
        <v>101139.46365531825</v>
      </c>
      <c r="R185" s="74">
        <f>H$7*基础状态预估!Q191</f>
        <v>0</v>
      </c>
      <c r="S185" s="74">
        <f t="shared" si="22"/>
        <v>245513.83021811882</v>
      </c>
    </row>
    <row r="186" spans="11:19" x14ac:dyDescent="0.15">
      <c r="K186" s="6">
        <v>90</v>
      </c>
      <c r="L186" s="74">
        <f>基础状态预估!D192</f>
        <v>83.124894550960335</v>
      </c>
      <c r="M186" s="74">
        <f>C$7*基础状态预估!L192</f>
        <v>0</v>
      </c>
      <c r="N186" s="74">
        <f>D$7*基础状态预估!M192</f>
        <v>0</v>
      </c>
      <c r="O186" s="74">
        <f>E$7*基础状态预估!N192</f>
        <v>0</v>
      </c>
      <c r="P186" s="74">
        <f>F$7*基础状态预估!O192</f>
        <v>128250.632694238</v>
      </c>
      <c r="Q186" s="74">
        <f>G$7*基础状态预估!P192</f>
        <v>151123.03864786221</v>
      </c>
      <c r="R186" s="74">
        <f>H$7*基础状态预估!Q192</f>
        <v>0</v>
      </c>
      <c r="S186" s="74">
        <f t="shared" si="22"/>
        <v>279373.67134210019</v>
      </c>
    </row>
    <row r="187" spans="11:19" x14ac:dyDescent="0.15">
      <c r="K187" s="6">
        <v>105</v>
      </c>
      <c r="L187" s="74">
        <f>基础状态预估!D193</f>
        <v>85.384431166588271</v>
      </c>
      <c r="M187" s="74">
        <f>C$7*基础状态预估!L193</f>
        <v>0</v>
      </c>
      <c r="N187" s="74">
        <f>D$7*基础状态预估!M193</f>
        <v>0</v>
      </c>
      <c r="O187" s="74">
        <f>E$7*基础状态预估!N193</f>
        <v>0</v>
      </c>
      <c r="P187" s="74">
        <f>F$7*基础状态预估!O193</f>
        <v>85284.42875646762</v>
      </c>
      <c r="Q187" s="74">
        <f>G$7*基础状态预估!P193</f>
        <v>250353.7772868766</v>
      </c>
      <c r="R187" s="74">
        <f>H$7*基础状态预估!Q193</f>
        <v>6689.1022986359212</v>
      </c>
      <c r="S187" s="74">
        <f t="shared" si="22"/>
        <v>342327.30834198016</v>
      </c>
    </row>
    <row r="188" spans="11:19" x14ac:dyDescent="0.15">
      <c r="K188" s="6">
        <v>120</v>
      </c>
      <c r="L188" s="74">
        <f>基础状态预估!D194</f>
        <v>87.571414295961461</v>
      </c>
      <c r="M188" s="74">
        <f>C$7*基础状态预估!L194</f>
        <v>0</v>
      </c>
      <c r="N188" s="74">
        <f>D$7*基础状态预估!M194</f>
        <v>0</v>
      </c>
      <c r="O188" s="74">
        <f>E$7*基础状态预估!N194</f>
        <v>0</v>
      </c>
      <c r="P188" s="74">
        <f>F$7*基础状态预估!O194</f>
        <v>0</v>
      </c>
      <c r="Q188" s="74">
        <f>G$7*基础状态预估!P194</f>
        <v>418942.90944297757</v>
      </c>
      <c r="R188" s="74">
        <f>H$7*基础状态预估!Q194</f>
        <v>44742.608749729414</v>
      </c>
      <c r="S188" s="74">
        <f t="shared" si="22"/>
        <v>463685.51819270698</v>
      </c>
    </row>
    <row r="189" spans="11:19" x14ac:dyDescent="0.15">
      <c r="K189" s="6">
        <v>150</v>
      </c>
      <c r="L189" s="74">
        <f>基础状态预估!D195</f>
        <v>91.216133577135096</v>
      </c>
      <c r="M189" s="74">
        <f>C$7*基础状态预估!L195</f>
        <v>0</v>
      </c>
      <c r="N189" s="74">
        <f>D$7*基础状态预估!M195</f>
        <v>0</v>
      </c>
      <c r="O189" s="74">
        <f>E$7*基础状态预估!N195</f>
        <v>0</v>
      </c>
      <c r="P189" s="74">
        <f>F$7*基础状态预估!O195</f>
        <v>0</v>
      </c>
      <c r="Q189" s="74">
        <f>G$7*基础状态预估!P195</f>
        <v>405589.98334922321</v>
      </c>
      <c r="R189" s="74">
        <f>H$7*基础状态预估!Q195</f>
        <v>108160.72424215067</v>
      </c>
      <c r="S189" s="74">
        <f t="shared" si="22"/>
        <v>513750.70759137388</v>
      </c>
    </row>
    <row r="190" spans="11:19" x14ac:dyDescent="0.15">
      <c r="K190" s="6">
        <v>180</v>
      </c>
      <c r="L190" s="74">
        <f>基础状态预估!D196</f>
        <v>94.027056817114342</v>
      </c>
      <c r="M190" s="74">
        <f>C$7*基础状态预估!L196</f>
        <v>0</v>
      </c>
      <c r="N190" s="74">
        <f>D$7*基础状态预估!M196</f>
        <v>0</v>
      </c>
      <c r="O190" s="74">
        <f>E$7*基础状态预估!N196</f>
        <v>0</v>
      </c>
      <c r="P190" s="74">
        <f>F$7*基础状态预估!O196</f>
        <v>0</v>
      </c>
      <c r="Q190" s="74">
        <f>G$7*基础状态预估!P196</f>
        <v>395291.78275184473</v>
      </c>
      <c r="R190" s="74">
        <f>H$7*基础状态预估!Q196</f>
        <v>157070.78861778954</v>
      </c>
      <c r="S190" s="74">
        <f t="shared" si="22"/>
        <v>552362.57136963424</v>
      </c>
    </row>
    <row r="191" spans="11:19" x14ac:dyDescent="0.15">
      <c r="K191" s="6">
        <v>210</v>
      </c>
      <c r="L191" s="74">
        <f>基础状态预估!D197</f>
        <v>96.190942965578103</v>
      </c>
      <c r="M191" s="74">
        <f>C$7*基础状态预估!L197</f>
        <v>0</v>
      </c>
      <c r="N191" s="74">
        <f>D$7*基础状态预估!M197</f>
        <v>0</v>
      </c>
      <c r="O191" s="74">
        <f>E$7*基础状态预估!N197</f>
        <v>0</v>
      </c>
      <c r="P191" s="74">
        <f>F$7*基础状态预估!O197</f>
        <v>0</v>
      </c>
      <c r="Q191" s="74">
        <f>G$7*基础状态预估!P197</f>
        <v>376288.32119168754</v>
      </c>
      <c r="R191" s="74">
        <f>H$7*基础状态预估!Q197</f>
        <v>215444.81520211798</v>
      </c>
      <c r="S191" s="74">
        <f t="shared" si="22"/>
        <v>591733.1363938055</v>
      </c>
    </row>
    <row r="192" spans="11:19" x14ac:dyDescent="0.15">
      <c r="K192" s="6">
        <v>240</v>
      </c>
      <c r="L192" s="74">
        <f>基础状态预估!D198</f>
        <v>97.955584586719908</v>
      </c>
      <c r="M192" s="74">
        <f>C$7*基础状态预估!L198</f>
        <v>0</v>
      </c>
      <c r="N192" s="74">
        <f>D$7*基础状态预估!M198</f>
        <v>0</v>
      </c>
      <c r="O192" s="74">
        <f>E$7*基础状态预估!N198</f>
        <v>0</v>
      </c>
      <c r="P192" s="74">
        <f>F$7*基础状态预估!O198</f>
        <v>0</v>
      </c>
      <c r="Q192" s="74">
        <f>G$7*基础状态预估!P198</f>
        <v>352963.31371839589</v>
      </c>
      <c r="R192" s="74">
        <f>H$7*基础状态预估!Q198</f>
        <v>276854.34361785278</v>
      </c>
      <c r="S192" s="74">
        <f t="shared" si="22"/>
        <v>629817.65733624867</v>
      </c>
    </row>
    <row r="193" spans="11:19" x14ac:dyDescent="0.15">
      <c r="K193" s="6">
        <v>270</v>
      </c>
      <c r="L193" s="74">
        <f>基础状态预估!D199</f>
        <v>99.721869727346999</v>
      </c>
      <c r="M193" s="74">
        <f>C$7*基础状态预估!L199</f>
        <v>0</v>
      </c>
      <c r="N193" s="74">
        <f>D$7*基础状态预估!M199</f>
        <v>0</v>
      </c>
      <c r="O193" s="74">
        <f>E$7*基础状态预估!N199</f>
        <v>0</v>
      </c>
      <c r="P193" s="74">
        <f>F$7*基础状态预估!O199</f>
        <v>0</v>
      </c>
      <c r="Q193" s="74">
        <f>G$7*基础状态预估!P199</f>
        <v>329236.21666263865</v>
      </c>
      <c r="R193" s="74">
        <f>H$7*基础状态预估!Q199</f>
        <v>338321.06651167554</v>
      </c>
      <c r="S193" s="74">
        <f t="shared" si="22"/>
        <v>667557.28317431419</v>
      </c>
    </row>
    <row r="194" spans="11:19" x14ac:dyDescent="0.15">
      <c r="K194" s="6">
        <v>300</v>
      </c>
      <c r="L194" s="74">
        <f>基础状态预估!D200</f>
        <v>101.32661435104789</v>
      </c>
      <c r="M194" s="74">
        <f>C$7*基础状态预估!L200</f>
        <v>0</v>
      </c>
      <c r="N194" s="74">
        <f>D$7*基础状态预估!M200</f>
        <v>0</v>
      </c>
      <c r="O194" s="74">
        <f>E$7*基础状态预估!N200</f>
        <v>0</v>
      </c>
      <c r="P194" s="74">
        <f>F$7*基础状态预估!O200</f>
        <v>0</v>
      </c>
      <c r="Q194" s="74">
        <f>G$7*基础状态预估!P200</f>
        <v>307679.14721758995</v>
      </c>
      <c r="R194" s="74">
        <f>H$7*基础状态预估!Q200</f>
        <v>394166.17941646668</v>
      </c>
      <c r="S194" s="74">
        <f t="shared" si="22"/>
        <v>701845.32663405663</v>
      </c>
    </row>
    <row r="195" spans="11:19" x14ac:dyDescent="0.15">
      <c r="K195" s="6">
        <v>360</v>
      </c>
      <c r="L195" s="74">
        <f>基础状态预估!D201</f>
        <v>103.97984772466795</v>
      </c>
      <c r="M195" s="74">
        <f>C$7*基础状态预估!L201</f>
        <v>0</v>
      </c>
      <c r="N195" s="74">
        <f>D$7*基础状态预估!M201</f>
        <v>0</v>
      </c>
      <c r="O195" s="74">
        <f>E$7*基础状态预估!N201</f>
        <v>0</v>
      </c>
      <c r="P195" s="74">
        <f>F$7*基础状态预估!O201</f>
        <v>0</v>
      </c>
      <c r="Q195" s="74">
        <f>G$7*基础状态预估!P201</f>
        <v>272037.37889862718</v>
      </c>
      <c r="R195" s="74">
        <f>H$7*基础状态预估!Q201</f>
        <v>486498.70081844466</v>
      </c>
      <c r="S195" s="74">
        <f t="shared" si="22"/>
        <v>758536.07971707184</v>
      </c>
    </row>
    <row r="196" spans="11:19" x14ac:dyDescent="0.15">
      <c r="K196" s="6">
        <v>420</v>
      </c>
      <c r="L196" s="74">
        <f>基础状态预估!D202</f>
        <v>106.26808301554426</v>
      </c>
      <c r="M196" s="74">
        <f>C$7*基础状态预估!L202</f>
        <v>0</v>
      </c>
      <c r="N196" s="74">
        <f>D$7*基础状态预估!M202</f>
        <v>0</v>
      </c>
      <c r="O196" s="74">
        <f>E$7*基础状态预估!N202</f>
        <v>0</v>
      </c>
      <c r="P196" s="74">
        <f>F$7*基础状态预估!O202</f>
        <v>0</v>
      </c>
      <c r="Q196" s="74">
        <f>G$7*基础状态预估!P202</f>
        <v>228433.47289712151</v>
      </c>
      <c r="R196" s="74">
        <f>H$7*基础状态预估!Q202</f>
        <v>590199.81018145324</v>
      </c>
      <c r="S196" s="74">
        <f t="shared" si="22"/>
        <v>818633.28307857481</v>
      </c>
    </row>
    <row r="197" spans="11:19" x14ac:dyDescent="0.15">
      <c r="K197" s="6">
        <v>480</v>
      </c>
      <c r="L197" s="74">
        <f>基础状态预估!D203</f>
        <v>108.26512634376826</v>
      </c>
      <c r="M197" s="74">
        <f>C$7*基础状态预估!L203</f>
        <v>0</v>
      </c>
      <c r="N197" s="74">
        <f>D$7*基础状态预估!M203</f>
        <v>0</v>
      </c>
      <c r="O197" s="74">
        <f>E$7*基础状态预估!N203</f>
        <v>0</v>
      </c>
      <c r="P197" s="74">
        <f>F$7*基础状态预估!O203</f>
        <v>0</v>
      </c>
      <c r="Q197" s="74">
        <f>G$7*基础状态预估!P203</f>
        <v>181345.61187617938</v>
      </c>
      <c r="R197" s="74">
        <f>H$7*基础状态预估!Q203</f>
        <v>697604.43136120925</v>
      </c>
      <c r="S197" s="74">
        <f t="shared" si="22"/>
        <v>878950.0432373886</v>
      </c>
    </row>
    <row r="198" spans="11:19" x14ac:dyDescent="0.15">
      <c r="K198" s="6">
        <v>540</v>
      </c>
      <c r="L198" s="74">
        <f>基础状态预估!D204</f>
        <v>109.94539652344133</v>
      </c>
      <c r="M198" s="74">
        <f>C$7*基础状态预估!L204</f>
        <v>0</v>
      </c>
      <c r="N198" s="74">
        <f>D$7*基础状态预估!M204</f>
        <v>0</v>
      </c>
      <c r="O198" s="74">
        <f>E$7*基础状态预估!N204</f>
        <v>0</v>
      </c>
      <c r="P198" s="74">
        <f>F$7*基础状态预估!O204</f>
        <v>0</v>
      </c>
      <c r="Q198" s="74">
        <f>G$7*基础状态预估!P204</f>
        <v>141351.14321488843</v>
      </c>
      <c r="R198" s="74">
        <f>H$7*基础状态预估!Q204</f>
        <v>787972.41666071734</v>
      </c>
      <c r="S198" s="74">
        <f t="shared" si="22"/>
        <v>929323.55987560574</v>
      </c>
    </row>
    <row r="199" spans="11:19" x14ac:dyDescent="0.15">
      <c r="K199" s="6">
        <v>600</v>
      </c>
      <c r="L199" s="74">
        <f>基础状态预估!D205</f>
        <v>111.42099139883071</v>
      </c>
      <c r="M199" s="74">
        <f>C$7*基础状态预估!L205</f>
        <v>0</v>
      </c>
      <c r="N199" s="74">
        <f>D$7*基础状态预估!M205</f>
        <v>0</v>
      </c>
      <c r="O199" s="74">
        <f>E$7*基础状态预估!N205</f>
        <v>0</v>
      </c>
      <c r="P199" s="74">
        <f>F$7*基础状态预估!O205</f>
        <v>0</v>
      </c>
      <c r="Q199" s="74">
        <f>G$7*基础状态预估!P205</f>
        <v>105971.95027950377</v>
      </c>
      <c r="R199" s="74">
        <f>H$7*基础状态预估!Q205</f>
        <v>867332.59195893153</v>
      </c>
      <c r="S199" s="74">
        <f t="shared" si="22"/>
        <v>973304.54223843524</v>
      </c>
    </row>
    <row r="200" spans="11:19" x14ac:dyDescent="0.15">
      <c r="K200" s="6">
        <v>660</v>
      </c>
      <c r="L200" s="74">
        <f>基础状态预估!D206</f>
        <v>112.86737811324367</v>
      </c>
      <c r="M200" s="74">
        <f>C$7*基础状态预估!L206</f>
        <v>0</v>
      </c>
      <c r="N200" s="74">
        <f>D$7*基础状态预估!M206</f>
        <v>0</v>
      </c>
      <c r="O200" s="74">
        <f>E$7*基础状态预估!N206</f>
        <v>0</v>
      </c>
      <c r="P200" s="74">
        <f>F$7*基础状态预估!O206</f>
        <v>0</v>
      </c>
      <c r="Q200" s="74">
        <f>G$7*基础状态预估!P206</f>
        <v>71293.058747781353</v>
      </c>
      <c r="R200" s="74">
        <f>H$7*基础状态预估!Q206</f>
        <v>945121.89925408713</v>
      </c>
      <c r="S200" s="74">
        <f t="shared" si="22"/>
        <v>1016414.9580018685</v>
      </c>
    </row>
    <row r="201" spans="11:19" x14ac:dyDescent="0.15">
      <c r="K201" s="6">
        <v>720</v>
      </c>
      <c r="L201" s="74">
        <f>基础状态预估!D207</f>
        <v>114.18811572794328</v>
      </c>
      <c r="M201" s="74">
        <f>C$7*基础状态预估!L207</f>
        <v>0</v>
      </c>
      <c r="N201" s="74">
        <f>D$7*基础状态预估!M207</f>
        <v>0</v>
      </c>
      <c r="O201" s="74">
        <f>E$7*基础状态预估!N207</f>
        <v>0</v>
      </c>
      <c r="P201" s="74">
        <f>F$7*基础状态预估!O207</f>
        <v>0</v>
      </c>
      <c r="Q201" s="74">
        <f>G$7*基础状态预估!P207</f>
        <v>39626.7581480675</v>
      </c>
      <c r="R201" s="74">
        <f>H$7*基础状态预估!Q207</f>
        <v>1016153.5695137497</v>
      </c>
      <c r="S201" s="74">
        <f t="shared" si="22"/>
        <v>1055780.3276618172</v>
      </c>
    </row>
    <row r="202" spans="11:19" x14ac:dyDescent="0.15">
      <c r="K202" s="6">
        <v>780</v>
      </c>
      <c r="L202" s="74">
        <f>基础状态预估!D208</f>
        <v>115.38798688586955</v>
      </c>
      <c r="M202" s="74">
        <f>C$7*基础状态预估!L208</f>
        <v>0</v>
      </c>
      <c r="N202" s="74">
        <f>D$7*基础状态预估!M208</f>
        <v>0</v>
      </c>
      <c r="O202" s="74">
        <f>E$7*基础状态预估!N208</f>
        <v>0</v>
      </c>
      <c r="P202" s="74">
        <f>F$7*基础状态预估!O208</f>
        <v>0</v>
      </c>
      <c r="Q202" s="74">
        <f>G$7*基础状态预估!P208</f>
        <v>10858.378762990582</v>
      </c>
      <c r="R202" s="74">
        <f>H$7*基础状态预估!Q208</f>
        <v>1080684.8219709478</v>
      </c>
      <c r="S202" s="74">
        <f t="shared" si="22"/>
        <v>1091543.2007339383</v>
      </c>
    </row>
    <row r="203" spans="11:19" x14ac:dyDescent="0.15">
      <c r="K203" s="6">
        <v>840</v>
      </c>
      <c r="L203" s="74">
        <f>基础状态预估!D209</f>
        <v>116.44628179968991</v>
      </c>
      <c r="M203" s="74">
        <f>C$7*基础状态预估!L209</f>
        <v>0</v>
      </c>
      <c r="N203" s="74">
        <f>D$7*基础状态预估!M209</f>
        <v>0</v>
      </c>
      <c r="O203" s="74">
        <f>E$7*基础状态预估!N209</f>
        <v>0</v>
      </c>
      <c r="P203" s="74">
        <f>F$7*基础状态预估!O209</f>
        <v>0</v>
      </c>
      <c r="Q203" s="74">
        <f>G$7*基础状态预估!P209</f>
        <v>0</v>
      </c>
      <c r="R203" s="74">
        <f>H$7*基础状态预估!Q209</f>
        <v>1110443.7452895408</v>
      </c>
      <c r="S203" s="74">
        <f t="shared" si="22"/>
        <v>1110443.7452895408</v>
      </c>
    </row>
    <row r="204" spans="11:19" x14ac:dyDescent="0.15">
      <c r="K204" s="6">
        <v>900</v>
      </c>
      <c r="L204" s="74">
        <f>基础状态预估!D210</f>
        <v>117.4271778717454</v>
      </c>
      <c r="M204" s="74">
        <f>C$7*基础状态预估!L210</f>
        <v>0</v>
      </c>
      <c r="N204" s="74">
        <f>D$7*基础状态预估!M210</f>
        <v>0</v>
      </c>
      <c r="O204" s="74">
        <f>E$7*基础状态预估!N210</f>
        <v>0</v>
      </c>
      <c r="P204" s="74">
        <f>F$7*基础状态预估!O210</f>
        <v>0</v>
      </c>
      <c r="Q204" s="74">
        <f>G$7*基础状态预估!P210</f>
        <v>0</v>
      </c>
      <c r="R204" s="74">
        <f>H$7*基础状态预估!Q210</f>
        <v>1119196.3563940357</v>
      </c>
      <c r="S204" s="74">
        <f t="shared" si="22"/>
        <v>1119196.3563940357</v>
      </c>
    </row>
    <row r="205" spans="11:19" x14ac:dyDescent="0.15">
      <c r="K205" s="6">
        <v>1020</v>
      </c>
      <c r="L205" s="74">
        <f>基础状态预估!D211</f>
        <v>119.29151076707612</v>
      </c>
      <c r="M205" s="74">
        <f>C$7*基础状态预估!L211</f>
        <v>0</v>
      </c>
      <c r="N205" s="74">
        <f>D$7*基础状态预估!M211</f>
        <v>0</v>
      </c>
      <c r="O205" s="74">
        <f>E$7*基础状态预估!N211</f>
        <v>0</v>
      </c>
      <c r="P205" s="74">
        <f>F$7*基础状态预估!O211</f>
        <v>0</v>
      </c>
      <c r="Q205" s="74">
        <f>G$7*基础状态预估!P211</f>
        <v>0</v>
      </c>
      <c r="R205" s="74">
        <f>H$7*基础状态预估!Q211</f>
        <v>1135831.9422292945</v>
      </c>
      <c r="S205" s="74">
        <f t="shared" si="22"/>
        <v>1135831.9422292945</v>
      </c>
    </row>
    <row r="206" spans="11:19" x14ac:dyDescent="0.15">
      <c r="K206" s="6">
        <v>1140</v>
      </c>
      <c r="L206" s="74">
        <f>基础状态预估!D212</f>
        <v>120.95580403349236</v>
      </c>
      <c r="M206" s="74">
        <f>C$7*基础状态预估!L212</f>
        <v>0</v>
      </c>
      <c r="N206" s="74">
        <f>D$7*基础状态预估!M212</f>
        <v>0</v>
      </c>
      <c r="O206" s="74">
        <f>E$7*基础状态预估!N212</f>
        <v>0</v>
      </c>
      <c r="P206" s="74">
        <f>F$7*基础状态预估!O212</f>
        <v>0</v>
      </c>
      <c r="Q206" s="74">
        <f>G$7*基础状态预估!P212</f>
        <v>0</v>
      </c>
      <c r="R206" s="74">
        <f>H$7*基础状态预估!Q212</f>
        <v>1150682.5590680856</v>
      </c>
      <c r="S206" s="74">
        <f t="shared" si="22"/>
        <v>1150682.5590680856</v>
      </c>
    </row>
    <row r="207" spans="11:19" x14ac:dyDescent="0.15">
      <c r="K207" s="6">
        <v>1260</v>
      </c>
      <c r="L207" s="74">
        <f>基础状态预估!D213</f>
        <v>122.38959636199006</v>
      </c>
      <c r="M207" s="74">
        <f>C$7*基础状态预估!L213</f>
        <v>0</v>
      </c>
      <c r="N207" s="74">
        <f>D$7*基础状态预估!M213</f>
        <v>0</v>
      </c>
      <c r="O207" s="74">
        <f>E$7*基础状态预估!N213</f>
        <v>0</v>
      </c>
      <c r="P207" s="74">
        <f>F$7*基础状态预估!O213</f>
        <v>0</v>
      </c>
      <c r="Q207" s="74">
        <f>G$7*基础状态预估!P213</f>
        <v>0</v>
      </c>
      <c r="R207" s="74">
        <f>H$7*基础状态预估!Q213</f>
        <v>1160000</v>
      </c>
      <c r="S207" s="74">
        <f t="shared" si="22"/>
        <v>1160000</v>
      </c>
    </row>
    <row r="208" spans="11:19" x14ac:dyDescent="0.15">
      <c r="K208" s="6">
        <v>1380</v>
      </c>
      <c r="L208" s="74">
        <f>基础状态预估!D214</f>
        <v>123.64000871786199</v>
      </c>
      <c r="M208" s="74">
        <f>C$7*基础状态预估!L214</f>
        <v>0</v>
      </c>
      <c r="N208" s="74">
        <f>D$7*基础状态预估!M214</f>
        <v>0</v>
      </c>
      <c r="O208" s="74">
        <f>E$7*基础状态预估!N214</f>
        <v>0</v>
      </c>
      <c r="P208" s="74">
        <f>F$7*基础状态预估!O214</f>
        <v>0</v>
      </c>
      <c r="Q208" s="74">
        <f>G$7*基础状态预估!P214</f>
        <v>0</v>
      </c>
      <c r="R208" s="74">
        <f>H$7*基础状态预估!Q214</f>
        <v>1160000</v>
      </c>
      <c r="S208" s="74">
        <f t="shared" si="22"/>
        <v>1160000</v>
      </c>
    </row>
    <row r="209" spans="11:19" x14ac:dyDescent="0.15">
      <c r="K209" s="6">
        <v>1500</v>
      </c>
      <c r="L209" s="74">
        <f>基础状态预估!D215</f>
        <v>124.89506332611212</v>
      </c>
      <c r="M209" s="74">
        <f>C$7*基础状态预估!L215</f>
        <v>0</v>
      </c>
      <c r="N209" s="74">
        <f>D$7*基础状态预估!M215</f>
        <v>0</v>
      </c>
      <c r="O209" s="74">
        <f>E$7*基础状态预估!N215</f>
        <v>0</v>
      </c>
      <c r="P209" s="74">
        <f>F$7*基础状态预估!O215</f>
        <v>0</v>
      </c>
      <c r="Q209" s="74">
        <f>G$7*基础状态预估!P215</f>
        <v>0</v>
      </c>
      <c r="R209" s="74">
        <f>H$7*基础状态预估!Q215</f>
        <v>1160000</v>
      </c>
      <c r="S209" s="74">
        <f t="shared" si="22"/>
        <v>1160000</v>
      </c>
    </row>
    <row r="210" spans="11:19" x14ac:dyDescent="0.15">
      <c r="K210" s="6">
        <v>1800</v>
      </c>
      <c r="L210" s="74">
        <f>基础状态预估!D216</f>
        <v>127.67301312853458</v>
      </c>
      <c r="M210" s="74">
        <f>C$7*基础状态预估!L216</f>
        <v>0</v>
      </c>
      <c r="N210" s="74">
        <f>D$7*基础状态预估!M216</f>
        <v>0</v>
      </c>
      <c r="O210" s="74">
        <f>E$7*基础状态预估!N216</f>
        <v>0</v>
      </c>
      <c r="P210" s="74">
        <f>F$7*基础状态预估!O216</f>
        <v>0</v>
      </c>
      <c r="Q210" s="74">
        <f>G$7*基础状态预估!P216</f>
        <v>0</v>
      </c>
      <c r="R210" s="74">
        <f>H$7*基础状态预估!Q216</f>
        <v>1160000</v>
      </c>
      <c r="S210" s="74">
        <f t="shared" si="22"/>
        <v>1160000</v>
      </c>
    </row>
    <row r="211" spans="11:19" x14ac:dyDescent="0.15">
      <c r="K211" s="6">
        <v>2100</v>
      </c>
      <c r="L211" s="74">
        <f>基础状态预估!D217</f>
        <v>129.83412763547076</v>
      </c>
      <c r="M211" s="74">
        <f>C$7*基础状态预估!L217</f>
        <v>0</v>
      </c>
      <c r="N211" s="74">
        <f>D$7*基础状态预估!M217</f>
        <v>0</v>
      </c>
      <c r="O211" s="74">
        <f>E$7*基础状态预估!N217</f>
        <v>0</v>
      </c>
      <c r="P211" s="74">
        <f>F$7*基础状态预估!O217</f>
        <v>0</v>
      </c>
      <c r="Q211" s="74">
        <f>G$7*基础状态预估!P217</f>
        <v>0</v>
      </c>
      <c r="R211" s="74">
        <f>H$7*基础状态预估!Q217</f>
        <v>1160000</v>
      </c>
      <c r="S211" s="74">
        <f t="shared" si="22"/>
        <v>1160000</v>
      </c>
    </row>
    <row r="212" spans="11:19" x14ac:dyDescent="0.15">
      <c r="K212" s="6">
        <v>2400</v>
      </c>
      <c r="L212" s="74">
        <f>基础状态预估!D218</f>
        <v>131.79898277231624</v>
      </c>
      <c r="M212" s="74">
        <f>C$7*基础状态预估!L218</f>
        <v>0</v>
      </c>
      <c r="N212" s="74">
        <f>D$7*基础状态预估!M218</f>
        <v>0</v>
      </c>
      <c r="O212" s="74">
        <f>E$7*基础状态预估!N218</f>
        <v>0</v>
      </c>
      <c r="P212" s="74">
        <f>F$7*基础状态预估!O218</f>
        <v>0</v>
      </c>
      <c r="Q212" s="74">
        <f>G$7*基础状态预估!P218</f>
        <v>0</v>
      </c>
      <c r="R212" s="74">
        <f>H$7*基础状态预估!Q218</f>
        <v>1160000</v>
      </c>
      <c r="S212" s="74">
        <f t="shared" si="22"/>
        <v>1160000</v>
      </c>
    </row>
    <row r="213" spans="11:19" x14ac:dyDescent="0.15">
      <c r="K213" s="6">
        <v>2700</v>
      </c>
      <c r="L213" s="74">
        <f>基础状态预估!D219</f>
        <v>133.57962992379356</v>
      </c>
      <c r="M213" s="74">
        <f>C$7*基础状态预估!L219</f>
        <v>0</v>
      </c>
      <c r="N213" s="74">
        <f>D$7*基础状态预估!M219</f>
        <v>0</v>
      </c>
      <c r="O213" s="74">
        <f>E$7*基础状态预估!N219</f>
        <v>0</v>
      </c>
      <c r="P213" s="74">
        <f>F$7*基础状态预估!O219</f>
        <v>0</v>
      </c>
      <c r="Q213" s="74">
        <f>G$7*基础状态预估!P219</f>
        <v>0</v>
      </c>
      <c r="R213" s="74">
        <f>H$7*基础状态预估!Q219</f>
        <v>1160000</v>
      </c>
      <c r="S213" s="74">
        <f t="shared" si="22"/>
        <v>1160000</v>
      </c>
    </row>
    <row r="214" spans="11:19" x14ac:dyDescent="0.15">
      <c r="K214" s="6">
        <v>3000</v>
      </c>
      <c r="L214" s="74">
        <f>基础状态预估!D220</f>
        <v>135.09124682527644</v>
      </c>
      <c r="M214" s="74">
        <f>C$7*基础状态预估!L220</f>
        <v>0</v>
      </c>
      <c r="N214" s="74">
        <f>D$7*基础状态预估!M220</f>
        <v>0</v>
      </c>
      <c r="O214" s="74">
        <f>E$7*基础状态预估!N220</f>
        <v>0</v>
      </c>
      <c r="P214" s="74">
        <f>F$7*基础状态预估!O220</f>
        <v>0</v>
      </c>
      <c r="Q214" s="74">
        <f>G$7*基础状态预估!P220</f>
        <v>0</v>
      </c>
      <c r="R214" s="74">
        <f>H$7*基础状态预估!Q220</f>
        <v>1160000</v>
      </c>
      <c r="S214" s="74">
        <f t="shared" si="22"/>
        <v>1160000</v>
      </c>
    </row>
    <row r="215" spans="11:19" x14ac:dyDescent="0.15">
      <c r="K215" s="6">
        <v>3300</v>
      </c>
      <c r="L215" s="74">
        <f>基础状态预估!D221</f>
        <v>136.4080820895465</v>
      </c>
      <c r="M215" s="74">
        <f>C$7*基础状态预估!L221</f>
        <v>0</v>
      </c>
      <c r="N215" s="74">
        <f>D$7*基础状态预估!M221</f>
        <v>0</v>
      </c>
      <c r="O215" s="74">
        <f>E$7*基础状态预估!N221</f>
        <v>0</v>
      </c>
      <c r="P215" s="74">
        <f>F$7*基础状态预估!O221</f>
        <v>0</v>
      </c>
      <c r="Q215" s="74">
        <f>G$7*基础状态预估!P221</f>
        <v>0</v>
      </c>
      <c r="R215" s="74">
        <f>H$7*基础状态预估!Q221</f>
        <v>1160000</v>
      </c>
      <c r="S215" s="74">
        <f t="shared" si="22"/>
        <v>1160000</v>
      </c>
    </row>
    <row r="216" spans="11:19" x14ac:dyDescent="0.15">
      <c r="K216" s="6">
        <v>3600</v>
      </c>
      <c r="L216" s="74">
        <f>基础状态预估!D222</f>
        <v>137.69441197975056</v>
      </c>
      <c r="M216" s="74">
        <f>C$7*基础状态预估!L222</f>
        <v>0</v>
      </c>
      <c r="N216" s="74">
        <f>D$7*基础状态预估!M222</f>
        <v>0</v>
      </c>
      <c r="O216" s="74">
        <f>E$7*基础状态预估!N222</f>
        <v>0</v>
      </c>
      <c r="P216" s="74">
        <f>F$7*基础状态预估!O222</f>
        <v>0</v>
      </c>
      <c r="Q216" s="74">
        <f>G$7*基础状态预估!P222</f>
        <v>0</v>
      </c>
      <c r="R216" s="74">
        <f>H$7*基础状态预估!Q222</f>
        <v>1160000</v>
      </c>
      <c r="S216" s="74">
        <f t="shared" si="22"/>
        <v>1160000</v>
      </c>
    </row>
    <row r="217" spans="11:19" x14ac:dyDescent="0.15">
      <c r="K217" s="6">
        <v>3900</v>
      </c>
      <c r="L217" s="74">
        <f>基础状态预估!D223</f>
        <v>138.91667176742632</v>
      </c>
      <c r="M217" s="74">
        <f>C$7*基础状态预估!L223</f>
        <v>0</v>
      </c>
      <c r="N217" s="74">
        <f>D$7*基础状态预估!M223</f>
        <v>0</v>
      </c>
      <c r="O217" s="74">
        <f>E$7*基础状态预估!N223</f>
        <v>0</v>
      </c>
      <c r="P217" s="74">
        <f>F$7*基础状态预估!O223</f>
        <v>0</v>
      </c>
      <c r="Q217" s="74">
        <f>G$7*基础状态预估!P223</f>
        <v>0</v>
      </c>
      <c r="R217" s="74">
        <f>H$7*基础状态预估!Q223</f>
        <v>1160000</v>
      </c>
      <c r="S217" s="74">
        <f t="shared" si="22"/>
        <v>1160000</v>
      </c>
    </row>
    <row r="218" spans="11:19" x14ac:dyDescent="0.15">
      <c r="K218" s="6">
        <v>4200</v>
      </c>
      <c r="L218" s="74">
        <f>基础状态预估!D224</f>
        <v>140.02552130500166</v>
      </c>
      <c r="M218" s="74">
        <f>C$7*基础状态预估!L224</f>
        <v>0</v>
      </c>
      <c r="N218" s="74">
        <f>D$7*基础状态预估!M224</f>
        <v>0</v>
      </c>
      <c r="O218" s="74">
        <f>E$7*基础状态预估!N224</f>
        <v>0</v>
      </c>
      <c r="P218" s="74">
        <f>F$7*基础状态预估!O224</f>
        <v>0</v>
      </c>
      <c r="Q218" s="74">
        <f>G$7*基础状态预估!P224</f>
        <v>0</v>
      </c>
      <c r="R218" s="74">
        <f>H$7*基础状态预估!Q224</f>
        <v>1160000</v>
      </c>
      <c r="S218" s="74">
        <f t="shared" si="22"/>
        <v>1160000</v>
      </c>
    </row>
    <row r="219" spans="11:19" x14ac:dyDescent="0.15">
      <c r="K219" s="6">
        <v>4500</v>
      </c>
      <c r="L219" s="74">
        <f>基础状态预估!D225</f>
        <v>141.0305191407117</v>
      </c>
      <c r="M219" s="74">
        <f>C$7*基础状态预估!L225</f>
        <v>0</v>
      </c>
      <c r="N219" s="74">
        <f>D$7*基础状态预估!M225</f>
        <v>0</v>
      </c>
      <c r="O219" s="74">
        <f>E$7*基础状态预估!N225</f>
        <v>0</v>
      </c>
      <c r="P219" s="74">
        <f>F$7*基础状态预估!O225</f>
        <v>0</v>
      </c>
      <c r="Q219" s="74">
        <f>G$7*基础状态预估!P225</f>
        <v>0</v>
      </c>
      <c r="R219" s="74">
        <f>H$7*基础状态预估!Q225</f>
        <v>1160000</v>
      </c>
      <c r="S219" s="74">
        <f t="shared" si="22"/>
        <v>1160000</v>
      </c>
    </row>
    <row r="220" spans="11:19" x14ac:dyDescent="0.15">
      <c r="K220" s="6">
        <v>4800</v>
      </c>
      <c r="L220" s="74">
        <f>基础状态预估!D226</f>
        <v>141.92990796852064</v>
      </c>
      <c r="M220" s="74">
        <f>C$7*基础状态预估!L226</f>
        <v>0</v>
      </c>
      <c r="N220" s="74">
        <f>D$7*基础状态预估!M226</f>
        <v>0</v>
      </c>
      <c r="O220" s="74">
        <f>E$7*基础状态预估!N226</f>
        <v>0</v>
      </c>
      <c r="P220" s="74">
        <f>F$7*基础状态预估!O226</f>
        <v>0</v>
      </c>
      <c r="Q220" s="74">
        <f>G$7*基础状态预估!P226</f>
        <v>0</v>
      </c>
      <c r="R220" s="74">
        <f>H$7*基础状态预估!Q226</f>
        <v>1160000</v>
      </c>
      <c r="S220" s="74">
        <f t="shared" si="22"/>
        <v>1160000</v>
      </c>
    </row>
    <row r="221" spans="11:19" x14ac:dyDescent="0.15">
      <c r="K221" s="6">
        <v>65535</v>
      </c>
      <c r="L221" s="74">
        <f>基础状态预估!D227</f>
        <v>160</v>
      </c>
      <c r="M221" s="74">
        <f>C$7*基础状态预估!L227</f>
        <v>0</v>
      </c>
      <c r="N221" s="74">
        <f>D$7*基础状态预估!M227</f>
        <v>0</v>
      </c>
      <c r="O221" s="74">
        <f>E$7*基础状态预估!N227</f>
        <v>0</v>
      </c>
      <c r="P221" s="74">
        <f>F$7*基础状态预估!O227</f>
        <v>0</v>
      </c>
      <c r="Q221" s="74">
        <f>G$7*基础状态预估!P227</f>
        <v>0</v>
      </c>
      <c r="R221" s="74">
        <f>H$7*基础状态预估!Q227</f>
        <v>1160000</v>
      </c>
      <c r="S221" s="74">
        <f t="shared" si="22"/>
        <v>1160000</v>
      </c>
    </row>
    <row r="1048576" spans="3:3" x14ac:dyDescent="0.15">
      <c r="C1048576" s="74"/>
    </row>
  </sheetData>
  <mergeCells count="6">
    <mergeCell ref="M179:R179"/>
    <mergeCell ref="V3:Z3"/>
    <mergeCell ref="M3:R3"/>
    <mergeCell ref="M47:R47"/>
    <mergeCell ref="M91:R91"/>
    <mergeCell ref="M135:R13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节奏总纲</vt:lpstr>
      <vt:lpstr>其他调用</vt:lpstr>
      <vt:lpstr>前期规划</vt:lpstr>
      <vt:lpstr>基础状态预估</vt:lpstr>
      <vt:lpstr>藏品币</vt:lpstr>
      <vt:lpstr>藏品属性</vt:lpstr>
      <vt:lpstr>活动投放</vt:lpstr>
      <vt:lpstr>丝绸之路</vt:lpstr>
      <vt:lpstr>付费投放</vt:lpstr>
      <vt:lpstr>真品获取算法</vt:lpstr>
      <vt:lpstr>实力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2022-06-16T08:15:13Z</dcterms:modified>
</cp:coreProperties>
</file>